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07/relationships/ui/extensibility" Target="customUI/customUI14.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codeName="ThisWorkbook" defaultThemeVersion="124226"/>
  <mc:AlternateContent xmlns:mc="http://schemas.openxmlformats.org/markup-compatibility/2006">
    <mc:Choice Requires="x15">
      <x15ac:absPath xmlns:x15ac="http://schemas.microsoft.com/office/spreadsheetml/2010/11/ac" url="https://eychinamanaged.sharepoint.cn/sites/GCknowledgecenter/Shared Documents/审计标准底稿/小灯泡网页文件/K1_固定资产/"/>
    </mc:Choice>
  </mc:AlternateContent>
  <xr:revisionPtr revIDLastSave="0" documentId="8_{4D8810A0-7C6C-4CF5-A5FF-C4B62CAD0FC2}" xr6:coauthVersionLast="47" xr6:coauthVersionMax="47" xr10:uidLastSave="{00000000-0000-0000-0000-000000000000}"/>
  <bookViews>
    <workbookView xWindow="1100" yWindow="1100" windowWidth="14400" windowHeight="7270" tabRatio="898" firstSheet="3" activeTab="3" xr2:uid="{00000000-000D-0000-FFFF-FFFF00000000}"/>
  </bookViews>
  <sheets>
    <sheet name="汇报" sheetId="233" state="hidden" r:id="rId1"/>
    <sheet name="canvas form" sheetId="232" state="hidden" r:id="rId2"/>
    <sheet name="SkywindSettingSheet" sheetId="170" state="veryHidden" r:id="rId3"/>
    <sheet name="K.03.1 SAP-高精确度" sheetId="235" r:id="rId4"/>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CURRENT" hidden="1">#REF!</definedName>
    <definedName name="__123Graph_AGraph1" hidden="1">#REF!</definedName>
    <definedName name="__123Graph_ANETPROFIT2" hidden="1">#REF!</definedName>
    <definedName name="__123Graph_APROJECT" hidden="1">#REF!</definedName>
    <definedName name="__123Graph_B" hidden="1">#REF!</definedName>
    <definedName name="__123Graph_BGraph1" hidden="1">#REF!</definedName>
    <definedName name="__123Graph_C" hidden="1">#REF!</definedName>
    <definedName name="__123Graph_CCURRENT" hidden="1">#REF!</definedName>
    <definedName name="__123Graph_CGraph1" hidden="1">#REF!</definedName>
    <definedName name="__123Graph_D" hidden="1">#REF!</definedName>
    <definedName name="__123Graph_DCURRENT" hidden="1">#REF!</definedName>
    <definedName name="__123Graph_DGraph1" hidden="1">#REF!</definedName>
    <definedName name="__123Graph_E" hidden="1">#REF!</definedName>
    <definedName name="__123Graph_ECURRENT" hidden="1">#REF!</definedName>
    <definedName name="__123Graph_EGraph1" hidden="1">#REF!</definedName>
    <definedName name="__123Graph_F" hidden="1">#REF!</definedName>
    <definedName name="__123Graph_FCURRENT" hidden="1">#REF!</definedName>
    <definedName name="__123Graph_LBL_ANETPROFIT2" hidden="1">#REF!</definedName>
    <definedName name="__123Graph_LBL_APROJECT" hidden="1">#REF!</definedName>
    <definedName name="__123Graph_X" hidden="1">#REF!</definedName>
    <definedName name="__123Graph_XGraph1" hidden="1">#REF!</definedName>
    <definedName name="__A11" hidden="1">{#N/A,#N/A,FALSE,"Umsatz 99";#N/A,#N/A,FALSE,"ER 99 "}</definedName>
    <definedName name="__c" hidden="1">{"Fiesta Facer Page",#N/A,FALSE,"Q_C_S";"Fiesta Main Page",#N/A,FALSE,"V_L";"Fiesta 95BP Struct",#N/A,FALSE,"StructBP";"Fiesta Post 95BP Struct",#N/A,FALSE,"AdjStructBP"}</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H200" hidden="1">{#N/A,#N/A,FALSE,"ABB HOLDING LTD"}</definedName>
    <definedName name="__IntlFixup" hidden="1">TRUE</definedName>
    <definedName name="_1" hidden="1">#REF!</definedName>
    <definedName name="_1__123Graph_ACHART_3" hidden="1">#REF!</definedName>
    <definedName name="_12c_" hidden="1">{"Fiesta Facer Page",#N/A,FALSE,"Q_C_S";"Fiesta Main Page",#N/A,FALSE,"V_L";"Fiesta 95BP Struct",#N/A,FALSE,"StructBP";"Fiesta Post 95BP Struct",#N/A,FALSE,"AdjStructBP"}</definedName>
    <definedName name="_12H200_" hidden="1">{#N/A,#N/A,FALSE,"ABB HOLDING LTD"}</definedName>
    <definedName name="_15wrn.²Ä1­Ó¤ë1_Ü20¤H." hidden="1">{#N/A,#N/A,FALSE,"²Ä1­Ó¤ë"}</definedName>
    <definedName name="_16wrn.²Ä1­Ó¤ë1_Ü20¤H." hidden="1">{#N/A,#N/A,FALSE,"²Ä1­Ó¤ë"}</definedName>
    <definedName name="_18wrn.²Ä1­Ó¤ë1_Ü20¤H." hidden="1">{#N/A,#N/A,FALSE,"²Ä1­Ó¤ë"}</definedName>
    <definedName name="_2__123Graph_BCHART_2" hidden="1">#REF!</definedName>
    <definedName name="_23_0_S" hidden="1">#REF!</definedName>
    <definedName name="_24_0_Table2_" hidden="1">#REF!</definedName>
    <definedName name="_25_0_Table2_" hidden="1">#REF!</definedName>
    <definedName name="_3__123Graph_BCHART_3" hidden="1">#REF!</definedName>
    <definedName name="_4__123Graph_CCHART_3" hidden="1">#REF!</definedName>
    <definedName name="_4wrn.²Ä1­Ó¤ë1_Ü20¤H." hidden="1">{#N/A,#N/A,FALSE,"²Ä1­Ó¤ë"}</definedName>
    <definedName name="_5__123Graph_DCHART_2" hidden="1">#REF!</definedName>
    <definedName name="_6__123Graph_DCHART_3" hidden="1">#REF!</definedName>
    <definedName name="_6_0_Table2_" hidden="1">#REF!</definedName>
    <definedName name="_6A11_" hidden="1">{#N/A,#N/A,FALSE,"Umsatz 99";#N/A,#N/A,FALSE,"ER 99 "}</definedName>
    <definedName name="_a1" hidden="1">{#N/A,#N/A,FALSE,"Virgin Flightdeck"}</definedName>
    <definedName name="_A11" hidden="1">{#N/A,#N/A,FALSE,"Umsatz 99";#N/A,#N/A,FALSE,"ER 99 "}</definedName>
    <definedName name="_a2" hidden="1">{#N/A,#N/A,FALSE,"Virgin Flightdeck"}</definedName>
    <definedName name="_a3" hidden="1">{#N/A,#N/A,FALSE,"Virgin Flightdeck"}</definedName>
    <definedName name="_b2" hidden="1">{#N/A,#N/A,FALSE,"Virgin Flightdeck"}</definedName>
    <definedName name="_b3" hidden="1">{#N/A,#N/A,FALSE,"Virgin Flightdeck"}</definedName>
    <definedName name="_c" hidden="1">{"Fiesta Facer Page",#N/A,FALSE,"Q_C_S";"Fiesta Main Page",#N/A,FALSE,"V_L";"Fiesta 95BP Struct",#N/A,FALSE,"StructBP";"Fiesta Post 95BP Struct",#N/A,FALSE,"AdjStructBP"}</definedName>
    <definedName name="_Dist_Bin"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xlnm._FilterDatabase" localSheetId="1" hidden="1">'canvas form'!$B$3:$F$25</definedName>
    <definedName name="_xlnm._FilterDatabase" localSheetId="3" hidden="1">'K.03.1 SAP-高精确度'!$B$29:$V$29</definedName>
    <definedName name="_xlnm._FilterDatabase" hidden="1">#REF!</definedName>
    <definedName name="_h2" hidden="1">{#N/A,#N/A,FALSE,"Virgin Flightdeck"}</definedName>
    <definedName name="_H200" hidden="1">{#N/A,#N/A,FALSE,"ABB HOLDING LTD"}</definedName>
    <definedName name="_h3" hidden="1">{#N/A,#N/A,FALSE,"Virgin Flightdeck"}</definedName>
    <definedName name="_K7" hidden="1">{#N/A,#N/A,FALSE,"Sheet1"}</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P2" hidden="1">{#N/A,#N/A,FALSE,"PLEDGE";#N/A,#N/A,FALSE,"GLADE";#N/A,#N/A,FALSE,"GREEN BIRD";#N/A,#N/A,FALSE,"MR. MUSCLE";#N/A,#N/A,FALSE,"TOILET DUCK";#N/A,#N/A,FALSE,"Other Home Care";#N/A,#N/A,FALSE,"RED BIRD";#N/A,#N/A,FALSE,"SHANGHAI";#N/A,#N/A,FALSE,"RAID";#N/A,#N/A,FALSE,"OFF";#N/A,#N/A,FALSE,"SEAGULL";#N/A,#N/A,FALSE,"HALSA";#N/A,#N/A,FALSE,"SOFT SENSE";#N/A,#N/A,FALSE,"TOTAL"}</definedName>
    <definedName name="_Order1" hidden="1">255</definedName>
    <definedName name="_Order2" hidden="1">255</definedName>
    <definedName name="_sd2" hidden="1">{"CSC_1",#N/A,FALSE,"CSC Outputs";"CSC_2",#N/A,FALSE,"CSC Outputs"}</definedName>
    <definedName name="_Sor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 hidden="1">#REF!</definedName>
    <definedName name="_wrn2" hidden="1">{#N/A,#N/A,FALSE,"Virgin Flightdeck"}</definedName>
    <definedName name="_wrn3" hidden="1">{#N/A,#N/A,FALSE,"Virgin Flightdeck"}</definedName>
    <definedName name="_wrn4" hidden="1">{#N/A,#N/A,FALSE,"Virgin Flightdeck"}</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vbrdf" hidden="1">{#N/A,#N/A,FALSE,"OffAdvance";#N/A,#N/A,FALSE,"OffExpRprt";#N/A,#N/A,FALSE,"Travelling";#N/A,#N/A,FALSE,"Entertmnt";#N/A,#N/A,FALSE,"Promotion"}</definedName>
    <definedName name="aaz" hidden="1">{#N/A,#N/A,FALSE,"资产负债表";#N/A,#N/A,FALSE,"资产负债表"}</definedName>
    <definedName name="abcdeg" hidden="1">{#N/A,#N/A,FALSE,"PLEDGE";#N/A,#N/A,FALSE,"GLADE";#N/A,#N/A,FALSE,"GREEN BIRD";#N/A,#N/A,FALSE,"MR. MUSCLE";#N/A,#N/A,FALSE,"TOILET DUCK";#N/A,#N/A,FALSE,"Other Home Care";#N/A,#N/A,FALSE,"RED BIRD";#N/A,#N/A,FALSE,"SHANGHAI";#N/A,#N/A,FALSE,"RAID";#N/A,#N/A,FALSE,"OFF";#N/A,#N/A,FALSE,"SEAGULL";#N/A,#N/A,FALSE,"HALSA";#N/A,#N/A,FALSE,"SOFT SENSE";#N/A,#N/A,FALSE,"TOTAL"}</definedName>
    <definedName name="Access_Button" hidden="1">"BBB_Std_Analog_Raw_Data_List"</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dfa" hidden="1">{"page 1",#N/A,FALSE,"A";"page 2",#N/A,FALSE,"A";"page 3",#N/A,FALSE,"A";"page 4",#N/A,FALSE,"A";"page 5",#N/A,FALSE,"A";"page 6",#N/A,FALSE,"A";"page 7",#N/A,FALSE,"A";"page 8",#N/A,FALSE,"A";"page 9",#N/A,FALSE,"A";"page 10",#N/A,FALSE,"A";"page 11",#N/A,FALSE,"A";"page 12",#N/A,FALSE,"A";"page 13",#N/A,FALSE,"A";"page 14",#N/A,FALSE,"A"}</definedName>
    <definedName name="adfad"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JHFkjDGHF" hidden="1">{"Annual_Income",#N/A,FALSE,"Report Page";"Balance_Cash_Flow",#N/A,FALSE,"Report Page";"Quarterly_Income",#N/A,FALSE,"Report Page"}</definedName>
    <definedName name="anakf" hidden="1">{#N/A,#N/A,FALSE,"资产负债表";#N/A,#N/A,FALSE,"资产负债表"}</definedName>
    <definedName name="ANALSIS._.9511" hidden="1">{#N/A,#N/A,FALSE,"ABB HOLDING LTD"}</definedName>
    <definedName name="anna" hidden="1">{#N/A,#N/A,FALSE,"ABB HOLDING LTD"}</definedName>
    <definedName name="anscount" hidden="1">1</definedName>
    <definedName name="app0" hidden="1">{"M1Print",#N/A,FALSE,"M1"}</definedName>
    <definedName name="are" hidden="1">{"toptrial",#N/A,TRUE,"toptrial";"adjustment",#N/A,TRUE,"toptrial";"voucher",#N/A,TRUE,"toptrial"}</definedName>
    <definedName name="AS2DocOpenMode" hidden="1">"AS2DocumentEdit"</definedName>
    <definedName name="AS2HasNoAutoHeaderFooter" hidden="1">" "</definedName>
    <definedName name="AS2NamedRange" hidden="1">7</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da" hidden="1">{"CSC_1",#N/A,FALSE,"CSC Outputs";"CSC_2",#N/A,FALSE,"CSC Outputs"}</definedName>
    <definedName name="asdf" hidden="1">{#N/A,#N/A,FALSE,"970301";#N/A,#N/A,FALSE,"970302";#N/A,#N/A,FALSE,"970303";#N/A,#N/A,FALSE,"970304";#N/A,#N/A,FALSE,"COM1";#N/A,#N/A,FALSE,"COM2"}</definedName>
    <definedName name="asdg" hidden="1">{#N/A,#N/A,FALSE,"资产负债表";#N/A,#N/A,FALSE,"资产负债表"}</definedName>
    <definedName name="ass" hidden="1">{#N/A,#N/A,TRUE,"CPRD";#N/A,#N/A,TRUE,"BCCPDR";#N/A,#N/A,TRUE,"EWRD";#N/A,#N/A,TRUE,"5100";#N/A,#N/A,TRUE,"5110"}</definedName>
    <definedName name="AuraStyleDefaultsReset" hidden="1">#N/A</definedName>
    <definedName name="Bear" hidden="1">{#N/A,#N/A,FALSE,"TS";#N/A,#N/A,FALSE,"Combo";#N/A,#N/A,FALSE,"FAIR";#N/A,#N/A,FALSE,"RBC";#N/A,#N/A,FALSE,"xxxx";#N/A,#N/A,FALSE,"A_D";#N/A,#N/A,FALSE,"WACC";#N/A,#N/A,FALSE,"DCF";#N/A,#N/A,FALSE,"LBO";#N/A,#N/A,FALSE,"AcqMults";#N/A,#N/A,FALSE,"CompMults"}</definedName>
    <definedName name="BEx1GOL4T20ZYMEME4AOC1I2ZBV3" hidden="1">#REF!</definedName>
    <definedName name="BEx1KILOFST3VEOXVEC1QN03BHGA" hidden="1">#REF!</definedName>
    <definedName name="BEx1M9JC5LZZOUZZJBFE1EQ0CYCC" hidden="1">#REF!</definedName>
    <definedName name="BEx1ND8X2WN7NFW5BVSOLFH61M84" hidden="1">#REF!</definedName>
    <definedName name="BEx1OKPEQNPV9QNO6JU5C68PT6Q0" hidden="1">#REF!</definedName>
    <definedName name="BEx1R6T7X0940TREN8TT0TNFQPT6" hidden="1">#REF!</definedName>
    <definedName name="BEx1WGD8QW1OO3Z8CRJZ2SLV3XOL" hidden="1">#REF!</definedName>
    <definedName name="BEx3BP97JNLY9I27CV38UB0ZP05T" hidden="1">#REF!</definedName>
    <definedName name="BEx3JNRLRJ2JV5NNQZ0E6BGLEJQ7" hidden="1">#REF!</definedName>
    <definedName name="BEx3LZ8GB3FK41S4MT046E3ROW74" hidden="1">#REF!</definedName>
    <definedName name="BEx3PZU9740IPCC6H8OPE1S9GMU2" hidden="1">#REF!</definedName>
    <definedName name="BEx3Q8TWXITHZ3X76SJUL1PUW1CB" hidden="1">#REF!</definedName>
    <definedName name="BEx57Z6CADZGQPCAGXX3NPX2K2N0" hidden="1">#REF!</definedName>
    <definedName name="BEx596C1WUINFC3E55ER7W8C6FII" hidden="1">#REF!</definedName>
    <definedName name="BEx5A1NHZ01UFJAWFDKZ7Q32YCAP" hidden="1">#REF!</definedName>
    <definedName name="BEx5HJTYH3HP8KCYFVDEXJRHX490" hidden="1">#REF!</definedName>
    <definedName name="BEx5JYQT2HZM2KUEPEKSOE4HP3R7" hidden="1">#REF!</definedName>
    <definedName name="BEx7519PXO1HM898NUYPQWARV2EL" hidden="1">#REF!</definedName>
    <definedName name="BEx7648DGEBZ217G2G0A366USBT0" hidden="1">#REF!</definedName>
    <definedName name="BEx76C0WIFQUGK3UB0BAODNMLXTH" hidden="1">#REF!</definedName>
    <definedName name="BEx7CQHSAPD3MPFTKGMMN3CVW50O" hidden="1">#REF!</definedName>
    <definedName name="BEx7JM1L18WS45G4QD3JEP01Y5CK" hidden="1">#REF!</definedName>
    <definedName name="BEx908Z8ILGHESB1W8JR2DOW7ABL" hidden="1">#REF!</definedName>
    <definedName name="BEx91ZRKZJ7MB7VVGADGQZ08O9XY" hidden="1">#REF!</definedName>
    <definedName name="BEx97U059JN44X3DZ148YVABPMFN" hidden="1">#REF!</definedName>
    <definedName name="BEx98RVDTKKOY3DAU9A4JZYT5OIT" hidden="1">#REF!</definedName>
    <definedName name="BEx9CIVW2DWJMNAWF3WDJ9E4QZ35" hidden="1">#REF!</definedName>
    <definedName name="BEx9DA5OT3ZSCGNY1WF06B98S475" hidden="1">#REF!</definedName>
    <definedName name="BExB02KNVWQTZBCVRIB1EWZ0V0JL" hidden="1">#REF!</definedName>
    <definedName name="BExB1BZ6Z4M9JS3I1KXP6XAEMSLI" hidden="1">#REF!</definedName>
    <definedName name="BExB44DJMD7F0150IRHXJP7GTP60" hidden="1">#REF!</definedName>
    <definedName name="BExB4967ICE32DID1UIQR97OO173" hidden="1">#REF!</definedName>
    <definedName name="BExB516X8WTIOV96RB06FD74D9EC" hidden="1">#REF!</definedName>
    <definedName name="BExB7LHZH54ZK24EU7O6W9J85Y6O" hidden="1">#REF!</definedName>
    <definedName name="BExB9ASDJ6E5QNP9HKCXEV97PUCF" hidden="1">#REF!</definedName>
    <definedName name="BExB9SBH89RBYVOK8JWJG85KQAPP" hidden="1">#REF!</definedName>
    <definedName name="BExBCK4A0LSJO6DBOL7FPO4D24J9" hidden="1">#REF!</definedName>
    <definedName name="BExBCO0KHJSG0WZB6SGXFR6H5NO7" hidden="1">#REF!</definedName>
    <definedName name="BExCYN28OZBXVKSPT7BDGSLQHHFU" hidden="1">#REF!</definedName>
    <definedName name="BExD0BLMMGY5XYERG6V0TT0M2YE3" hidden="1">#REF!</definedName>
    <definedName name="BExD0ISJYTLUGS04P5IRFS5B3CF9" hidden="1">#REF!</definedName>
    <definedName name="BExD2PRJY7TYFUEA7WHYQBCHPW9Y" hidden="1">#REF!</definedName>
    <definedName name="BExD7TS213CYLKZM2LRHP7H69CCP" hidden="1">#REF!</definedName>
    <definedName name="BExD880N3DSVXWG9MHOUKRWZRTBE" hidden="1">#REF!</definedName>
    <definedName name="BExDA0G9BQ3JNIYZ9L65S6VBYWMS" hidden="1">#REF!</definedName>
    <definedName name="BExDCIIGE672LU969XCUQ9OYBHPZ" hidden="1">#REF!</definedName>
    <definedName name="BExEQ4YH338D2FXOHEGCN5E8UTHJ" hidden="1">#REF!</definedName>
    <definedName name="BExEUUQDME4CZNJTA7OEHOI7PQCX" hidden="1">#REF!</definedName>
    <definedName name="BExEVCEZK6FN15T0UYF1CB9RAMP9" hidden="1">#REF!</definedName>
    <definedName name="BExEWIOCCAXKVY98T9IT7E3WIQ0E" hidden="1">#REF!</definedName>
    <definedName name="BExEWP9OM81HG8KFNOC23RI70VZL" hidden="1">#REF!</definedName>
    <definedName name="BExF05HRERO5UALKECDAVEEDJZN1" hidden="1">#REF!</definedName>
    <definedName name="BExF0MQ337K2NFXXIQ0O47G45C1C" hidden="1">#REF!</definedName>
    <definedName name="BExF2848DYNZRBOOANUXZJAUXF5I" hidden="1">#REF!</definedName>
    <definedName name="BExF4HSB7GJLPZR0NCKZFQO2UW5F" hidden="1">#REF!</definedName>
    <definedName name="BExF67TQWVHFNN1WYRBW6MEB7CYM" hidden="1">#REF!</definedName>
    <definedName name="BExGO4WV0HKEQUYJ1RD84YAPM4AF" hidden="1">#REF!</definedName>
    <definedName name="BExGPG47K2WA8AA2TNG33MAQL8J2" hidden="1">#REF!</definedName>
    <definedName name="BExGPGPQ41JXS4S24X63XVAAMN5I" hidden="1">#REF!</definedName>
    <definedName name="BExGR47FVJRRJYCDCPQHR5BS8TTE" hidden="1">#REF!</definedName>
    <definedName name="BExGRW2TNFAUIHXBISCNRT35ZN4U" hidden="1">#REF!</definedName>
    <definedName name="BExGS4GY840D03GX09MFUJZZQIQI" hidden="1">#REF!</definedName>
    <definedName name="BExGWBYVZLX1Y7H09E1OJR2M7NEO" hidden="1">#REF!</definedName>
    <definedName name="BExGYQA5XQAV3GALTISYXAOLC00N" hidden="1">#REF!</definedName>
    <definedName name="BExH2ZKTRC9AU7I8TGC5PSW9KUKA" hidden="1">#REF!</definedName>
    <definedName name="BExH3GIH7IKQ6L1766O2F80W53H7" hidden="1">#REF!</definedName>
    <definedName name="BExIIBGODUPZCN0CS6AIFCS9JJ3T" hidden="1">#REF!</definedName>
    <definedName name="BExIK8E56SGZDTZP8N5UKCB51HLK" hidden="1">#REF!</definedName>
    <definedName name="BExIKLA43JG5Q0E5DUX6GGA36M2D" hidden="1">#REF!</definedName>
    <definedName name="BExIOV0VPGAVNIH8CAGOZQTE8RQC" hidden="1">#REF!</definedName>
    <definedName name="BExIRJTRW38YJPZF94ZRIMHT1EDT" hidden="1">#REF!</definedName>
    <definedName name="BExIS4NJWFRORMVD64VAH35KYTAV" hidden="1">#REF!</definedName>
    <definedName name="BExIVO6FK5E6OWNW080ZWFXGTAW9" hidden="1">#REF!</definedName>
    <definedName name="BExIX6KP2828HYO5B58WTT6B4GQF" hidden="1">#REF!</definedName>
    <definedName name="BExIYAL1JJ0YAOVQ8NTVMVWSIWEN" hidden="1">#REF!</definedName>
    <definedName name="BExJ0JYBMCA6QMUA23EJ4K1XY7OB" hidden="1">#REF!</definedName>
    <definedName name="BExKH3W4N0O82E6T46JO6PSMZCKO" hidden="1">#REF!</definedName>
    <definedName name="BExKIAWCRGDEI4GPDFEI8JPG2FQR" hidden="1">#REF!</definedName>
    <definedName name="BExKICEADRLL4OGPHHM5X4LBZAUM" hidden="1">#REF!</definedName>
    <definedName name="BExKJKWIM4MX8IMRSUA1CG62XKM3" hidden="1">#REF!</definedName>
    <definedName name="BExKLGHH49AYDWDK6NMDQDG9OZ1S" hidden="1">#REF!</definedName>
    <definedName name="BExKQXOQJ1LJ20FX6Y7TCVGEFGRN" hidden="1">#REF!</definedName>
    <definedName name="BExKUO3OAC6GXS5E8H77YTDG1TNE" hidden="1">#REF!</definedName>
    <definedName name="BExMC20EFJ3NPS70N2WK57JSBZJO" hidden="1">#REF!</definedName>
    <definedName name="BExMEPM4H3CEM9FKDCNK4L7RPLIY" hidden="1">#REF!</definedName>
    <definedName name="BExMF1LPXBCFR9B5DUQJX67CY770" hidden="1">#REF!</definedName>
    <definedName name="BExMF3UKNY832KUUVVC55Z657TVM" hidden="1">#REF!</definedName>
    <definedName name="BExMFV4G2WKFSKQMEBNOCG1BU4DX" hidden="1">#REF!</definedName>
    <definedName name="BExMIXEV4TKUJ6IGSJX7YYYJUEN9" hidden="1">#REF!</definedName>
    <definedName name="BExMJ3JYY9C504NQ9S2DTRUK5ZU1" hidden="1">#REF!</definedName>
    <definedName name="BExMN4WS0QNU17OJRWNQE9QL2X2P" hidden="1">#REF!</definedName>
    <definedName name="BExMNU8EBNMBBMACFUT6NKEYQ76T" hidden="1">#REF!</definedName>
    <definedName name="BExMPSD7OKVZ5UJSB60TQWZL41CN" hidden="1">#REF!</definedName>
    <definedName name="BExMPZ9CBIZQV9RFIO4AGNOVYOS5" hidden="1">#REF!</definedName>
    <definedName name="BExMR9ET51OCDPPEJ4L5LSKHG5H3" hidden="1">#REF!</definedName>
    <definedName name="BExMR9K9DME0KRRXFRATYSZOWN31" hidden="1">#REF!</definedName>
    <definedName name="BExMRB7JMQHVST9CP35OM2B2NZEI" hidden="1">#REF!</definedName>
    <definedName name="BExMRC3X7BCNL9AVT3X0QMFDY6XM" hidden="1">#REF!</definedName>
    <definedName name="BExMST5NOZ5FZAECAYE0FFFPNUOE" hidden="1">#REF!</definedName>
    <definedName name="BExO7DROP6MRLCSAHEFXSNT3JT0M" hidden="1">#REF!</definedName>
    <definedName name="BExO7O3U9Z5HA5A38ESC0RZ6PG9F" hidden="1">#REF!</definedName>
    <definedName name="BExO8MKIDJ2O1CWUUGXV518PW32P" hidden="1">#REF!</definedName>
    <definedName name="BExOF2ZM9CK6OKB6AO70LHCIYO3W" hidden="1">#REF!</definedName>
    <definedName name="BExOKW6I5HFJ8DQUWGPW6L36BXGU" hidden="1">#REF!</definedName>
    <definedName name="BExON9W4L9LS02VF014KYPE4N42Q" hidden="1">#REF!</definedName>
    <definedName name="BExOO75TFXPUHHF2W77C7LA2O9O1" hidden="1">#REF!</definedName>
    <definedName name="BExQ5BBSQUHHHCHRY13R2T90JK32" hidden="1">#REF!</definedName>
    <definedName name="BExQ9Y40PM0L2GY7PYHH4ETRC1CH" hidden="1">#REF!</definedName>
    <definedName name="BExQARXHDVBMPHS610S0LV1RH4NO" hidden="1">#REF!</definedName>
    <definedName name="BExQCU3UFN2GMVO543ZQWCJQ3U0Y" hidden="1">#REF!</definedName>
    <definedName name="BExQEJP109073QT4YE59TOR6EAWC" hidden="1">#REF!</definedName>
    <definedName name="BExQGCFFHS1QVUU3RY7WO160WFUB" hidden="1">#REF!</definedName>
    <definedName name="BExQGCQ7YNBBJ539M37GDTBYX0SX" hidden="1">#REF!</definedName>
    <definedName name="BExRYBRJM6L56M835KPD7AMAK0AQ" hidden="1">#REF!</definedName>
    <definedName name="BExS10F45V2WEL1E8JU2KIZ9DRCZ" hidden="1">#REF!</definedName>
    <definedName name="BExS6QBB5MCKPTQME64V5PFRX5A8" hidden="1">#REF!</definedName>
    <definedName name="BExSBCHWUN0MGNHJ2ZKBNY6JFX81" hidden="1">#REF!</definedName>
    <definedName name="BExSBX0XVOA76ZT2A1PNKPO3322L" hidden="1">#REF!</definedName>
    <definedName name="BExSDB2U91GEI58UMTEW23ZEZ8K9" hidden="1">#REF!</definedName>
    <definedName name="BExSEMKVYFVRR81WHTAAK9213JTC" hidden="1">#REF!</definedName>
    <definedName name="BExSF67JEWA4AJ7LR8TNDSQVKUVY" hidden="1">#REF!</definedName>
    <definedName name="BExSGWJRKR5HEOF2QCRM833GKTUT" hidden="1">#REF!</definedName>
    <definedName name="BExU036RHSWR2VHMUQDHZ2SG5SO2" hidden="1">#REF!</definedName>
    <definedName name="BExU14Y8RTX8D32JVR2TU5YLA485" hidden="1">#REF!</definedName>
    <definedName name="BExU1QZD8QZVGRAIT4025YON6Q44" hidden="1">#REF!</definedName>
    <definedName name="BExU24ROS5GK8C2P0R9CGZKS8Z9P" hidden="1">#REF!</definedName>
    <definedName name="BExU2LUKCPO4F7P7LPHDOB4YVF31" hidden="1">#REF!</definedName>
    <definedName name="BExU5V15XN37ZT440JZAICIQI2OH" hidden="1">#REF!</definedName>
    <definedName name="BExU7KX58ALKVE6B2FNC47A6N0GG" hidden="1">#REF!</definedName>
    <definedName name="BExU891LVF2XXANDW7HA2D391K0N" hidden="1">#REF!</definedName>
    <definedName name="BExU9N8TMS3B0OH4L9YCVQ0Y4JZE" hidden="1">#REF!</definedName>
    <definedName name="BExU9V1CJHH8AHDUQIU4YEDLBD8P" hidden="1">#REF!</definedName>
    <definedName name="BExUE82XW551UZ6XC8C6EOZUKO1M" hidden="1">#REF!</definedName>
    <definedName name="BExVRIU581T3KTW9Q0BI1LAQ2D3E" hidden="1">#REF!</definedName>
    <definedName name="BExVYW2NLCPKWNA2SVOJQWHGVO67" hidden="1">#REF!</definedName>
    <definedName name="BExW253QJI7FK045WM389QVBR6FP" hidden="1">#REF!</definedName>
    <definedName name="BExW2QJ45281ICG22KEIC2PMQQ5C" hidden="1">#REF!</definedName>
    <definedName name="BExXM8V22NQXKV0IK4CSSC8RJVFT" hidden="1">#REF!</definedName>
    <definedName name="BExXMZDWJMFRC4MXUPONBAIHVGZM" hidden="1">#REF!</definedName>
    <definedName name="BExXPEG6GJ3MY9SDXK3RPH3EI7FW" hidden="1">#REF!</definedName>
    <definedName name="BExXPXBY53H7JQG6T5TYSERUS1I4" hidden="1">#REF!</definedName>
    <definedName name="BExXQAYS3PB0YQIUU4GYQLTY7CDA" hidden="1">#REF!</definedName>
    <definedName name="BExXSRTTUIP5881CME97EPGILL3V" hidden="1">#REF!</definedName>
    <definedName name="BExXV6QNIULYZ4QS8H135K6YBMGT" hidden="1">#REF!</definedName>
    <definedName name="BExXWC3NJU845ZCF44JGJUHNB9LV" hidden="1">#REF!</definedName>
    <definedName name="BExXZIAD0KGCSBSOU0B12K7W0WI6" hidden="1">#REF!</definedName>
    <definedName name="BExY1DPUN2UL4DIV0EJ0GCANR7ZB" hidden="1">#REF!</definedName>
    <definedName name="BExY2FXGYUUQX6EXYN3TC5JLFW13" hidden="1">#REF!</definedName>
    <definedName name="BExY3UFGF4WM0FL482UNCA00U108" hidden="1">#REF!</definedName>
    <definedName name="BExY57Q8YTA3RTIS2IOJ6AH09TDI" hidden="1">#REF!</definedName>
    <definedName name="BExZL6ORJMEPVLH0FAMKAK7P2VBN" hidden="1">#REF!</definedName>
    <definedName name="BExZRQ92MJIQ9HC5CNX10BPNDTB4" hidden="1">#REF!</definedName>
    <definedName name="BExZSWIEGQMJM7HX0PFOAGLPTYBZ" hidden="1">#REF!</definedName>
    <definedName name="BExZTI8LHXZ58W9B5NTXZH23PBA3" hidden="1">#REF!</definedName>
    <definedName name="BExZXESSDGXDMAV5ML62TCSPVDQ7" hidden="1">#REF!</definedName>
    <definedName name="BG_Del" hidden="1">15</definedName>
    <definedName name="BG_Ins" hidden="1">4</definedName>
    <definedName name="BG_Mod" hidden="1">6</definedName>
    <definedName name="BLPB1" hidden="1">#REF!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s_1" hidden="1">{#N/A,#N/A,FALSE,"BBPREP"}</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IQWBGuid" hidden="1">"06.2023 - K- PPE Work Program Example.xlsx"</definedName>
    <definedName name="CIQWBInfo" hidden="1">"{ ""CIQVersion"":""9.51.3510.3078"" }"</definedName>
    <definedName name="Code" hidden="1">#REF!</definedName>
    <definedName name="Coll" hidden="1">{#N/A,#N/A,FALSE,"970301";#N/A,#N/A,FALSE,"970302";#N/A,#N/A,FALSE,"970303";#N/A,#N/A,FALSE,"970304";#N/A,#N/A,FALSE,"COM1";#N/A,#N/A,FALSE,"COM2"}</definedName>
    <definedName name="copia" hidden="1">{#N/A,#N/A,FALSE,"voz corporativa";#N/A,#N/A,FALSE,"Transmisión de datos";#N/A,#N/A,FALSE,"Videoconferencia";#N/A,#N/A,FALSE,"Correo electrónico";#N/A,#N/A,FALSE,"Correo de voz";#N/A,#N/A,FALSE,"Megafax";#N/A,#N/A,FALSE,"Edi";#N/A,#N/A,FALSE,"Internet";#N/A,#N/A,FALSE,"VSAT";#N/A,#N/A,FALSE,"ing ult. milla"}</definedName>
    <definedName name="CSCGZ" hidden="1">Main.SAPF4Help()</definedName>
    <definedName name="data1" hidden="1">#REF!</definedName>
    <definedName name="data2" hidden="1">#REF!</definedName>
    <definedName name="data3" hidden="1">#REF!</definedName>
    <definedName name="DBS" hidden="1">#REF!</definedName>
    <definedName name="dcca" hidden="1">{#N/A,#N/A,FALSE,"资产负债表";#N/A,#N/A,FALSE,"资产负债表"}</definedName>
    <definedName name="DDDD" hidden="1">{#N/A,#N/A,FALSE,"Virgin Flightdeck"}</definedName>
    <definedName name="DDDDDD" hidden="1">{#N/A,#N/A,FALSE,"Virgin Flightdeck"}</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gdafsg" hidden="1">{#N/A,#N/A,FALSE,"OffAdvance";#N/A,#N/A,FALSE,"OffExpRprt";#N/A,#N/A,FALSE,"Travelling";#N/A,#N/A,FALSE,"Entertmnt";#N/A,#N/A,FALSE,"Promotion"}</definedName>
    <definedName name="df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count" hidden="1">#REF!</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 hidden="1">{"CSC_1",#N/A,FALSE,"CSC Outputs";"CSC_2",#N/A,FALSE,"CSC Outputs"}</definedName>
    <definedName name="dsasafsadf" hidden="1">{"page 1",#N/A,FALSE,"A";"page 2",#N/A,FALSE,"A";"page 3",#N/A,FALSE,"A";"page 4",#N/A,FALSE,"A";"page 5",#N/A,FALSE,"A";"page 6",#N/A,FALSE,"A";"page 7",#N/A,FALSE,"A";"page 8",#N/A,FALSE,"A";"page 9",#N/A,FALSE,"A";"page 10",#N/A,FALSE,"A";"page 11",#N/A,FALSE,"A";"page 12",#N/A,FALSE,"A";"page 13",#N/A,FALSE,"A";"page 14",#N/A,FALSE,"A"}</definedName>
    <definedName name="DSCCD" hidden="1">{#N/A,#N/A,FALSE,"Verify at a Glance";#N/A,#N/A,FALSE,"CARMS VS. STAR";#N/A,#N/A,FALSE,"Intel-US";#N/A,#N/A,FALSE,"Intel-PR";#N/A,#N/A,FALSE,"Intel-MISC-6";#N/A,#N/A,FALSE,"Intel-DPA-7";#N/A,#N/A,FALSE,"Intel-IRE";#N/A,#N/A,FALSE,"Intel-HK";#N/A,#N/A,FALSE,"DAILY INPUT";#N/A,#N/A,FALSE,"P5 HK Cash List"}</definedName>
    <definedName name="dsd是" hidden="1">#REF!</definedName>
    <definedName name="dvbm" hidden="1">{#N/A,#N/A,FALSE,"资产负债表";#N/A,#N/A,FALSE,"资产负债表"}</definedName>
    <definedName name="DWED" hidden="1">#REF!</definedName>
    <definedName name="EDEW" hidden="1">#REF!</definedName>
    <definedName name="edispu" hidden="1">{#N/A,#N/A,FALSE,"Sheet1"}</definedName>
    <definedName name="ehdg" hidden="1">{#N/A,#N/A,FALSE,"Jan"}</definedName>
    <definedName name="eqwrwer" hidden="1">{"Annual_Income",#N/A,FALSE,"Report Page";"Balance_Cash_Flow",#N/A,FALSE,"Report Page";"Quarterly_Income",#N/A,FALSE,"Report Page"}</definedName>
    <definedName name="erf" hidden="1">{#N/A,#N/A,FALSE,"970301";#N/A,#N/A,FALSE,"970302";#N/A,#N/A,FALSE,"970303";#N/A,#N/A,FALSE,"970304";#N/A,#N/A,FALSE,"COM1";#N/A,#N/A,FALSE,"COM2"}</definedName>
    <definedName name="errrr" hidden="1">{"CSC_1",#N/A,FALSE,"CSC Outputs";"CSC_2",#N/A,FALSE,"CSC Outputs"}</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DEFRE" hidden="1">#REF!</definedName>
    <definedName name="FDVV" hidden="1">{#N/A,#N/A,FALSE,"Verify at a Glance";#N/A,#N/A,FALSE,"CARMS VS. STAR";#N/A,#N/A,FALSE,"Intel-US";#N/A,#N/A,FALSE,"Intel-PR";#N/A,#N/A,FALSE,"Intel-MISC-6";#N/A,#N/A,FALSE,"Intel-DPA-7";#N/A,#N/A,FALSE,"Intel-IRE";#N/A,#N/A,FALSE,"Intel-HK";#N/A,#N/A,FALSE,"DAILY INPUT";#N/A,#N/A,FALSE,"P5 HK Cash List"}</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ggh" hidden="1">{#N/A,#N/A,FALSE,"970301";#N/A,#N/A,FALSE,"970302";#N/A,#N/A,FALSE,"970303";#N/A,#N/A,FALSE,"970304";#N/A,#N/A,FALSE,"COM1";#N/A,#N/A,FALSE,"COM2"}</definedName>
    <definedName name="fggh1" hidden="1">{#N/A,#N/A,FALSE,"970301";#N/A,#N/A,FALSE,"970302";#N/A,#N/A,FALSE,"970303";#N/A,#N/A,FALSE,"970304";#N/A,#N/A,FALSE,"COM1";#N/A,#N/A,FALSE,"COM2"}</definedName>
    <definedName name="fvb" hidden="1">{#N/A,#N/A,FALSE,"资产负债表";#N/A,#N/A,FALSE,"资产负债表"}</definedName>
    <definedName name="G9IJGF" hidden="1">{#N/A,#N/A,FALSE,"资产负债表";#N/A,#N/A,FALSE,"资产负债表"}</definedName>
    <definedName name="gggg" hidden="1">{#N/A,#N/A,FALSE,"OffAdvance";#N/A,#N/A,FALSE,"OffExpRprt";#N/A,#N/A,FALSE,"Travelling";#N/A,#N/A,FALSE,"Entertmnt";#N/A,#N/A,FALSE,"Promotion"}</definedName>
    <definedName name="gggg1" hidden="1">{#N/A,#N/A,FALSE,"OffAdvance";#N/A,#N/A,FALSE,"OffExpRprt";#N/A,#N/A,FALSE,"Travelling";#N/A,#N/A,FALSE,"Entertmnt";#N/A,#N/A,FALSE,"Promotion"}</definedName>
    <definedName name="hadiah" hidden="1">{#N/A,#N/A,FALSE,"资产负债表";#N/A,#N/A,FALSE,"资产负债表"}</definedName>
    <definedName name="HdctTrnd" hidden="1">{#N/A,#N/A,TRUE,"CPRD";#N/A,#N/A,TRUE,"BCCPDR";#N/A,#N/A,TRUE,"EWRD";#N/A,#N/A,TRUE,"5100";#N/A,#N/A,TRUE,"5110"}</definedName>
    <definedName name="HiddenRows" hidden="1">#REF!</definedName>
    <definedName name="hod" hidden="1">{#N/A,#N/A,FALSE,"TS";#N/A,#N/A,FALSE,"Combo";#N/A,#N/A,FALSE,"FAIR";#N/A,#N/A,FALSE,"RBC";#N/A,#N/A,FALSE,"xxxx";#N/A,#N/A,FALSE,"A_D";#N/A,#N/A,FALSE,"WACC";#N/A,#N/A,FALSE,"DCF";#N/A,#N/A,FALSE,"LBO";#N/A,#N/A,FALSE,"AcqMults";#N/A,#N/A,FALSE,"CompMults"}</definedName>
    <definedName name="houy" hidden="1">{#N/A,#N/A,FALSE,"AD_Purchase";#N/A,#N/A,FALSE,"Credit";#N/A,#N/A,FALSE,"PF Acquisition";#N/A,#N/A,FALSE,"PF Offering"}</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PathFileMac" hidden="1">"Macintosh HD:HomePageStuff:New_Home_Page:datafile:ctryprem.html"</definedName>
    <definedName name="HTML_Title" hidden="1">"virtexE_j750_wolf_comparison"</definedName>
    <definedName name="hueoa" hidden="1">{#N/A,#N/A,FALSE,"资产负债表";#N/A,#N/A,FALSE,"资产负债表"}</definedName>
    <definedName name="ieji" hidden="1">{#N/A,#N/A,FALSE,"970301";#N/A,#N/A,FALSE,"970302";#N/A,#N/A,FALSE,"970303";#N/A,#N/A,FALSE,"970304";#N/A,#N/A,FALSE,"COM1";#N/A,#N/A,FALSE,"COM2"}</definedName>
    <definedName name="iiiiii" hidden="1">{#N/A,#N/A,FALSE,"PERSONAL";#N/A,#N/A,FALSE,"explotación";#N/A,#N/A,FALSE,"generales"}</definedName>
    <definedName name="inflList" hidden="1">"00000000000000000000000000000000000000000000000000000000000000000000000000000000000000000000000000000000000000000000000000000000000000000000000000000000000000000000000000000000000000000000000000000000"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39036.4994560185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 hidden="1">{#N/A,#N/A,FALSE,"OffAdvance";#N/A,#N/A,FALSE,"OffExpRprt";#N/A,#N/A,FALSE,"Travelling";#N/A,#N/A,FALSE,"Entertmnt";#N/A,#N/A,FALSE,"Promotion"}</definedName>
    <definedName name="kljik" hidden="1">{#N/A,#N/A,FALSE,"OffAdvance";#N/A,#N/A,FALSE,"OffExpRprt";#N/A,#N/A,FALSE,"Entertmnt";#N/A,#N/A,FALSE,"Promotion";#N/A,#N/A,FALSE,"Travelling"}</definedName>
    <definedName name="kmk" hidden="1">{#N/A,#N/A,FALSE,"Marketing";#N/A,#N/A,FALSE,"Selling";#N/A,#N/A,FALSE,"Promotional";#N/A,#N/A,FALSE,"Advertising"}</definedName>
    <definedName name="kuj" hidden="1">{"M6Print",#N/A,FALSE,"M6";"M6_1Print",#N/A,FALSE,"M6_1";"M6_2Print",#N/A,FALSE,"M6_2"}</definedName>
    <definedName name="lbo" hidden="1">{#N/A,#N/A,FALSE,"Summary";#N/A,#N/A,FALSE,"Projections";#N/A,#N/A,FALSE,"Mkt Mults";#N/A,#N/A,FALSE,"DCF";#N/A,#N/A,FALSE,"Accr Dil";#N/A,#N/A,FALSE,"PIC LBO";#N/A,#N/A,FALSE,"MULT10_4";#N/A,#N/A,FALSE,"CBI LBO"}</definedName>
    <definedName name="ListOffset" hidden="1">1</definedName>
    <definedName name="lm" hidden="1">{#N/A,#N/A,FALSE,"970301";#N/A,#N/A,FALSE,"970302";#N/A,#N/A,FALSE,"970303";#N/A,#N/A,FALSE,"970304";#N/A,#N/A,FALSE,"COM1";#N/A,#N/A,FALSE,"COM2"}</definedName>
    <definedName name="lola" hidden="1">{#N/A,#N/A,FALSE,"PERSONAL";#N/A,#N/A,FALSE,"explotación";#N/A,#N/A,FALSE,"generales"}</definedName>
    <definedName name="lolal"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hidden="1">{#N/A,#N/A,FALSE,"voz corporativa";#N/A,#N/A,FALSE,"Transmisión de datos";#N/A,#N/A,FALSE,"Videoconferencia";#N/A,#N/A,FALSE,"Correo electrónico";#N/A,#N/A,FALSE,"Correo de voz";#N/A,#N/A,FALSE,"Megafax";#N/A,#N/A,FALSE,"Edi";#N/A,#N/A,FALSE,"Internet";#N/A,#N/A,FALSE,"VSAT";#N/A,#N/A,FALSE,"ing ult. milla"}</definedName>
    <definedName name="lola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tusGraphChart1" hidden="1">#REF!</definedName>
    <definedName name="lotusgraphchart1b" hidden="1">#REF!</definedName>
    <definedName name="lotusgraphchart1x" hidden="1">#REF!</definedName>
    <definedName name="lu" hidden="1">{"M1sPrint",#N/A,FALSE,"M1s"}</definedName>
    <definedName name="m" hidden="1">{#N/A,#N/A,FALSE,"Virgin Flightdeck"}</definedName>
    <definedName name="n" hidden="1">{"M2Print",#N/A,FALSE,"M2"}</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gn" hidden="1">{"M1Print",#N/A,TRUE,"M1";"M2Print",#N/A,TRUE,"M2";"M1sPrint",#N/A,TRUE,"M1s";"M2aPrint",#N/A,TRUE,"M2a";"M4Print",#N/A,TRUE,"M4";"M5Print",#N/A,TRUE,"M5";"M6Print",#N/A,TRUE,"M6";"M6_1Print",#N/A,TRUE,"M6_1";"M6_2Print",#N/A,TRUE,"M6_2";"M7_1Print",#N/A,TRUE,"M7_1";"M7_2Print",#N/A,TRUE,"M7_2"}</definedName>
    <definedName name="nmm" hidden="1">{#N/A,#N/A,FALSE,"Marketing";#N/A,#N/A,FALSE,"Selling";#N/A,#N/A,FALSE,"Promotional";#N/A,#N/A,FALSE,"Advertising"}</definedName>
    <definedName name="notused" hidden="1">{#N/A,#N/A,TRUE,"CPRD";#N/A,#N/A,TRUE,"BCCPDR";#N/A,#N/A,TRUE,"EWRD";#N/A,#N/A,TRUE,"5100";#N/A,#N/A,TRUE,"5110"}</definedName>
    <definedName name="ooiuy" hidden="1">{#N/A,#N/A,FALSE,"ABB HOLDING LTD"}</definedName>
    <definedName name="OrderTable" hidden="1">#REF!</definedName>
    <definedName name="others" hidden="1">#REF!</definedName>
    <definedName name="Print_CSC_Report_2" hidden="1">{"CSC_1",#N/A,FALSE,"CSC Outputs";"CSC_2",#N/A,FALSE,"CSC Outputs"}</definedName>
    <definedName name="print_CSC_Report_22" hidden="1">{"CSC_1",#N/A,FALSE,"CSC Outputs";"CSC_2",#N/A,FALSE,"CSC Outputs"}</definedName>
    <definedName name="Print_CSC_Report_3" hidden="1">{"CSC_1",#N/A,FALSE,"CSC Outputs";"CSC_2",#N/A,FALSE,"CSC Outputs"}</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eportPage1" hidden="1">{"Annual_Income",#N/A,FALSE,"Report Page";"Balance_Cash_Flow",#N/A,FALSE,"Report Page";"Quarterly_Income",#N/A,FALSE,"Report Page"}</definedName>
    <definedName name="rfsd" hidden="1">{#N/A,#N/A,FALSE,"ABB HOLDING LTD"}</definedName>
    <definedName name="RJE" hidden="1">{"toptrial",#N/A,TRUE,"toptrial";"adjustment",#N/A,TRUE,"toptrial";"voucher",#N/A,TRUE,"toptrial"}</definedName>
    <definedName name="rweqrerqw" hidden="1">{"CSC_1",#N/A,FALSE,"CSC Outputs";"CSC_2",#N/A,FALSE,"CSC Outputs"}</definedName>
    <definedName name="SAPBEXdnldView" hidden="1">"4D4WVRAZFXWLPKS3R52UJB0QG"</definedName>
    <definedName name="SAPBEXrevision" hidden="1">1</definedName>
    <definedName name="SAPBEXsysID" hidden="1">"PE4"</definedName>
    <definedName name="SAPBEXwbID" hidden="1">"3Q4R7W3VD66V3CXTGQHGIRCBE"</definedName>
    <definedName name="SAPFuncF4Help" hidden="1">Main.SAPF4Help()</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HOA" hidden="1">{#N/A,#N/A,FALSE,"Virgin Flightdeck"}</definedName>
    <definedName name="Snow" hidden="1">{#N/A,#N/A,FALSE,"Virgin Flightdeck"}</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2</definedName>
    <definedName name="solver_rel2" hidden="1">2</definedName>
    <definedName name="solver_rhs1" hidden="1">0.09</definedName>
    <definedName name="solver_rhs2" hidden="1">-0.15</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definedName>
    <definedName name="SpecialPrice" hidden="1">#REF!</definedName>
    <definedName name="sssz" hidden="1">{#N/A,#N/A,FALSE,"资产负债表";#N/A,#N/A,FALSE,"资产负债表"}</definedName>
    <definedName name="ste" hidden="1">{#N/A,#N/A,FALSE,"Virgin Flightdeck"}</definedName>
    <definedName name="Summary2" hidden="1">{#N/A,#N/A,FALSE,"FACTSHEETS";#N/A,#N/A,FALSE,"pump";#N/A,#N/A,FALSE,"filter"}</definedName>
    <definedName name="summary3" hidden="1">{#N/A,#N/A,FALSE,"Virgin Flightdeck"}</definedName>
    <definedName name="tbl_ProdInfo" hidden="1">#REF!</definedName>
    <definedName name="terh" hidden="1">{#N/A,#N/A,FALSE,"OffAdvance";#N/A,#N/A,FALSE,"OffExpRprt";#N/A,#N/A,FALSE,"Entertmnt";#N/A,#N/A,FALSE,"Promotion";#N/A,#N/A,FALSE,"Travelling"}</definedName>
    <definedName name="TextRefCopyRangeCount" hidden="1">4</definedName>
    <definedName name="tfhg" hidden="1">{"M1Print",#N/A,FALSE,"M1"}</definedName>
    <definedName name="the" hidden="1">{#N/A,#N/A,FALSE,"Marketing";#N/A,#N/A,FALSE,"Selling";#N/A,#N/A,FALSE,"Promotional";#N/A,#N/A,FALSE,"Advertising"}</definedName>
    <definedName name="treeList" hidden="1">"00000000000000000000000000000000000000000000000000000000000000000000000000000000000000000000000000000000000000000000000000000000000000000000000000000000000000000000000000000000000000000000000000000000"</definedName>
    <definedName name="tta" hidden="1">{#N/A,#N/A,FALSE,"Virgin Flightdeck"}</definedName>
    <definedName name="ufliuf" hidden="1">{#N/A,#N/A,FALSE,"Virgin Flightdeck"}</definedName>
    <definedName name="ulead" hidden="1">{#N/A,#N/A,FALSE,"970301";#N/A,#N/A,FALSE,"970302";#N/A,#N/A,FALSE,"970303";#N/A,#N/A,FALSE,"970304";#N/A,#N/A,FALSE,"COM1";#N/A,#N/A,FALSE,"COM2"}</definedName>
    <definedName name="uuuuuuuu" hidden="1">Main.SAPF4Help()</definedName>
    <definedName name="uygh" hidden="1">{"M6Print",#N/A,FALSE,"M6";"M6_1Print",#N/A,FALSE,"M6_1";"M6_2Print",#N/A,FALSE,"M6_2"}</definedName>
    <definedName name="vhvkb" hidden="1">{#N/A,#N/A,FALSE,"资产负债表";#N/A,#N/A,FALSE,"资产负债表"}</definedName>
    <definedName name="wacc" hidden="1">{#N/A,#N/A,FALSE,"Virgin Flightdeck"}</definedName>
    <definedName name="WACC_new" hidden="1">{#N/A,#N/A,FALSE,"Virgin Flightdeck"}</definedName>
    <definedName name="wacc1" hidden="1">{#N/A,#N/A,FALSE,"voz corporativa";#N/A,#N/A,FALSE,"Transmisión de datos";#N/A,#N/A,FALSE,"Videoconferencia";#N/A,#N/A,FALSE,"Correo electrónico";#N/A,#N/A,FALSE,"Correo de voz";#N/A,#N/A,FALSE,"Megafax";#N/A,#N/A,FALSE,"Edi";#N/A,#N/A,FALSE,"Internet";#N/A,#N/A,FALSE,"VSAT";#N/A,#N/A,FALSE,"ing ult. milla"}</definedName>
    <definedName name="WDEWED" hidden="1">#REF!</definedName>
    <definedName name="weqrerqwe" hidden="1">{"page 1",#N/A,FALSE,"A";"page 2",#N/A,FALSE,"A";"page 3",#N/A,FALSE,"A";"page 4",#N/A,FALSE,"A";"page 5",#N/A,FALSE,"A";"page 6",#N/A,FALSE,"A";"page 7",#N/A,FALSE,"A";"page 8",#N/A,FALSE,"A";"page 9",#N/A,FALSE,"A";"page 10",#N/A,FALSE,"A";"page 11",#N/A,FALSE,"A";"page 12",#N/A,FALSE,"A";"page 13",#N/A,FALSE,"A";"page 14",#N/A,FALSE,"A"}</definedName>
    <definedName name="werwefasd" hidden="1">#REF!</definedName>
    <definedName name="whatisthis" hidden="1">{#N/A,#N/A,FALSE,"Summary";#N/A,#N/A,FALSE,"Projections";#N/A,#N/A,FALSE,"Mkt Mults";#N/A,#N/A,FALSE,"DCF";#N/A,#N/A,FALSE,"Accr Dil";#N/A,#N/A,FALSE,"PIC LBO";#N/A,#N/A,FALSE,"MULT10_4";#N/A,#N/A,FALSE,"CBI LBO"}</definedName>
    <definedName name="whatisthissss" hidden="1">{#N/A,#N/A,FALSE,"IPO";#N/A,#N/A,FALSE,"DCF";#N/A,#N/A,FALSE,"LBO";#N/A,#N/A,FALSE,"MULT_VAL";#N/A,#N/A,FALSE,"Status Quo";#N/A,#N/A,FALSE,"Recap"}</definedName>
    <definedName name="whatisthisssss" hidden="1">{#N/A,#N/A,FALSE,"Summary";#N/A,#N/A,FALSE,"Projections";#N/A,#N/A,FALSE,"Mkt Mults";#N/A,#N/A,FALSE,"DCF";#N/A,#N/A,FALSE,"Accr Dil";#N/A,#N/A,FALSE,"PIC LBO";#N/A,#N/A,FALSE,"MULT10_4";#N/A,#N/A,FALSE,"CBI LBO"}</definedName>
    <definedName name="wq" hidden="1">{#N/A,#N/A,FALSE,"OffAdvance";#N/A,#N/A,FALSE,"OffExpRprt";#N/A,#N/A,FALSE,"Entertmnt";#N/A,#N/A,FALSE,"Promotion";#N/A,#N/A,FALSE,"Travelling"}</definedName>
    <definedName name="wqererwerwq"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eqrq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A." hidden="1">{"Overview",#N/A,TRUE,"Trading Levels";"Overview",#N/A,TRUE,"Overview";"Overview",#N/A,TRUE,"Classic Qwest";"Overview",#N/A,TRUE,"US WEST";"Overview",#N/A,TRUE,"Wireless";"Overview",#N/A,TRUE,"DEX";"Overview",#N/A,TRUE,"Cash Flow";"Overview",#N/A,TRUE,"Debt and Interest";"Overview",#N/A,TRUE,"Coverage";"Overview",#N/A,TRUE,"Wk Cap"}</definedName>
    <definedName name="wrn.A_VALUATION." hidden="1">{#N/A,#N/A,FALSE,"A_D";#N/A,#N/A,FALSE,"WACC";#N/A,#N/A,FALSE,"DCF";#N/A,#N/A,FALSE,"A";#N/A,#N/A,FALSE,"LBO";#N/A,#N/A,FALSE,"C";#N/A,#N/A,FALSE,"impd";#N/A,#N/A,FALSE,"comps"}</definedName>
    <definedName name="wrn.Accr_Dil." hidden="1">{#N/A,#N/A,FALSE,"Debt Accr";#N/A,#N/A,FALSE,"Stock Accr";#N/A,#N/A,FALSE,"Debt Stock Accr"}</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PAGES." hidden="1">{#N/A,#N/A,FALSE,"puboff";#N/A,#N/A,FALSE,"financials";#N/A,#N/A,FALSE,"valuation";#N/A,#N/A,FALSE,"split"}</definedName>
    <definedName name="wrn.ALL._.SHEETS." hidden="1">{#N/A,#N/A,FALSE,"Adj Proj";#N/A,#N/A,FALSE,"Sheet1";#N/A,#N/A,FALSE,"LBO";#N/A,#N/A,FALSE,"LBOMER";#N/A,#N/A,FALSE,"WACC";#N/A,#N/A,FALSE,"DCF";#N/A,#N/A,FALSE,"DCFMER";#N/A,#N/A,FALSE,"Pooling";#N/A,#N/A,FALSE,"income";#N/A,#N/A,FALSE,"Offer"}</definedName>
    <definedName name="wrn.All._.Worksheets."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M._.Scheduleds。1" hidden="1">{"M1Print",#N/A,TRUE,"M1";"M2Print",#N/A,TRUE,"M2";"M1sPrint",#N/A,TRUE,"M1s";"M2aPrint",#N/A,TRUE,"M2a";"M4Print",#N/A,TRUE,"M4";"M5Print",#N/A,TRUE,"M5";"M6Print",#N/A,TRUE,"M6";"M6_1Print",#N/A,TRUE,"M6_1";"M6_2Print",#N/A,TRUE,"M6_2";"M7_1Print",#N/A,TRUE,"M7_1";"M7_2Print",#N/A,TRUE,"M7_2"}</definedName>
    <definedName name="wrn.All_Models." hidden="1">{#N/A,#N/A,FALSE,"Summary";#N/A,#N/A,FALSE,"Projections";#N/A,#N/A,FALSE,"Mkt Mults";#N/A,#N/A,FALSE,"DCF";#N/A,#N/A,FALSE,"Accr Dil";#N/A,#N/A,FALSE,"PIC LBO";#N/A,#N/A,FALSE,"MULT10_4";#N/A,#N/A,FALSE,"CBI LBO"}</definedName>
    <definedName name="wrn.All_Sheets." hidden="1">{#N/A,#N/A,FALSE,"Projections";#N/A,#N/A,FALSE,"Contribution_Stock";#N/A,#N/A,FALSE,"PF_Combo_Stock";#N/A,#N/A,FALSE,"Projections";#N/A,#N/A,FALSE,"Contribution_Cash";#N/A,#N/A,FALSE,"PF_Combo_Cash";#N/A,#N/A,FALSE,"IPO_Cash"}</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hidden="1">{#N/A,#N/A,FALSE,"AD_Purchase";#N/A,#N/A,FALSE,"Credit";#N/A,#N/A,FALSE,"PF Acquisition";#N/A,#N/A,FALSE,"PF Offering"}</definedName>
    <definedName name="wrn.ANALYSIS._.9507." hidden="1">{#N/A,#N/A,FALSE,"ABB HOLDING LTD"}</definedName>
    <definedName name="WRN.ANALYSIS._.9511." hidden="1">{#N/A,#N/A,FALSE,"ABB HOLDING LTD"}</definedName>
    <definedName name="wrn.Anixter." hidden="1">{#N/A,#N/A,FALSE,"Gao Jia Cheng, Jeffery";#N/A,#N/A,FALSE,"Dennis Pak - Feb to Mar 97";#N/A,#N/A,FALSE,"Dennis Pak - Jan 97";#N/A,#N/A,FALSE,"Dennis Pak - Jun to Dec 96"}</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sics." hidden="1">{#N/A,#N/A,FALSE,"TSUM";#N/A,#N/A,FALSE,"shares";#N/A,#N/A,FALSE,"earnout";#N/A,#N/A,FALSE,"Heaty";#N/A,#N/A,FALSE,"self-tend";#N/A,#N/A,FALSE,"self-sum"}</definedName>
    <definedName name="wrn.Board._.Reports." hidden="1">{#N/A,#N/A,FALSE,"M1s Board";#N/A,#N/A,FALSE,"M3 Board";#N/A,#N/A,FALSE,"M6 Board";#N/A,#N/A,FALSE,"M7";#N/A,#N/A,FALSE,"M7B";#N/A,#N/A,FALSE,"M8";#N/A,#N/A,FALSE,"M8A Board";#N/A,#N/A,FALSE,"AF1 Board"}</definedName>
    <definedName name="wrn.budget." hidden="1">{#N/A,#N/A,FALSE,"SummByYr";#N/A,#N/A,FALSE,"DetailByYr";#N/A,#N/A,FALSE,"SummByQtr";#N/A,#N/A,FALSE,"SummByMon";#N/A,#N/A,FALSE,"DetailByQtr";#N/A,#N/A,FALSE,"DetailByMon";#N/A,#N/A,FALSE,"StationYTD";#N/A,#N/A,FALSE,"StationYr";#N/A,#N/A,FALSE,"StationMon";#N/A,#N/A,FALSE,"Actual97";#N/A,#N/A,FALSE,"Actual96";#N/A,#N/A,FALSE,"Actual95";#N/A,#N/A,FALSE,"Actual94"}</definedName>
    <definedName name="wrn.bullshit1." hidden="1">{#N/A,#N/A,FALSE,"Sheet1";#N/A,#N/A,FALSE,"Summary";#N/A,#N/A,FALSE,"proj1";#N/A,#N/A,FALSE,"proj2"}</definedName>
    <definedName name="wrn.contribution." hidden="1">{#N/A,#N/A,FALSE,"Contribution Analysis"}</definedName>
    <definedName name="wrn.Cover." hidden="1">{"coverall",#N/A,FALSE,"Definitions";"cover1",#N/A,FALSE,"Definitions";"cover2",#N/A,FALSE,"Definitions";"cover3",#N/A,FALSE,"Definitions";"cover4",#N/A,FALSE,"Definitions";"cover5",#N/A,FALSE,"Definitions";"blank",#N/A,FALSE,"Definitions"}</definedName>
    <definedName name="wrn.csc." hidden="1">{"orixcsc",#N/A,FALSE,"ORIX CSC";"orixcsc2",#N/A,FALSE,"ORIX CSC"}</definedName>
    <definedName name="wrn.csc2." hidden="1">{#N/A,#N/A,FALSE,"ORIX CSC"}</definedName>
    <definedName name="wrn.Current_External." hidden="1">{"Current_View",#N/A,TRUE,"P&amp;L - External";#N/A,#N/A,TRUE,"Backlog";#N/A,#N/A,TRUE,"Revenue";#N/A,#N/A,TRUE,"Std Margin";#N/A,#N/A,TRUE,"Waterfall - External"}</definedName>
    <definedName name="wrn.Current_Internal." hidden="1">{"Current_View",#N/A,TRUE,"P&amp;L";#N/A,#N/A,TRUE,"Backlog";#N/A,#N/A,TRUE,"Revenue";#N/A,#N/A,TRUE,"Std Margin";#N/A,#N/A,TRUE,"Waterfall"}</definedName>
    <definedName name="wrn.dcf." hidden="1">{"mgmt forecast",#N/A,FALSE,"Mgmt Forecast";"dcf table",#N/A,FALSE,"Mgmt Forecast";"sensitivity",#N/A,FALSE,"Mgmt Forecast";"table inputs",#N/A,FALSE,"Mgmt Forecast";"calculations",#N/A,FALSE,"Mgmt Forecast"}</definedName>
    <definedName name="wrn.Deposit._.By._.Day." hidden="1">{#N/A,#N/A,FALSE,"Deposits by day"}</definedName>
    <definedName name="wrn.Deptartment._.Expenses." hidden="1">{#N/A,#N/A,TRUE,"CPRD";#N/A,#N/A,TRUE,"BCCPDR";#N/A,#N/A,TRUE,"EWRD";#N/A,#N/A,TRUE,"5100";#N/A,#N/A,TRUE,"5110"}</definedName>
    <definedName name="wrn.Detail._.income._.and._.expense." hidden="1">{#N/A,#N/A,TRUE,"Assumptions";#N/A,#N/A,TRUE,"Revenue &amp; Direct Expense";#N/A,#N/A,TRUE,"Indirect Expense"}</definedName>
    <definedName name="wrn.dir." hidden="1">{#N/A,#N/A,FALSE,"Dir. Marketing_Summary";#N/A,#N/A,FALSE,"Infolink";#N/A,#N/A,FALSE,"Direct";#N/A,#N/A,FALSE,"Med_Marketing";#N/A,#N/A,FALSE,"Dimac_1";#N/A,#N/A,FALSE,"Dimac_2";#N/A,#N/A,FALSE,"Vantage";#N/A,#N/A,FALSE,"Tomahawk";#N/A,#N/A,FALSE,"BofA";#N/A,#N/A,FALSE,"Epsilon";#N/A,#N/A,FALSE,"Epsil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RNST." hidden="1">{#N/A,#N/A,FALSE,"YTCHAN";#N/A,#N/A,FALSE,"TOMMY";#N/A,#N/A,FALSE,"REP.OFFICE";#N/A,#N/A,FALSE,"E&amp;Y_CONSULTANT";#N/A,#N/A,FALSE,"BT &amp; CIT"}</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ternal." hidden="1">{"External_Annual_Income",#N/A,FALSE,"External";"External_Quarterly_Income",#N/A,FALSE,"External"}</definedName>
    <definedName name="wrn.external.2" hidden="1">{"External_Annual_Income",#N/A,FALSE,"External";"External_Quarterly_Income",#N/A,FALSE,"External"}</definedName>
    <definedName name="wrn.Filter." hidden="1">{#N/A,#N/A,FALSE,"Assump2";#N/A,#N/A,FALSE,"Income2";#N/A,#N/A,FALSE,"Balance2";#N/A,#N/A,FALSE,"DCF Filter";#N/A,#N/A,FALSE,"Trans Assump2";#N/A,#N/A,FALSE,"Combined Income2";#N/A,#N/A,FALSE,"Combined Balance2"}</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s." hidden="1">{"Overview",#N/A,FALSE,"Overview";"Overview",#N/A,FALSE,"Classic Qwest"}</definedName>
    <definedName name="wrn.first2." hidden="1">{#N/A,#N/A,FALSE,"sum-don";#N/A,#N/A,FALSE,"inc-don"}</definedName>
    <definedName name="wrn.first3." hidden="1">{#N/A,#N/A,FALSE,"Summary";#N/A,#N/A,FALSE,"proj1";#N/A,#N/A,FALSE,"proj2"}</definedName>
    <definedName name="wrn.first4." hidden="1">{#N/A,#N/A,FALSE,"Summary";#N/A,#N/A,FALSE,"proj1";#N/A,#N/A,FALSE,"proj2";#N/A,#N/A,FALSE,"DCF"}</definedName>
    <definedName name="wrn.form." hidden="1">{#N/A,#N/A,FALSE,"OffAdvance";#N/A,#N/A,FALSE,"OffExpRprt";#N/A,#N/A,FALSE,"Entertmnt";#N/A,#N/A,FALSE,"Promotion";#N/A,#N/A,FALSE,"Travelling"}</definedName>
    <definedName name="wrn.fy00_Q1Q2." hidden="1">{#N/A,#N/A,FALSE,"Sheet1"}</definedName>
    <definedName name="wrn.gastos." hidden="1">{#N/A,#N/A,FALSE,"PERSONAL";#N/A,#N/A,FALSE,"explotación";#N/A,#N/A,FALSE,"generales"}</definedName>
    <definedName name="wrn.gb." hidden="1">{#N/A,#N/A,FALSE,"资产负债表";#N/A,#N/A,FALSE,"资产负债表"}</definedName>
    <definedName name="wrn.HEAT." hidden="1">{#N/A,#N/A,FALSE,"Heat";#N/A,#N/A,FALSE,"DCF";#N/A,#N/A,FALSE,"LBO";#N/A,#N/A,FALSE,"A";#N/A,#N/A,FALSE,"C";#N/A,#N/A,FALSE,"impd";#N/A,#N/A,FALSE,"Accr-Dilu"}</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hidden="1">{#N/A,#N/A,FALSE,"HuscoCombined-Summ";#N/A,#N/A,FALSE,"HuscoCombined-Income";#N/A,#N/A,FALSE,"HuscoCombined-Offering";#N/A,#N/A,FALSE,"Husco-Income";#N/A,#N/A,FALSE,"TargetEngineer";#N/A,#N/A,FALSE,"TargetAcqCalc";#N/A,#N/A,FALSE,"Husco-Acq"}</definedName>
    <definedName name="wrn.Income._.Statement." hidden="1">{#N/A,#N/A,FALSE,"Report Print"}</definedName>
    <definedName name="wrn.ingreso." hidden="1">{#N/A,#N/A,FALSE,"voz corporativa";#N/A,#N/A,FALSE,"Transmisión de datos";#N/A,#N/A,FALSE,"Videoconferencia";#N/A,#N/A,FALSE,"Correo electrónico";#N/A,#N/A,FALSE,"Correo de voz";#N/A,#N/A,FALSE,"Megafax";#N/A,#N/A,FALSE,"Edi";#N/A,#N/A,FALSE,"Internet";#N/A,#N/A,FALSE,"VSAT";#N/A,#N/A,FALSE,"ing ult. milla"}</definedName>
    <definedName name="wrn.ingresos." hidden="1">{#N/A,#N/A,FALSE,"voz corporativa";#N/A,#N/A,FALSE,"Transmisión de datos";#N/A,#N/A,FALSE,"Videoconferencia";#N/A,#N/A,FALSE,"Correo electrónico";#N/A,#N/A,FALSE,"Correo de voz";#N/A,#N/A,FALSE,"Megafax";#N/A,#N/A,FALSE,"Edi";#N/A,#N/A,FALSE,"Internet";#N/A,#N/A,FALSE,"VSAT";#N/A,#N/A,FALSE,"ing ult. milla"}</definedName>
    <definedName name="wrn.Input._.Data." hidden="1">{"Input_Fin",#N/A,FALSE,"By Code";"Input_Opt",#N/A,FALSE,"By Code"}</definedName>
    <definedName name="wrn.Inputs._.and._.detail._.calculations." hidden="1">{#N/A,#N/A,TRUE,"Revenue &amp; Direct Expense";#N/A,#N/A,TRUE,"Indirect Expense";#N/A,#N/A,TRUE,"Assumptions";#N/A,#N/A,TRUE,"Headcount Inputs";#N/A,#N/A,TRUE,"Markets";#N/A,#N/A,TRUE,"Colocation";#N/A,#N/A,TRUE,"Demographics";#N/A,#N/A,TRUE,"ILEC Rates"}</definedName>
    <definedName name="wrn.inventory._.aging." hidden="1">{#N/A,#N/A,FALSE,"PLEDGE";#N/A,#N/A,FALSE,"GLADE";#N/A,#N/A,FALSE,"GREEN BIRD";#N/A,#N/A,FALSE,"MR. MUSCLE";#N/A,#N/A,FALSE,"TOILET DUCK";#N/A,#N/A,FALSE,"Other Home Care";#N/A,#N/A,FALSE,"RED BIRD";#N/A,#N/A,FALSE,"SHANGHAI";#N/A,#N/A,FALSE,"RAID";#N/A,#N/A,FALSE,"OFF";#N/A,#N/A,FALSE,"SEAGULL";#N/A,#N/A,FALSE,"HALSA";#N/A,#N/A,FALSE,"SOFT SENSE";#N/A,#N/A,FALSE,"TOTAL"}</definedName>
    <definedName name="wrn.IPIX." hidden="1">{#N/A,#N/A,FALSE,"Report Print"}</definedName>
    <definedName name="wrn.IPO._.Valuation." hidden="1">{"assumptions",#N/A,FALSE,"Scenario 1";"valuation",#N/A,FALSE,"Scenario 1"}</definedName>
    <definedName name="wrn.ipovalue." hidden="1">{#N/A,#N/A,FALSE,"puboff";#N/A,#N/A,FALSE,"valuation";#N/A,#N/A,FALSE,"finanalsis";#N/A,#N/A,FALSE,"split";#N/A,#N/A,FALSE,"ownership"}</definedName>
    <definedName name="wrn.ISCG._.model." hidden="1">{#N/A,#N/A,FALSE,"Second";#N/A,#N/A,FALSE,"ownership";#N/A,#N/A,FALSE,"Valuation";#N/A,#N/A,FALSE,"Eqiv";#N/A,#N/A,FALSE,"Mults";#N/A,#N/A,FALSE,"ISCG Graphics"}</definedName>
    <definedName name="wrn.jan." hidden="1">{#N/A,#N/A,FALSE,"Jan"}</definedName>
    <definedName name="wrn.LBO._.Summary." hidden="1">{"LBO Summary",#N/A,FALSE,"Summary"}</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aine." hidden="1">{"Assumptions",#N/A,TRUE,"Assumptions";"Income",#N/A,TRUE,"Income";"Balance",#N/A,TRUE,"Balance"}</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ster_Income." hidden="1">{"Annual_Income",#N/A,FALSE,"Master Model";"Quarterly_Income",#N/A,FALSE,"Master Model"}</definedName>
    <definedName name="wrn.merge." hidden="1">{#N/A,#N/A,FALSE,"IPO";#N/A,#N/A,FALSE,"DCF";#N/A,#N/A,FALSE,"LBO";#N/A,#N/A,FALSE,"MULT_VAL";#N/A,#N/A,FALSE,"Status Quo";#N/A,#N/A,FALSE,"Recap"}</definedName>
    <definedName name="wrn.MONTH._.END._.SPREADS." hidden="1">{#N/A,#N/A,FALSE,"Verify at a Glance";#N/A,#N/A,FALSE,"CARMS VS. STAR";#N/A,#N/A,FALSE,"Intel-US";#N/A,#N/A,FALSE,"Intel-PR";#N/A,#N/A,FALSE,"Intel-MISC-6";#N/A,#N/A,FALSE,"Intel-DPA-7";#N/A,#N/A,FALSE,"Intel-IRE";#N/A,#N/A,FALSE,"Intel-HK";#N/A,#N/A,FALSE,"DAILY INPUT";#N/A,#N/A,FALSE,"P5 HK Cash List"}</definedName>
    <definedName name="wrn.MONTHLY._.REVENUE._.REPORT." hidden="1">{#N/A,#N/A,FALSE,"REV RPT";#N/A,#N/A,FALSE,"AFF COMP";#N/A,#N/A,FALSE,"REP COMM";#N/A,#N/A,FALSE,"REVBYADV";#N/A,#N/A,FALSE,"DAYPART";#N/A,#N/A,FALSE,"FLASH"}</definedName>
    <definedName name="wrn.monthly._.review." hidden="1">{#N/A,#N/A,FALSE,"SUMMARY";#N/A,#N/A,FALSE,"MTD";#N/A,#N/A,FALSE,"YTD";#N/A,#N/A,FALSE,"Forecast"}</definedName>
    <definedName name="wrn.monthly._.to._.issue." hidden="1">{#N/A,#N/A,FALSE,"SUMMARY";#N/A,#N/A,FALSE,"MTD";#N/A,#N/A,FALSE,"YTD";#N/A,#N/A,FALSE,"Forecast";#N/A,#N/A,FALSE,"Debt Structure";#N/A,#N/A,FALSE,"RATINGS"}</definedName>
    <definedName name="wrn.newest." hidden="1">{#N/A,#N/A,TRUE,"TS";#N/A,#N/A,TRUE,"Combo";#N/A,#N/A,TRUE,"FAIR";#N/A,#N/A,TRUE,"RBC";#N/A,#N/A,TRUE,"xxxx"}</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E_External." hidden="1">{"PE_View",#N/A,TRUE,"P&amp;L - External";#N/A,#N/A,TRUE,"Backlog";#N/A,#N/A,TRUE,"Revenue";#N/A,#N/A,TRUE,"Std Margin";#N/A,#N/A,TRUE,"Waterfall - External"}</definedName>
    <definedName name="wrn.PE_Internal." hidden="1">{"PE_View",#N/A,TRUE,"P&amp;L";#N/A,#N/A,TRUE,"Backlog";#N/A,#N/A,TRUE,"Revenue";#N/A,#N/A,TRUE,"Std Margin";#N/A,#N/A,TRUE,"Waterfall"}</definedName>
    <definedName name="wrn.PE2_External." hidden="1">{"PE_View",#N/A,TRUE,"P&amp;L - External";#N/A,#N/A,TRUE,"Backlog";#N/A,#N/A,TRUE,"Revenue";#N/A,#N/A,TRUE,"Std Margin";#N/A,#N/A,TRUE,"Waterfall - External"}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standalone." hidden="1">{"standalone1",#N/A,FALSE,"DCFBase";"standalone2",#N/A,FALSE,"DCFBase"}</definedName>
    <definedName name="wrn.Print_CSC." hidden="1">{"CSC_1",#N/A,FALSE,"CSC Outputs";"CSC_2",#N/A,FALSE,"CSC Outputs"}</definedName>
    <definedName name="wrn.print_csc.2" hidden="1">{"CSC_1",#N/A,FALSE,"CSC Outputs";"CSC_2",#N/A,FALSE,"CSC Outputs"}</definedName>
    <definedName name="wrn.Print_CSC2" hidden="1">{"CSC_1",#N/A,FALSE,"CSC Outputs";"CSC_2",#N/A,FALSE,"CSC Outputs"}</definedName>
    <definedName name="wrn.printall." hidden="1">{"projections1",#N/A,FALSE,"projections";"dcf2",#N/A,FALSE,"dcf";"dcf no profit sharing",#N/A,FALSE,"dcf no profit sharing";"avp1",#N/A,FALSE,"avp"}</definedName>
    <definedName name="wrn.Pump." hidden="1">{#N/A,#N/A,FALSE,"Assump";#N/A,#N/A,FALSE,"Income";#N/A,#N/A,FALSE,"Balance";#N/A,#N/A,FALSE,"DCF Pump";#N/A,#N/A,FALSE,"Trans Assump";#N/A,#N/A,FALSE,"Combined Income";#N/A,#N/A,FALSE,"Combined Balance"}</definedName>
    <definedName name="wrn.qtr._.review." hidden="1">{#N/A,#N/A,FALSE,"SUMMARY";#N/A,#N/A,FALSE,"MTD";#N/A,#N/A,FALSE,"QTD";#N/A,#N/A,FALSE,"YTD"}</definedName>
    <definedName name="wrn.qtr._.to._.issue." hidden="1">{#N/A,#N/A,FALSE,"SUMMARY";#N/A,#N/A,FALSE,"MTD";#N/A,#N/A,FALSE,"QTD";#N/A,#N/A,FALSE,"YTD";#N/A,#N/A,FALSE,"Combined";#N/A,#N/A,FALSE,"Forecast";#N/A,#N/A,FALSE,"Debt Structure";#N/A,#N/A,FALSE,"RATINGS";#N/A,#N/A,FALSE,"HEADCOUNT"}</definedName>
    <definedName name="wrn.Radio." hidden="1">{#N/A,#N/A,FALSE,"Virgin Flightdeck"}</definedName>
    <definedName name="wrn.RELEVANTSHEETS." hidden="1">{#N/A,#N/A,FALSE,"AD_Purch";#N/A,#N/A,FALSE,"Projections";#N/A,#N/A,FALSE,"DCF";#N/A,#N/A,FALSE,"Mkt Val"}</definedName>
    <definedName name="wrn.rep_page." hidden="1">{"Annual_Income",#N/A,FALSE,"Report Page";"Balance_Cash_Flow",#N/A,FALSE,"Report Page";"Quarterly_Income",#N/A,FALSE,"Report Page"}</definedName>
    <definedName name="wrn.report." hidden="1">{#N/A,#N/A,FALSE,"Temp Staf_Summary";#N/A,#N/A,FALSE,"ATC Services";#N/A,#N/A,FALSE,"Brannon &amp; Tully";#N/A,#N/A,FALSE,"Debbie";#N/A,#N/A,FALSE,"Alternative";#N/A,#N/A,FALSE,"Mid-States";#N/A,#N/A,FALSE,"United Temp."}</definedName>
    <definedName name="wrn.Report_Page." hidden="1">{"Annual_Income",#N/A,FALSE,"Report Page";"Balance_Cash_Flow",#N/A,FALSE,"Report Page";"Quarterly_Income",#N/A,FALSE,"Report Page"}</definedName>
    <definedName name="wrn.Sales." hidden="1">{#N/A,#N/A,FALSE,"Marketing";#N/A,#N/A,FALSE,"Selling";#N/A,#N/A,FALSE,"Promotional";#N/A,#N/A,FALSE,"Advertising"}</definedName>
    <definedName name="wrn.Schedule._.A." hidden="1">{#N/A,#N/A,FALSE,"ALLOFFSUM-A1"}</definedName>
    <definedName name="wrn.SKSCS1." hidden="1">{#N/A,#N/A,FALSE,"Antony Financials";#N/A,#N/A,FALSE,"Cowboy Financials";#N/A,#N/A,FALSE,"Combined";#N/A,#N/A,FALSE,"Valuematrix";#N/A,#N/A,FALSE,"DCFAntony";#N/A,#N/A,FALSE,"DCFCowboy";#N/A,#N/A,FALSE,"DCFCombined"}</definedName>
    <definedName name="wrn.smithtj." hidden="1">{#N/A,#N/A,FALSE,"LIN CALVIN";#N/A,#N/A,FALSE,"KOO JOYCE";#N/A,#N/A,FALSE,"MAK PAUL";#N/A,#N/A,FALSE,"LAM BING";#N/A,#N/A,FALSE,"WU JOHN";#N/A,#N/A,FALSE,"DR SEET LIP CHAI";#N/A,#N/A,FALSE,"ZUDNECK ZENON";#N/A,#N/A,FALSE,"MENG JANE";#N/A,#N/A,FALSE,"T C CHENG";#N/A,#N/A,FALSE,"MARCHALL MA"}</definedName>
    <definedName name="wrn.Standard." hidden="1">{"Financials",#N/A,FALSE,"Financials";"AVP",#N/A,FALSE,"AVP";"DCF",#N/A,FALSE,"DCF";"CSC",#N/A,FALSE,"CSC";"Deal_Comp",#N/A,FALSE,"DealComp"}</definedName>
    <definedName name="wrn.Summary._.Report._.by._.Month." hidden="1">{#N/A,#N/A,TRUE,"Cover Page";#N/A,#N/A,TRUE,"Summary Stats Month";#N/A,#N/A,TRUE,"Balance Sheet Month";#N/A,#N/A,TRUE,"Cash Flow Month";#N/A,#N/A,TRUE,"Income Statement Month";#N/A,#N/A,TRUE,"CAPEX Month";#N/A,#N/A,TRUE,"Headcount Summary Month";#N/A,#N/A,TRUE,"Assumptions"}</definedName>
    <definedName name="wrn.Summary._.Report._.by._.Year." hidden="1">{#N/A,#N/A,TRUE,"Cover Page";#N/A,#N/A,TRUE,"Summary Stats Annual";#N/A,#N/A,TRUE,"Balance Sheet Annual";#N/A,#N/A,TRUE,"Cash Flow Annual";#N/A,#N/A,TRUE,"Income Statement Annual";#N/A,#N/A,TRUE,"CAPEX Annual";#N/A,#N/A,TRUE,"Assumptions"}</definedName>
    <definedName name="wrn.SummaryPgs." hidden="1">{#N/A,#N/A,FALSE,"CreditStat";#N/A,#N/A,FALSE,"SPbrkup";#N/A,#N/A,FALSE,"MerSPsyn";#N/A,#N/A,FALSE,"MerSPwKCsyn";#N/A,#N/A,FALSE,"MerSPwKCsyn (2)";#N/A,#N/A,FALSE,"CreditStat (2)"}</definedName>
    <definedName name="wrn.sunmicro." hidden="1">{#N/A,#N/A,FALSE,"FREEMAN";#N/A,#N/A,FALSE,"STEPHEN";#N/A,#N/A,FALSE,"VICTOR"}</definedName>
    <definedName name="wrn.tel2." hidden="1">{#N/A,#N/A,FALSE,"FS_Summary";#N/A,#N/A,FALSE,"Tel_Summary";#N/A,#N/A,FALSE,"Tomahawk";#N/A,#N/A,FALSE,"Medical Marketing";#N/A,#N/A,FALSE,"DIMAC";#N/A,#N/A,FALSE,"Epsilon";#N/A,#N/A,FALSE,"Direct";#N/A,#N/A,FALSE,"DIMAC(2)"}</definedName>
    <definedName name="wrn.telem." hidden="1">{#N/A,#N/A,FALSE,"FS_Summary";#N/A,#N/A,FALSE,"Tomahawk";#N/A,#N/A,FALSE,"Medical Marketing";#N/A,#N/A,FALSE,"Epsilon";#N/A,#N/A,FALSE,"DIMAC";#N/A,#N/A,FALSE,"Direct";#N/A,#N/A,FALSE,"DIMAC(2)"}</definedName>
    <definedName name="wrn.test." hidden="1">{"test2",#N/A,TRUE,"Prices"}</definedName>
    <definedName name="wrn.TODO."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e" hidden="1">{"toptrial",#N/A,TRUE,"toptrial";"adjustment",#N/A,TRUE,"toptrial";"voucher",#N/A,TRUE,"toptrial"}</definedName>
    <definedName name="wrn.toptrial." hidden="1">{"toptrial",#N/A,TRUE,"toptrial";"adjustment",#N/A,TRUE,"toptrial";"voucher",#N/A,TRUE,"toptrial"}</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ransPrcd_123." hidden="1">{#N/A,#N/A,TRUE,"TransPrcd 1";#N/A,#N/A,TRUE,"TransPrcd 2";#N/A,#N/A,TRUE,"TransPrcd 3"}</definedName>
    <definedName name="wrn.Tweety." hidden="1">{#N/A,#N/A,FALSE,"A&amp;E";#N/A,#N/A,FALSE,"HighTop";#N/A,#N/A,FALSE,"JG";#N/A,#N/A,FALSE,"RI";#N/A,#N/A,FALSE,"woHT";#N/A,#N/A,FALSE,"woHT&amp;JG"}</definedName>
    <definedName name="wrn.Upper._.Case."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VALUATION." hidden="1">{#N/A,#N/A,FALSE,"Pooling";#N/A,#N/A,FALSE,"income";#N/A,#N/A,FALSE,"valuation"}</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oucher9703." hidden="1">{#N/A,#N/A,FALSE,"970301";#N/A,#N/A,FALSE,"970302";#N/A,#N/A,FALSE,"970303";#N/A,#N/A,FALSE,"970304";#N/A,#N/A,FALSE,"COM1";#N/A,#N/A,FALSE,"COM2"}</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hidden="1">{#N/A,#N/A,FALSE,"FACTSHEETS";#N/A,#N/A,FALSE,"pump";#N/A,#N/A,FALSE,"filter"}</definedName>
    <definedName name="wrn.ytd." hidden="1">{#N/A,#N/A,FALSE,"YTD"}</definedName>
    <definedName name="wrn.채권채무조회서." hidden="1">{#N/A,#N/A,FALSE,"채권채무";#N/A,#N/A,FALSE,"control sheet"}</definedName>
    <definedName name="wrn100.gb" hidden="1">{#N/A,#N/A,FALSE,"资产负债表";#N/A,#N/A,FALSE,"资产负债表"}</definedName>
    <definedName name="wrnn" hidden="1">{#N/A,#N/A,FALSE,"PERSONAL";#N/A,#N/A,FALSE,"explotación";#N/A,#N/A,FALSE,"generales"}</definedName>
    <definedName name="wrnn.all." hidden="1">{#N/A,#N/A,FALSE,"SUM";#N/A,#N/A,FALSE,"SK_TOT";#N/A,#N/A,FALSE,"YM";#N/A,#N/A,FALSE,"TSMC";#N/A,#N/A,FALSE,"ICW";#N/A,#N/A,FALSE,"Sheet1"}</definedName>
    <definedName name="wro.fy00_Q1Q2." hidden="1">{#N/A,#N/A,FALSE,"Sheet1"}</definedName>
    <definedName name="wtr" hidden="1">{#N/A,#N/A,FALSE,"资产负债表";#N/A,#N/A,FALSE,"资产负债表"}</definedName>
    <definedName name="wvu.Curr_View."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P01_View."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 hidden="1">#REF!</definedName>
    <definedName name="XRefCopy16Row" hidden="1">#REF!</definedName>
    <definedName name="XRefCopy17"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5"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 hidden="1">{#N/A,#N/A,FALSE,"Virgin Flightdeck"}</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yy" hidden="1">{#N/A,#N/A,FALSE,"ABB HOLDING LTD"}</definedName>
    <definedName name="Z_0C0235C9_3F84_11D5_81CA_0004ACE54E1F_.wvu.FilterData" hidden="1">#REF!</definedName>
    <definedName name="Z_0C0235C9_3F84_11D5_81CA_0004ACE54E1F_.wvu.PrintArea" hidden="1">#REF!</definedName>
    <definedName name="Z_0C0235C9_3F84_11D5_81CA_0004ACE54E1F_.wvu.PrintTitles" hidden="1">#REF!</definedName>
    <definedName name="Z_0C0235C9_3F84_11D5_81CA_0004ACE54E1F_.wvu.Rows" hidden="1">#REF!,#REF!,#REF!,#REF!,#REF!</definedName>
    <definedName name="Z_149AC9E3_10D6_11D2_BD3F_0060945C7103_.wvu.FilterData" hidden="1">#REF!</definedName>
    <definedName name="Z_1711050D_B2D8_42FB_A40D_E4BD90297684_.wvu.Cols" hidden="1">#REF!,#REF!,#REF!,#REF!,#REF!</definedName>
    <definedName name="Z_39BC5E81_0594_11D1_8C74_006097B34275_.wvu.FilterData" hidden="1">#REF!</definedName>
    <definedName name="Z_39BC5E82_0594_11D1_8C74_006097B34275_.wvu.FilterData" hidden="1">#REF!</definedName>
    <definedName name="Z_4B5573A2_25FD_11D1_8C74_006097B34275_.wvu.FilterData" hidden="1">#REF!</definedName>
    <definedName name="Z_4B5573A3_25FD_11D1_8C74_006097B34275_.wvu.FilterData" hidden="1">#REF!</definedName>
    <definedName name="Z_4C289101_0FD6_11D1_A510_006097B38048_.wvu.FilterData" hidden="1">#REF!</definedName>
    <definedName name="Z_4C854AA2_3991_11D1_8C74_006097B34275_.wvu.FilterData" hidden="1">#REF!</definedName>
    <definedName name="Z_4E9FC601_CB8F_11D0_8C74_006097B34275_.wvu.FilterData" hidden="1">#REF!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6E0ADC42_F22D_11D0_8C74_006097B34275_.wvu.FilterData" hidden="1">#REF!</definedName>
    <definedName name="Z_7E0A45E1_0993_11D1_8C74_006097B34275_.wvu.FilterData" hidden="1">#REF!</definedName>
    <definedName name="Z_82212322_246D_11D1_8C74_006097B34275_.wvu.FilterData" hidden="1">#REF!</definedName>
    <definedName name="Z_B8175DE2_E97C_11D0_8C74_006097B34275_.wvu.FilterData" hidden="1">#REF!</definedName>
    <definedName name="Z_CB0E8320_907C_11D8_8F9A_003018607B51_.wvu.Cols" hidden="1">#REF!</definedName>
    <definedName name="Z_DCA8D884_2605_11D1_A510_006097B38048_.wvu.FilterData" hidden="1">#REF!</definedName>
    <definedName name="Z_E2699901_D040_11D0_A510_006097B38048_.wvu.FilterData" hidden="1">#REF!</definedName>
    <definedName name="Z_E3C7B981_6570_11D9_9364_000D600563D5_.wvu.PrintArea" hidden="1">#REF!</definedName>
    <definedName name="Z_E3C7B981_6570_11D9_9364_000D600563D5_.wvu.PrintTitle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xc" hidden="1">{#N/A,#N/A,FALSE,"OffAdvance";#N/A,#N/A,FALSE,"OffExpRprt";#N/A,#N/A,FALSE,"Travelling";#N/A,#N/A,FALSE,"Entertmnt";#N/A,#N/A,FALSE,"Promotion"}</definedName>
    <definedName name="ZZZZZZZZZZZZZ" hidden="1">#REF!</definedName>
    <definedName name="啊" hidden="1">{#N/A,#N/A,FALSE,"970301";#N/A,#N/A,FALSE,"970302";#N/A,#N/A,FALSE,"970303";#N/A,#N/A,FALSE,"970304";#N/A,#N/A,FALSE,"COM1";#N/A,#N/A,FALSE,"COM2"}</definedName>
    <definedName name="把" hidden="1">{#N/A,#N/A,FALSE,"Virgin Flightdeck"}</definedName>
    <definedName name="备用" hidden="1">{#N/A,#N/A,FALSE,"OffAdvance";#N/A,#N/A,FALSE,"OffExpRprt";#N/A,#N/A,FALSE,"Entertmnt";#N/A,#N/A,FALSE,"Promotion";#N/A,#N/A,FALSE,"Travelling"}</definedName>
    <definedName name="本循环科目" hidden="1">#REF!</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최재호"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43" i="235" l="1"/>
  <c r="N31" i="235"/>
  <c r="N32" i="235"/>
  <c r="N33" i="235"/>
  <c r="N34" i="235"/>
  <c r="N35" i="235"/>
  <c r="N36" i="235"/>
  <c r="N37" i="235"/>
  <c r="N38" i="235"/>
  <c r="N39" i="235"/>
  <c r="N40" i="235"/>
  <c r="N30" i="235"/>
  <c r="P31" i="235"/>
  <c r="P32" i="235"/>
  <c r="P33" i="235"/>
  <c r="P34" i="235"/>
  <c r="P35" i="235"/>
  <c r="P36" i="235"/>
  <c r="P37" i="235"/>
  <c r="P38" i="235"/>
  <c r="P39" i="235"/>
  <c r="P40" i="235"/>
  <c r="P30" i="235"/>
  <c r="C22" i="235"/>
  <c r="C18" i="235" l="1" a="1"/>
  <c r="C18" i="235" s="1"/>
  <c r="D18" i="235" l="1"/>
  <c r="C54" i="235"/>
  <c r="D64" i="235"/>
  <c r="Q30" i="235"/>
  <c r="Q31" i="235"/>
  <c r="Q32" i="235"/>
  <c r="Q33" i="235"/>
  <c r="Q34" i="235"/>
  <c r="Q35" i="235"/>
  <c r="Q36" i="235"/>
  <c r="Q37" i="235"/>
  <c r="Q38" i="235"/>
  <c r="Q39" i="235"/>
  <c r="Q40" i="235"/>
  <c r="O30" i="235"/>
  <c r="I41" i="235"/>
  <c r="R30" i="235" l="1"/>
  <c r="T30" i="235" s="1"/>
  <c r="R41" i="235" l="1"/>
  <c r="O31" i="235"/>
  <c r="O32" i="235"/>
  <c r="O33" i="235"/>
  <c r="O34" i="235"/>
  <c r="O35" i="235"/>
  <c r="O36" i="235"/>
  <c r="O37" i="235"/>
  <c r="O38" i="235"/>
  <c r="O39" i="235"/>
  <c r="O40" i="235"/>
  <c r="S41" i="235" l="1"/>
  <c r="R31" i="235" l="1"/>
  <c r="R32" i="235"/>
  <c r="R33" i="235"/>
  <c r="R34" i="235"/>
  <c r="R35" i="235"/>
  <c r="R36" i="235"/>
  <c r="R37" i="235"/>
  <c r="R38" i="235"/>
  <c r="R39" i="235"/>
  <c r="R40" i="235"/>
  <c r="T40" i="235" l="1"/>
  <c r="T31" i="235"/>
  <c r="T44" i="235" l="1"/>
  <c r="H41" i="235"/>
  <c r="G41" i="235"/>
  <c r="F41" i="235"/>
  <c r="E41" i="235"/>
  <c r="T38" i="235"/>
  <c r="T32" i="235"/>
  <c r="U34" i="235" l="1"/>
  <c r="U33" i="235"/>
  <c r="U31" i="235"/>
  <c r="V31" i="235" s="1"/>
  <c r="U39" i="235"/>
  <c r="U40" i="235"/>
  <c r="V40" i="235" s="1"/>
  <c r="U32" i="235"/>
  <c r="V32" i="235" s="1"/>
  <c r="U38" i="235"/>
  <c r="V38" i="235" s="1"/>
  <c r="U35" i="235"/>
  <c r="U30" i="235"/>
  <c r="V30" i="235" s="1"/>
  <c r="U37" i="235"/>
  <c r="U36" i="235"/>
  <c r="T35" i="235"/>
  <c r="T37" i="235"/>
  <c r="T36" i="235"/>
  <c r="T39" i="235"/>
  <c r="T34" i="235"/>
  <c r="V37" i="235" l="1"/>
  <c r="V39" i="235"/>
  <c r="V34" i="235"/>
  <c r="V35" i="235"/>
  <c r="V36" i="235"/>
  <c r="T33" i="235"/>
  <c r="V33" i="235" l="1"/>
  <c r="V41" i="235" s="1"/>
  <c r="T45" i="235" s="1"/>
  <c r="B51" i="235" s="1"/>
  <c r="U45" i="235" l="1"/>
  <c r="D67" i="235"/>
  <c r="I9" i="233" l="1"/>
  <c r="H9" i="233"/>
  <c r="G9" i="233"/>
  <c r="F73" i="170" l="1"/>
  <c r="F71" i="170"/>
  <c r="F70" i="170"/>
  <c r="F69" i="170"/>
  <c r="F68" i="170"/>
  <c r="R26" i="170" l="1"/>
  <c r="R25" i="170"/>
  <c r="R24" i="170"/>
  <c r="R23" i="170"/>
  <c r="R22" i="170"/>
  <c r="R21" i="170"/>
  <c r="R20" i="170"/>
  <c r="R19" i="170"/>
  <c r="R18" i="170"/>
  <c r="R17" i="170"/>
  <c r="R16" i="170"/>
  <c r="R15" i="170"/>
  <c r="F42" i="170" l="1"/>
  <c r="F41" i="170"/>
  <c r="F40" i="170" l="1"/>
  <c r="F39" i="170" l="1"/>
  <c r="H17" i="170"/>
  <c r="H16" i="170"/>
  <c r="H15" i="170"/>
  <c r="H14" i="170"/>
  <c r="H13" i="170"/>
  <c r="H12" i="170"/>
  <c r="H11" i="170"/>
  <c r="H10" i="170"/>
  <c r="F38" i="170"/>
  <c r="F37" i="170"/>
  <c r="F36" i="170"/>
  <c r="F35" i="170"/>
  <c r="F34" i="170"/>
  <c r="F33" i="170"/>
  <c r="F32" i="170"/>
  <c r="F31" i="170"/>
  <c r="F30" i="170"/>
  <c r="F29" i="170"/>
  <c r="F28" i="170"/>
  <c r="F27" i="170"/>
  <c r="F26" i="170"/>
  <c r="F25" i="170"/>
  <c r="F24" i="170"/>
  <c r="F23" i="170"/>
  <c r="F22" i="170"/>
  <c r="F21" i="170"/>
  <c r="F20" i="170"/>
  <c r="F19" i="170"/>
  <c r="F18" i="170"/>
  <c r="F17" i="170"/>
  <c r="F16" i="170"/>
  <c r="F15" i="170"/>
  <c r="F14" i="170"/>
  <c r="F13" i="170"/>
  <c r="F12" i="170"/>
  <c r="F11" i="170"/>
  <c r="F10" i="17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<sst xmlns="http://schemas.openxmlformats.org/spreadsheetml/2006/main" count="273" uniqueCount="257">
  <si>
    <t>sheet</t>
  </si>
  <si>
    <r>
      <rPr>
        <sz val="11"/>
        <color theme="1"/>
        <rFont val="黑体"/>
        <family val="3"/>
        <charset val="134"/>
      </rPr>
      <t>修改内容</t>
    </r>
  </si>
  <si>
    <r>
      <rPr>
        <sz val="11"/>
        <color theme="1"/>
        <rFont val="黑体"/>
        <family val="3"/>
        <charset val="134"/>
      </rPr>
      <t>属于加法还是减法</t>
    </r>
  </si>
  <si>
    <r>
      <rPr>
        <sz val="11"/>
        <color theme="1"/>
        <rFont val="黑体"/>
        <family val="3"/>
        <charset val="134"/>
      </rPr>
      <t>修改类型</t>
    </r>
    <phoneticPr fontId="94" type="noConversion"/>
  </si>
  <si>
    <r>
      <rPr>
        <sz val="11"/>
        <color theme="1"/>
        <rFont val="黑体"/>
        <family val="3"/>
        <charset val="134"/>
      </rPr>
      <t>修改原因</t>
    </r>
  </si>
  <si>
    <t>V5 table number</t>
  </si>
  <si>
    <t>V6 table number</t>
  </si>
  <si>
    <r>
      <t>Global</t>
    </r>
    <r>
      <rPr>
        <sz val="11"/>
        <color theme="1"/>
        <rFont val="黑体"/>
        <family val="3"/>
        <charset val="134"/>
      </rPr>
      <t>新版底稿</t>
    </r>
    <r>
      <rPr>
        <sz val="11"/>
        <color theme="1"/>
        <rFont val="Arial"/>
        <family val="2"/>
      </rPr>
      <t>table number</t>
    </r>
    <phoneticPr fontId="94" type="noConversion"/>
  </si>
  <si>
    <r>
      <rPr>
        <sz val="10"/>
        <color theme="1"/>
        <rFont val="微软雅黑"/>
        <family val="2"/>
        <charset val="134"/>
      </rPr>
      <t>识别</t>
    </r>
    <r>
      <rPr>
        <sz val="10"/>
        <color theme="1"/>
        <rFont val="Arial"/>
        <family val="2"/>
      </rPr>
      <t>CI</t>
    </r>
    <r>
      <rPr>
        <sz val="10"/>
        <color theme="1"/>
        <rFont val="微软雅黑"/>
        <family val="2"/>
        <charset val="134"/>
      </rPr>
      <t>点</t>
    </r>
    <phoneticPr fontId="94" type="noConversion"/>
  </si>
  <si>
    <r>
      <rPr>
        <sz val="11"/>
        <color theme="1"/>
        <rFont val="黑体"/>
        <family val="3"/>
        <charset val="134"/>
      </rPr>
      <t>是否需要</t>
    </r>
    <r>
      <rPr>
        <sz val="11"/>
        <color theme="1"/>
        <rFont val="Arial"/>
        <family val="2"/>
      </rPr>
      <t>field testing</t>
    </r>
  </si>
  <si>
    <r>
      <rPr>
        <sz val="11"/>
        <color theme="1"/>
        <rFont val="黑体"/>
        <family val="3"/>
        <charset val="134"/>
      </rPr>
      <t>汇总</t>
    </r>
    <r>
      <rPr>
        <sz val="11"/>
        <color theme="1"/>
        <rFont val="Arial"/>
        <family val="2"/>
      </rPr>
      <t>/K.00 Lead</t>
    </r>
    <phoneticPr fontId="94" type="noConversion"/>
  </si>
  <si>
    <r>
      <rPr>
        <sz val="11"/>
        <color theme="1"/>
        <rFont val="黑体"/>
        <family val="3"/>
        <charset val="134"/>
      </rPr>
      <t>与</t>
    </r>
    <r>
      <rPr>
        <sz val="11"/>
        <color theme="1"/>
        <rFont val="Arial"/>
        <family val="2"/>
      </rPr>
      <t>Global</t>
    </r>
    <r>
      <rPr>
        <sz val="11"/>
        <color theme="1"/>
        <rFont val="黑体"/>
        <family val="3"/>
        <charset val="134"/>
      </rPr>
      <t>底稿趋同，参考</t>
    </r>
    <r>
      <rPr>
        <sz val="11"/>
        <color theme="1"/>
        <rFont val="Arial"/>
        <family val="2"/>
      </rPr>
      <t>Global K</t>
    </r>
    <r>
      <rPr>
        <sz val="11"/>
        <color theme="1"/>
        <rFont val="黑体"/>
        <family val="3"/>
        <charset val="134"/>
      </rPr>
      <t>底稿模板的</t>
    </r>
    <r>
      <rPr>
        <sz val="11"/>
        <color theme="1"/>
        <rFont val="Arial"/>
        <family val="2"/>
      </rPr>
      <t>lead</t>
    </r>
    <r>
      <rPr>
        <sz val="11"/>
        <color theme="1"/>
        <rFont val="黑体"/>
        <family val="3"/>
        <charset val="134"/>
      </rPr>
      <t>页。原汇总页移除，建立简要的目录。
此外，所有程序执行步骤的描述，都列示在具体程序表格的上方，减少需要填写的程序完成情况记录。</t>
    </r>
    <phoneticPr fontId="97" type="noConversion"/>
  </si>
  <si>
    <r>
      <rPr>
        <sz val="11"/>
        <color theme="1"/>
        <rFont val="黑体"/>
        <family val="3"/>
        <charset val="134"/>
      </rPr>
      <t>减法</t>
    </r>
    <phoneticPr fontId="94" type="noConversion"/>
  </si>
  <si>
    <r>
      <rPr>
        <sz val="11"/>
        <color theme="1"/>
        <rFont val="黑体"/>
        <family val="3"/>
        <charset val="134"/>
      </rPr>
      <t>提升效率</t>
    </r>
  </si>
  <si>
    <r>
      <rPr>
        <sz val="11"/>
        <color theme="1"/>
        <rFont val="黑体"/>
        <family val="3"/>
        <charset val="134"/>
      </rPr>
      <t>与</t>
    </r>
    <r>
      <rPr>
        <sz val="11"/>
        <color theme="1"/>
        <rFont val="Arial"/>
        <family val="2"/>
      </rPr>
      <t>Global</t>
    </r>
    <r>
      <rPr>
        <sz val="11"/>
        <color theme="1"/>
        <rFont val="黑体"/>
        <family val="3"/>
        <charset val="134"/>
      </rPr>
      <t>底稿趋同，方便审计团队快速阅读理解程序执行要求。</t>
    </r>
    <phoneticPr fontId="97" type="noConversion"/>
  </si>
  <si>
    <r>
      <rPr>
        <sz val="10"/>
        <color theme="1"/>
        <rFont val="微软雅黑"/>
        <family val="2"/>
        <charset val="134"/>
      </rPr>
      <t>所有</t>
    </r>
    <r>
      <rPr>
        <sz val="10"/>
        <color theme="1"/>
        <rFont val="Arial"/>
        <family val="2"/>
      </rPr>
      <t>sheet</t>
    </r>
    <r>
      <rPr>
        <sz val="10"/>
        <color theme="1"/>
        <rFont val="微软雅黑"/>
        <family val="2"/>
        <charset val="134"/>
      </rPr>
      <t>的程序完成情况记录表全部删除，在汇总页建立一个简要目录，节省填表时间。</t>
    </r>
  </si>
  <si>
    <r>
      <rPr>
        <sz val="11"/>
        <color theme="1"/>
        <rFont val="黑体"/>
        <family val="3"/>
        <charset val="134"/>
      </rPr>
      <t>否</t>
    </r>
  </si>
  <si>
    <t>K.01.1 BKD</t>
  </si>
  <si>
    <r>
      <rPr>
        <sz val="11"/>
        <color theme="1"/>
        <rFont val="黑体"/>
        <family val="3"/>
        <charset val="134"/>
      </rPr>
      <t>调整</t>
    </r>
    <r>
      <rPr>
        <sz val="11"/>
        <color theme="1"/>
        <rFont val="Arial"/>
        <family val="2"/>
      </rPr>
      <t>“</t>
    </r>
    <r>
      <rPr>
        <sz val="11"/>
        <color theme="1"/>
        <rFont val="黑体"/>
        <family val="3"/>
        <charset val="134"/>
      </rPr>
      <t>明细账与总帐核对一致</t>
    </r>
    <r>
      <rPr>
        <sz val="11"/>
        <color theme="1"/>
        <rFont val="Arial"/>
        <family val="2"/>
      </rPr>
      <t>”</t>
    </r>
    <r>
      <rPr>
        <sz val="11"/>
        <color theme="1"/>
        <rFont val="黑体"/>
        <family val="3"/>
        <charset val="134"/>
      </rPr>
      <t>程序表格位置，使其与</t>
    </r>
    <r>
      <rPr>
        <sz val="11"/>
        <color theme="1"/>
        <rFont val="Arial"/>
        <family val="2"/>
      </rPr>
      <t>PSP</t>
    </r>
    <r>
      <rPr>
        <sz val="11"/>
        <color theme="1"/>
        <rFont val="黑体"/>
        <family val="3"/>
        <charset val="134"/>
      </rPr>
      <t>要求一致。</t>
    </r>
    <phoneticPr fontId="97" type="noConversion"/>
  </si>
  <si>
    <r>
      <rPr>
        <sz val="11"/>
        <color theme="1"/>
        <rFont val="黑体"/>
        <family val="3"/>
        <charset val="134"/>
      </rPr>
      <t>无影响</t>
    </r>
    <phoneticPr fontId="97" type="noConversion"/>
  </si>
  <si>
    <r>
      <rPr>
        <sz val="11"/>
        <color theme="1"/>
        <rFont val="黑体"/>
        <family val="3"/>
        <charset val="134"/>
      </rPr>
      <t>提升质量</t>
    </r>
  </si>
  <si>
    <r>
      <rPr>
        <sz val="11"/>
        <color theme="1"/>
        <rFont val="黑体"/>
        <family val="3"/>
        <charset val="134"/>
      </rPr>
      <t>根据</t>
    </r>
    <r>
      <rPr>
        <sz val="11"/>
        <color theme="1"/>
        <rFont val="Arial"/>
        <family val="2"/>
      </rPr>
      <t>canvas form</t>
    </r>
    <r>
      <rPr>
        <sz val="11"/>
        <color theme="1"/>
        <rFont val="黑体"/>
        <family val="3"/>
        <charset val="134"/>
      </rPr>
      <t>程序描述，执行</t>
    </r>
    <r>
      <rPr>
        <sz val="11"/>
        <color theme="1"/>
        <rFont val="Arial"/>
        <family val="2"/>
      </rPr>
      <t>“</t>
    </r>
    <r>
      <rPr>
        <sz val="11"/>
        <color theme="1"/>
        <rFont val="黑体"/>
        <family val="3"/>
        <charset val="134"/>
      </rPr>
      <t>前推表</t>
    </r>
    <r>
      <rPr>
        <sz val="11"/>
        <color theme="1"/>
        <rFont val="Arial"/>
        <family val="2"/>
      </rPr>
      <t>”</t>
    </r>
    <r>
      <rPr>
        <sz val="11"/>
        <color theme="1"/>
        <rFont val="黑体"/>
        <family val="3"/>
        <charset val="134"/>
      </rPr>
      <t>期末余额、资产清单和试算平衡表三种的核对程序，将该核对过程调整至本</t>
    </r>
    <r>
      <rPr>
        <sz val="11"/>
        <color theme="1"/>
        <rFont val="Arial"/>
        <family val="2"/>
      </rPr>
      <t>sheet</t>
    </r>
    <r>
      <rPr>
        <sz val="11"/>
        <color theme="1"/>
        <rFont val="黑体"/>
        <family val="3"/>
        <charset val="134"/>
      </rPr>
      <t>（以前在清单中列示）。</t>
    </r>
    <phoneticPr fontId="94" type="noConversion"/>
  </si>
  <si>
    <r>
      <rPr>
        <sz val="10"/>
        <color theme="1"/>
        <rFont val="微软雅黑"/>
        <family val="2"/>
        <charset val="134"/>
      </rPr>
      <t>无</t>
    </r>
    <phoneticPr fontId="94" type="noConversion"/>
  </si>
  <si>
    <r>
      <rPr>
        <sz val="11"/>
        <color theme="1"/>
        <rFont val="黑体"/>
        <family val="3"/>
        <charset val="134"/>
      </rPr>
      <t>否</t>
    </r>
    <phoneticPr fontId="94" type="noConversion"/>
  </si>
  <si>
    <r>
      <t xml:space="preserve">K.01.1a FA list/K.02.1b </t>
    </r>
    <r>
      <rPr>
        <sz val="11"/>
        <color theme="1"/>
        <rFont val="黑体"/>
        <family val="3"/>
        <charset val="134"/>
      </rPr>
      <t>新增清单</t>
    </r>
    <r>
      <rPr>
        <sz val="11"/>
        <color theme="1"/>
        <rFont val="Arial"/>
        <family val="2"/>
      </rPr>
      <t xml:space="preserve">/K.02.2b </t>
    </r>
    <r>
      <rPr>
        <sz val="11"/>
        <color theme="1"/>
        <rFont val="黑体"/>
        <family val="3"/>
        <charset val="134"/>
      </rPr>
      <t>处置清单</t>
    </r>
    <phoneticPr fontId="94" type="noConversion"/>
  </si>
  <si>
    <r>
      <rPr>
        <sz val="11"/>
        <color theme="1"/>
        <rFont val="黑体"/>
        <family val="3"/>
        <charset val="134"/>
      </rPr>
      <t>不计划提供新增</t>
    </r>
    <r>
      <rPr>
        <sz val="11"/>
        <color theme="1"/>
        <rFont val="Arial"/>
        <family val="2"/>
      </rPr>
      <t>/</t>
    </r>
    <r>
      <rPr>
        <sz val="11"/>
        <color theme="1"/>
        <rFont val="黑体"/>
        <family val="3"/>
        <charset val="134"/>
      </rPr>
      <t>处置清单表头，仅给出需要列示的关键字段的提示。</t>
    </r>
    <phoneticPr fontId="97" type="noConversion"/>
  </si>
  <si>
    <r>
      <t>V5</t>
    </r>
    <r>
      <rPr>
        <sz val="11"/>
        <color theme="1"/>
        <rFont val="黑体"/>
        <family val="3"/>
        <charset val="134"/>
      </rPr>
      <t>版本提供了清单的固定样式，项目组为了满足清单的字段要求，需额外花费时间调整系统导出的固定资产清单。</t>
    </r>
    <phoneticPr fontId="94" type="noConversion"/>
  </si>
  <si>
    <r>
      <rPr>
        <sz val="10"/>
        <color theme="1"/>
        <rFont val="微软雅黑"/>
        <family val="2"/>
        <charset val="134"/>
      </rPr>
      <t>不强制填写固定资产清单、新增</t>
    </r>
    <r>
      <rPr>
        <sz val="10"/>
        <color theme="1"/>
        <rFont val="Arial"/>
        <family val="2"/>
      </rPr>
      <t>/</t>
    </r>
    <r>
      <rPr>
        <sz val="10"/>
        <color theme="1"/>
        <rFont val="微软雅黑"/>
        <family val="2"/>
        <charset val="134"/>
      </rPr>
      <t>处置清单模板，审计团队可按</t>
    </r>
    <r>
      <rPr>
        <sz val="10"/>
        <color theme="1"/>
        <rFont val="Arial"/>
        <family val="2"/>
      </rPr>
      <t>PBC</t>
    </r>
    <r>
      <rPr>
        <sz val="10"/>
        <color theme="1"/>
        <rFont val="微软雅黑"/>
        <family val="2"/>
        <charset val="134"/>
      </rPr>
      <t>实际情况呈现，减少填表时间。</t>
    </r>
    <phoneticPr fontId="94" type="noConversion"/>
  </si>
  <si>
    <r>
      <t xml:space="preserve">K.02.1 </t>
    </r>
    <r>
      <rPr>
        <sz val="11"/>
        <color theme="1"/>
        <rFont val="黑体"/>
        <family val="3"/>
        <charset val="134"/>
      </rPr>
      <t>新增测试</t>
    </r>
    <r>
      <rPr>
        <sz val="11"/>
        <color theme="1"/>
        <rFont val="Arial"/>
        <family val="2"/>
      </rPr>
      <t xml:space="preserve">/K.02.2 </t>
    </r>
    <r>
      <rPr>
        <sz val="11"/>
        <color theme="1"/>
        <rFont val="黑体"/>
        <family val="3"/>
        <charset val="134"/>
      </rPr>
      <t>处置测试</t>
    </r>
    <phoneticPr fontId="94" type="noConversion"/>
  </si>
  <si>
    <r>
      <rPr>
        <sz val="11"/>
        <color rgb="FF000000"/>
        <rFont val="黑体"/>
        <family val="3"/>
        <charset val="134"/>
      </rPr>
      <t>按照</t>
    </r>
    <r>
      <rPr>
        <sz val="11"/>
        <color rgb="FF000000"/>
        <rFont val="Arial"/>
        <family val="2"/>
      </rPr>
      <t>Global K</t>
    </r>
    <r>
      <rPr>
        <sz val="11"/>
        <color rgb="FF000000"/>
        <rFont val="黑体"/>
        <family val="3"/>
        <charset val="134"/>
      </rPr>
      <t>底稿模板修改，在新增</t>
    </r>
    <r>
      <rPr>
        <sz val="11"/>
        <color rgb="FF000000"/>
        <rFont val="Arial"/>
        <family val="2"/>
      </rPr>
      <t>/</t>
    </r>
    <r>
      <rPr>
        <sz val="11"/>
        <color rgb="FF000000"/>
        <rFont val="黑体"/>
        <family val="3"/>
        <charset val="134"/>
      </rPr>
      <t>处置测试中，在</t>
    </r>
    <r>
      <rPr>
        <sz val="11"/>
        <color rgb="FF000000"/>
        <rFont val="Arial"/>
        <family val="2"/>
      </rPr>
      <t>TOD</t>
    </r>
    <r>
      <rPr>
        <sz val="11"/>
        <color rgb="FF000000"/>
        <rFont val="黑体"/>
        <family val="3"/>
        <charset val="134"/>
      </rPr>
      <t>程序表中增加清单</t>
    </r>
    <r>
      <rPr>
        <sz val="11"/>
        <color rgb="FF000000"/>
        <rFont val="Arial"/>
        <family val="2"/>
      </rPr>
      <t>/</t>
    </r>
    <r>
      <rPr>
        <sz val="11"/>
        <color rgb="FF000000"/>
        <rFont val="黑体"/>
        <family val="3"/>
        <charset val="134"/>
      </rPr>
      <t>账面金额与支持性文件金额核对过程。</t>
    </r>
  </si>
  <si>
    <r>
      <rPr>
        <sz val="11"/>
        <color theme="1"/>
        <rFont val="黑体"/>
        <family val="3"/>
        <charset val="134"/>
      </rPr>
      <t>加法</t>
    </r>
    <phoneticPr fontId="94" type="noConversion"/>
  </si>
  <si>
    <r>
      <rPr>
        <sz val="11"/>
        <color theme="1"/>
        <rFont val="黑体"/>
        <family val="3"/>
        <charset val="134"/>
      </rPr>
      <t>参考</t>
    </r>
    <r>
      <rPr>
        <sz val="11"/>
        <color theme="1"/>
        <rFont val="Arial"/>
        <family val="2"/>
      </rPr>
      <t>Global K</t>
    </r>
    <r>
      <rPr>
        <sz val="11"/>
        <color theme="1"/>
        <rFont val="黑体"/>
        <family val="3"/>
        <charset val="134"/>
      </rPr>
      <t>底稿</t>
    </r>
    <r>
      <rPr>
        <sz val="11"/>
        <color theme="1"/>
        <rFont val="Arial"/>
        <family val="2"/>
      </rPr>
      <t>2025</t>
    </r>
    <r>
      <rPr>
        <sz val="11"/>
        <color theme="1"/>
        <rFont val="黑体"/>
        <family val="3"/>
        <charset val="134"/>
      </rPr>
      <t>年</t>
    </r>
    <r>
      <rPr>
        <sz val="11"/>
        <color theme="1"/>
        <rFont val="Arial"/>
        <family val="2"/>
      </rPr>
      <t>6</t>
    </r>
    <r>
      <rPr>
        <sz val="11"/>
        <color theme="1"/>
        <rFont val="黑体"/>
        <family val="3"/>
        <charset val="134"/>
      </rPr>
      <t>月</t>
    </r>
    <r>
      <rPr>
        <sz val="11"/>
        <color theme="1"/>
        <rFont val="Arial"/>
        <family val="2"/>
      </rPr>
      <t>update</t>
    </r>
    <r>
      <rPr>
        <sz val="11"/>
        <color theme="1"/>
        <rFont val="黑体"/>
        <family val="3"/>
        <charset val="134"/>
      </rPr>
      <t>修改</t>
    </r>
    <phoneticPr fontId="97" type="noConversion"/>
  </si>
  <si>
    <r>
      <rPr>
        <sz val="11"/>
        <color theme="1"/>
        <rFont val="黑体"/>
        <family val="3"/>
        <charset val="134"/>
      </rPr>
      <t>新增测试</t>
    </r>
    <r>
      <rPr>
        <sz val="11"/>
        <color theme="1"/>
        <rFont val="Arial"/>
        <family val="2"/>
      </rPr>
      <t>TOD</t>
    </r>
    <r>
      <rPr>
        <sz val="11"/>
        <color theme="1"/>
        <rFont val="黑体"/>
        <family val="3"/>
        <charset val="134"/>
      </rPr>
      <t>证据描述处，补充要求获取控制权转移时点的检查证据。</t>
    </r>
    <phoneticPr fontId="97" type="noConversion"/>
  </si>
  <si>
    <r>
      <rPr>
        <sz val="11"/>
        <color theme="1"/>
        <rFont val="黑体"/>
        <family val="3"/>
        <charset val="134"/>
      </rPr>
      <t>复核过程中发现</t>
    </r>
    <r>
      <rPr>
        <sz val="11"/>
        <color theme="1"/>
        <rFont val="Arial"/>
        <family val="2"/>
      </rPr>
      <t>TOD</t>
    </r>
    <r>
      <rPr>
        <sz val="11"/>
        <color theme="1"/>
        <rFont val="黑体"/>
        <family val="3"/>
        <charset val="134"/>
      </rPr>
      <t>支持性证据的记录仅有合同和发票，缺少控制权转移时点的证据，因此可能存在跨期未被发现的情况。</t>
    </r>
    <phoneticPr fontId="97" type="noConversion"/>
  </si>
  <si>
    <r>
      <t xml:space="preserve">K.03.1 </t>
    </r>
    <r>
      <rPr>
        <sz val="11"/>
        <color theme="1"/>
        <rFont val="黑体"/>
        <family val="3"/>
        <charset val="134"/>
      </rPr>
      <t>折旧测试</t>
    </r>
    <phoneticPr fontId="94" type="noConversion"/>
  </si>
  <si>
    <r>
      <rPr>
        <sz val="11"/>
        <color theme="1"/>
        <rFont val="黑体"/>
        <family val="3"/>
        <charset val="134"/>
      </rPr>
      <t>单独设立</t>
    </r>
    <r>
      <rPr>
        <sz val="11"/>
        <color theme="1"/>
        <rFont val="Arial"/>
        <family val="2"/>
      </rPr>
      <t>K.03.1 SAP</t>
    </r>
    <r>
      <rPr>
        <sz val="11"/>
        <color theme="1"/>
        <rFont val="黑体"/>
        <family val="3"/>
        <charset val="134"/>
      </rPr>
      <t>程序，参考</t>
    </r>
    <r>
      <rPr>
        <sz val="11"/>
        <color theme="1"/>
        <rFont val="Arial"/>
        <family val="2"/>
      </rPr>
      <t>Global</t>
    </r>
    <r>
      <rPr>
        <sz val="11"/>
        <color theme="1"/>
        <rFont val="黑体"/>
        <family val="3"/>
        <charset val="134"/>
      </rPr>
      <t>底稿</t>
    </r>
    <r>
      <rPr>
        <sz val="11"/>
        <color theme="1"/>
        <rFont val="Arial"/>
        <family val="2"/>
      </rPr>
      <t>264</t>
    </r>
    <r>
      <rPr>
        <sz val="11"/>
        <color theme="1"/>
        <rFont val="黑体"/>
        <family val="3"/>
        <charset val="134"/>
      </rPr>
      <t>模板，在小灯泡中提供</t>
    </r>
    <r>
      <rPr>
        <sz val="11"/>
        <color theme="1"/>
        <rFont val="Arial"/>
        <family val="2"/>
      </rPr>
      <t>SAP</t>
    </r>
    <r>
      <rPr>
        <sz val="11"/>
        <color theme="1"/>
        <rFont val="黑体"/>
        <family val="3"/>
        <charset val="134"/>
      </rPr>
      <t>底稿模板（内含审计方法论逻辑）、并提供样例。</t>
    </r>
    <phoneticPr fontId="94" type="noConversion"/>
  </si>
  <si>
    <r>
      <rPr>
        <sz val="11"/>
        <color theme="1"/>
        <rFont val="黑体"/>
        <family val="3"/>
        <charset val="134"/>
      </rPr>
      <t>根据</t>
    </r>
    <r>
      <rPr>
        <sz val="11"/>
        <color theme="1"/>
        <rFont val="Arial"/>
        <family val="2"/>
      </rPr>
      <t>cavas form</t>
    </r>
    <r>
      <rPr>
        <sz val="11"/>
        <color theme="1"/>
        <rFont val="黑体"/>
        <family val="3"/>
        <charset val="134"/>
      </rPr>
      <t>的程序描述，修改原来按资产类别执行折旧合理性测试部分，增加建立预期、精度、偏差阈值的底稿记录，和</t>
    </r>
    <r>
      <rPr>
        <sz val="11"/>
        <color theme="1"/>
        <rFont val="Arial"/>
        <family val="2"/>
      </rPr>
      <t>GAM</t>
    </r>
    <r>
      <rPr>
        <sz val="11"/>
        <color theme="1"/>
        <rFont val="黑体"/>
        <family val="3"/>
        <charset val="134"/>
      </rPr>
      <t>方法论要求一致。</t>
    </r>
    <phoneticPr fontId="94" type="noConversion"/>
  </si>
  <si>
    <r>
      <rPr>
        <sz val="11"/>
        <color theme="1"/>
        <rFont val="黑体"/>
        <family val="3"/>
        <charset val="134"/>
      </rPr>
      <t>是</t>
    </r>
    <phoneticPr fontId="94" type="noConversion"/>
  </si>
  <si>
    <r>
      <rPr>
        <sz val="11"/>
        <color theme="1"/>
        <rFont val="黑体"/>
        <family val="3"/>
        <charset val="134"/>
      </rPr>
      <t>合计</t>
    </r>
  </si>
  <si>
    <t>K.00</t>
    <phoneticPr fontId="97" type="noConversion"/>
  </si>
  <si>
    <t>K.00 Lead Sheet</t>
    <phoneticPr fontId="94" type="noConversion"/>
  </si>
  <si>
    <t>我们获取或编制了与上期对比的重大账户（固定资产）引导表。我们将本期余额与试算平衡表核对一致，并将上期余额与上期审定数核对一致（如适用）。</t>
    <phoneticPr fontId="94" type="noConversion"/>
  </si>
  <si>
    <t>记录我们对审计期间内固定资产变动的预期以及对这些预期的依据和理由。</t>
    <phoneticPr fontId="94" type="noConversion"/>
  </si>
  <si>
    <t>我们将期末余额与上期余额进行对比。调查超出测试阈值（金额和百分比）的波动，以及代表异常或预期外变动或未发生预期中变动的波动，并确定其对我们计划实质性程序的影响 (如有)。</t>
    <phoneticPr fontId="94" type="noConversion"/>
  </si>
  <si>
    <t>K.01</t>
    <phoneticPr fontId="97" type="noConversion"/>
  </si>
  <si>
    <t>K.01 Agree SL to GL</t>
    <phoneticPr fontId="94" type="noConversion"/>
  </si>
  <si>
    <t>我们获得了上期末至本期末（或中期，如适用）固定资产及相关新增、处置、转让和折旧的后推明细表。</t>
    <phoneticPr fontId="94" type="noConversion"/>
  </si>
  <si>
    <t>我们将期初固定资产余额与上期审定数核对一致，将期末固定资产余额与固定资产明细账和试算表核对一致。我们调查了大于SAD的差异。我们将利润表金额（如，折旧费用）与试算表核对一致（如适用）。</t>
    <phoneticPr fontId="94" type="noConversion"/>
  </si>
  <si>
    <t>我们选择了超过测试阈值的后推活动（如，新增、处置、固定资产转入、转移和折旧费用），以执行K.02和K.03的实质性程序。对于未包含在本程序表范围内的程序，我们交叉索引至完成该程序的单独程序表。我们评估了固定资产的转移和其他调整，以了解调整的性质，并确定是否需要执行额外程序。</t>
    <phoneticPr fontId="94" type="noConversion"/>
  </si>
  <si>
    <t>K.02.1</t>
    <phoneticPr fontId="97" type="noConversion"/>
  </si>
  <si>
    <t>K.02.1 新增测试</t>
    <phoneticPr fontId="94" type="noConversion"/>
  </si>
  <si>
    <r>
      <t>我们获取本期按资产类别划分的所有固定资产新增清单，并将该清单与固定资产后推核对一致。我们调查了大于SAD的差异。在该清单中，我们确定总体中的每个样本是否具有相同或相似特征（即总体是否同质），或是否应该对总体进一步分层。（注：该步骤不包括：1）在建工程新增；2）在建工程转固定资产。有关在建工程的进一步程序，请参阅</t>
    </r>
    <r>
      <rPr>
        <b/>
        <sz val="11"/>
        <color rgb="FF000000"/>
        <rFont val="微软雅黑"/>
        <family val="2"/>
        <charset val="134"/>
      </rPr>
      <t>K SWP：K.02.3</t>
    </r>
    <r>
      <rPr>
        <sz val="11"/>
        <color rgb="FF000000"/>
        <rFont val="微软雅黑"/>
        <family val="2"/>
        <charset val="134"/>
      </rPr>
      <t>)</t>
    </r>
    <phoneticPr fontId="94" type="noConversion"/>
  </si>
  <si>
    <t>我们根据定性和定量标准识别总体中具有特定特征的交易：具有较高的重大错报风险，且其特征与总体其他部分不同。如果我们确定了应基于定量阈值识别关键项，则将基于综合风险评估的测试阈值作为了起点。我们记录了关键项的选择依据。</t>
    <phoneticPr fontId="94" type="noConversion"/>
  </si>
  <si>
    <r>
      <t>我们确定了样本总体，并使用安永抽样工具来确定抽样方法和样本量。我们在</t>
    </r>
    <r>
      <rPr>
        <b/>
        <sz val="11"/>
        <color rgb="FF000000"/>
        <rFont val="微软雅黑"/>
        <family val="2"/>
        <charset val="134"/>
      </rPr>
      <t>K SWP：K.02.1a</t>
    </r>
    <r>
      <rPr>
        <sz val="11"/>
        <color rgb="FF000000"/>
        <rFont val="微软雅黑"/>
        <family val="2"/>
        <charset val="134"/>
      </rPr>
      <t>中保留安永抽样工具的输出值。当我们使用EY Random选择样本（即，未上传到安永抽样工具中的总体）时，我们保留了EY Random的输出值。</t>
    </r>
    <phoneticPr fontId="94" type="noConversion"/>
  </si>
  <si>
    <r>
      <t>我们根据</t>
    </r>
    <r>
      <rPr>
        <b/>
        <sz val="11"/>
        <color rgb="FF000000"/>
        <rFont val="微软雅黑"/>
        <family val="2"/>
        <charset val="134"/>
      </rPr>
      <t>K SWP：K.02.1</t>
    </r>
    <r>
      <rPr>
        <sz val="11"/>
        <color rgb="FF000000"/>
        <rFont val="微软雅黑"/>
        <family val="2"/>
        <charset val="134"/>
      </rPr>
      <t xml:space="preserve">中的属性测试了新增项。如果识别出异常或错报，我们调查其性质和原因，并评估其对我们审计策略的影响。在适用的情况下，我们使用安永抽样工具中的评估功能，帮助我们评估使用审计抽样是否为得出关于被测试总体的结论提供了合理的基础。
</t>
    </r>
    <r>
      <rPr>
        <b/>
        <sz val="11"/>
        <color rgb="FF000000"/>
        <rFont val="微软雅黑"/>
        <family val="2"/>
        <charset val="134"/>
      </rPr>
      <t>·</t>
    </r>
    <r>
      <rPr>
        <sz val="11"/>
        <color rgb="FF000000"/>
        <rFont val="微软雅黑"/>
        <family val="2"/>
        <charset val="134"/>
      </rPr>
      <t xml:space="preserve">对于关键项，我们在审计差异汇总表（SAD）中记录了所有错报，并考虑了对其他测试的影响。
</t>
    </r>
    <r>
      <rPr>
        <b/>
        <sz val="11"/>
        <color rgb="FF000000"/>
        <rFont val="微软雅黑"/>
        <family val="2"/>
        <charset val="134"/>
      </rPr>
      <t>·</t>
    </r>
    <r>
      <rPr>
        <sz val="11"/>
        <color rgb="FF000000"/>
        <rFont val="微软雅黑"/>
        <family val="2"/>
        <charset val="134"/>
      </rPr>
      <t xml:space="preserve">于代表性样本，我们确定了所识别的错报是否能够代表总体（或者是否由于存在共同特征或异常而不具有代表性），并考虑对测试的影响。
</t>
    </r>
    <phoneticPr fontId="94" type="noConversion"/>
  </si>
  <si>
    <t>K.02.2</t>
    <phoneticPr fontId="97" type="noConversion"/>
  </si>
  <si>
    <t>K.02.2 处置测试</t>
    <phoneticPr fontId="94" type="noConversion"/>
  </si>
  <si>
    <t>我们获取了本期按资产类别划分的所有固定资产处置清单，包括记录的处置的损益，并将该清单与固定资产后推核对一致。我们调查了大于SAD的差异。我们考虑了实体经营的任何重大变化是否导致资产报废和/或处置，如果是，我们确保这些资产计入当期处置。在该清单中，我们确定总体中的每个样本是否具有相同或相似特征（即总体是否同质)，或是否应该对总体进一步分层。</t>
    <phoneticPr fontId="94" type="noConversion"/>
  </si>
  <si>
    <r>
      <t>我们确定样本总体，并使用安永抽样工具来确定抽样方法和样本量。我们在</t>
    </r>
    <r>
      <rPr>
        <b/>
        <sz val="11"/>
        <color rgb="FF000000"/>
        <rFont val="微软雅黑"/>
        <family val="2"/>
        <charset val="134"/>
      </rPr>
      <t>K SWP：K.02.2a</t>
    </r>
    <r>
      <rPr>
        <sz val="11"/>
        <color rgb="FF000000"/>
        <rFont val="微软雅黑"/>
        <family val="2"/>
        <charset val="134"/>
      </rPr>
      <t>中保留了安永抽样工具的输出值。当我们使用EY Random选择样本（即，未上传到安永智能抽样工具中的总体）时，我们保留了EY Random的输出值。</t>
    </r>
    <phoneticPr fontId="94" type="noConversion"/>
  </si>
  <si>
    <r>
      <t>我们根据</t>
    </r>
    <r>
      <rPr>
        <b/>
        <sz val="11"/>
        <color rgb="FF000000"/>
        <rFont val="微软雅黑"/>
        <family val="2"/>
        <charset val="134"/>
      </rPr>
      <t>K SWP：K.02.2</t>
    </r>
    <r>
      <rPr>
        <sz val="11"/>
        <color rgb="FF000000"/>
        <rFont val="微软雅黑"/>
        <family val="2"/>
        <charset val="134"/>
      </rPr>
      <t xml:space="preserve">中的属性测试了处置项。如果识别出异常或错报，我们调查其性质和原因，并评估其对我们审计策略的影响。在适用的情况下，我们使用安永抽样工具中的评估功能，帮助我们评估使用审计抽样是否为得出关于被测试总体的结论提供了合理的基础。
</t>
    </r>
    <r>
      <rPr>
        <b/>
        <sz val="11"/>
        <color rgb="FF000000"/>
        <rFont val="微软雅黑"/>
        <family val="2"/>
        <charset val="134"/>
      </rPr>
      <t>·</t>
    </r>
    <r>
      <rPr>
        <sz val="11"/>
        <color rgb="FF000000"/>
        <rFont val="微软雅黑"/>
        <family val="2"/>
        <charset val="134"/>
      </rPr>
      <t xml:space="preserve">对于关键项，我们在审计差异汇总表（SAD）中记录了所有错报，并考虑了对其他测试的影响。
</t>
    </r>
    <r>
      <rPr>
        <b/>
        <sz val="11"/>
        <color rgb="FF000000"/>
        <rFont val="微软雅黑"/>
        <family val="2"/>
        <charset val="134"/>
      </rPr>
      <t>·</t>
    </r>
    <r>
      <rPr>
        <sz val="11"/>
        <color rgb="FF000000"/>
        <rFont val="微软雅黑"/>
        <family val="2"/>
        <charset val="134"/>
      </rPr>
      <t>对于代表性样本，我们确定了所识别的错报是否能够代表总体（或者是否由于存在共同特征或异常而不具有代表性），并考虑对测试的影响。</t>
    </r>
    <phoneticPr fontId="94" type="noConversion"/>
  </si>
  <si>
    <t>K.03.1</t>
    <phoneticPr fontId="97" type="noConversion"/>
  </si>
  <si>
    <t>K.03.1 折旧测试</t>
    <phoneticPr fontId="94" type="noConversion"/>
  </si>
  <si>
    <t>K.03.1 执行实质性分析程序（合理性测试）</t>
    <phoneticPr fontId="97" type="noConversion"/>
  </si>
  <si>
    <t>K.03.2 详细测试：当从实质性分析程序中获得的证据不足以对账户余额得出结论时（即，对于具有最低CRA的非PIE的NCE，证据水平低于"一些"，对于具有最低CRA的复杂实体，证据水平低于"中等"，或者对于所有其他CRA的NCE和复杂实体，证据水平低于"具有说服力"），我们执行详细测试。
我们获得了折旧费用清单，并将总额与总账核对一致。我们调查了超过SAD名义金额的差额(例如，未说明的明细账/清单与总账之间的差额)。在该列表中，我们确定总体中的每个样本是否具有相同或相似特征(即总体是否同质)，或是否应该对总体进一步分层。</t>
    <phoneticPr fontId="97" type="noConversion"/>
  </si>
  <si>
    <r>
      <t>我们确定了样本总体，并使用安永智能抽样工具来确定抽样方法和样本量。我们在</t>
    </r>
    <r>
      <rPr>
        <b/>
        <sz val="11"/>
        <color rgb="FF000000"/>
        <rFont val="微软雅黑"/>
        <family val="2"/>
        <charset val="134"/>
      </rPr>
      <t>K SWP：K.03.2a</t>
    </r>
    <r>
      <rPr>
        <sz val="11"/>
        <color rgb="FF000000"/>
        <rFont val="微软雅黑"/>
        <family val="2"/>
        <charset val="134"/>
      </rPr>
      <t>中保留了安永抽样工具的输出值。当我们使用EY Random选择样本（即，未上传到安永智能抽样工具中的总体）时，我们保留了EYRandom的输出值。</t>
    </r>
    <phoneticPr fontId="94" type="noConversion"/>
  </si>
  <si>
    <r>
      <t>我们根据</t>
    </r>
    <r>
      <rPr>
        <b/>
        <sz val="11"/>
        <color rgb="FF000000"/>
        <rFont val="微软雅黑"/>
        <family val="2"/>
        <charset val="134"/>
      </rPr>
      <t>K SWP：K.03.2</t>
    </r>
    <r>
      <rPr>
        <sz val="11"/>
        <color rgb="FF000000"/>
        <rFont val="微软雅黑"/>
        <family val="2"/>
        <charset val="134"/>
      </rPr>
      <t>中的特征对每个项目进行了测试，以测试折旧、折耗和摊销的计算，确定是否使用了可接受的方法和适当的使用寿命（或分配成本的其他基础)，以及这些方法和使用寿命是否与以前期间使用的方法和使用寿命一致。如果识别出异常或错报，我们调查其性质和原因，并评估其对我们审计策略的影响。在适用的情况下，我们使用安永智能抽样工具中的评估功能，帮助我们评估使用审计抽样是否为得出关于被测试总体的结论提供了合理的基础。
·对于关键项，我们在审计差异汇总表（SAD）中记录了所有错报，并考虑了对其他测试的影响（请参阅样本4.8.2）。
·对于代表性样本，我们确定了所识别的错报是否能够代表总体（或者是否由于存在共同特征或异常而不具有代表性），并考虑对测试的影响（请参阅样本4.8.1)。</t>
    </r>
    <phoneticPr fontId="94" type="noConversion"/>
  </si>
  <si>
    <t>db9ce45c-b5c9-4e6d-be28-967b500f20b6</t>
    <phoneticPr fontId="94" type="noConversion"/>
  </si>
  <si>
    <t>{"Id":"2120100351","IsProject":false,"ProjectId":"2006602268","TempProjectName":"云端天风测试","TempType":2,"Upload":"上传","Download":"下载"}</t>
  </si>
  <si>
    <t>ABC7ZNBSwJBGIbvgv9hWDrakhqbdTNTkkqWHSFCPIztt7Y4OyMzsy5LdA76BV071CUI6lhQvyalU38hV1wN224LIniZw/t+873z8jDfbx+tbAahy+hASNtQYR+0PaRVz3TcCwOX2fopFz2T9EHoB+AQnyp8AaByKGlEy00X1e3xFuZTGgvY7zS5IrTKSIdC5DqESli0ay7QyNRmm5qHC5saxJs8cRqOQSmXdSePmsfLYyB/QupyXwDp2Txgi5bFgwr3mRrrO8VYrHAaiyUjFqtMucoFORZb7dl18PgA7EQP+55HRNiMev/bfj6CVUhh2vF37bJlNriCxAhT8K4gXs2ltCK4lBY4J9yGOCaausqtKudzwgZEIocLLxW+BSOB7/Ya75LwDp+vhzf3qZAtJYDN59dkl0T2SN8q6nmEy+bm1+Pt6OV9dPf0+fqQCmpjN4F1YeV/cTbT/gE=</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</si>
  <si>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phoneticPr fontId="94" type="noConversion"/>
  </si>
  <si>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phoneticPr fontId="94" type="noConversion"/>
  </si>
  <si>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phoneticPr fontId="94" type="noConversion"/>
  </si>
  <si>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phoneticPr fontId="94" type="noConversion"/>
  </si>
  <si>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t>
    <phoneticPr fontId="94" type="noConversion"/>
  </si>
  <si>
    <t>ABC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t>
    <phoneticPr fontId="94" type="noConversion"/>
  </si>
  <si>
    <t>ABC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phoneticPr fontId="94" type="noConversion"/>
  </si>
  <si>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phoneticPr fontId="94" type="noConversion"/>
  </si>
  <si>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phoneticPr fontId="94" type="noConversion"/>
  </si>
  <si>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phoneticPr fontId="94" type="noConversion"/>
  </si>
  <si>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phoneticPr fontId="94" type="noConversion"/>
  </si>
  <si>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phoneticPr fontId="94" type="noConversion"/>
  </si>
  <si>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phoneticPr fontId="94" type="noConversion"/>
  </si>
  <si>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phoneticPr fontId="94" type="noConversion"/>
  </si>
  <si>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phoneticPr fontId="94" type="noConversion"/>
  </si>
  <si>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phoneticPr fontId="94" type="noConversion"/>
  </si>
  <si>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phoneticPr fontId="94" type="noConversion"/>
  </si>
  <si>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phoneticPr fontId="94" type="noConversion"/>
  </si>
  <si>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phoneticPr fontId="94" type="noConversion"/>
  </si>
  <si>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phoneticPr fontId="94" type="noConversion"/>
  </si>
  <si>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phoneticPr fontId="94" type="noConversion"/>
  </si>
  <si>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phoneticPr fontId="94" type="noConversion"/>
  </si>
  <si>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phoneticPr fontId="94" type="noConversion"/>
  </si>
  <si>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phoneticPr fontId="94" type="noConversion"/>
  </si>
  <si>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phoneticPr fontId="94" type="noConversion"/>
  </si>
  <si>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phoneticPr fontId="94" type="noConversion"/>
  </si>
  <si>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phoneticPr fontId="94" type="noConversion"/>
  </si>
  <si>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phoneticPr fontId="94" type="noConversion"/>
  </si>
  <si>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phoneticPr fontId="94" type="noConversion"/>
  </si>
  <si>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phoneticPr fontId="94" type="noConversion"/>
  </si>
  <si>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phoneticPr fontId="94" type="noConversion"/>
  </si>
  <si>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phoneticPr fontId="94" type="noConversion"/>
  </si>
  <si>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phoneticPr fontId="94" type="noConversion"/>
  </si>
  <si>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phoneticPr fontId="94" type="noConversion"/>
  </si>
  <si>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phoneticPr fontId="94" type="noConversion"/>
  </si>
  <si>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phoneticPr fontId="94" type="noConversion"/>
  </si>
  <si>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phoneticPr fontId="94" type="noConversion"/>
  </si>
  <si>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phoneticPr fontId="94" type="noConversion"/>
  </si>
  <si>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phoneticPr fontId="94" type="noConversion"/>
  </si>
  <si>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phoneticPr fontId="94" type="noConversion"/>
  </si>
  <si>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phoneticPr fontId="94" type="noConversion"/>
  </si>
  <si>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phoneticPr fontId="94" type="noConversion"/>
  </si>
  <si>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phoneticPr fontId="94" type="noConversion"/>
  </si>
  <si>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phoneticPr fontId="94" type="noConversion"/>
  </si>
  <si>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phoneticPr fontId="94" type="noConversion"/>
  </si>
  <si>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phoneticPr fontId="94" type="noConversion"/>
  </si>
  <si>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phoneticPr fontId="94" type="noConversion"/>
  </si>
  <si>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phoneticPr fontId="94" type="noConversion"/>
  </si>
  <si>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phoneticPr fontId="94" type="noConversion"/>
  </si>
  <si>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</si>
  <si>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</si>
  <si>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</si>
  <si>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</si>
  <si>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</si>
  <si>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t>
  </si>
  <si>
    <t>ABC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t>
  </si>
  <si>
    <t>ABC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t>
  </si>
  <si>
    <t>ABC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t>
  </si>
  <si>
    <t>ABC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t>
  </si>
  <si>
    <t>ABC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t>
  </si>
  <si>
    <t>ABC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ar9+WtssADiO3wXfQ+gLKMvWtZu3OZ2CE8Y28OQhY9kYaxdJO8WbB0VUPInTk4gIXkS9iCLMd9M634Vttji/XQTBjCh8LqVNyjd/fs/zyRM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t>
  </si>
  <si>
    <t>AB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FgVCg9/mR+Aa1fu7uyMpm/PXtmLd45+Hj/+8i+zI/DJt2zt3OVLR09xJsGtcU6ntUvTyc3paOfCre3t89PJ7u7l8Y1XJ9fzzB5S9YiphUS9NpnevjR6Yzxdf2F8Y3R3e282XjT681/mb8Ta8cPz8KVcuzrZG23/7St9ePfsdP7rdmtXXz5Wmq/7yvqJE4OLhz49ftDd2Z/PDfamd8ePb3x+Oh7dvj55687xBz08G84fnvZHMw/PzAE8HHV7fuvG/ChfW/j2Xh7vTN4cX194n3X/9bon14eDg3s/7H/1xcGPHz34/tMnd86D/LOhT28t2Hm4ZefV7bwxOPjw84PPvlniylubC1Y+uWHlFa386MGvjPf2bt25OXtSy9n51IKdt6i9WrVHg9/f+eDgy58e/PrJ/vu/LGXo4ZlFJ/RZQ69u6OHg3M3peDy4cnGwNxm8dHE5O2+eXTD0pqFXOfT68MK5wdFX6eVcgS260j61aeGVmn1tfqn983v7Hy/nIozZ/8GhTz6FD+eFF9tDO69058H+1+/+dv+7B/e/Xdo12ObpRd+dzxh6pUNfe7T005b7//8R/ewzr/8B</t>
  </si>
  <si>
    <t>{"MD5":"27923415AE0CE62F312F09E44933EC68","FullPath":"C:\\SkyWind\\Files\\Template\\WPT\\EY底稿模板\\Skywind_K1_固定资产_202YMMDD_XYZ公司13.xlsx","Length":331163,"LastWriteTime":"2021-01-13T09:32:28.8886989+08:00"}</t>
  </si>
  <si>
    <t>db3de137-a293-427d-b80d-49214b5e369c</t>
  </si>
  <si>
    <t>ff8886bb-b7f7-4b80-9da7-330f78d808ae</t>
  </si>
  <si>
    <t>812bc61b-c1a1-45e1-acbf-14fb38652f5c</t>
  </si>
  <si>
    <t>22e1146d-3f08-44ae-9972-a8462b7634ae</t>
  </si>
  <si>
    <t>7d735d6a-b8ae-450d-83bf-85897cebe8f2</t>
  </si>
  <si>
    <t>cef6a48f-aedc-465b-90a1-6ce7e21344ce</t>
  </si>
  <si>
    <t>f307f2fc-7d80-47e9-a69c-a364be7ddce3</t>
  </si>
  <si>
    <t>62f8743e-f475-454c-aa64-7de88f167d36</t>
  </si>
  <si>
    <t>868be28c-4ccb-4d12-88c8-2ac58d4a87e1</t>
  </si>
  <si>
    <t>d870d3ee-974c-4add-8407-382393103c67</t>
  </si>
  <si>
    <t>4c471b99-3c1f-403a-92e9-2aff997562e3</t>
  </si>
  <si>
    <t>f0b24ebf-2605-42bb-9327-43f6f3e4f988</t>
  </si>
  <si>
    <t>5e0d88ff-f81b-4c71-b751-4fe3d67d3638</t>
  </si>
  <si>
    <t>b1c48724-31e4-44ef-bf76-cd7bf9515747</t>
  </si>
  <si>
    <t>aee71fbb-c147-4a47-9044-962071b084ea</t>
  </si>
  <si>
    <t>2bd38cb0-b2bb-4a37-a799-0cd63f7324dc</t>
  </si>
  <si>
    <t>f9c514b2-4170-416d-8c6d-0dda3e1c9010</t>
  </si>
  <si>
    <t>e4b6d84b-77c7-4fca-851d-222df4004de2</t>
  </si>
  <si>
    <t>80024c59-b33c-460d-830b-d926cc375dd1</t>
  </si>
  <si>
    <t>b7ef0efc-233a-4cf9-97fa-c7490e261bdc</t>
  </si>
  <si>
    <t>f3c09d79-bc68-45fb-a3ae-7717eae0e90a</t>
  </si>
  <si>
    <t>fb33c2b6-fdb9-46f1-bf50-723bd609c84b</t>
  </si>
  <si>
    <t>0b451ac0-c548-42ef-af37-e45dfc4fceb7</t>
  </si>
  <si>
    <t>29131286-86dd-4ca5-a3fe-35dbd415046d</t>
  </si>
  <si>
    <t>e3d2862d-8cf4-4f80-b314-3101ce237ec7</t>
  </si>
  <si>
    <t>a20da825-393d-49da-8b9b-f8c9dc7a6480</t>
  </si>
  <si>
    <t>5b87e5f2-ac8d-4069-9f7f-86d9ae7f2a00</t>
  </si>
  <si>
    <t>1fbba1be-cb67-48bc-a389-8d8679cbc22b</t>
  </si>
  <si>
    <t>af0ceacb-7fa9-4a30-844a-745ec76e725d</t>
  </si>
  <si>
    <t>a9ee7fb3-06be-4c49-9b63-fe206915a835</t>
  </si>
  <si>
    <t>7b270d42-6495-4f70-97c3-e5598cc0d713</t>
  </si>
  <si>
    <t>bcb15999-7125-4465-b550-38d64c74b23e</t>
  </si>
  <si>
    <t>b958d805-8684-4932-bba5-5c9b035fba25</t>
  </si>
  <si>
    <t>ee65204e-5251-439a-8864-66df421ce31b</t>
  </si>
  <si>
    <t>53f98fae-c222-4de9-b68c-98b4df1b2678</t>
  </si>
  <si>
    <t>2e195d21-01b6-49d4-bdef-b77e4ccb8b47</t>
  </si>
  <si>
    <t>c41a67ba-f421-45f2-8ab8-60a44d71ab90</t>
  </si>
  <si>
    <t>8cad2c60-27a8-4ead-b032-877b2fc9a3d1</t>
  </si>
  <si>
    <t>3104a45d-ee14-426e-9946-ec2b8ff41e9d</t>
  </si>
  <si>
    <t>eb3b84a3-2aca-456a-bc85-68ef54d39ef0</t>
  </si>
  <si>
    <t>ff7a1917-0999-4705-b34b-876fe45921d0</t>
  </si>
  <si>
    <t>0d33869b-734d-4627-9f23-748495b51f3a</t>
  </si>
  <si>
    <t>973c33d9-9e7c-44a8-b036-34e3ca60e724</t>
  </si>
  <si>
    <t>f6030921-fa70-4ac7-8322-eed82b59c275</t>
  </si>
  <si>
    <t>e5e626f9-1188-4aff-ab97-e58c0ca46d27</t>
  </si>
  <si>
    <t>0d02dc56-bb1d-46fb-93c9-358077888d28</t>
  </si>
  <si>
    <t>32ff551c-42fc-4a5c-b58b-21dfe0600e9e</t>
  </si>
  <si>
    <t>f423256b-65d3-4fa3-b3d7-5f95fa771105</t>
  </si>
  <si>
    <t>929e99f7-4528-4e41-bebc-bb95f7055c5b</t>
  </si>
  <si>
    <t>fde44ffb-5afe-4087-9dda-723f1caabed2</t>
  </si>
  <si>
    <t>5b1483c6-57ef-4c2d-b25b-7d514688f03d</t>
  </si>
  <si>
    <t>9f37ecc4-90b9-42a5-ad90-52b9d91a981f</t>
  </si>
  <si>
    <t>09dc284c-2fee-43c5-81c7-7b56e1255bd8</t>
  </si>
  <si>
    <t>5fcea81a-6b2a-4a2e-9e31-1da685fb0250</t>
  </si>
  <si>
    <t>2ab1e133-5462-4432-b9b2-81a4a94898cd</t>
  </si>
  <si>
    <t>3112b76f-f8be-4a6f-81c8-47469158b2c2</t>
  </si>
  <si>
    <t>ba76fe00-d8a2-4046-a268-1f8098d9287a</t>
  </si>
  <si>
    <t>07aa2aef-af3e-4f17-8258-b574abb247c3</t>
  </si>
  <si>
    <r>
      <rPr>
        <b/>
        <sz val="14"/>
        <color theme="0"/>
        <rFont val="微软雅黑"/>
        <family val="2"/>
      </rPr>
      <t>标准工作底稿</t>
    </r>
    <r>
      <rPr>
        <b/>
        <sz val="14"/>
        <color theme="0"/>
        <rFont val="Arial"/>
        <family val="2"/>
      </rPr>
      <t xml:space="preserve">: K1 SWP </t>
    </r>
    <r>
      <rPr>
        <b/>
        <sz val="14"/>
        <color theme="0"/>
        <rFont val="微软雅黑"/>
        <family val="2"/>
      </rPr>
      <t>不动产、厂房和设备及相关账户（</t>
    </r>
    <r>
      <rPr>
        <b/>
        <sz val="14"/>
        <color theme="0"/>
        <rFont val="Arial"/>
        <family val="2"/>
      </rPr>
      <t>PPE</t>
    </r>
    <r>
      <rPr>
        <b/>
        <sz val="14"/>
        <color theme="0"/>
        <rFont val="微软雅黑"/>
        <family val="2"/>
      </rPr>
      <t>）</t>
    </r>
    <phoneticPr fontId="94" type="noConversion"/>
  </si>
  <si>
    <r>
      <t xml:space="preserve">K.03.1 </t>
    </r>
    <r>
      <rPr>
        <b/>
        <sz val="12"/>
        <color rgb="FF000000"/>
        <rFont val="微软雅黑"/>
        <family val="2"/>
      </rPr>
      <t>实质性分析程序</t>
    </r>
    <phoneticPr fontId="94" type="noConversion"/>
  </si>
  <si>
    <r>
      <rPr>
        <b/>
        <sz val="10"/>
        <rFont val="微软雅黑"/>
        <family val="2"/>
      </rPr>
      <t>实体类型</t>
    </r>
    <phoneticPr fontId="131" type="noConversion"/>
  </si>
  <si>
    <r>
      <rPr>
        <sz val="10"/>
        <rFont val="微软雅黑"/>
        <family val="2"/>
      </rPr>
      <t>非复杂实体</t>
    </r>
    <r>
      <rPr>
        <sz val="10"/>
        <rFont val="Arial"/>
        <family val="2"/>
      </rPr>
      <t>*</t>
    </r>
  </si>
  <si>
    <t>TE</t>
    <phoneticPr fontId="94" type="noConversion"/>
  </si>
  <si>
    <t>CRA</t>
    <phoneticPr fontId="131" type="noConversion"/>
  </si>
  <si>
    <t>Low</t>
  </si>
  <si>
    <r>
      <rPr>
        <b/>
        <sz val="10"/>
        <rFont val="微软雅黑"/>
        <family val="2"/>
      </rPr>
      <t>目标</t>
    </r>
    <phoneticPr fontId="94" type="noConversion"/>
  </si>
  <si>
    <r>
      <rPr>
        <sz val="10"/>
        <rFont val="微软雅黑"/>
        <family val="2"/>
      </rPr>
      <t>验证与固定资产相关的计价认定，以及相关利润表账户的发生、计量、列报和披露认定合理。</t>
    </r>
    <phoneticPr fontId="94" type="noConversion"/>
  </si>
  <si>
    <r>
      <rPr>
        <b/>
        <sz val="10"/>
        <rFont val="微软雅黑"/>
        <family val="2"/>
      </rPr>
      <t>实质分析性复核程序：</t>
    </r>
    <phoneticPr fontId="131" type="noConversion"/>
  </si>
  <si>
    <r>
      <rPr>
        <b/>
        <u/>
        <sz val="10"/>
        <rFont val="微软雅黑"/>
        <family val="2"/>
      </rPr>
      <t>建立预期并确定预期的精确度</t>
    </r>
    <phoneticPr fontId="94" type="noConversion"/>
  </si>
  <si>
    <r>
      <rPr>
        <sz val="10"/>
        <rFont val="微软雅黑"/>
        <family val="2"/>
      </rPr>
      <t>我们的预期精确度为：</t>
    </r>
  </si>
  <si>
    <r>
      <rPr>
        <b/>
        <sz val="10"/>
        <rFont val="微软雅黑"/>
        <family val="2"/>
      </rPr>
      <t>高度精确</t>
    </r>
    <phoneticPr fontId="94" type="noConversion"/>
  </si>
  <si>
    <r>
      <rPr>
        <sz val="10"/>
        <rFont val="微软雅黑"/>
        <family val="2"/>
      </rPr>
      <t>我们在下方描述了我们建立预期以及评估预期精确度的理由</t>
    </r>
    <phoneticPr fontId="94" type="noConversion"/>
  </si>
  <si>
    <r>
      <rPr>
        <sz val="10"/>
        <rFont val="微软雅黑"/>
        <family val="2"/>
      </rPr>
      <t>（请结合预测预期结果的精确度、数据可分解的程度、数据的可用性以及信息的可靠性四个考虑因素进行评估。其中，预测预期结果的精确度主要与程序设置的精细程度和对信息利用的充分程度相关；其余因素则与用于测试的数据基础相关。）</t>
    </r>
    <phoneticPr fontId="94" type="noConversion"/>
  </si>
  <si>
    <r>
      <rPr>
        <sz val="10"/>
        <rFont val="微软雅黑"/>
        <family val="2"/>
      </rPr>
      <t>我们计划的证据水平为：</t>
    </r>
  </si>
  <si>
    <r>
      <t>*</t>
    </r>
    <r>
      <rPr>
        <b/>
        <i/>
        <sz val="10"/>
        <color rgb="FFFF0000"/>
        <rFont val="微软雅黑"/>
        <family val="2"/>
      </rPr>
      <t>如果通过</t>
    </r>
    <r>
      <rPr>
        <b/>
        <i/>
        <sz val="10"/>
        <color rgb="FFFF0000"/>
        <rFont val="Arial"/>
        <family val="2"/>
      </rPr>
      <t>SAP</t>
    </r>
    <r>
      <rPr>
        <b/>
        <i/>
        <sz val="10"/>
        <color rgb="FFFF0000"/>
        <rFont val="微软雅黑"/>
        <family val="2"/>
      </rPr>
      <t>程序取得了上方计划的证据水平，则已获取了充分适当的审计证据，无需执行进一步的审计程序（如</t>
    </r>
    <r>
      <rPr>
        <b/>
        <i/>
        <sz val="10"/>
        <color rgb="FFFF0000"/>
        <rFont val="Arial"/>
        <family val="2"/>
      </rPr>
      <t>TOD</t>
    </r>
    <r>
      <rPr>
        <b/>
        <i/>
        <sz val="10"/>
        <color rgb="FFFF0000"/>
        <rFont val="微软雅黑"/>
        <family val="2"/>
      </rPr>
      <t>）。</t>
    </r>
    <phoneticPr fontId="94" type="noConversion"/>
  </si>
  <si>
    <r>
      <rPr>
        <b/>
        <u/>
        <sz val="10"/>
        <rFont val="微软雅黑"/>
        <family val="2"/>
      </rPr>
      <t>确定偏差阈值</t>
    </r>
    <phoneticPr fontId="94" type="noConversion"/>
  </si>
  <si>
    <r>
      <rPr>
        <sz val="10"/>
        <rFont val="微软雅黑"/>
        <family val="2"/>
      </rPr>
      <t>我们的偏差阈值等于</t>
    </r>
    <r>
      <rPr>
        <sz val="10"/>
        <rFont val="Arial"/>
        <family val="2"/>
      </rPr>
      <t>1</t>
    </r>
    <r>
      <rPr>
        <sz val="10"/>
        <rFont val="微软雅黑"/>
        <family val="2"/>
      </rPr>
      <t>倍</t>
    </r>
    <r>
      <rPr>
        <sz val="10"/>
        <rFont val="Arial"/>
        <family val="2"/>
      </rPr>
      <t>TE</t>
    </r>
    <r>
      <rPr>
        <sz val="10"/>
        <rFont val="微软雅黑"/>
        <family val="2"/>
      </rPr>
      <t>：</t>
    </r>
    <phoneticPr fontId="94" type="noConversion"/>
  </si>
  <si>
    <t>我们在下方描述了分配偏差阈值时的考虑事项：</t>
    <phoneticPr fontId="94" type="noConversion"/>
  </si>
  <si>
    <r>
      <rPr>
        <b/>
        <sz val="10"/>
        <rFont val="微软雅黑"/>
        <family val="2"/>
      </rPr>
      <t>折旧测试</t>
    </r>
    <phoneticPr fontId="94" type="noConversion"/>
  </si>
  <si>
    <t>AA</t>
    <phoneticPr fontId="97" type="noConversion"/>
  </si>
  <si>
    <t>BB</t>
    <phoneticPr fontId="97" type="noConversion"/>
  </si>
  <si>
    <t>CC</t>
    <phoneticPr fontId="97" type="noConversion"/>
  </si>
  <si>
    <t>DD</t>
    <phoneticPr fontId="97" type="noConversion"/>
  </si>
  <si>
    <t>EE=AA+BB+CC+DD</t>
    <phoneticPr fontId="97" type="noConversion"/>
  </si>
  <si>
    <t>FF</t>
    <phoneticPr fontId="97" type="noConversion"/>
  </si>
  <si>
    <t>GG=EE-FF</t>
    <phoneticPr fontId="97" type="noConversion"/>
  </si>
  <si>
    <r>
      <rPr>
        <b/>
        <sz val="10"/>
        <color rgb="FFFF0000"/>
        <rFont val="微软雅黑"/>
        <family val="2"/>
      </rPr>
      <t>表</t>
    </r>
    <r>
      <rPr>
        <b/>
        <sz val="10"/>
        <color rgb="FFFF0000"/>
        <rFont val="Arial"/>
        <family val="2"/>
      </rPr>
      <t>2</t>
    </r>
    <phoneticPr fontId="94" type="noConversion"/>
  </si>
  <si>
    <r>
      <rPr>
        <b/>
        <sz val="10"/>
        <color theme="1"/>
        <rFont val="微软雅黑"/>
        <family val="2"/>
      </rPr>
      <t>固定资产原值</t>
    </r>
  </si>
  <si>
    <r>
      <rPr>
        <b/>
        <sz val="10"/>
        <rFont val="微软雅黑"/>
        <family val="2"/>
      </rPr>
      <t>本年计提折旧月数</t>
    </r>
  </si>
  <si>
    <r>
      <rPr>
        <b/>
        <sz val="10"/>
        <rFont val="微软雅黑"/>
        <family val="2"/>
      </rPr>
      <t>本年折旧</t>
    </r>
  </si>
  <si>
    <r>
      <rPr>
        <b/>
        <sz val="10"/>
        <rFont val="微软雅黑"/>
        <family val="2"/>
      </rPr>
      <t>资产类别</t>
    </r>
  </si>
  <si>
    <r>
      <rPr>
        <b/>
        <sz val="10"/>
        <rFont val="微软雅黑"/>
        <family val="2"/>
      </rPr>
      <t>折旧期限
（按月）</t>
    </r>
    <phoneticPr fontId="94" type="noConversion"/>
  </si>
  <si>
    <r>
      <rPr>
        <b/>
        <sz val="10"/>
        <rFont val="微软雅黑"/>
        <family val="2"/>
      </rPr>
      <t>残值率</t>
    </r>
    <phoneticPr fontId="94" type="noConversion"/>
  </si>
  <si>
    <r>
      <rPr>
        <b/>
        <sz val="10"/>
        <rFont val="微软雅黑"/>
        <family val="2"/>
      </rPr>
      <t xml:space="preserve">期初原值
</t>
    </r>
    <r>
      <rPr>
        <b/>
        <sz val="10"/>
        <color rgb="FFFF0000"/>
        <rFont val="Arial"/>
        <family val="2"/>
      </rPr>
      <t>A</t>
    </r>
    <phoneticPr fontId="94" type="noConversion"/>
  </si>
  <si>
    <r>
      <rPr>
        <b/>
        <sz val="10"/>
        <rFont val="微软雅黑"/>
        <family val="2"/>
      </rPr>
      <t xml:space="preserve">本年新增
</t>
    </r>
    <r>
      <rPr>
        <b/>
        <sz val="10"/>
        <color rgb="FFFF0000"/>
        <rFont val="Arial"/>
        <family val="2"/>
      </rPr>
      <t>B</t>
    </r>
    <phoneticPr fontId="94" type="noConversion"/>
  </si>
  <si>
    <r>
      <rPr>
        <b/>
        <sz val="10"/>
        <rFont val="微软雅黑"/>
        <family val="2"/>
      </rPr>
      <t xml:space="preserve">本年减少
</t>
    </r>
    <r>
      <rPr>
        <b/>
        <sz val="10"/>
        <color rgb="FFFF0000"/>
        <rFont val="Arial"/>
        <family val="2"/>
      </rPr>
      <t>C</t>
    </r>
    <phoneticPr fontId="94" type="noConversion"/>
  </si>
  <si>
    <r>
      <rPr>
        <b/>
        <sz val="10"/>
        <rFont val="微软雅黑"/>
        <family val="2"/>
      </rPr>
      <t>以前年度已提足折旧的原值</t>
    </r>
    <r>
      <rPr>
        <b/>
        <sz val="10"/>
        <color rgb="FF0070C0"/>
        <rFont val="Arial"/>
        <family val="2"/>
      </rPr>
      <t xml:space="preserve">
</t>
    </r>
    <r>
      <rPr>
        <b/>
        <sz val="10"/>
        <color rgb="FFFF0000"/>
        <rFont val="Arial"/>
        <family val="2"/>
      </rPr>
      <t>D</t>
    </r>
    <phoneticPr fontId="94" type="noConversion"/>
  </si>
  <si>
    <r>
      <rPr>
        <b/>
        <sz val="10"/>
        <rFont val="微软雅黑"/>
        <family val="2"/>
      </rPr>
      <t>本年已提足折旧的原值</t>
    </r>
    <r>
      <rPr>
        <b/>
        <sz val="10"/>
        <color rgb="FF0070C0"/>
        <rFont val="Arial"/>
        <family val="2"/>
      </rPr>
      <t xml:space="preserve">
</t>
    </r>
    <r>
      <rPr>
        <b/>
        <sz val="10"/>
        <color rgb="FFFF0000"/>
        <rFont val="Arial"/>
        <family val="2"/>
      </rPr>
      <t>E</t>
    </r>
    <phoneticPr fontId="94" type="noConversion"/>
  </si>
  <si>
    <r>
      <rPr>
        <b/>
        <sz val="10"/>
        <rFont val="微软雅黑"/>
        <family val="2"/>
      </rPr>
      <t xml:space="preserve">期初
</t>
    </r>
    <r>
      <rPr>
        <b/>
        <sz val="10"/>
        <color rgb="FFFF0000"/>
        <rFont val="Arial"/>
        <family val="2"/>
      </rPr>
      <t>12</t>
    </r>
    <phoneticPr fontId="94" type="noConversion"/>
  </si>
  <si>
    <r>
      <rPr>
        <b/>
        <sz val="10"/>
        <rFont val="微软雅黑"/>
        <family val="2"/>
      </rPr>
      <t xml:space="preserve">本年新增
</t>
    </r>
    <r>
      <rPr>
        <b/>
        <sz val="10"/>
        <color rgb="FFFF0000"/>
        <rFont val="Arial"/>
        <family val="2"/>
      </rPr>
      <t>b</t>
    </r>
    <phoneticPr fontId="94" type="noConversion"/>
  </si>
  <si>
    <r>
      <rPr>
        <b/>
        <sz val="10"/>
        <rFont val="微软雅黑"/>
        <family val="2"/>
      </rPr>
      <t xml:space="preserve">本年减少
</t>
    </r>
    <r>
      <rPr>
        <b/>
        <sz val="10"/>
        <color rgb="FFFF0000"/>
        <rFont val="Arial"/>
        <family val="2"/>
      </rPr>
      <t>c</t>
    </r>
    <phoneticPr fontId="94" type="noConversion"/>
  </si>
  <si>
    <r>
      <rPr>
        <b/>
        <sz val="10"/>
        <rFont val="微软雅黑"/>
        <family val="2"/>
      </rPr>
      <t xml:space="preserve">本年提足折旧
</t>
    </r>
    <r>
      <rPr>
        <b/>
        <sz val="10"/>
        <color rgb="FFFF0000"/>
        <rFont val="Arial"/>
        <family val="2"/>
      </rPr>
      <t>e</t>
    </r>
    <phoneticPr fontId="94" type="noConversion"/>
  </si>
  <si>
    <r>
      <rPr>
        <b/>
        <sz val="10"/>
        <color rgb="FF000000"/>
        <rFont val="微软雅黑"/>
        <family val="2"/>
      </rPr>
      <t>期初固定资产测算折旧费用</t>
    </r>
    <r>
      <rPr>
        <sz val="10"/>
        <color rgb="FF000000"/>
        <rFont val="Arial"/>
        <family val="2"/>
      </rPr>
      <t xml:space="preserve">
</t>
    </r>
    <r>
      <rPr>
        <b/>
        <sz val="10"/>
        <color rgb="FFFF0000"/>
        <rFont val="Arial"/>
        <family val="2"/>
      </rPr>
      <t>E=(A-C-D-E)*(1-</t>
    </r>
    <r>
      <rPr>
        <b/>
        <sz val="10"/>
        <color rgb="FFFF0000"/>
        <rFont val="微软雅黑"/>
        <family val="2"/>
      </rPr>
      <t>残值率</t>
    </r>
    <r>
      <rPr>
        <b/>
        <sz val="10"/>
        <color rgb="FFFF0000"/>
        <rFont val="Arial"/>
        <family val="2"/>
      </rPr>
      <t>)/</t>
    </r>
    <r>
      <rPr>
        <b/>
        <sz val="10"/>
        <color rgb="FFFF0000"/>
        <rFont val="微软雅黑"/>
        <family val="2"/>
      </rPr>
      <t>折旧期限</t>
    </r>
    <r>
      <rPr>
        <b/>
        <sz val="10"/>
        <color rgb="FFFF0000"/>
        <rFont val="Arial"/>
        <family val="2"/>
      </rPr>
      <t>*12</t>
    </r>
  </si>
  <si>
    <r>
      <rPr>
        <b/>
        <sz val="10"/>
        <color theme="1"/>
        <rFont val="微软雅黑"/>
        <family val="2"/>
      </rPr>
      <t>本年新增固定资产折旧费用</t>
    </r>
    <r>
      <rPr>
        <sz val="10"/>
        <color rgb="FF000000"/>
        <rFont val="Arial"/>
        <family val="2"/>
      </rPr>
      <t xml:space="preserve">
</t>
    </r>
    <r>
      <rPr>
        <b/>
        <sz val="10"/>
        <color rgb="FFFF0000"/>
        <rFont val="Arial"/>
        <family val="2"/>
      </rPr>
      <t>F=B*(1-</t>
    </r>
    <r>
      <rPr>
        <b/>
        <sz val="10"/>
        <color rgb="FFFF0000"/>
        <rFont val="微软雅黑"/>
        <family val="2"/>
      </rPr>
      <t>残值率</t>
    </r>
    <r>
      <rPr>
        <b/>
        <sz val="10"/>
        <color rgb="FFFF0000"/>
        <rFont val="Arial"/>
        <family val="2"/>
      </rPr>
      <t>)/</t>
    </r>
    <r>
      <rPr>
        <b/>
        <sz val="10"/>
        <color rgb="FFFF0000"/>
        <rFont val="微软雅黑"/>
        <family val="2"/>
      </rPr>
      <t>折旧期限</t>
    </r>
    <r>
      <rPr>
        <b/>
        <sz val="10"/>
        <color rgb="FFFF0000"/>
        <rFont val="Arial"/>
        <family val="2"/>
      </rPr>
      <t>*b</t>
    </r>
    <phoneticPr fontId="97" type="noConversion"/>
  </si>
  <si>
    <r>
      <rPr>
        <b/>
        <sz val="10"/>
        <color rgb="FF000000"/>
        <rFont val="微软雅黑"/>
        <family val="2"/>
      </rPr>
      <t>本年处置固定资产折旧费用</t>
    </r>
    <r>
      <rPr>
        <sz val="10"/>
        <color rgb="FF000000"/>
        <rFont val="Arial"/>
        <family val="2"/>
      </rPr>
      <t xml:space="preserve">
</t>
    </r>
    <r>
      <rPr>
        <b/>
        <sz val="10"/>
        <color rgb="FFFF0000"/>
        <rFont val="Arial"/>
        <family val="2"/>
      </rPr>
      <t>G=C*(1-</t>
    </r>
    <r>
      <rPr>
        <b/>
        <sz val="10"/>
        <color rgb="FFFF0000"/>
        <rFont val="微软雅黑"/>
        <family val="2"/>
      </rPr>
      <t>残值率</t>
    </r>
    <r>
      <rPr>
        <b/>
        <sz val="10"/>
        <color rgb="FFFF0000"/>
        <rFont val="Arial"/>
        <family val="2"/>
      </rPr>
      <t>)/</t>
    </r>
    <r>
      <rPr>
        <b/>
        <sz val="10"/>
        <color rgb="FFFF0000"/>
        <rFont val="微软雅黑"/>
        <family val="2"/>
      </rPr>
      <t>折旧期限</t>
    </r>
    <r>
      <rPr>
        <b/>
        <sz val="10"/>
        <color rgb="FFFF0000"/>
        <rFont val="Arial"/>
        <family val="2"/>
      </rPr>
      <t>*c</t>
    </r>
    <phoneticPr fontId="97" type="noConversion"/>
  </si>
  <si>
    <r>
      <rPr>
        <b/>
        <sz val="10"/>
        <color rgb="FF000000"/>
        <rFont val="微软雅黑"/>
        <family val="2"/>
      </rPr>
      <t>本年提足折旧资产折旧费用</t>
    </r>
    <r>
      <rPr>
        <sz val="10"/>
        <color rgb="FF000000"/>
        <rFont val="Arial"/>
        <family val="2"/>
      </rPr>
      <t xml:space="preserve">
</t>
    </r>
    <r>
      <rPr>
        <b/>
        <sz val="10"/>
        <color rgb="FFFF0000"/>
        <rFont val="Arial"/>
        <family val="2"/>
      </rPr>
      <t>H=E*(1-</t>
    </r>
    <r>
      <rPr>
        <b/>
        <sz val="10"/>
        <color rgb="FFFF0000"/>
        <rFont val="微软雅黑"/>
        <family val="2"/>
      </rPr>
      <t>残值率</t>
    </r>
    <r>
      <rPr>
        <b/>
        <sz val="10"/>
        <color rgb="FFFF0000"/>
        <rFont val="Arial"/>
        <family val="2"/>
      </rPr>
      <t>)/</t>
    </r>
    <r>
      <rPr>
        <b/>
        <sz val="10"/>
        <color rgb="FFFF0000"/>
        <rFont val="微软雅黑"/>
        <family val="2"/>
      </rPr>
      <t>折旧期限</t>
    </r>
    <r>
      <rPr>
        <b/>
        <sz val="10"/>
        <color rgb="FFFF0000"/>
        <rFont val="Arial"/>
        <family val="2"/>
      </rPr>
      <t>*e</t>
    </r>
    <phoneticPr fontId="97" type="noConversion"/>
  </si>
  <si>
    <r>
      <rPr>
        <b/>
        <sz val="10"/>
        <rFont val="微软雅黑"/>
        <family val="2"/>
      </rPr>
      <t xml:space="preserve">本年测算
折旧费用
</t>
    </r>
    <r>
      <rPr>
        <b/>
        <sz val="10"/>
        <color rgb="FFFF0000"/>
        <rFont val="Arial"/>
        <family val="2"/>
      </rPr>
      <t>I=E+F+G+H</t>
    </r>
    <phoneticPr fontId="94" type="noConversion"/>
  </si>
  <si>
    <r>
      <rPr>
        <b/>
        <sz val="10"/>
        <rFont val="微软雅黑"/>
        <family val="2"/>
      </rPr>
      <t>账面计提
折旧费用</t>
    </r>
    <phoneticPr fontId="94" type="noConversion"/>
  </si>
  <si>
    <r>
      <rPr>
        <b/>
        <sz val="10"/>
        <rFont val="微软雅黑"/>
        <family val="2"/>
      </rPr>
      <t>差异</t>
    </r>
    <phoneticPr fontId="94" type="noConversion"/>
  </si>
  <si>
    <r>
      <rPr>
        <b/>
        <sz val="10"/>
        <rFont val="微软雅黑"/>
        <family val="2"/>
      </rPr>
      <t>已分配偏差阈值</t>
    </r>
    <phoneticPr fontId="143" type="noConversion"/>
  </si>
  <si>
    <r>
      <rPr>
        <b/>
        <sz val="10"/>
        <rFont val="微软雅黑"/>
        <family val="2"/>
      </rPr>
      <t>差异是否超过已分配偏差阈值？</t>
    </r>
    <phoneticPr fontId="143" type="noConversion"/>
  </si>
  <si>
    <t>Total</t>
  </si>
  <si>
    <t>Rx</t>
  </si>
  <si>
    <t>绝对值偏差：</t>
  </si>
  <si>
    <r>
      <rPr>
        <sz val="10"/>
        <rFont val="微软雅黑"/>
        <family val="2"/>
      </rPr>
      <t>偏差阈值：</t>
    </r>
    <phoneticPr fontId="94" type="noConversion"/>
  </si>
  <si>
    <r>
      <t>Notes</t>
    </r>
    <r>
      <rPr>
        <b/>
        <sz val="10"/>
        <color rgb="FFFF0000"/>
        <rFont val="微软雅黑"/>
        <family val="2"/>
      </rPr>
      <t>：</t>
    </r>
    <phoneticPr fontId="94" type="noConversion"/>
  </si>
  <si>
    <r>
      <rPr>
        <sz val="10"/>
        <color theme="1"/>
        <rFont val="微软雅黑"/>
        <family val="2"/>
      </rPr>
      <t>是否超过阈值？</t>
    </r>
    <phoneticPr fontId="94" type="noConversion"/>
  </si>
  <si>
    <r>
      <rPr>
        <b/>
        <sz val="10"/>
        <rFont val="微软雅黑"/>
        <family val="2"/>
      </rPr>
      <t>工作底稿结论</t>
    </r>
  </si>
  <si>
    <r>
      <rPr>
        <sz val="10"/>
        <rFont val="微软雅黑"/>
        <family val="2"/>
      </rPr>
      <t>根据我们的程序：</t>
    </r>
  </si>
  <si>
    <r>
      <t xml:space="preserve"> - </t>
    </r>
    <r>
      <rPr>
        <sz val="10"/>
        <color rgb="FF000000"/>
        <rFont val="微软雅黑"/>
        <family val="2"/>
      </rPr>
      <t>在调查它们及其基本业务理由后，我们确定它们似乎不适当或缺乏基本业务理由，我们</t>
    </r>
    <r>
      <rPr>
        <b/>
        <sz val="10"/>
        <color rgb="FF000000"/>
        <rFont val="微软雅黑"/>
        <family val="2"/>
      </rPr>
      <t>尚未</t>
    </r>
    <r>
      <rPr>
        <sz val="10"/>
        <color rgb="FF000000"/>
        <rFont val="微软雅黑"/>
        <family val="2"/>
      </rPr>
      <t>达到计划的证据水平。对于超过我们名义金额的任何已识别错报，我们在</t>
    </r>
    <r>
      <rPr>
        <sz val="10"/>
        <color rgb="FF000000"/>
        <rFont val="Arial"/>
        <family val="2"/>
      </rPr>
      <t>ey Canvas</t>
    </r>
    <r>
      <rPr>
        <sz val="10"/>
        <color rgb="FF000000"/>
        <rFont val="微软雅黑"/>
        <family val="2"/>
      </rPr>
      <t>中创建了一个错报，并将其过账到我们的审计差异汇总表中。有关详细信息，请参阅上面的结果。
我们考虑了对审计计划的影响，并酌情在</t>
    </r>
    <r>
      <rPr>
        <sz val="10"/>
        <color rgb="FF000000"/>
        <rFont val="Arial"/>
        <family val="2"/>
      </rPr>
      <t>Canvas</t>
    </r>
    <r>
      <rPr>
        <sz val="10"/>
        <color rgb="FF000000"/>
        <rFont val="微软雅黑"/>
        <family val="2"/>
      </rPr>
      <t>中更新了程序。</t>
    </r>
    <phoneticPr fontId="94" type="noConversion"/>
  </si>
  <si>
    <r>
      <rPr>
        <sz val="10"/>
        <color theme="1"/>
        <rFont val="微软雅黑"/>
        <family val="2"/>
      </rPr>
      <t>结论一</t>
    </r>
    <phoneticPr fontId="131" type="noConversion"/>
  </si>
  <si>
    <r>
      <rPr>
        <sz val="10"/>
        <rFont val="微软雅黑"/>
        <family val="2"/>
      </rPr>
      <t>我们对不符合我们预期和超出我们偏差阈值的任何结果进行跟进。我们的跟进工作可能包括进一步调查数据、调查相关交易，以及询问管理层。我们评估并核实管理层给出的解释，考虑我们其它调查的结果，并对已通过这些程序获得适当支持的偏差部分进行量化。</t>
    </r>
  </si>
  <si>
    <r>
      <rPr>
        <sz val="10"/>
        <color theme="1"/>
        <rFont val="微软雅黑"/>
        <family val="2"/>
      </rPr>
      <t>结论二</t>
    </r>
    <phoneticPr fontId="131" type="noConversion"/>
  </si>
  <si>
    <r>
      <rPr>
        <sz val="10"/>
        <color theme="1"/>
        <rFont val="微软雅黑"/>
        <family val="2"/>
      </rPr>
      <t>结论三</t>
    </r>
    <phoneticPr fontId="131" type="noConversion"/>
  </si>
  <si>
    <r>
      <t>-</t>
    </r>
    <r>
      <rPr>
        <sz val="10"/>
        <rFont val="微软雅黑"/>
        <family val="2"/>
      </rPr>
      <t>在调查它们及其基本业务理由后，我们确定它们似乎不适当或缺乏基本业务理由，我们</t>
    </r>
    <r>
      <rPr>
        <b/>
        <sz val="10"/>
        <rFont val="微软雅黑"/>
        <family val="2"/>
      </rPr>
      <t>尚未</t>
    </r>
    <r>
      <rPr>
        <sz val="10"/>
        <rFont val="微软雅黑"/>
        <family val="2"/>
      </rPr>
      <t>达到计划的证据水平。对于超过我们名义金额的任何已识别错报，我们在</t>
    </r>
    <r>
      <rPr>
        <sz val="10"/>
        <rFont val="Arial"/>
        <family val="2"/>
      </rPr>
      <t>ey Canvas</t>
    </r>
    <r>
      <rPr>
        <sz val="10"/>
        <rFont val="微软雅黑"/>
        <family val="2"/>
      </rPr>
      <t>中创建了一个错报，并将其过账到我们的审计差异汇总表中。有关详细信息，请参阅上面的结果。
我们考虑了对审计计划的影响，并酌情在</t>
    </r>
    <r>
      <rPr>
        <sz val="10"/>
        <rFont val="Arial"/>
        <family val="2"/>
      </rPr>
      <t>Canvas</t>
    </r>
    <r>
      <rPr>
        <sz val="10"/>
        <rFont val="微软雅黑"/>
        <family val="2"/>
      </rPr>
      <t>中更新了程序。</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</si>
</sst>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9">
    <numFmt numFmtId="41" formatCode="_ * #,##0_ ;_ * \-#,##0_ ;_ * &quot;-&quot;_ ;_ @_ "/>
    <numFmt numFmtId="43" formatCode="_ * #,##0.00_ ;_ * \-#,##0.00_ ;_ * &quot;-&quot;??_ ;_ @_ "/>
    <numFmt numFmtId="176" formatCode="_(* #,##0.00_);_(* \(#,##0.00\);_(* &quot;-&quot;??_);_(@_)"/>
    <numFmt numFmtId="177" formatCode="&quot;$&quot;#,##0_);\(&quot;$&quot;#,##0\)"/>
    <numFmt numFmtId="178" formatCode="&quot;$&quot;#,##0.00_);\(&quot;$&quot;#,##0.00\)"/>
    <numFmt numFmtId="179" formatCode="_(* #,##0_);_(* \(#,##0\);_(* &quot;-&quot;_);_(@_)"/>
    <numFmt numFmtId="180" formatCode="_(&quot;$&quot;* #,##0.00_);_(&quot;$&quot;* \(#,##0.00\);_(&quot;$&quot;* &quot;-&quot;??_);_(@_)"/>
    <numFmt numFmtId="181" formatCode="#,##0;\(#,##0\)"/>
    <numFmt numFmtId="182" formatCode="_(* #,##0_);_(* \(#,##0\);_(* &quot;-&quot;??_);_(@_)"/>
    <numFmt numFmtId="183" formatCode="_([$€-2]* #,##0.00_);_([$€-2]* \(#,##0.00\);_([$€-2]* &quot;-&quot;??_)"/>
    <numFmt numFmtId="184" formatCode="_-* #,##0.0000000000_-;\-* #,##0.0000000000_-;_-* &quot;-&quot;??_-;_-@_-"/>
    <numFmt numFmtId="185" formatCode="0.0%"/>
    <numFmt numFmtId="186" formatCode="&quot;¥&quot;#,##0;\-&quot;¥&quot;#,##0"/>
    <numFmt numFmtId="187" formatCode="#,##0;\-#,##0;&quot;-&quot;"/>
    <numFmt numFmtId="188" formatCode="&quot;$&quot;#,##0;[Red]&quot;$&quot;&quot;$&quot;&quot;$&quot;&quot;$&quot;&quot;$&quot;&quot;$&quot;&quot;$&quot;\-#,##0"/>
    <numFmt numFmtId="189" formatCode="_-* #,##0.00_-;\-* #,##0.00_-;_-* &quot;-&quot;??_-;_-@_-"/>
    <numFmt numFmtId="190" formatCode="#,##0.0_);\(#,##0.0\)"/>
    <numFmt numFmtId="191" formatCode="\$#,##0.00;\(\$#,##0.00\)"/>
    <numFmt numFmtId="192" formatCode="\$#,##0;\(\$#,##0\)"/>
    <numFmt numFmtId="193" formatCode="_ [$€-2]* #,##0.00_ ;_ [$€-2]* \-#,##0.00_ ;_ [$€-2]* &quot;-&quot;??_ "/>
    <numFmt numFmtId="194" formatCode="[$-804]aaaa;@"/>
    <numFmt numFmtId="195" formatCode="_-* #,##0\ _k_r_-;\-* #,##0\ _k_r_-;_-* &quot;-&quot;\ _k_r_-;_-@_-"/>
    <numFmt numFmtId="196" formatCode="_-* #,##0.00\ _k_r_-;\-* #,##0.00\ _k_r_-;_-* &quot;-&quot;??\ _k_r_-;_-@_-"/>
    <numFmt numFmtId="197" formatCode="#,##0.00_);#,##0.00\)"/>
    <numFmt numFmtId="198" formatCode="0.00000&quot;  &quot;"/>
    <numFmt numFmtId="199" formatCode="_-* #,##0_-;\-* #,##0_-;_-* &quot;-&quot;_-;_-@_-"/>
    <numFmt numFmtId="200" formatCode="_([$€-2]* #,##0.00000_);_([$€-2]* \(#,##0.00000\);_([$€-2]* &quot;-&quot;??_)"/>
    <numFmt numFmtId="201" formatCode="_-&quot;$&quot;* #,##0_-;\-&quot;$&quot;* #,##0_-;_-&quot;$&quot;* &quot;-&quot;_-;_-@_-"/>
    <numFmt numFmtId="202" formatCode="_-&quot;$&quot;* #,##0.00_-;\-&quot;$&quot;* #,##0.00_-;_-&quot;$&quot;* &quot;-&quot;??_-;_-@_-"/>
    <numFmt numFmtId="203" formatCode="&quot;\&quot;#,##0;[Red]&quot;\&quot;&quot;\&quot;\-#,##0"/>
    <numFmt numFmtId="204" formatCode="&quot;\&quot;#,##0.00;[Red]&quot;\&quot;&quot;\&quot;&quot;\&quot;&quot;\&quot;&quot;\&quot;&quot;\&quot;\-#,##0.00"/>
    <numFmt numFmtId="205" formatCode="&quot;\&quot;#,##0.00;[Red]&quot;\&quot;\-#,##0.00"/>
    <numFmt numFmtId="206" formatCode="&quot;\&quot;#,##0;[Red]&quot;\&quot;\-#,##0"/>
    <numFmt numFmtId="207"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8" formatCode="_(\¥* #,##0.00_);_(\¥* \(#,##0.00\);_(\¥* &quot;-&quot;??_);_(@_)"/>
    <numFmt numFmtId="209" formatCode="\¥#,##0;\-\¥#,##0"/>
    <numFmt numFmtId="210" formatCode="* #,##0.00;[Red]\(#,##0.00\);&quot;-&quot;;\ @"/>
    <numFmt numFmtId="211" formatCode="#,##0_ ;\-#,##0\ "/>
    <numFmt numFmtId="212" formatCode="_ * #,##0_ ;_ * \-#,##0_ ;_ * &quot;-&quot;??_ ;_ @_ "/>
  </numFmts>
  <fonts count="151">
    <font>
      <sz val="11"/>
      <color theme="1"/>
      <name val="宋体"/>
      <family val="2"/>
      <charset val="134"/>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0"/>
      <color theme="1"/>
      <name val="微软雅黑"/>
      <family val="2"/>
      <charset val="134"/>
    </font>
    <font>
      <sz val="10"/>
      <color theme="1"/>
      <name val="Arial"/>
      <family val="2"/>
    </font>
    <font>
      <sz val="10"/>
      <color theme="1"/>
      <name val="微软雅黑"/>
      <family val="2"/>
      <charset val="134"/>
    </font>
    <font>
      <sz val="10"/>
      <name val="Arial"/>
      <family val="2"/>
    </font>
    <font>
      <sz val="10"/>
      <color indexed="8"/>
      <name val="Arial"/>
      <family val="2"/>
    </font>
    <font>
      <sz val="11"/>
      <color theme="1"/>
      <name val="Arial"/>
      <family val="2"/>
    </font>
    <font>
      <b/>
      <sz val="10"/>
      <color rgb="FFFF0000"/>
      <name val="Arial"/>
      <family val="2"/>
    </font>
    <font>
      <u/>
      <sz val="10"/>
      <color theme="10"/>
      <name val="Arial"/>
      <family val="2"/>
    </font>
    <font>
      <sz val="10"/>
      <color rgb="FF000000"/>
      <name val="Arial"/>
      <family val="2"/>
    </font>
    <font>
      <sz val="10"/>
      <color rgb="FFFF0000"/>
      <name val="Arial"/>
      <family val="2"/>
    </font>
    <font>
      <b/>
      <sz val="10"/>
      <name val="Arial"/>
      <family val="2"/>
    </font>
    <font>
      <b/>
      <sz val="10"/>
      <color theme="1"/>
      <name val="Arial"/>
      <family val="2"/>
    </font>
    <font>
      <b/>
      <sz val="10"/>
      <color indexed="10"/>
      <name val="Arial"/>
      <family val="2"/>
    </font>
    <font>
      <sz val="10"/>
      <color indexed="10"/>
      <name val="Arial"/>
      <family val="2"/>
    </font>
    <font>
      <b/>
      <sz val="10"/>
      <color indexed="8"/>
      <name val="Arial"/>
      <family val="2"/>
    </font>
    <font>
      <sz val="10"/>
      <color indexed="0"/>
      <name val="Arial"/>
      <family val="2"/>
    </font>
    <font>
      <sz val="11"/>
      <color indexed="8"/>
      <name val="Calibri"/>
      <family val="2"/>
    </font>
    <font>
      <sz val="8"/>
      <name val="EYInterstate Light"/>
      <family val="2"/>
    </font>
    <font>
      <sz val="12"/>
      <name val="宋体"/>
      <family val="3"/>
      <charset val="134"/>
    </font>
    <font>
      <sz val="10"/>
      <name val="Tahoma"/>
      <family val="2"/>
    </font>
    <font>
      <sz val="10"/>
      <name val="Helv"/>
      <family val="2"/>
    </font>
    <font>
      <sz val="13"/>
      <name val="Tms Rmn"/>
      <family val="1"/>
    </font>
    <font>
      <sz val="12"/>
      <color indexed="9"/>
      <name val="宋体"/>
      <family val="3"/>
      <charset val="134"/>
    </font>
    <font>
      <sz val="12"/>
      <color indexed="8"/>
      <name val="宋体"/>
      <family val="3"/>
      <charset val="134"/>
    </font>
    <font>
      <sz val="11"/>
      <color theme="0"/>
      <name val="宋体"/>
      <family val="3"/>
      <charset val="134"/>
      <scheme val="minor"/>
    </font>
    <font>
      <sz val="11"/>
      <color rgb="FF9C0006"/>
      <name val="宋体"/>
      <family val="3"/>
      <charset val="134"/>
      <scheme val="minor"/>
    </font>
    <font>
      <b/>
      <sz val="10"/>
      <name val="Helv"/>
      <family val="2"/>
    </font>
    <font>
      <b/>
      <sz val="11"/>
      <color theme="0"/>
      <name val="宋体"/>
      <family val="3"/>
      <charset val="134"/>
    </font>
    <font>
      <b/>
      <sz val="11"/>
      <color theme="0"/>
      <name val="宋体"/>
      <family val="3"/>
      <charset val="134"/>
      <scheme val="minor"/>
    </font>
    <font>
      <b/>
      <sz val="13"/>
      <name val="Tms Rmn"/>
      <family val="1"/>
    </font>
    <font>
      <sz val="11"/>
      <color indexed="8"/>
      <name val="宋体"/>
      <family val="3"/>
      <charset val="134"/>
    </font>
    <font>
      <sz val="11"/>
      <color rgb="FF000000"/>
      <name val="Calibri"/>
      <family val="2"/>
    </font>
    <font>
      <sz val="10"/>
      <name val="Times New Roman"/>
      <family val="1"/>
    </font>
    <font>
      <b/>
      <sz val="11"/>
      <color rgb="FFFF0000"/>
      <name val="宋体"/>
      <family val="3"/>
      <charset val="134"/>
    </font>
    <font>
      <sz val="9"/>
      <name val="Times New Roman"/>
      <family val="1"/>
    </font>
    <font>
      <sz val="8"/>
      <name val="Arial"/>
      <family val="2"/>
    </font>
    <font>
      <sz val="10"/>
      <name val="宋体"/>
      <family val="3"/>
      <charset val="134"/>
    </font>
    <font>
      <sz val="11"/>
      <color rgb="FF006100"/>
      <name val="宋体"/>
      <family val="3"/>
      <charset val="134"/>
    </font>
    <font>
      <sz val="11"/>
      <color rgb="FF006100"/>
      <name val="宋体"/>
      <family val="3"/>
      <charset val="134"/>
      <scheme val="minor"/>
    </font>
    <font>
      <b/>
      <sz val="12"/>
      <name val="Helv"/>
      <family val="2"/>
    </font>
    <font>
      <b/>
      <sz val="12"/>
      <name val="Arial"/>
      <family val="2"/>
    </font>
    <font>
      <b/>
      <sz val="10"/>
      <color theme="1"/>
      <name val="宋体"/>
      <family val="3"/>
      <charset val="134"/>
    </font>
    <font>
      <u/>
      <sz val="11"/>
      <color theme="10"/>
      <name val="宋体"/>
      <family val="3"/>
      <charset val="134"/>
      <scheme val="minor"/>
    </font>
    <font>
      <u/>
      <sz val="11"/>
      <color theme="10"/>
      <name val="宋体"/>
      <family val="3"/>
      <charset val="134"/>
    </font>
    <font>
      <u/>
      <sz val="10"/>
      <color theme="10"/>
      <name val="等线"/>
      <family val="3"/>
      <charset val="134"/>
    </font>
    <font>
      <b/>
      <sz val="11"/>
      <name val="Helv"/>
      <family val="2"/>
    </font>
    <font>
      <sz val="11"/>
      <color rgb="FF9C5700"/>
      <name val="宋体"/>
      <family val="3"/>
      <charset val="134"/>
      <scheme val="minor"/>
    </font>
    <font>
      <sz val="12"/>
      <name val="Times New Roman"/>
      <family val="1"/>
    </font>
    <font>
      <sz val="10"/>
      <color theme="1"/>
      <name val="Times New Roman"/>
      <family val="1"/>
    </font>
    <font>
      <sz val="11"/>
      <color theme="1"/>
      <name val="宋体"/>
      <family val="3"/>
      <charset val="134"/>
    </font>
    <font>
      <sz val="12"/>
      <color theme="1"/>
      <name val="宋体"/>
      <family val="3"/>
      <charset val="134"/>
    </font>
    <font>
      <sz val="10"/>
      <color indexed="8"/>
      <name val="MS Sans Serif"/>
      <family val="2"/>
    </font>
    <font>
      <sz val="8"/>
      <color indexed="16"/>
      <name val="Century Schoolbook"/>
      <family val="1"/>
    </font>
    <font>
      <b/>
      <sz val="10"/>
      <color indexed="39"/>
      <name val="Arial"/>
      <family val="2"/>
    </font>
    <font>
      <b/>
      <sz val="12"/>
      <color indexed="8"/>
      <name val="Arial"/>
      <family val="2"/>
    </font>
    <font>
      <sz val="10"/>
      <color indexed="39"/>
      <name val="Arial"/>
      <family val="2"/>
    </font>
    <font>
      <sz val="19"/>
      <color indexed="48"/>
      <name val="Arial"/>
      <family val="2"/>
    </font>
    <font>
      <b/>
      <i/>
      <sz val="10"/>
      <name val="Times New Roman"/>
      <family val="1"/>
    </font>
    <font>
      <b/>
      <sz val="9"/>
      <name val="Times New Roman"/>
      <family val="1"/>
    </font>
    <font>
      <sz val="11"/>
      <name val="明朝"/>
      <family val="3"/>
      <charset val="134"/>
    </font>
    <font>
      <sz val="10"/>
      <name val="Arial Narrow"/>
      <family val="2"/>
    </font>
    <font>
      <sz val="14"/>
      <name val="柧挬"/>
      <family val="2"/>
    </font>
    <font>
      <b/>
      <sz val="18"/>
      <color indexed="35"/>
      <name val="宋体"/>
      <family val="3"/>
      <charset val="134"/>
    </font>
    <font>
      <sz val="8"/>
      <name val="Century Schoolbook"/>
      <family val="1"/>
    </font>
    <font>
      <b/>
      <sz val="18"/>
      <color indexed="62"/>
      <name val="宋体"/>
      <family val="3"/>
      <charset val="134"/>
    </font>
    <font>
      <sz val="11"/>
      <color indexed="26"/>
      <name val="宋体"/>
      <family val="3"/>
      <charset val="134"/>
    </font>
    <font>
      <sz val="11"/>
      <color indexed="20"/>
      <name val="宋体"/>
      <family val="3"/>
      <charset val="134"/>
    </font>
    <font>
      <sz val="12"/>
      <color indexed="16"/>
      <name val="宋体"/>
      <family val="3"/>
      <charset val="134"/>
    </font>
    <font>
      <sz val="11"/>
      <color indexed="9"/>
      <name val="宋体"/>
      <family val="3"/>
      <charset val="134"/>
    </font>
    <font>
      <sz val="10"/>
      <name val="宋体"/>
      <family val="3"/>
      <charset val="134"/>
      <scheme val="minor"/>
    </font>
    <font>
      <sz val="10"/>
      <color theme="1"/>
      <name val="等线"/>
      <family val="3"/>
      <charset val="134"/>
    </font>
    <font>
      <sz val="12"/>
      <color rgb="FF000000"/>
      <name val="Calibri"/>
      <family val="2"/>
    </font>
    <font>
      <u/>
      <sz val="12"/>
      <color indexed="12"/>
      <name val="宋体"/>
      <family val="3"/>
      <charset val="134"/>
    </font>
    <font>
      <u/>
      <sz val="10"/>
      <color indexed="12"/>
      <name val="宋体"/>
      <family val="3"/>
      <charset val="134"/>
    </font>
    <font>
      <sz val="11"/>
      <color indexed="38"/>
      <name val="宋体"/>
      <family val="3"/>
      <charset val="134"/>
    </font>
    <font>
      <sz val="11"/>
      <color indexed="17"/>
      <name val="宋体"/>
      <family val="3"/>
      <charset val="134"/>
    </font>
    <font>
      <sz val="12"/>
      <color indexed="17"/>
      <name val="宋体"/>
      <family val="3"/>
      <charset val="134"/>
    </font>
    <font>
      <sz val="11"/>
      <color indexed="21"/>
      <name val="宋体"/>
      <family val="3"/>
      <charset val="134"/>
    </font>
    <font>
      <sz val="10"/>
      <name val="Geneva"/>
      <family val="2"/>
    </font>
    <font>
      <sz val="12"/>
      <name val="新細明體"/>
      <family val="1"/>
    </font>
    <font>
      <sz val="12"/>
      <name val="官帕眉"/>
      <family val="2"/>
    </font>
    <font>
      <sz val="10"/>
      <name val="奔覆眉"/>
      <family val="2"/>
    </font>
    <font>
      <b/>
      <sz val="12"/>
      <color indexed="8"/>
      <name val="宋体"/>
      <family val="3"/>
      <charset val="134"/>
    </font>
    <font>
      <sz val="12"/>
      <name val="柧挬"/>
      <family val="2"/>
    </font>
    <font>
      <sz val="11"/>
      <name val="ＭＳ Ｐゴシック"/>
      <family val="3"/>
      <charset val="134"/>
    </font>
    <font>
      <sz val="12"/>
      <name val="바탕체"/>
      <family val="3"/>
    </font>
    <font>
      <sz val="11"/>
      <color theme="1"/>
      <name val="宋体"/>
      <family val="2"/>
      <charset val="134"/>
      <scheme val="minor"/>
    </font>
    <font>
      <sz val="9"/>
      <name val="宋体"/>
      <family val="2"/>
      <charset val="134"/>
      <scheme val="minor"/>
    </font>
    <font>
      <sz val="10"/>
      <name val="宋体"/>
      <family val="2"/>
      <charset val="134"/>
    </font>
    <font>
      <u/>
      <sz val="11"/>
      <color theme="10"/>
      <name val="宋体"/>
      <family val="2"/>
      <scheme val="minor"/>
    </font>
    <font>
      <sz val="9"/>
      <name val="宋体"/>
      <family val="3"/>
      <charset val="134"/>
      <scheme val="minor"/>
    </font>
    <font>
      <sz val="10"/>
      <name val="宋体"/>
      <family val="3"/>
      <charset val="134"/>
    </font>
    <font>
      <sz val="11"/>
      <color theme="1"/>
      <name val="宋体"/>
      <family val="3"/>
      <charset val="134"/>
      <scheme val="minor"/>
    </font>
    <font>
      <sz val="8"/>
      <name val="EYInterstate Light"/>
    </font>
    <font>
      <i/>
      <sz val="10"/>
      <color rgb="FFFF0000"/>
      <name val="Arial"/>
      <family val="2"/>
    </font>
    <font>
      <b/>
      <i/>
      <sz val="10"/>
      <color rgb="FFFF0000"/>
      <name val="Arial"/>
      <family val="2"/>
    </font>
    <font>
      <i/>
      <sz val="10"/>
      <name val="Arial"/>
      <family val="2"/>
    </font>
    <font>
      <sz val="11"/>
      <color theme="1"/>
      <name val="微软雅黑"/>
      <family val="2"/>
      <charset val="134"/>
    </font>
    <font>
      <u/>
      <sz val="11"/>
      <color theme="10"/>
      <name val="宋体"/>
      <family val="2"/>
      <charset val="134"/>
      <scheme val="minor"/>
    </font>
    <font>
      <sz val="11"/>
      <color rgb="FF000000"/>
      <name val="Arial"/>
      <family val="2"/>
    </font>
    <font>
      <b/>
      <sz val="14"/>
      <color rgb="FFFFFFFF"/>
      <name val="Arial"/>
      <family val="2"/>
    </font>
    <font>
      <b/>
      <sz val="12"/>
      <color rgb="FF000000"/>
      <name val="Arial"/>
      <family val="2"/>
    </font>
    <font>
      <sz val="11"/>
      <color rgb="FF000000"/>
      <name val="微软雅黑"/>
      <family val="2"/>
      <charset val="134"/>
    </font>
    <font>
      <b/>
      <sz val="14"/>
      <color theme="0"/>
      <name val="Arial"/>
      <family val="2"/>
    </font>
    <font>
      <u/>
      <sz val="12"/>
      <color theme="10"/>
      <name val="Arial"/>
      <family val="2"/>
    </font>
    <font>
      <sz val="10"/>
      <color theme="1"/>
      <name val="Tahoma"/>
      <family val="2"/>
    </font>
    <font>
      <sz val="11"/>
      <color indexed="8"/>
      <name val="宋体"/>
      <family val="2"/>
      <scheme val="minor"/>
    </font>
    <font>
      <sz val="11"/>
      <color rgb="FF000000"/>
      <name val="宋体"/>
      <family val="2"/>
      <scheme val="minor"/>
    </font>
    <font>
      <sz val="12"/>
      <name val="Arial"/>
      <family val="2"/>
    </font>
    <font>
      <sz val="10"/>
      <color theme="1"/>
      <name val="times new roman"/>
      <family val="2"/>
    </font>
    <font>
      <sz val="11"/>
      <color rgb="FFFF0000"/>
      <name val="微软雅黑"/>
      <family val="2"/>
      <charset val="134"/>
    </font>
    <font>
      <b/>
      <sz val="11"/>
      <color theme="1"/>
      <name val="微软雅黑"/>
      <family val="2"/>
      <charset val="134"/>
    </font>
    <font>
      <b/>
      <sz val="11"/>
      <name val="微软雅黑"/>
      <family val="2"/>
      <charset val="134"/>
    </font>
    <font>
      <sz val="11"/>
      <name val="微软雅黑"/>
      <family val="2"/>
      <charset val="134"/>
    </font>
    <font>
      <b/>
      <sz val="11"/>
      <color rgb="FF000000"/>
      <name val="微软雅黑"/>
      <family val="2"/>
      <charset val="134"/>
    </font>
    <font>
      <sz val="11"/>
      <color indexed="8"/>
      <name val="微软雅黑"/>
      <family val="2"/>
      <charset val="134"/>
    </font>
    <font>
      <sz val="11"/>
      <color theme="1"/>
      <name val="宋体"/>
      <family val="3"/>
      <charset val="134"/>
      <scheme val="minor"/>
    </font>
    <font>
      <sz val="9"/>
      <color theme="1"/>
      <name val="Arial Unicode MS"/>
      <family val="2"/>
    </font>
    <font>
      <sz val="9"/>
      <color theme="1"/>
      <name val="Arial"/>
      <family val="2"/>
      <charset val="134"/>
    </font>
    <font>
      <sz val="11"/>
      <color rgb="FF000000"/>
      <name val="等线"/>
      <family val="3"/>
    </font>
    <font>
      <sz val="11"/>
      <color theme="1"/>
      <name val="黑体"/>
      <family val="3"/>
      <charset val="134"/>
    </font>
    <font>
      <sz val="11"/>
      <color rgb="FF000000"/>
      <name val="黑体"/>
      <family val="3"/>
      <charset val="134"/>
    </font>
    <font>
      <sz val="11"/>
      <color theme="1"/>
      <name val="SimSun"/>
      <family val="3"/>
      <charset val="134"/>
    </font>
    <font>
      <b/>
      <sz val="11"/>
      <name val="Arial"/>
      <family val="2"/>
    </font>
    <font>
      <sz val="9"/>
      <name val="宋体"/>
      <family val="3"/>
      <charset val="134"/>
    </font>
    <font>
      <b/>
      <sz val="11"/>
      <color theme="4" tint="-0.249977111117893"/>
      <name val="Arial"/>
      <family val="2"/>
    </font>
    <font>
      <sz val="10"/>
      <color theme="4" tint="-0.249977111117893"/>
      <name val="Arial"/>
      <family val="2"/>
    </font>
    <font>
      <u/>
      <sz val="11"/>
      <color theme="10"/>
      <name val="SimSun"/>
      <family val="3"/>
      <charset val="134"/>
    </font>
    <font>
      <sz val="10"/>
      <name val="SimSun"/>
      <family val="3"/>
      <charset val="134"/>
    </font>
    <font>
      <sz val="10"/>
      <color theme="1"/>
      <name val="SimSun"/>
      <family val="3"/>
      <charset val="134"/>
    </font>
    <font>
      <b/>
      <u/>
      <sz val="10"/>
      <name val="Arial"/>
      <family val="2"/>
    </font>
    <font>
      <b/>
      <sz val="14"/>
      <color theme="0"/>
      <name val="微软雅黑"/>
      <family val="2"/>
    </font>
    <font>
      <b/>
      <sz val="10"/>
      <color rgb="FFFF0000"/>
      <name val="微软雅黑"/>
      <family val="2"/>
    </font>
    <font>
      <b/>
      <sz val="10"/>
      <color rgb="FF000000"/>
      <name val="微软雅黑"/>
      <family val="2"/>
    </font>
    <font>
      <sz val="10"/>
      <color rgb="FF000000"/>
      <name val="微软雅黑"/>
      <family val="2"/>
    </font>
    <font>
      <b/>
      <sz val="10"/>
      <color theme="1"/>
      <name val="微软雅黑"/>
      <family val="2"/>
    </font>
    <font>
      <sz val="9"/>
      <name val="SimSun"/>
      <family val="3"/>
      <charset val="134"/>
    </font>
    <font>
      <b/>
      <sz val="10"/>
      <name val="微软雅黑"/>
      <family val="2"/>
    </font>
    <font>
      <sz val="10"/>
      <name val="微软雅黑"/>
      <family val="2"/>
    </font>
    <font>
      <b/>
      <sz val="12"/>
      <color rgb="FF000000"/>
      <name val="微软雅黑"/>
      <family val="2"/>
    </font>
    <font>
      <sz val="10"/>
      <color theme="1"/>
      <name val="微软雅黑"/>
      <family val="2"/>
    </font>
    <font>
      <b/>
      <u/>
      <sz val="10"/>
      <name val="微软雅黑"/>
      <family val="2"/>
    </font>
    <font>
      <b/>
      <i/>
      <sz val="10"/>
      <color rgb="FFFF0000"/>
      <name val="微软雅黑"/>
      <family val="2"/>
    </font>
    <font>
      <b/>
      <sz val="10"/>
      <color rgb="FF0070C0"/>
      <name val="Arial"/>
      <family val="2"/>
    </font>
  </fonts>
  <fills count="57">
    <fill>
      <patternFill patternType="none"/>
    </fill>
    <fill>
      <patternFill patternType="gray125"/>
    </fill>
    <fill>
      <patternFill patternType="solid">
        <fgColor theme="4" tint="0.79931028168584251"/>
        <bgColor indexed="64"/>
      </patternFill>
    </fill>
    <fill>
      <patternFill patternType="solid">
        <fgColor theme="9" tint="0.79931028168584251"/>
        <bgColor indexed="64"/>
      </patternFill>
    </fill>
    <fill>
      <patternFill patternType="solid">
        <fgColor indexed="54"/>
        <bgColor indexed="64"/>
      </patternFill>
    </fill>
    <fill>
      <patternFill patternType="solid">
        <fgColor indexed="31"/>
        <bgColor indexed="64"/>
      </patternFill>
    </fill>
    <fill>
      <patternFill patternType="solid">
        <fgColor indexed="44"/>
        <bgColor indexed="64"/>
      </patternFill>
    </fill>
    <fill>
      <patternFill patternType="solid">
        <fgColor indexed="25"/>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indexed="49"/>
        <bgColor indexed="64"/>
      </patternFill>
    </fill>
    <fill>
      <patternFill patternType="solid">
        <fgColor indexed="27"/>
        <bgColor indexed="64"/>
      </patternFill>
    </fill>
    <fill>
      <patternFill patternType="solid">
        <fgColor indexed="52"/>
        <bgColor indexed="64"/>
      </patternFill>
    </fill>
    <fill>
      <patternFill patternType="solid">
        <fgColor indexed="47"/>
        <bgColor indexed="64"/>
      </patternFill>
    </fill>
    <fill>
      <patternFill patternType="solid">
        <fgColor rgb="FFFFC7CE"/>
        <bgColor indexed="64"/>
      </patternFill>
    </fill>
    <fill>
      <patternFill patternType="solid">
        <fgColor indexed="24"/>
        <bgColor indexed="64"/>
      </patternFill>
    </fill>
    <fill>
      <patternFill patternType="solid">
        <fgColor rgb="FFA5A5A5"/>
        <bgColor indexed="64"/>
      </patternFill>
    </fill>
    <fill>
      <patternFill patternType="solid">
        <fgColor indexed="13"/>
        <bgColor indexed="64"/>
      </patternFill>
    </fill>
    <fill>
      <patternFill patternType="solid">
        <fgColor indexed="56"/>
        <bgColor indexed="64"/>
      </patternFill>
    </fill>
    <fill>
      <patternFill patternType="solid">
        <fgColor rgb="FFC6EFCE"/>
        <bgColor indexed="64"/>
      </patternFill>
    </fill>
    <fill>
      <patternFill patternType="solid">
        <fgColor rgb="FF808080"/>
        <bgColor indexed="64"/>
      </patternFill>
    </fill>
    <fill>
      <patternFill patternType="solid">
        <fgColor rgb="FFFFEB9C"/>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15"/>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6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333399"/>
        <bgColor rgb="FF000000"/>
      </patternFill>
    </fill>
    <fill>
      <patternFill patternType="solid">
        <fgColor rgb="FF000000"/>
        <bgColor rgb="FF000000"/>
      </patternFill>
    </fill>
    <fill>
      <patternFill patternType="solid">
        <fgColor theme="1"/>
        <bgColor indexed="64"/>
      </patternFill>
    </fill>
    <fill>
      <patternFill patternType="solid">
        <fgColor theme="0" tint="-4.9989318521683403E-2"/>
        <bgColor indexed="64"/>
      </patternFill>
    </fill>
    <fill>
      <patternFill patternType="solid">
        <fgColor theme="0" tint="-4.9989318521683403E-2"/>
        <bgColor rgb="FF000000"/>
      </patternFill>
    </fill>
    <fill>
      <patternFill patternType="solid">
        <fgColor rgb="FF000099"/>
        <bgColor indexed="64"/>
      </patternFill>
    </fill>
    <fill>
      <patternFill patternType="solid">
        <fgColor theme="4"/>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1" tint="0.499984740745262"/>
        <bgColor indexed="64"/>
      </patternFill>
    </fill>
  </fills>
  <borders count="71">
    <border>
      <left/>
      <right/>
      <top/>
      <bottom/>
      <diagonal/>
    </border>
    <border>
      <left style="thin">
        <color auto="1"/>
      </left>
      <right style="thin">
        <color auto="1"/>
      </right>
      <top style="thin">
        <color auto="1"/>
      </top>
      <bottom style="thin">
        <color auto="1"/>
      </bottom>
      <diagonal/>
    </border>
    <border>
      <left style="double">
        <color indexed="8"/>
      </left>
      <right style="double">
        <color indexed="8"/>
      </right>
      <top style="double">
        <color indexed="8"/>
      </top>
      <bottom style="double">
        <color indexed="8"/>
      </bottom>
      <diagonal/>
    </border>
    <border>
      <left style="double">
        <color rgb="FF3F3F3F"/>
      </left>
      <right style="double">
        <color rgb="FF3F3F3F"/>
      </right>
      <top style="double">
        <color rgb="FF3F3F3F"/>
      </top>
      <bottom style="double">
        <color rgb="FF3F3F3F"/>
      </bottom>
      <diagonal/>
    </border>
    <border>
      <left/>
      <right/>
      <top/>
      <bottom style="thin">
        <color auto="1"/>
      </bottom>
      <diagonal/>
    </border>
    <border>
      <left/>
      <right/>
      <top style="medium">
        <color auto="1"/>
      </top>
      <bottom style="medium">
        <color auto="1"/>
      </bottom>
      <diagonal/>
    </border>
    <border>
      <left/>
      <right/>
      <top style="thin">
        <color auto="1"/>
      </top>
      <bottom style="thin">
        <color auto="1"/>
      </bottom>
      <diagonal/>
    </border>
    <border>
      <left/>
      <right/>
      <top/>
      <bottom style="medium">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medium">
        <color auto="1"/>
      </left>
      <right style="thin">
        <color auto="1"/>
      </right>
      <top style="thin">
        <color auto="1"/>
      </top>
      <bottom/>
      <diagonal/>
    </border>
    <border>
      <left/>
      <right/>
      <top/>
      <bottom style="medium">
        <color indexed="64"/>
      </bottom>
      <diagonal/>
    </border>
    <border>
      <left/>
      <right/>
      <top style="thin">
        <color indexed="64"/>
      </top>
      <bottom style="thin">
        <color indexed="64"/>
      </bottom>
      <diagonal/>
    </border>
    <border>
      <left/>
      <right/>
      <top style="medium">
        <color indexed="64"/>
      </top>
      <bottom style="medium">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auto="1"/>
      </right>
      <top/>
      <bottom/>
      <diagonal/>
    </border>
    <border>
      <left style="thin">
        <color indexed="64"/>
      </left>
      <right/>
      <top/>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48"/>
      </left>
      <right style="thin">
        <color indexed="48"/>
      </right>
      <top style="thin">
        <color indexed="48"/>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right/>
      <top style="thin">
        <color auto="1"/>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64"/>
      </left>
      <right style="thin">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right/>
      <top style="medium">
        <color indexed="64"/>
      </top>
      <bottom style="medium">
        <color auto="1"/>
      </bottom>
      <diagonal/>
    </border>
    <border>
      <left style="thin">
        <color indexed="48"/>
      </left>
      <right style="thin">
        <color indexed="48"/>
      </right>
      <top style="thin">
        <color indexed="48"/>
      </top>
      <bottom style="thin">
        <color indexed="48"/>
      </bottom>
      <diagonal/>
    </border>
    <border>
      <left style="thin">
        <color indexed="64"/>
      </left>
      <right style="thin">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top style="thin">
        <color auto="1"/>
      </top>
      <bottom style="thin">
        <color auto="1"/>
      </bottom>
      <diagonal/>
    </border>
  </borders>
  <cellStyleXfs count="6630">
    <xf numFmtId="0" fontId="0" fillId="0" borderId="0">
      <protection locked="0"/>
    </xf>
    <xf numFmtId="0" fontId="93" fillId="0" borderId="0"/>
    <xf numFmtId="0" fontId="23" fillId="0" borderId="0"/>
    <xf numFmtId="0" fontId="8" fillId="0" borderId="0"/>
    <xf numFmtId="0" fontId="93" fillId="0" borderId="0"/>
    <xf numFmtId="0" fontId="93" fillId="0" borderId="0"/>
    <xf numFmtId="0" fontId="93" fillId="0" borderId="0"/>
    <xf numFmtId="0" fontId="10" fillId="0" borderId="0"/>
    <xf numFmtId="0" fontId="24" fillId="0" borderId="0">
      <alignment vertical="center"/>
    </xf>
    <xf numFmtId="0" fontId="93" fillId="0" borderId="0"/>
    <xf numFmtId="176" fontId="10" fillId="0" borderId="0" applyFont="0" applyFill="0" applyBorder="0" applyAlignment="0" applyProtection="0"/>
    <xf numFmtId="0" fontId="93" fillId="0" borderId="0"/>
    <xf numFmtId="0" fontId="10" fillId="0" borderId="0"/>
    <xf numFmtId="0" fontId="93" fillId="0" borderId="0"/>
    <xf numFmtId="9" fontId="93" fillId="0" borderId="0" applyFont="0" applyFill="0" applyBorder="0" applyAlignment="0" applyProtection="0"/>
    <xf numFmtId="0" fontId="93" fillId="0" borderId="0"/>
    <xf numFmtId="0" fontId="24" fillId="0" borderId="0">
      <alignment vertical="center"/>
    </xf>
    <xf numFmtId="179" fontId="93" fillId="0" borderId="0" applyFont="0" applyFill="0" applyBorder="0" applyAlignment="0" applyProtection="0"/>
    <xf numFmtId="179" fontId="10" fillId="0" borderId="0" applyFont="0" applyFill="0" applyBorder="0" applyAlignment="0" applyProtection="0"/>
    <xf numFmtId="0" fontId="10" fillId="0" borderId="0"/>
    <xf numFmtId="0" fontId="93" fillId="0" borderId="0"/>
    <xf numFmtId="9" fontId="93" fillId="0" borderId="0" applyFont="0" applyFill="0" applyBorder="0" applyAlignment="0" applyProtection="0"/>
    <xf numFmtId="179" fontId="93" fillId="0" borderId="0" applyFont="0" applyFill="0" applyBorder="0" applyAlignment="0" applyProtection="0"/>
    <xf numFmtId="0" fontId="93" fillId="0" borderId="0">
      <alignment vertical="center"/>
    </xf>
    <xf numFmtId="0" fontId="93" fillId="0" borderId="0"/>
    <xf numFmtId="0" fontId="10" fillId="0" borderId="0"/>
    <xf numFmtId="176" fontId="10" fillId="0" borderId="0" applyFont="0" applyFill="0" applyBorder="0" applyAlignment="0" applyProtection="0"/>
    <xf numFmtId="0" fontId="26" fillId="0" borderId="0"/>
    <xf numFmtId="0" fontId="10" fillId="0" borderId="0"/>
    <xf numFmtId="183" fontId="27" fillId="0" borderId="0">
      <protection locked="0"/>
    </xf>
    <xf numFmtId="0" fontId="8" fillId="0" borderId="0"/>
    <xf numFmtId="0" fontId="25" fillId="0" borderId="0"/>
    <xf numFmtId="0" fontId="93" fillId="0" borderId="0">
      <alignment vertical="center"/>
      <protection locked="0"/>
    </xf>
    <xf numFmtId="179" fontId="25" fillId="0" borderId="0" applyFont="0" applyFill="0" applyBorder="0" applyAlignment="0" applyProtection="0"/>
    <xf numFmtId="0" fontId="24" fillId="0" borderId="0">
      <alignment vertical="center"/>
    </xf>
    <xf numFmtId="176" fontId="93" fillId="0" borderId="0" applyFont="0" applyFill="0" applyBorder="0" applyAlignment="0" applyProtection="0"/>
    <xf numFmtId="0" fontId="93" fillId="0" borderId="0" applyFont="0" applyFill="0" applyBorder="0" applyProtection="0"/>
    <xf numFmtId="0" fontId="10" fillId="0" borderId="0"/>
    <xf numFmtId="184" fontId="25" fillId="0" borderId="0" applyFont="0" applyFill="0" applyBorder="0" applyAlignment="0" applyProtection="0"/>
    <xf numFmtId="185" fontId="28" fillId="0" borderId="0" applyFont="0" applyFill="0" applyBorder="0" applyAlignment="0" applyProtection="0"/>
    <xf numFmtId="10" fontId="28" fillId="0" borderId="0" applyFont="0" applyFill="0" applyBorder="0" applyAlignment="0" applyProtection="0"/>
    <xf numFmtId="186" fontId="25" fillId="0" borderId="0" applyFont="0" applyFill="0" applyBorder="0" applyAlignment="0" applyProtection="0"/>
    <xf numFmtId="0" fontId="93" fillId="2" borderId="0" applyNumberFormat="0" applyBorder="0" applyProtection="0"/>
    <xf numFmtId="0" fontId="93" fillId="3" borderId="0" applyNumberFormat="0" applyBorder="0" applyProtection="0"/>
    <xf numFmtId="0" fontId="29" fillId="4"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29" fillId="10" borderId="0" applyNumberFormat="0" applyBorder="0" applyAlignment="0" applyProtection="0"/>
    <xf numFmtId="0" fontId="31" fillId="11" borderId="0" applyNumberFormat="0" applyBorder="0" applyProtection="0"/>
    <xf numFmtId="0" fontId="29" fillId="10"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29" fillId="9" borderId="0" applyNumberFormat="0" applyBorder="0" applyAlignment="0" applyProtection="0"/>
    <xf numFmtId="0" fontId="29" fillId="4" borderId="0" applyNumberFormat="0" applyBorder="0" applyAlignment="0" applyProtection="0"/>
    <xf numFmtId="0" fontId="30" fillId="5" borderId="0" applyNumberFormat="0" applyBorder="0" applyAlignment="0" applyProtection="0"/>
    <xf numFmtId="0" fontId="30" fillId="9" borderId="0" applyNumberFormat="0" applyBorder="0" applyAlignment="0" applyProtection="0"/>
    <xf numFmtId="0" fontId="29" fillId="9" borderId="0" applyNumberFormat="0" applyBorder="0" applyAlignment="0" applyProtection="0"/>
    <xf numFmtId="0" fontId="29" fillId="13" borderId="0" applyNumberFormat="0" applyBorder="0" applyAlignment="0" applyProtection="0"/>
    <xf numFmtId="0" fontId="30" fillId="14" borderId="0" applyNumberFormat="0" applyBorder="0" applyAlignment="0" applyProtection="0"/>
    <xf numFmtId="0" fontId="30" fillId="5" borderId="0" applyNumberFormat="0" applyBorder="0" applyAlignment="0" applyProtection="0"/>
    <xf numFmtId="0" fontId="29" fillId="6" borderId="0" applyNumberFormat="0" applyBorder="0" applyAlignment="0" applyProtection="0"/>
    <xf numFmtId="0" fontId="29" fillId="15" borderId="0" applyNumberFormat="0" applyBorder="0" applyAlignment="0" applyProtection="0"/>
    <xf numFmtId="0" fontId="30" fillId="8" borderId="0" applyNumberFormat="0" applyBorder="0" applyAlignment="0" applyProtection="0"/>
    <xf numFmtId="0" fontId="30" fillId="16" borderId="0" applyNumberFormat="0" applyBorder="0" applyAlignment="0" applyProtection="0"/>
    <xf numFmtId="0" fontId="29" fillId="16" borderId="0" applyNumberFormat="0" applyBorder="0" applyAlignment="0" applyProtection="0"/>
    <xf numFmtId="0" fontId="32" fillId="17" borderId="0" applyNumberFormat="0" applyBorder="0" applyProtection="0"/>
    <xf numFmtId="0" fontId="32" fillId="17" borderId="0" applyNumberFormat="0" applyBorder="0" applyProtection="0"/>
    <xf numFmtId="187" fontId="11" fillId="0" borderId="0" applyFill="0" applyBorder="0" applyAlignment="0"/>
    <xf numFmtId="0" fontId="33" fillId="0" borderId="0"/>
    <xf numFmtId="4" fontId="93" fillId="0" borderId="1">
      <alignment horizontal="right"/>
    </xf>
    <xf numFmtId="4" fontId="93" fillId="0" borderId="1">
      <alignment horizontal="right"/>
    </xf>
    <xf numFmtId="4" fontId="9" fillId="0" borderId="1">
      <alignment horizontal="right" vertical="center"/>
    </xf>
    <xf numFmtId="4" fontId="9" fillId="0" borderId="1">
      <alignment horizontal="right" vertical="center"/>
    </xf>
    <xf numFmtId="4" fontId="93" fillId="0" borderId="1">
      <alignment horizontal="right"/>
    </xf>
    <xf numFmtId="4" fontId="93" fillId="0" borderId="1">
      <alignment horizontal="right"/>
    </xf>
    <xf numFmtId="10" fontId="93" fillId="0" borderId="1" applyAlignment="0"/>
    <xf numFmtId="0" fontId="9" fillId="0" borderId="1">
      <alignment horizontal="right" vertical="center"/>
    </xf>
    <xf numFmtId="0" fontId="9" fillId="0" borderId="1">
      <alignment horizontal="right" vertical="center"/>
    </xf>
    <xf numFmtId="10" fontId="93" fillId="0" borderId="1" applyAlignment="0"/>
    <xf numFmtId="0" fontId="34" fillId="18" borderId="2" applyNumberFormat="0" applyAlignment="0" applyProtection="0"/>
    <xf numFmtId="0" fontId="35" fillId="19" borderId="3" applyNumberFormat="0" applyAlignment="0" applyProtection="0"/>
    <xf numFmtId="0" fontId="35" fillId="19" borderId="3" applyNumberFormat="0" applyAlignment="0" applyProtection="0"/>
    <xf numFmtId="0" fontId="36" fillId="0" borderId="4" applyNumberFormat="0" applyFill="0" applyProtection="0">
      <alignment horizontal="center"/>
    </xf>
    <xf numFmtId="188" fontId="10" fillId="0" borderId="0"/>
    <xf numFmtId="188" fontId="10" fillId="0" borderId="0"/>
    <xf numFmtId="188" fontId="10" fillId="0" borderId="0"/>
    <xf numFmtId="188" fontId="10" fillId="0" borderId="0"/>
    <xf numFmtId="188" fontId="10" fillId="0" borderId="0"/>
    <xf numFmtId="188" fontId="10" fillId="0" borderId="0"/>
    <xf numFmtId="188" fontId="10" fillId="0" borderId="0"/>
    <xf numFmtId="188" fontId="10" fillId="0" borderId="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37" fillId="0" borderId="0" applyFont="0" applyFill="0" applyBorder="0" applyAlignment="0" applyProtection="0"/>
    <xf numFmtId="179" fontId="25" fillId="0" borderId="0" applyFont="0" applyFill="0" applyBorder="0" applyAlignment="0" applyProtection="0"/>
    <xf numFmtId="179"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89" fontId="10"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9" fontId="93" fillId="0" borderId="0" applyFont="0" applyFill="0" applyBorder="0" applyAlignment="0" applyProtection="0"/>
    <xf numFmtId="176" fontId="10"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6" fontId="93" fillId="0" borderId="0" applyFont="0" applyAlignment="0" applyProtection="0"/>
    <xf numFmtId="176" fontId="93" fillId="0" borderId="0" applyFont="0" applyAlignment="0" applyProtection="0"/>
    <xf numFmtId="176" fontId="93" fillId="0" borderId="0" applyFont="0" applyAlignment="0" applyProtection="0"/>
    <xf numFmtId="176" fontId="93" fillId="0" borderId="0" applyFont="0" applyAlignment="0" applyProtection="0"/>
    <xf numFmtId="179" fontId="93" fillId="0" borderId="0" applyFont="0" applyFill="0" applyBorder="0" applyAlignment="0" applyProtection="0"/>
    <xf numFmtId="176" fontId="38" fillId="0" borderId="0" applyFont="0" applyAlignment="0" applyProtection="0"/>
    <xf numFmtId="176" fontId="93" fillId="0" borderId="0" applyFont="0" applyAlignment="0" applyProtection="0"/>
    <xf numFmtId="176" fontId="93" fillId="0" borderId="0" applyFont="0" applyAlignment="0" applyProtection="0"/>
    <xf numFmtId="176" fontId="93" fillId="0" borderId="0" applyFont="0" applyAlignment="0" applyProtection="0"/>
    <xf numFmtId="176" fontId="93" fillId="0" borderId="0" applyFont="0" applyAlignment="0" applyProtection="0"/>
    <xf numFmtId="179" fontId="93" fillId="0" borderId="0" applyFont="0" applyFill="0" applyBorder="0" applyAlignment="0" applyProtection="0"/>
    <xf numFmtId="179" fontId="93" fillId="0" borderId="0" applyFont="0" applyFill="0" applyBorder="0" applyAlignment="0" applyProtection="0"/>
    <xf numFmtId="176" fontId="38" fillId="0" borderId="0" applyFont="0" applyAlignment="0" applyProtection="0"/>
    <xf numFmtId="176" fontId="10" fillId="0" borderId="0" applyFont="0" applyFill="0" applyBorder="0" applyAlignment="0" applyProtection="0"/>
    <xf numFmtId="176" fontId="93" fillId="0" borderId="0" applyFont="0" applyAlignment="0" applyProtection="0"/>
    <xf numFmtId="176" fontId="93" fillId="0" borderId="0" applyFont="0" applyAlignment="0" applyProtection="0"/>
    <xf numFmtId="176" fontId="93" fillId="0" borderId="0" applyFont="0" applyAlignment="0" applyProtection="0"/>
    <xf numFmtId="176" fontId="93" fillId="0" borderId="0" applyFont="0" applyAlignment="0" applyProtection="0"/>
    <xf numFmtId="176" fontId="93" fillId="0" borderId="0" applyFont="0" applyAlignment="0" applyProtection="0"/>
    <xf numFmtId="176" fontId="38" fillId="0" borderId="0" applyFont="0" applyAlignment="0" applyProtection="0"/>
    <xf numFmtId="176" fontId="93" fillId="0" borderId="0" applyFont="0" applyAlignment="0" applyProtection="0"/>
    <xf numFmtId="176" fontId="38" fillId="0" borderId="0" applyFont="0" applyAlignment="0" applyProtection="0"/>
    <xf numFmtId="176" fontId="93" fillId="0" borderId="0" applyFont="0" applyAlignment="0" applyProtection="0"/>
    <xf numFmtId="176" fontId="93" fillId="0" borderId="0" applyFont="0" applyAlignment="0" applyProtection="0"/>
    <xf numFmtId="176" fontId="93" fillId="0" borderId="0" applyFont="0" applyAlignment="0" applyProtection="0"/>
    <xf numFmtId="176" fontId="93" fillId="0" borderId="0" applyFont="0" applyAlignment="0" applyProtection="0"/>
    <xf numFmtId="176" fontId="38" fillId="0" borderId="0" applyFont="0" applyAlignment="0" applyProtection="0"/>
    <xf numFmtId="176" fontId="93" fillId="0" borderId="0" applyFont="0" applyAlignment="0" applyProtection="0"/>
    <xf numFmtId="176" fontId="93" fillId="0" borderId="0" applyFont="0" applyAlignment="0" applyProtection="0"/>
    <xf numFmtId="176" fontId="93" fillId="0" borderId="0" applyFont="0" applyAlignment="0" applyProtection="0"/>
    <xf numFmtId="176" fontId="93" fillId="0" borderId="0" applyFont="0" applyAlignment="0" applyProtection="0"/>
    <xf numFmtId="179" fontId="93" fillId="0" borderId="0" applyFont="0" applyFill="0" applyBorder="0" applyAlignment="0" applyProtection="0"/>
    <xf numFmtId="176" fontId="10" fillId="0" borderId="0" applyFont="0" applyFill="0" applyBorder="0" applyAlignment="0" applyProtection="0"/>
    <xf numFmtId="176" fontId="38" fillId="0" borderId="0" applyFont="0" applyAlignment="0" applyProtection="0"/>
    <xf numFmtId="176" fontId="10" fillId="0" borderId="0" applyFont="0" applyFill="0" applyBorder="0" applyAlignment="0" applyProtection="0"/>
    <xf numFmtId="176" fontId="93" fillId="0" borderId="0" applyFont="0" applyAlignment="0" applyProtection="0"/>
    <xf numFmtId="176" fontId="93" fillId="0" borderId="0" applyFont="0" applyAlignment="0" applyProtection="0"/>
    <xf numFmtId="176" fontId="93" fillId="0" borderId="0" applyFont="0" applyAlignment="0" applyProtection="0"/>
    <xf numFmtId="176" fontId="93" fillId="0" borderId="0" applyFont="0" applyAlignment="0" applyProtection="0"/>
    <xf numFmtId="179" fontId="93" fillId="0" borderId="0" applyFont="0" applyFill="0" applyBorder="0" applyAlignment="0" applyProtection="0"/>
    <xf numFmtId="176" fontId="10" fillId="0" borderId="0" applyFont="0" applyFill="0" applyBorder="0" applyAlignment="0" applyProtection="0"/>
    <xf numFmtId="176" fontId="38" fillId="0" borderId="0" applyFont="0" applyAlignment="0" applyProtection="0"/>
    <xf numFmtId="176" fontId="93" fillId="0" borderId="0" applyFont="0" applyAlignment="0" applyProtection="0"/>
    <xf numFmtId="176" fontId="93" fillId="0" borderId="0" applyFont="0" applyAlignment="0" applyProtection="0"/>
    <xf numFmtId="176" fontId="10" fillId="0" borderId="0" applyFont="0" applyFill="0" applyBorder="0" applyAlignment="0" applyProtection="0"/>
    <xf numFmtId="176" fontId="10" fillId="0" borderId="0" applyFont="0" applyFill="0" applyBorder="0" applyAlignment="0" applyProtection="0"/>
    <xf numFmtId="179" fontId="93" fillId="0" borderId="0" applyFont="0" applyFill="0" applyBorder="0" applyAlignment="0" applyProtection="0"/>
    <xf numFmtId="176" fontId="10" fillId="0" borderId="0" applyFont="0" applyFill="0" applyBorder="0" applyAlignment="0" applyProtection="0"/>
    <xf numFmtId="176" fontId="38" fillId="0" borderId="0" applyFont="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Alignment="0"/>
    <xf numFmtId="176" fontId="93" fillId="0" borderId="0" applyAlignment="0"/>
    <xf numFmtId="176" fontId="93" fillId="0" borderId="0" applyFont="0" applyFill="0" applyBorder="0" applyAlignment="0" applyProtection="0"/>
    <xf numFmtId="176" fontId="93" fillId="0" borderId="0" applyFont="0" applyFill="0" applyBorder="0" applyAlignment="0" applyProtection="0"/>
    <xf numFmtId="176" fontId="93" fillId="0" borderId="0" applyAlignment="0"/>
    <xf numFmtId="176" fontId="93" fillId="0" borderId="0" applyFont="0" applyFill="0" applyBorder="0" applyAlignment="0" applyProtection="0"/>
    <xf numFmtId="176" fontId="93" fillId="0" borderId="0" applyAlignment="0"/>
    <xf numFmtId="176" fontId="93" fillId="0" borderId="0" applyFont="0" applyFill="0" applyBorder="0" applyAlignment="0" applyProtection="0"/>
    <xf numFmtId="176" fontId="38" fillId="0" borderId="0" applyAlignment="0"/>
    <xf numFmtId="176" fontId="93" fillId="0" borderId="0" applyFont="0" applyFill="0" applyBorder="0" applyAlignment="0" applyProtection="0"/>
    <xf numFmtId="176" fontId="93" fillId="0" borderId="0" applyFont="0" applyFill="0" applyBorder="0" applyAlignment="0" applyProtection="0"/>
    <xf numFmtId="176" fontId="93" fillId="0" borderId="0" applyAlignment="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Alignment="0"/>
    <xf numFmtId="176" fontId="93" fillId="0" borderId="0" applyFont="0" applyFill="0" applyBorder="0" applyAlignment="0" applyProtection="0"/>
    <xf numFmtId="176"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Alignment="0"/>
    <xf numFmtId="176" fontId="93" fillId="0" borderId="0" applyFont="0" applyFill="0" applyBorder="0" applyAlignment="0" applyProtection="0"/>
    <xf numFmtId="176" fontId="93" fillId="0" borderId="0" applyAlignment="0"/>
    <xf numFmtId="179" fontId="93" fillId="0" borderId="0" applyFont="0" applyFill="0" applyBorder="0" applyAlignment="0" applyProtection="0"/>
    <xf numFmtId="176" fontId="93" fillId="0" borderId="0" applyFont="0" applyFill="0" applyBorder="0" applyAlignment="0" applyProtection="0"/>
    <xf numFmtId="176" fontId="38" fillId="0" borderId="0" applyAlignment="0"/>
    <xf numFmtId="179" fontId="93" fillId="0" borderId="0" applyFont="0" applyFill="0" applyBorder="0" applyAlignment="0" applyProtection="0"/>
    <xf numFmtId="179" fontId="93" fillId="0" borderId="0" applyFont="0" applyFill="0" applyBorder="0" applyAlignment="0" applyProtection="0"/>
    <xf numFmtId="176" fontId="93" fillId="0" borderId="0" applyAlignment="0"/>
    <xf numFmtId="176" fontId="93" fillId="0" borderId="0" applyAlignment="0"/>
    <xf numFmtId="179" fontId="93" fillId="0" borderId="0" applyFont="0" applyFill="0" applyBorder="0" applyAlignment="0" applyProtection="0"/>
    <xf numFmtId="176" fontId="93" fillId="0" borderId="0" applyAlignment="0"/>
    <xf numFmtId="176" fontId="93" fillId="0" borderId="0" applyAlignment="0"/>
    <xf numFmtId="176" fontId="10" fillId="0" borderId="0" applyFont="0" applyFill="0" applyBorder="0" applyAlignment="0" applyProtection="0"/>
    <xf numFmtId="179" fontId="93" fillId="0" borderId="0" applyFont="0" applyFill="0" applyBorder="0" applyAlignment="0" applyProtection="0"/>
    <xf numFmtId="176" fontId="38" fillId="0" borderId="0" applyAlignment="0"/>
    <xf numFmtId="179" fontId="37" fillId="0" borderId="0" applyFont="0" applyFill="0" applyBorder="0" applyAlignment="0" applyProtection="0"/>
    <xf numFmtId="176" fontId="93" fillId="0" borderId="0" applyAlignment="0"/>
    <xf numFmtId="176" fontId="93" fillId="0" borderId="0" applyAlignment="0"/>
    <xf numFmtId="176" fontId="93" fillId="0" borderId="0" applyFont="0" applyFill="0" applyBorder="0" applyProtection="0"/>
    <xf numFmtId="176" fontId="10"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6" fontId="38" fillId="0" borderId="0" applyAlignment="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6" fontId="93" fillId="0" borderId="0" applyFont="0" applyFill="0" applyBorder="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6" fontId="93" fillId="0" borderId="0" applyFont="0" applyFill="0" applyBorder="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6" fontId="93"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6" fontId="93"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6" fontId="93" fillId="0" borderId="0" applyFont="0" applyFill="0" applyBorder="0" applyAlignment="0" applyProtection="0"/>
    <xf numFmtId="179" fontId="10"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25"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25" fillId="0" borderId="0" applyFont="0" applyFill="0" applyBorder="0" applyAlignment="0" applyProtection="0"/>
    <xf numFmtId="176" fontId="93" fillId="0" borderId="0" applyFont="0" applyFill="0" applyBorder="0" applyAlignment="0" applyProtection="0"/>
    <xf numFmtId="176" fontId="25"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Protection="0"/>
    <xf numFmtId="176"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9"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81" fontId="39" fillId="0" borderId="0"/>
    <xf numFmtId="37" fontId="28" fillId="0" borderId="0" applyFont="0" applyFill="0" applyBorder="0" applyAlignment="0" applyProtection="0"/>
    <xf numFmtId="190" fontId="28" fillId="0" borderId="0" applyFont="0" applyFill="0" applyBorder="0" applyAlignment="0" applyProtection="0"/>
    <xf numFmtId="39" fontId="28" fillId="0" borderId="0" applyFont="0" applyFill="0" applyBorder="0" applyAlignment="0" applyProtection="0"/>
    <xf numFmtId="0" fontId="40" fillId="0" borderId="0" applyAlignment="0"/>
    <xf numFmtId="177" fontId="28" fillId="0" borderId="0" applyFont="0" applyFill="0" applyBorder="0" applyAlignment="0" applyProtection="0"/>
    <xf numFmtId="178" fontId="28" fillId="0" borderId="0" applyFont="0" applyFill="0" applyBorder="0" applyAlignment="0" applyProtection="0"/>
    <xf numFmtId="191" fontId="39" fillId="0" borderId="0"/>
    <xf numFmtId="0" fontId="93" fillId="0" borderId="1" applyAlignment="0"/>
    <xf numFmtId="0" fontId="93" fillId="0" borderId="1" applyAlignment="0"/>
    <xf numFmtId="0" fontId="93" fillId="0" borderId="1" applyAlignment="0"/>
    <xf numFmtId="0" fontId="93" fillId="0" borderId="1" applyAlignment="0"/>
    <xf numFmtId="0" fontId="93" fillId="0" borderId="1" applyAlignment="0"/>
    <xf numFmtId="0" fontId="93" fillId="0" borderId="1" applyAlignment="0"/>
    <xf numFmtId="0" fontId="93" fillId="0" borderId="1" applyAlignment="0"/>
    <xf numFmtId="0" fontId="93" fillId="0" borderId="1" applyAlignment="0"/>
    <xf numFmtId="192" fontId="39" fillId="0" borderId="0"/>
    <xf numFmtId="0" fontId="41" fillId="0" borderId="0">
      <alignment horizontal="left"/>
    </xf>
    <xf numFmtId="0" fontId="42" fillId="20" borderId="1"/>
    <xf numFmtId="0" fontId="42" fillId="20" borderId="1"/>
    <xf numFmtId="193" fontId="43" fillId="0" borderId="0" applyFont="0" applyFill="0" applyBorder="0" applyAlignment="0" applyProtection="0"/>
    <xf numFmtId="0" fontId="9" fillId="0" borderId="1" applyAlignment="0"/>
    <xf numFmtId="0" fontId="9" fillId="0" borderId="1" applyAlignment="0"/>
    <xf numFmtId="0" fontId="44" fillId="21" borderId="0" applyNumberFormat="0" applyBorder="0" applyAlignment="0" applyProtection="0"/>
    <xf numFmtId="0" fontId="45" fillId="22" borderId="0" applyNumberFormat="0" applyBorder="0" applyAlignment="0" applyProtection="0"/>
    <xf numFmtId="0" fontId="45" fillId="22" borderId="0" applyNumberFormat="0" applyBorder="0" applyAlignment="0" applyProtection="0"/>
    <xf numFmtId="0" fontId="45" fillId="22" borderId="0" applyNumberFormat="0" applyBorder="0" applyProtection="0"/>
    <xf numFmtId="0" fontId="45" fillId="22" borderId="0" applyNumberFormat="0" applyBorder="0" applyProtection="0"/>
    <xf numFmtId="0" fontId="42" fillId="9" borderId="0" applyNumberFormat="0" applyBorder="0" applyAlignment="0" applyProtection="0"/>
    <xf numFmtId="0" fontId="46" fillId="0" borderId="0">
      <alignment horizontal="left"/>
    </xf>
    <xf numFmtId="0" fontId="47" fillId="0" borderId="5" applyNumberFormat="0" applyProtection="0"/>
    <xf numFmtId="0" fontId="47" fillId="0" borderId="6">
      <alignment horizontal="left" vertical="center"/>
    </xf>
    <xf numFmtId="0" fontId="47" fillId="0" borderId="6">
      <alignment horizontal="left" vertical="center"/>
    </xf>
    <xf numFmtId="0" fontId="48" fillId="23" borderId="1">
      <alignment horizontal="center" vertical="center"/>
    </xf>
    <xf numFmtId="0" fontId="48" fillId="23" borderId="1">
      <alignment horizontal="center" vertical="center"/>
    </xf>
    <xf numFmtId="0" fontId="49" fillId="0" borderId="0" applyNumberFormat="0" applyFill="0" applyBorder="0" applyAlignment="0" applyProtection="0"/>
    <xf numFmtId="0" fontId="50"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Protection="0"/>
    <xf numFmtId="0" fontId="14" fillId="0" borderId="0" applyNumberFormat="0" applyFill="0" applyBorder="0" applyAlignment="0" applyProtection="0"/>
    <xf numFmtId="0" fontId="49" fillId="0" borderId="0" applyNumberFormat="0" applyFill="0" applyBorder="0" applyAlignment="0" applyProtection="0"/>
    <xf numFmtId="0" fontId="14" fillId="0" borderId="0" applyNumberFormat="0" applyFill="0" applyBorder="0" applyAlignment="0" applyProtection="0"/>
    <xf numFmtId="0" fontId="49" fillId="0" borderId="0" applyNumberFormat="0" applyFill="0" applyBorder="0" applyAlignment="0" applyProtection="0"/>
    <xf numFmtId="0" fontId="50" fillId="0" borderId="0" applyNumberFormat="0" applyFill="0" applyBorder="0" applyAlignment="0" applyProtection="0"/>
    <xf numFmtId="0" fontId="49" fillId="0" borderId="0" applyNumberFormat="0" applyFill="0" applyBorder="0" applyAlignment="0" applyProtection="0"/>
    <xf numFmtId="0" fontId="51" fillId="0" borderId="0" applyNumberFormat="0" applyFill="0" applyBorder="0" applyProtection="0"/>
    <xf numFmtId="0" fontId="49" fillId="0" borderId="0" applyNumberFormat="0" applyFill="0" applyBorder="0" applyAlignment="0" applyProtection="0"/>
    <xf numFmtId="0" fontId="49" fillId="0" borderId="0" applyNumberFormat="0" applyFill="0" applyBorder="0" applyProtection="0"/>
    <xf numFmtId="0" fontId="42" fillId="8" borderId="1" applyNumberFormat="0" applyBorder="0" applyAlignment="0" applyProtection="0"/>
    <xf numFmtId="0" fontId="42" fillId="8" borderId="1" applyNumberFormat="0" applyBorder="0" applyAlignment="0" applyProtection="0"/>
    <xf numFmtId="0" fontId="52" fillId="0" borderId="7"/>
    <xf numFmtId="0" fontId="53" fillId="24" borderId="0" applyNumberFormat="0" applyBorder="0" applyProtection="0"/>
    <xf numFmtId="185" fontId="25" fillId="0" borderId="0"/>
    <xf numFmtId="0" fontId="93" fillId="0" borderId="0" applyAlignment="0"/>
    <xf numFmtId="0" fontId="10" fillId="0" borderId="0"/>
    <xf numFmtId="0" fontId="93" fillId="0" borderId="0"/>
    <xf numFmtId="0" fontId="93" fillId="0" borderId="0"/>
    <xf numFmtId="0" fontId="93" fillId="0" borderId="0"/>
    <xf numFmtId="0" fontId="93" fillId="0" borderId="0" applyAlignment="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12"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10" fillId="0" borderId="0"/>
    <xf numFmtId="0" fontId="23" fillId="0" borderId="0"/>
    <xf numFmtId="0" fontId="10" fillId="0" borderId="0"/>
    <xf numFmtId="0" fontId="93" fillId="0" borderId="0" applyAlignment="0"/>
    <xf numFmtId="0" fontId="10" fillId="0" borderId="0"/>
    <xf numFmtId="0" fontId="38" fillId="0" borderId="0" applyAlignment="0"/>
    <xf numFmtId="0" fontId="93" fillId="0" borderId="0"/>
    <xf numFmtId="0" fontId="93" fillId="0" borderId="0"/>
    <xf numFmtId="0" fontId="93" fillId="0" borderId="0"/>
    <xf numFmtId="0" fontId="93" fillId="0" borderId="0"/>
    <xf numFmtId="0" fontId="93" fillId="0" borderId="0"/>
    <xf numFmtId="0" fontId="93" fillId="0" borderId="0"/>
    <xf numFmtId="0" fontId="54" fillId="0" borderId="0"/>
    <xf numFmtId="0" fontId="93" fillId="0" borderId="0"/>
    <xf numFmtId="0" fontId="93" fillId="0" borderId="0"/>
    <xf numFmtId="0" fontId="93" fillId="0" borderId="0"/>
    <xf numFmtId="194" fontId="55" fillId="0" borderId="0" applyAlignment="0">
      <protection locked="0"/>
    </xf>
    <xf numFmtId="0" fontId="93" fillId="0" borderId="0"/>
    <xf numFmtId="0" fontId="56" fillId="0" borderId="0"/>
    <xf numFmtId="0" fontId="93" fillId="0" borderId="0" applyAlignment="0"/>
    <xf numFmtId="0" fontId="43" fillId="0" borderId="0"/>
    <xf numFmtId="0" fontId="43" fillId="0" borderId="0"/>
    <xf numFmtId="0" fontId="43" fillId="0" borderId="0"/>
    <xf numFmtId="0" fontId="93" fillId="0" borderId="0"/>
    <xf numFmtId="0" fontId="93" fillId="0" borderId="0"/>
    <xf numFmtId="0" fontId="38" fillId="0" borderId="0" applyAlignment="0"/>
    <xf numFmtId="0" fontId="93" fillId="0" borderId="0"/>
    <xf numFmtId="0" fontId="8" fillId="0" borderId="0"/>
    <xf numFmtId="0" fontId="93" fillId="0" borderId="0" applyAlignment="0"/>
    <xf numFmtId="0" fontId="93" fillId="0" borderId="0" applyAlignment="0"/>
    <xf numFmtId="0" fontId="93" fillId="0" borderId="0" applyAlignment="0"/>
    <xf numFmtId="0" fontId="93" fillId="0" borderId="0"/>
    <xf numFmtId="0" fontId="93" fillId="0" borderId="0" applyAlignment="0"/>
    <xf numFmtId="0" fontId="38" fillId="0" borderId="0" applyAlignment="0"/>
    <xf numFmtId="0" fontId="93" fillId="0" borderId="0" applyAlignment="0"/>
    <xf numFmtId="0" fontId="8" fillId="0" borderId="0" applyAlignment="0"/>
    <xf numFmtId="0" fontId="93" fillId="0" borderId="0">
      <alignment vertical="center"/>
    </xf>
    <xf numFmtId="0" fontId="93" fillId="0" borderId="0" applyAlignment="0"/>
    <xf numFmtId="0" fontId="38" fillId="0" borderId="0" applyAlignment="0"/>
    <xf numFmtId="0" fontId="93" fillId="0" borderId="0"/>
    <xf numFmtId="0" fontId="93" fillId="0" borderId="0"/>
    <xf numFmtId="0" fontId="57" fillId="0" borderId="0" applyAlignment="0"/>
    <xf numFmtId="0" fontId="93" fillId="0" borderId="0"/>
    <xf numFmtId="0" fontId="43" fillId="0" borderId="0"/>
    <xf numFmtId="0" fontId="93" fillId="0" borderId="0"/>
    <xf numFmtId="0" fontId="93" fillId="0" borderId="0"/>
    <xf numFmtId="0" fontId="93" fillId="0" borderId="0"/>
    <xf numFmtId="0" fontId="93" fillId="0" borderId="0"/>
    <xf numFmtId="0" fontId="56" fillId="0" borderId="0"/>
    <xf numFmtId="194" fontId="93" fillId="0" borderId="0">
      <protection locked="0"/>
    </xf>
    <xf numFmtId="0" fontId="37" fillId="0" borderId="0" applyAlignment="0">
      <protection locked="0"/>
    </xf>
    <xf numFmtId="0" fontId="25" fillId="0" borderId="0"/>
    <xf numFmtId="183" fontId="39" fillId="0" borderId="0">
      <protection locked="0"/>
    </xf>
    <xf numFmtId="0" fontId="10" fillId="0" borderId="0"/>
    <xf numFmtId="0" fontId="56" fillId="0" borderId="0"/>
    <xf numFmtId="9" fontId="93" fillId="0" borderId="0" applyAlignment="0"/>
    <xf numFmtId="0" fontId="37" fillId="0" borderId="0" applyAlignment="0">
      <protection locked="0"/>
    </xf>
    <xf numFmtId="0" fontId="93" fillId="0" borderId="0"/>
    <xf numFmtId="9" fontId="38" fillId="0" borderId="0" applyAlignment="0"/>
    <xf numFmtId="0" fontId="93" fillId="0" borderId="0"/>
    <xf numFmtId="0" fontId="93" fillId="0" borderId="0"/>
    <xf numFmtId="0" fontId="93" fillId="0" borderId="0"/>
    <xf numFmtId="0" fontId="93" fillId="0" borderId="0"/>
    <xf numFmtId="0" fontId="38" fillId="0" borderId="0"/>
    <xf numFmtId="0" fontId="93" fillId="0" borderId="0"/>
    <xf numFmtId="0" fontId="38" fillId="0" borderId="0"/>
    <xf numFmtId="0" fontId="93" fillId="0" borderId="0"/>
    <xf numFmtId="0" fontId="93" fillId="0" borderId="0"/>
    <xf numFmtId="0" fontId="93" fillId="0" borderId="0"/>
    <xf numFmtId="0" fontId="93" fillId="0" borderId="0"/>
    <xf numFmtId="0" fontId="38" fillId="0" borderId="0"/>
    <xf numFmtId="0" fontId="93" fillId="0" borderId="0"/>
    <xf numFmtId="0" fontId="38" fillId="0" borderId="0"/>
    <xf numFmtId="0" fontId="93" fillId="0" borderId="0"/>
    <xf numFmtId="0" fontId="93" fillId="0" borderId="0"/>
    <xf numFmtId="176" fontId="23" fillId="0" borderId="0" applyAlignment="0"/>
    <xf numFmtId="176" fontId="23" fillId="0" borderId="0" applyAlignment="0"/>
    <xf numFmtId="0" fontId="38" fillId="0" borderId="0"/>
    <xf numFmtId="0" fontId="43" fillId="0" borderId="0"/>
    <xf numFmtId="0" fontId="93" fillId="0" borderId="0"/>
    <xf numFmtId="0" fontId="93" fillId="0" borderId="0"/>
    <xf numFmtId="0" fontId="56" fillId="0" borderId="0"/>
    <xf numFmtId="0" fontId="93" fillId="0" borderId="0">
      <alignment vertical="center"/>
    </xf>
    <xf numFmtId="0" fontId="58" fillId="0" borderId="0"/>
    <xf numFmtId="10" fontId="10" fillId="0" borderId="0" applyFont="0" applyFill="0" applyBorder="0" applyAlignment="0" applyProtection="0"/>
    <xf numFmtId="185" fontId="93" fillId="0" borderId="0" applyFont="0" applyFill="0" applyBorder="0" applyAlignment="0" applyProtection="0"/>
    <xf numFmtId="9" fontId="93" fillId="0" borderId="0" applyAlignment="0"/>
    <xf numFmtId="185" fontId="93" fillId="0" borderId="0" applyFont="0" applyFill="0" applyBorder="0" applyAlignment="0" applyProtection="0"/>
    <xf numFmtId="9" fontId="10" fillId="0" borderId="0" applyFont="0" applyFill="0" applyBorder="0" applyAlignment="0" applyProtection="0"/>
    <xf numFmtId="185" fontId="93" fillId="0" borderId="0" applyFont="0" applyFill="0" applyBorder="0" applyAlignment="0" applyProtection="0"/>
    <xf numFmtId="185" fontId="93" fillId="0" borderId="0" applyFont="0" applyFill="0" applyBorder="0" applyAlignment="0" applyProtection="0"/>
    <xf numFmtId="9" fontId="25" fillId="0" borderId="0" applyFont="0" applyFill="0" applyBorder="0" applyAlignment="0" applyProtection="0"/>
    <xf numFmtId="9" fontId="93" fillId="0" borderId="0" applyFont="0" applyFill="0" applyBorder="0" applyProtection="0"/>
    <xf numFmtId="185" fontId="93" fillId="0" borderId="0" applyFont="0" applyFill="0" applyBorder="0" applyAlignment="0" applyProtection="0"/>
    <xf numFmtId="185" fontId="93" fillId="0" borderId="0" applyFont="0" applyFill="0" applyBorder="0" applyAlignment="0" applyProtection="0"/>
    <xf numFmtId="9" fontId="38" fillId="0" borderId="0" applyAlignment="0"/>
    <xf numFmtId="9" fontId="93" fillId="0" borderId="0" applyFont="0" applyFill="0" applyBorder="0" applyAlignment="0" applyProtection="0"/>
    <xf numFmtId="9" fontId="93" fillId="0" borderId="0" applyFont="0" applyFill="0" applyBorder="0" applyAlignment="0" applyProtection="0"/>
    <xf numFmtId="9" fontId="93" fillId="0" borderId="0" applyFont="0" applyFill="0" applyBorder="0" applyProtection="0"/>
    <xf numFmtId="9" fontId="93" fillId="0" borderId="0" applyFont="0" applyFill="0" applyBorder="0" applyProtection="0"/>
    <xf numFmtId="9" fontId="93" fillId="0" borderId="0" applyFont="0" applyFill="0" applyBorder="0" applyProtection="0"/>
    <xf numFmtId="9" fontId="93" fillId="0" borderId="0" applyFont="0" applyFill="0" applyBorder="0" applyProtection="0"/>
    <xf numFmtId="0" fontId="42" fillId="9" borderId="1"/>
    <xf numFmtId="0" fontId="42" fillId="9" borderId="1"/>
    <xf numFmtId="4" fontId="41" fillId="0" borderId="0">
      <alignment horizontal="right"/>
    </xf>
    <xf numFmtId="4" fontId="59" fillId="0" borderId="0">
      <alignment horizontal="right"/>
    </xf>
    <xf numFmtId="179" fontId="39" fillId="0" borderId="0" applyFont="0" applyFill="0" applyBorder="0" applyAlignment="0" applyProtection="0"/>
    <xf numFmtId="0" fontId="21" fillId="25" borderId="8" applyNumberFormat="0" applyProtection="0">
      <alignment vertical="center"/>
    </xf>
    <xf numFmtId="0" fontId="21" fillId="25" borderId="8" applyNumberFormat="0" applyProtection="0">
      <alignment vertical="center"/>
    </xf>
    <xf numFmtId="0" fontId="21" fillId="25" borderId="8" applyNumberFormat="0" applyProtection="0">
      <alignment vertical="center"/>
    </xf>
    <xf numFmtId="0" fontId="21" fillId="25" borderId="8" applyNumberFormat="0" applyProtection="0">
      <alignment vertical="center"/>
    </xf>
    <xf numFmtId="0" fontId="60" fillId="25" borderId="8" applyNumberFormat="0" applyProtection="0">
      <alignment vertical="center"/>
    </xf>
    <xf numFmtId="0" fontId="60" fillId="25" borderId="8" applyNumberFormat="0" applyProtection="0">
      <alignment vertical="center"/>
    </xf>
    <xf numFmtId="0" fontId="60" fillId="25" borderId="8" applyNumberFormat="0" applyProtection="0">
      <alignment vertical="center"/>
    </xf>
    <xf numFmtId="0" fontId="60" fillId="25" borderId="8" applyNumberFormat="0" applyProtection="0">
      <alignment vertical="center"/>
    </xf>
    <xf numFmtId="0" fontId="21" fillId="25" borderId="8" applyNumberFormat="0" applyProtection="0">
      <alignment horizontal="left" vertical="center" indent="1"/>
    </xf>
    <xf numFmtId="0" fontId="21" fillId="25" borderId="8" applyNumberFormat="0" applyProtection="0">
      <alignment horizontal="left" vertical="center" indent="1"/>
    </xf>
    <xf numFmtId="0" fontId="21" fillId="25" borderId="8" applyNumberFormat="0" applyProtection="0">
      <alignment horizontal="left" vertical="center" indent="1"/>
    </xf>
    <xf numFmtId="0" fontId="21" fillId="25" borderId="8" applyNumberFormat="0" applyProtection="0">
      <alignment horizontal="left" vertical="center" indent="1"/>
    </xf>
    <xf numFmtId="0" fontId="21" fillId="25" borderId="8" applyNumberFormat="0" applyProtection="0">
      <alignment horizontal="left" vertical="top" indent="1"/>
    </xf>
    <xf numFmtId="0" fontId="21" fillId="25" borderId="8" applyNumberFormat="0" applyProtection="0">
      <alignment horizontal="left" vertical="top" indent="1"/>
    </xf>
    <xf numFmtId="0" fontId="21" fillId="25" borderId="8" applyNumberFormat="0" applyProtection="0">
      <alignment horizontal="left" vertical="top" indent="1"/>
    </xf>
    <xf numFmtId="0" fontId="21" fillId="25" borderId="8" applyNumberFormat="0" applyProtection="0">
      <alignment horizontal="left" vertical="top" indent="1"/>
    </xf>
    <xf numFmtId="0" fontId="21" fillId="26" borderId="0" applyNumberFormat="0" applyProtection="0">
      <alignment horizontal="left" vertical="center" indent="1"/>
    </xf>
    <xf numFmtId="0" fontId="11" fillId="27" borderId="8" applyNumberFormat="0" applyProtection="0">
      <alignment horizontal="right" vertical="center"/>
    </xf>
    <xf numFmtId="0" fontId="11" fillId="27" borderId="8" applyNumberFormat="0" applyProtection="0">
      <alignment horizontal="right" vertical="center"/>
    </xf>
    <xf numFmtId="0" fontId="11" fillId="27" borderId="8" applyNumberFormat="0" applyProtection="0">
      <alignment horizontal="right" vertical="center"/>
    </xf>
    <xf numFmtId="0" fontId="11" fillId="27" borderId="8" applyNumberFormat="0" applyProtection="0">
      <alignment horizontal="right" vertical="center"/>
    </xf>
    <xf numFmtId="0" fontId="11" fillId="28" borderId="8" applyNumberFormat="0" applyProtection="0">
      <alignment horizontal="right" vertical="center"/>
    </xf>
    <xf numFmtId="0" fontId="11" fillId="28" borderId="8" applyNumberFormat="0" applyProtection="0">
      <alignment horizontal="right" vertical="center"/>
    </xf>
    <xf numFmtId="0" fontId="11" fillId="28" borderId="8" applyNumberFormat="0" applyProtection="0">
      <alignment horizontal="right" vertical="center"/>
    </xf>
    <xf numFmtId="0" fontId="11" fillId="28" borderId="8" applyNumberFormat="0" applyProtection="0">
      <alignment horizontal="right" vertical="center"/>
    </xf>
    <xf numFmtId="0" fontId="11" fillId="29" borderId="8" applyNumberFormat="0" applyProtection="0">
      <alignment horizontal="right" vertical="center"/>
    </xf>
    <xf numFmtId="0" fontId="11" fillId="29" borderId="8" applyNumberFormat="0" applyProtection="0">
      <alignment horizontal="right" vertical="center"/>
    </xf>
    <xf numFmtId="0" fontId="11" fillId="29" borderId="8" applyNumberFormat="0" applyProtection="0">
      <alignment horizontal="right" vertical="center"/>
    </xf>
    <xf numFmtId="0" fontId="11" fillId="29" borderId="8" applyNumberFormat="0" applyProtection="0">
      <alignment horizontal="right" vertical="center"/>
    </xf>
    <xf numFmtId="0" fontId="11" fillId="30" borderId="8" applyNumberFormat="0" applyProtection="0">
      <alignment horizontal="right" vertical="center"/>
    </xf>
    <xf numFmtId="0" fontId="11" fillId="30" borderId="8" applyNumberFormat="0" applyProtection="0">
      <alignment horizontal="right" vertical="center"/>
    </xf>
    <xf numFmtId="0" fontId="11" fillId="30" borderId="8" applyNumberFormat="0" applyProtection="0">
      <alignment horizontal="right" vertical="center"/>
    </xf>
    <xf numFmtId="0" fontId="11" fillId="30" borderId="8" applyNumberFormat="0" applyProtection="0">
      <alignment horizontal="right" vertical="center"/>
    </xf>
    <xf numFmtId="0" fontId="11" fillId="15" borderId="8" applyNumberFormat="0" applyProtection="0">
      <alignment horizontal="right" vertical="center"/>
    </xf>
    <xf numFmtId="0" fontId="11" fillId="15" borderId="8" applyNumberFormat="0" applyProtection="0">
      <alignment horizontal="right" vertical="center"/>
    </xf>
    <xf numFmtId="0" fontId="11" fillId="15" borderId="8" applyNumberFormat="0" applyProtection="0">
      <alignment horizontal="right" vertical="center"/>
    </xf>
    <xf numFmtId="0" fontId="11" fillId="15" borderId="8" applyNumberFormat="0" applyProtection="0">
      <alignment horizontal="right" vertical="center"/>
    </xf>
    <xf numFmtId="0" fontId="11" fillId="31" borderId="8" applyNumberFormat="0" applyProtection="0">
      <alignment horizontal="right" vertical="center"/>
    </xf>
    <xf numFmtId="0" fontId="11" fillId="31" borderId="8" applyNumberFormat="0" applyProtection="0">
      <alignment horizontal="right" vertical="center"/>
    </xf>
    <xf numFmtId="0" fontId="11" fillId="31" borderId="8" applyNumberFormat="0" applyProtection="0">
      <alignment horizontal="right" vertical="center"/>
    </xf>
    <xf numFmtId="0" fontId="11" fillId="31" borderId="8" applyNumberFormat="0" applyProtection="0">
      <alignment horizontal="right" vertical="center"/>
    </xf>
    <xf numFmtId="0" fontId="11" fillId="32" borderId="8" applyNumberFormat="0" applyProtection="0">
      <alignment horizontal="right" vertical="center"/>
    </xf>
    <xf numFmtId="0" fontId="11" fillId="32" borderId="8" applyNumberFormat="0" applyProtection="0">
      <alignment horizontal="right" vertical="center"/>
    </xf>
    <xf numFmtId="0" fontId="11" fillId="32" borderId="8" applyNumberFormat="0" applyProtection="0">
      <alignment horizontal="right" vertical="center"/>
    </xf>
    <xf numFmtId="0" fontId="11" fillId="32" borderId="8" applyNumberFormat="0" applyProtection="0">
      <alignment horizontal="right" vertical="center"/>
    </xf>
    <xf numFmtId="0" fontId="11" fillId="33" borderId="8" applyNumberFormat="0" applyProtection="0">
      <alignment horizontal="right" vertical="center"/>
    </xf>
    <xf numFmtId="0" fontId="11" fillId="33" borderId="8" applyNumberFormat="0" applyProtection="0">
      <alignment horizontal="right" vertical="center"/>
    </xf>
    <xf numFmtId="0" fontId="11" fillId="33" borderId="8" applyNumberFormat="0" applyProtection="0">
      <alignment horizontal="right" vertical="center"/>
    </xf>
    <xf numFmtId="0" fontId="11" fillId="33" borderId="8" applyNumberFormat="0" applyProtection="0">
      <alignment horizontal="right" vertical="center"/>
    </xf>
    <xf numFmtId="0" fontId="11" fillId="34" borderId="8" applyNumberFormat="0" applyProtection="0">
      <alignment horizontal="right" vertical="center"/>
    </xf>
    <xf numFmtId="0" fontId="11" fillId="34" borderId="8" applyNumberFormat="0" applyProtection="0">
      <alignment horizontal="right" vertical="center"/>
    </xf>
    <xf numFmtId="0" fontId="11" fillId="34" borderId="8" applyNumberFormat="0" applyProtection="0">
      <alignment horizontal="right" vertical="center"/>
    </xf>
    <xf numFmtId="0" fontId="11" fillId="34" borderId="8" applyNumberFormat="0" applyProtection="0">
      <alignment horizontal="right" vertical="center"/>
    </xf>
    <xf numFmtId="0" fontId="21" fillId="35" borderId="9" applyNumberFormat="0" applyProtection="0">
      <alignment horizontal="left" vertical="center" indent="1"/>
    </xf>
    <xf numFmtId="0" fontId="11" fillId="36" borderId="0" applyNumberFormat="0" applyProtection="0">
      <alignment horizontal="left" vertical="center" indent="1"/>
    </xf>
    <xf numFmtId="0" fontId="61" fillId="4" borderId="0" applyNumberFormat="0" applyProtection="0">
      <alignment horizontal="left" vertical="center" indent="1"/>
    </xf>
    <xf numFmtId="0" fontId="11" fillId="26" borderId="8" applyNumberFormat="0" applyProtection="0">
      <alignment horizontal="right" vertical="center"/>
    </xf>
    <xf numFmtId="0" fontId="11" fillId="26" borderId="8" applyNumberFormat="0" applyProtection="0">
      <alignment horizontal="right" vertical="center"/>
    </xf>
    <xf numFmtId="0" fontId="11" fillId="26" borderId="8" applyNumberFormat="0" applyProtection="0">
      <alignment horizontal="right" vertical="center"/>
    </xf>
    <xf numFmtId="0" fontId="11" fillId="26" borderId="8" applyNumberFormat="0" applyProtection="0">
      <alignment horizontal="right" vertical="center"/>
    </xf>
    <xf numFmtId="0" fontId="11" fillId="36" borderId="0" applyNumberFormat="0" applyProtection="0">
      <alignment horizontal="left" vertical="center" indent="1"/>
    </xf>
    <xf numFmtId="0" fontId="11" fillId="26" borderId="0" applyNumberFormat="0" applyProtection="0">
      <alignment horizontal="left" vertical="center" indent="1"/>
    </xf>
    <xf numFmtId="0" fontId="10" fillId="4" borderId="8" applyNumberFormat="0" applyProtection="0">
      <alignment horizontal="left" vertical="center" indent="1"/>
    </xf>
    <xf numFmtId="0" fontId="10" fillId="4" borderId="8" applyNumberFormat="0" applyProtection="0">
      <alignment horizontal="left" vertical="center" indent="1"/>
    </xf>
    <xf numFmtId="0" fontId="10" fillId="4" borderId="8" applyNumberFormat="0" applyProtection="0">
      <alignment horizontal="left" vertical="center" indent="1"/>
    </xf>
    <xf numFmtId="0" fontId="10" fillId="4" borderId="8" applyNumberFormat="0" applyProtection="0">
      <alignment horizontal="left" vertical="center" indent="1"/>
    </xf>
    <xf numFmtId="0" fontId="10" fillId="4" borderId="8" applyNumberFormat="0" applyProtection="0">
      <alignment horizontal="left" vertical="top" indent="1"/>
    </xf>
    <xf numFmtId="0" fontId="10" fillId="4" borderId="8" applyNumberFormat="0" applyProtection="0">
      <alignment horizontal="left" vertical="top" indent="1"/>
    </xf>
    <xf numFmtId="0" fontId="10" fillId="4" borderId="8" applyNumberFormat="0" applyProtection="0">
      <alignment horizontal="left" vertical="top" indent="1"/>
    </xf>
    <xf numFmtId="0" fontId="10" fillId="4" borderId="8" applyNumberFormat="0" applyProtection="0">
      <alignment horizontal="left" vertical="top" indent="1"/>
    </xf>
    <xf numFmtId="0" fontId="10" fillId="26" borderId="8" applyNumberFormat="0" applyProtection="0">
      <alignment horizontal="left" vertical="center" indent="1"/>
    </xf>
    <xf numFmtId="0" fontId="10" fillId="26" borderId="8" applyNumberFormat="0" applyProtection="0">
      <alignment horizontal="left" vertical="center" indent="1"/>
    </xf>
    <xf numFmtId="0" fontId="10" fillId="26" borderId="8" applyNumberFormat="0" applyProtection="0">
      <alignment horizontal="left" vertical="center" indent="1"/>
    </xf>
    <xf numFmtId="0" fontId="10" fillId="26" borderId="8" applyNumberFormat="0" applyProtection="0">
      <alignment horizontal="left" vertical="center" indent="1"/>
    </xf>
    <xf numFmtId="0" fontId="10" fillId="26" borderId="8" applyNumberFormat="0" applyProtection="0">
      <alignment horizontal="left" vertical="top" indent="1"/>
    </xf>
    <xf numFmtId="0" fontId="10" fillId="26" borderId="8" applyNumberFormat="0" applyProtection="0">
      <alignment horizontal="left" vertical="top" indent="1"/>
    </xf>
    <xf numFmtId="0" fontId="10" fillId="26" borderId="8" applyNumberFormat="0" applyProtection="0">
      <alignment horizontal="left" vertical="top" indent="1"/>
    </xf>
    <xf numFmtId="0" fontId="10" fillId="26" borderId="8" applyNumberFormat="0" applyProtection="0">
      <alignment horizontal="left" vertical="top" indent="1"/>
    </xf>
    <xf numFmtId="0" fontId="10" fillId="6" borderId="8" applyNumberFormat="0" applyProtection="0">
      <alignment horizontal="left" vertical="center" indent="1"/>
    </xf>
    <xf numFmtId="0" fontId="10" fillId="6" borderId="8" applyNumberFormat="0" applyProtection="0">
      <alignment horizontal="left" vertical="center" indent="1"/>
    </xf>
    <xf numFmtId="0" fontId="10" fillId="6" borderId="8" applyNumberFormat="0" applyProtection="0">
      <alignment horizontal="left" vertical="center" indent="1"/>
    </xf>
    <xf numFmtId="0" fontId="10" fillId="6" borderId="8" applyNumberFormat="0" applyProtection="0">
      <alignment horizontal="left" vertical="center" indent="1"/>
    </xf>
    <xf numFmtId="0" fontId="10" fillId="6" borderId="8" applyNumberFormat="0" applyProtection="0">
      <alignment horizontal="left" vertical="top" indent="1"/>
    </xf>
    <xf numFmtId="0" fontId="10" fillId="6" borderId="8" applyNumberFormat="0" applyProtection="0">
      <alignment horizontal="left" vertical="top" indent="1"/>
    </xf>
    <xf numFmtId="0" fontId="10" fillId="6" borderId="8" applyNumberFormat="0" applyProtection="0">
      <alignment horizontal="left" vertical="top" indent="1"/>
    </xf>
    <xf numFmtId="0" fontId="10" fillId="6" borderId="8" applyNumberFormat="0" applyProtection="0">
      <alignment horizontal="left" vertical="top" indent="1"/>
    </xf>
    <xf numFmtId="0" fontId="10" fillId="36" borderId="8" applyNumberFormat="0" applyProtection="0">
      <alignment horizontal="left" vertical="center" indent="1"/>
    </xf>
    <xf numFmtId="0" fontId="10" fillId="36" borderId="8" applyNumberFormat="0" applyProtection="0">
      <alignment horizontal="left" vertical="center" indent="1"/>
    </xf>
    <xf numFmtId="0" fontId="10" fillId="36" borderId="8" applyNumberFormat="0" applyProtection="0">
      <alignment horizontal="left" vertical="center" indent="1"/>
    </xf>
    <xf numFmtId="0" fontId="10" fillId="36" borderId="8" applyNumberFormat="0" applyProtection="0">
      <alignment horizontal="left" vertical="center" indent="1"/>
    </xf>
    <xf numFmtId="0" fontId="10" fillId="36" borderId="8" applyNumberFormat="0" applyProtection="0">
      <alignment horizontal="left" vertical="top" indent="1"/>
    </xf>
    <xf numFmtId="0" fontId="10" fillId="36" borderId="8" applyNumberFormat="0" applyProtection="0">
      <alignment horizontal="left" vertical="top" indent="1"/>
    </xf>
    <xf numFmtId="0" fontId="10" fillId="36" borderId="8" applyNumberFormat="0" applyProtection="0">
      <alignment horizontal="left" vertical="top" indent="1"/>
    </xf>
    <xf numFmtId="0" fontId="10" fillId="36" borderId="8" applyNumberFormat="0" applyProtection="0">
      <alignment horizontal="left" vertical="top" indent="1"/>
    </xf>
    <xf numFmtId="0" fontId="11" fillId="8" borderId="8" applyNumberFormat="0" applyProtection="0">
      <alignment vertical="center"/>
    </xf>
    <xf numFmtId="0" fontId="11" fillId="8" borderId="8" applyNumberFormat="0" applyProtection="0">
      <alignment vertical="center"/>
    </xf>
    <xf numFmtId="0" fontId="11" fillId="8" borderId="8" applyNumberFormat="0" applyProtection="0">
      <alignment vertical="center"/>
    </xf>
    <xf numFmtId="0" fontId="11" fillId="8" borderId="8" applyNumberFormat="0" applyProtection="0">
      <alignment vertical="center"/>
    </xf>
    <xf numFmtId="0" fontId="62" fillId="8" borderId="8" applyNumberFormat="0" applyProtection="0">
      <alignment vertical="center"/>
    </xf>
    <xf numFmtId="0" fontId="62" fillId="8" borderId="8" applyNumberFormat="0" applyProtection="0">
      <alignment vertical="center"/>
    </xf>
    <xf numFmtId="0" fontId="62" fillId="8" borderId="8" applyNumberFormat="0" applyProtection="0">
      <alignment vertical="center"/>
    </xf>
    <xf numFmtId="0" fontId="62" fillId="8" borderId="8" applyNumberFormat="0" applyProtection="0">
      <alignment vertical="center"/>
    </xf>
    <xf numFmtId="0" fontId="11" fillId="8" borderId="8" applyNumberFormat="0" applyProtection="0">
      <alignment horizontal="left" vertical="center" indent="1"/>
    </xf>
    <xf numFmtId="0" fontId="11" fillId="8" borderId="8" applyNumberFormat="0" applyProtection="0">
      <alignment horizontal="left" vertical="center" indent="1"/>
    </xf>
    <xf numFmtId="0" fontId="11" fillId="8" borderId="8" applyNumberFormat="0" applyProtection="0">
      <alignment horizontal="left" vertical="center" indent="1"/>
    </xf>
    <xf numFmtId="0" fontId="11" fillId="8" borderId="8" applyNumberFormat="0" applyProtection="0">
      <alignment horizontal="left" vertical="center" indent="1"/>
    </xf>
    <xf numFmtId="0" fontId="11" fillId="8" borderId="8" applyNumberFormat="0" applyProtection="0">
      <alignment horizontal="left" vertical="top" indent="1"/>
    </xf>
    <xf numFmtId="0" fontId="11" fillId="8" borderId="8" applyNumberFormat="0" applyProtection="0">
      <alignment horizontal="left" vertical="top" indent="1"/>
    </xf>
    <xf numFmtId="0" fontId="11" fillId="8" borderId="8" applyNumberFormat="0" applyProtection="0">
      <alignment horizontal="left" vertical="top" indent="1"/>
    </xf>
    <xf numFmtId="0" fontId="11" fillId="8" borderId="8" applyNumberFormat="0" applyProtection="0">
      <alignment horizontal="left" vertical="top" indent="1"/>
    </xf>
    <xf numFmtId="0" fontId="11" fillId="36" borderId="8" applyNumberFormat="0" applyProtection="0">
      <alignment horizontal="right" vertical="center"/>
    </xf>
    <xf numFmtId="0" fontId="11" fillId="36" borderId="8" applyNumberFormat="0" applyProtection="0">
      <alignment horizontal="right" vertical="center"/>
    </xf>
    <xf numFmtId="0" fontId="11" fillId="36" borderId="8" applyNumberFormat="0" applyProtection="0">
      <alignment horizontal="right" vertical="center"/>
    </xf>
    <xf numFmtId="0" fontId="11" fillId="36" borderId="8" applyNumberFormat="0" applyProtection="0">
      <alignment horizontal="right" vertical="center"/>
    </xf>
    <xf numFmtId="0" fontId="62" fillId="36" borderId="8" applyNumberFormat="0" applyProtection="0">
      <alignment horizontal="right" vertical="center"/>
    </xf>
    <xf numFmtId="0" fontId="62" fillId="36" borderId="8" applyNumberFormat="0" applyProtection="0">
      <alignment horizontal="right" vertical="center"/>
    </xf>
    <xf numFmtId="0" fontId="62" fillId="36" borderId="8" applyNumberFormat="0" applyProtection="0">
      <alignment horizontal="right" vertical="center"/>
    </xf>
    <xf numFmtId="0" fontId="62" fillId="36" borderId="8" applyNumberFormat="0" applyProtection="0">
      <alignment horizontal="right" vertical="center"/>
    </xf>
    <xf numFmtId="0" fontId="11" fillId="26" borderId="8" applyNumberFormat="0" applyProtection="0">
      <alignment horizontal="left" vertical="center" indent="1"/>
    </xf>
    <xf numFmtId="0" fontId="11" fillId="26" borderId="8" applyNumberFormat="0" applyProtection="0">
      <alignment horizontal="left" vertical="center" indent="1"/>
    </xf>
    <xf numFmtId="0" fontId="11" fillId="26" borderId="8" applyNumberFormat="0" applyProtection="0">
      <alignment horizontal="left" vertical="center" indent="1"/>
    </xf>
    <xf numFmtId="0" fontId="11" fillId="26" borderId="8" applyNumberFormat="0" applyProtection="0">
      <alignment horizontal="left" vertical="center" indent="1"/>
    </xf>
    <xf numFmtId="0" fontId="11" fillId="26" borderId="8" applyNumberFormat="0" applyProtection="0">
      <alignment horizontal="left" vertical="top" indent="1"/>
    </xf>
    <xf numFmtId="0" fontId="11" fillId="26" borderId="8" applyNumberFormat="0" applyProtection="0">
      <alignment horizontal="left" vertical="top" indent="1"/>
    </xf>
    <xf numFmtId="0" fontId="11" fillId="26" borderId="8" applyNumberFormat="0" applyProtection="0">
      <alignment horizontal="left" vertical="top" indent="1"/>
    </xf>
    <xf numFmtId="0" fontId="11" fillId="26" borderId="8" applyNumberFormat="0" applyProtection="0">
      <alignment horizontal="left" vertical="top" indent="1"/>
    </xf>
    <xf numFmtId="0" fontId="63" fillId="37" borderId="0" applyNumberFormat="0" applyProtection="0">
      <alignment horizontal="left" vertical="center" indent="1"/>
    </xf>
    <xf numFmtId="0" fontId="20" fillId="36" borderId="8" applyNumberFormat="0" applyProtection="0">
      <alignment horizontal="right" vertical="center"/>
    </xf>
    <xf numFmtId="0" fontId="20" fillId="36" borderId="8" applyNumberFormat="0" applyProtection="0">
      <alignment horizontal="right" vertical="center"/>
    </xf>
    <xf numFmtId="0" fontId="20" fillId="36" borderId="8" applyNumberFormat="0" applyProtection="0">
      <alignment horizontal="right" vertical="center"/>
    </xf>
    <xf numFmtId="0" fontId="20" fillId="36" borderId="8" applyNumberFormat="0" applyProtection="0">
      <alignment horizontal="right" vertical="center"/>
    </xf>
    <xf numFmtId="0" fontId="64" fillId="0" borderId="0">
      <alignment horizontal="left"/>
    </xf>
    <xf numFmtId="176" fontId="42" fillId="0" borderId="10"/>
    <xf numFmtId="0" fontId="52" fillId="0" borderId="0"/>
    <xf numFmtId="0" fontId="65" fillId="0" borderId="0">
      <alignment horizontal="center"/>
    </xf>
    <xf numFmtId="195" fontId="10" fillId="0" borderId="0" applyFont="0" applyFill="0" applyBorder="0" applyAlignment="0" applyProtection="0"/>
    <xf numFmtId="196" fontId="10" fillId="0" borderId="0" applyFont="0" applyFill="0" applyBorder="0" applyAlignment="0" applyProtection="0"/>
    <xf numFmtId="197" fontId="25" fillId="0" borderId="0" applyFont="0" applyFill="0" applyBorder="0" applyAlignment="0" applyProtection="0"/>
    <xf numFmtId="198" fontId="25" fillId="0" borderId="0" applyFont="0" applyFill="0" applyBorder="0" applyAlignment="0" applyProtection="0"/>
    <xf numFmtId="9" fontId="66" fillId="0" borderId="0" applyFont="0" applyFill="0" applyBorder="0" applyAlignment="0" applyProtection="0"/>
    <xf numFmtId="0" fontId="54" fillId="0" borderId="0"/>
    <xf numFmtId="0" fontId="67" fillId="0" borderId="0"/>
    <xf numFmtId="199" fontId="54" fillId="0" borderId="0" applyFont="0" applyFill="0" applyBorder="0" applyAlignment="0" applyProtection="0"/>
    <xf numFmtId="189" fontId="54" fillId="0" borderId="0" applyFont="0" applyFill="0" applyBorder="0" applyAlignment="0" applyProtection="0"/>
    <xf numFmtId="179" fontId="10" fillId="0" borderId="0" applyFont="0" applyFill="0" applyBorder="0" applyAlignment="0" applyProtection="0"/>
    <xf numFmtId="9" fontId="54" fillId="0" borderId="0" applyFont="0" applyFill="0" applyBorder="0" applyAlignment="0" applyProtection="0"/>
    <xf numFmtId="9" fontId="25" fillId="0" borderId="0" applyFont="0" applyFill="0" applyBorder="0" applyAlignment="0" applyProtection="0"/>
    <xf numFmtId="9" fontId="23" fillId="0" borderId="0" applyAlignment="0"/>
    <xf numFmtId="9" fontId="10" fillId="0" borderId="0" applyFont="0" applyFill="0" applyBorder="0" applyAlignment="0" applyProtection="0"/>
    <xf numFmtId="9" fontId="25" fillId="0" borderId="0" applyFont="0" applyFill="0" applyBorder="0" applyAlignment="0" applyProtection="0"/>
    <xf numFmtId="9" fontId="93" fillId="0" borderId="0" applyFont="0" applyFill="0" applyBorder="0" applyAlignment="0" applyProtection="0"/>
    <xf numFmtId="9" fontId="43" fillId="0" borderId="0" applyFont="0" applyFill="0" applyBorder="0" applyProtection="0"/>
    <xf numFmtId="0" fontId="68" fillId="0" borderId="0" applyFont="0" applyFill="0" applyBorder="0" applyAlignment="0" applyProtection="0"/>
    <xf numFmtId="0" fontId="68" fillId="0" borderId="0" applyFont="0" applyFill="0" applyBorder="0" applyAlignment="0" applyProtection="0"/>
    <xf numFmtId="0" fontId="69" fillId="0" borderId="0" applyNumberFormat="0" applyFill="0" applyBorder="0" applyProtection="0"/>
    <xf numFmtId="4" fontId="70" fillId="0" borderId="0">
      <alignment horizontal="right"/>
    </xf>
    <xf numFmtId="0" fontId="71" fillId="0" borderId="0" applyNumberFormat="0" applyFill="0" applyBorder="0" applyAlignment="0" applyProtection="0"/>
    <xf numFmtId="0" fontId="72" fillId="30" borderId="0" applyNumberFormat="0" applyBorder="0" applyProtection="0"/>
    <xf numFmtId="0" fontId="73" fillId="27" borderId="0" applyNumberFormat="0" applyBorder="0" applyProtection="0"/>
    <xf numFmtId="0" fontId="73" fillId="27" borderId="0" applyNumberFormat="0" applyBorder="0" applyProtection="0"/>
    <xf numFmtId="0" fontId="74" fillId="27" borderId="0" applyNumberFormat="0" applyBorder="0" applyAlignment="0" applyProtection="0"/>
    <xf numFmtId="0" fontId="73" fillId="27" borderId="0" applyNumberFormat="0" applyBorder="0" applyProtection="0"/>
    <xf numFmtId="0" fontId="73" fillId="27" borderId="0" applyNumberFormat="0" applyBorder="0" applyProtection="0"/>
    <xf numFmtId="0" fontId="73" fillId="27" borderId="0" applyNumberFormat="0" applyBorder="0" applyProtection="0"/>
    <xf numFmtId="0" fontId="73" fillId="27" borderId="0" applyNumberFormat="0" applyBorder="0" applyProtection="0"/>
    <xf numFmtId="0" fontId="73" fillId="27" borderId="0" applyNumberFormat="0" applyBorder="0" applyProtection="0"/>
    <xf numFmtId="0" fontId="73" fillId="27" borderId="0" applyNumberFormat="0" applyBorder="0" applyProtection="0"/>
    <xf numFmtId="0" fontId="73" fillId="27" borderId="0" applyNumberFormat="0" applyBorder="0" applyProtection="0"/>
    <xf numFmtId="0" fontId="72" fillId="30" borderId="0" applyNumberFormat="0" applyBorder="0" applyProtection="0"/>
    <xf numFmtId="0" fontId="72" fillId="30" borderId="0" applyNumberFormat="0" applyBorder="0" applyProtection="0"/>
    <xf numFmtId="0" fontId="75" fillId="20" borderId="0" applyNumberFormat="0" applyBorder="0" applyProtection="0"/>
    <xf numFmtId="0" fontId="73" fillId="27" borderId="0" applyNumberFormat="0" applyBorder="0" applyProtection="0"/>
    <xf numFmtId="0" fontId="72" fillId="30" borderId="0" applyNumberFormat="0" applyBorder="0" applyProtection="0"/>
    <xf numFmtId="0" fontId="72" fillId="30" borderId="0" applyNumberFormat="0" applyBorder="0" applyProtection="0"/>
    <xf numFmtId="0" fontId="75" fillId="20" borderId="0" applyNumberFormat="0" applyBorder="0" applyProtection="0"/>
    <xf numFmtId="0" fontId="72" fillId="30" borderId="0" applyNumberFormat="0" applyBorder="0" applyProtection="0"/>
    <xf numFmtId="0" fontId="72" fillId="30" borderId="0" applyNumberFormat="0" applyBorder="0" applyProtection="0"/>
    <xf numFmtId="0" fontId="72" fillId="30" borderId="0" applyNumberFormat="0" applyBorder="0" applyProtection="0"/>
    <xf numFmtId="0" fontId="73" fillId="27" borderId="0" applyNumberFormat="0" applyBorder="0" applyProtection="0"/>
    <xf numFmtId="0" fontId="72" fillId="30" borderId="0" applyNumberFormat="0" applyBorder="0" applyProtection="0"/>
    <xf numFmtId="0" fontId="72" fillId="30" borderId="0" applyNumberFormat="0" applyBorder="0" applyProtection="0"/>
    <xf numFmtId="0" fontId="72" fillId="30" borderId="0" applyNumberFormat="0" applyBorder="0" applyProtection="0"/>
    <xf numFmtId="0" fontId="72" fillId="30" borderId="0" applyNumberFormat="0" applyBorder="0" applyProtection="0"/>
    <xf numFmtId="0" fontId="25" fillId="0" borderId="0"/>
    <xf numFmtId="200" fontId="76" fillId="0" borderId="0"/>
    <xf numFmtId="0" fontId="43" fillId="0" borderId="0"/>
    <xf numFmtId="0" fontId="93" fillId="0" borderId="0"/>
    <xf numFmtId="0" fontId="93" fillId="0" borderId="0"/>
    <xf numFmtId="0" fontId="23" fillId="0" borderId="0">
      <protection locked="0"/>
    </xf>
    <xf numFmtId="0" fontId="10" fillId="0" borderId="0">
      <protection locked="0"/>
    </xf>
    <xf numFmtId="0" fontId="93" fillId="0" borderId="0"/>
    <xf numFmtId="0" fontId="23" fillId="0" borderId="0">
      <protection locked="0"/>
    </xf>
    <xf numFmtId="0" fontId="77" fillId="0" borderId="0">
      <alignment vertical="center"/>
    </xf>
    <xf numFmtId="0" fontId="77" fillId="0" borderId="0">
      <alignment vertical="center"/>
    </xf>
    <xf numFmtId="0" fontId="57" fillId="0" borderId="0"/>
    <xf numFmtId="200" fontId="43" fillId="0" borderId="0"/>
    <xf numFmtId="0" fontId="25" fillId="0" borderId="0"/>
    <xf numFmtId="0" fontId="43" fillId="0" borderId="0"/>
    <xf numFmtId="0" fontId="93" fillId="0" borderId="0"/>
    <xf numFmtId="0" fontId="93" fillId="0" borderId="0"/>
    <xf numFmtId="0" fontId="38" fillId="0" borderId="0"/>
    <xf numFmtId="0" fontId="93" fillId="0" borderId="0"/>
    <xf numFmtId="0" fontId="57" fillId="0" borderId="0"/>
    <xf numFmtId="0" fontId="93" fillId="0" borderId="0" applyAlignment="0"/>
    <xf numFmtId="0" fontId="10" fillId="0" borderId="0">
      <protection locked="0"/>
    </xf>
    <xf numFmtId="0" fontId="78" fillId="0" borderId="0"/>
    <xf numFmtId="0" fontId="43" fillId="0" borderId="0"/>
    <xf numFmtId="0" fontId="93" fillId="0" borderId="0"/>
    <xf numFmtId="0" fontId="93" fillId="0" borderId="0"/>
    <xf numFmtId="0" fontId="25" fillId="0" borderId="0"/>
    <xf numFmtId="0" fontId="93" fillId="0" borderId="0"/>
    <xf numFmtId="0" fontId="25" fillId="0" borderId="0">
      <alignment vertical="center"/>
    </xf>
    <xf numFmtId="0" fontId="93" fillId="0" borderId="0"/>
    <xf numFmtId="0" fontId="43" fillId="0" borderId="0"/>
    <xf numFmtId="0" fontId="93" fillId="0" borderId="0"/>
    <xf numFmtId="0" fontId="43" fillId="0" borderId="0"/>
    <xf numFmtId="0" fontId="93" fillId="0" borderId="0"/>
    <xf numFmtId="0" fontId="79" fillId="0" borderId="0" applyNumberFormat="0" applyFill="0" applyBorder="0">
      <protection locked="0"/>
    </xf>
    <xf numFmtId="0" fontId="79" fillId="0" borderId="0" applyNumberFormat="0" applyFill="0" applyBorder="0">
      <protection locked="0"/>
    </xf>
    <xf numFmtId="0" fontId="49" fillId="0" borderId="0" applyNumberFormat="0" applyFill="0" applyBorder="0" applyAlignment="0" applyProtection="0"/>
    <xf numFmtId="0" fontId="79" fillId="0" borderId="0" applyNumberFormat="0" applyFill="0" applyBorder="0">
      <protection locked="0"/>
    </xf>
    <xf numFmtId="0" fontId="80" fillId="0" borderId="0" applyNumberFormat="0" applyFill="0" applyBorder="0">
      <protection locked="0"/>
    </xf>
    <xf numFmtId="0" fontId="81" fillId="21" borderId="0" applyNumberFormat="0" applyBorder="0" applyProtection="0"/>
    <xf numFmtId="0" fontId="82" fillId="12" borderId="0" applyNumberFormat="0" applyBorder="0" applyProtection="0"/>
    <xf numFmtId="0" fontId="82" fillId="21" borderId="0" applyNumberFormat="0" applyBorder="0" applyProtection="0"/>
    <xf numFmtId="0" fontId="82" fillId="21" borderId="0" applyNumberFormat="0" applyBorder="0" applyProtection="0"/>
    <xf numFmtId="0" fontId="82" fillId="21" borderId="0" applyNumberFormat="0" applyBorder="0" applyProtection="0"/>
    <xf numFmtId="0" fontId="82" fillId="12" borderId="0" applyNumberFormat="0" applyBorder="0" applyProtection="0"/>
    <xf numFmtId="0" fontId="83" fillId="12" borderId="0" applyNumberFormat="0" applyBorder="0" applyAlignment="0" applyProtection="0"/>
    <xf numFmtId="0" fontId="82" fillId="12" borderId="0" applyNumberFormat="0" applyBorder="0" applyProtection="0"/>
    <xf numFmtId="0" fontId="82" fillId="12" borderId="0" applyNumberFormat="0" applyBorder="0" applyProtection="0"/>
    <xf numFmtId="0" fontId="82" fillId="12" borderId="0" applyNumberFormat="0" applyBorder="0" applyProtection="0"/>
    <xf numFmtId="0" fontId="82" fillId="12" borderId="0" applyNumberFormat="0" applyBorder="0" applyProtection="0"/>
    <xf numFmtId="0" fontId="82" fillId="12" borderId="0" applyNumberFormat="0" applyBorder="0" applyProtection="0"/>
    <xf numFmtId="0" fontId="82" fillId="12" borderId="0" applyNumberFormat="0" applyBorder="0" applyProtection="0"/>
    <xf numFmtId="0" fontId="82" fillId="12" borderId="0" applyNumberFormat="0" applyBorder="0" applyProtection="0"/>
    <xf numFmtId="0" fontId="82" fillId="21" borderId="0" applyNumberFormat="0" applyBorder="0" applyProtection="0"/>
    <xf numFmtId="0" fontId="81" fillId="21" borderId="0" applyNumberFormat="0" applyBorder="0" applyProtection="0"/>
    <xf numFmtId="0" fontId="82" fillId="12" borderId="0" applyNumberFormat="0" applyBorder="0" applyProtection="0"/>
    <xf numFmtId="0" fontId="81" fillId="21" borderId="0" applyNumberFormat="0" applyBorder="0" applyProtection="0"/>
    <xf numFmtId="0" fontId="82" fillId="21" borderId="0" applyNumberFormat="0" applyBorder="0" applyProtection="0"/>
    <xf numFmtId="0" fontId="81" fillId="21" borderId="0" applyNumberFormat="0" applyBorder="0" applyProtection="0"/>
    <xf numFmtId="0" fontId="81" fillId="21" borderId="0" applyNumberFormat="0" applyBorder="0" applyProtection="0"/>
    <xf numFmtId="0" fontId="84" fillId="38" borderId="0" applyNumberFormat="0" applyBorder="0" applyProtection="0"/>
    <xf numFmtId="0" fontId="81" fillId="21" borderId="0" applyNumberFormat="0" applyBorder="0" applyProtection="0"/>
    <xf numFmtId="0" fontId="84" fillId="38" borderId="0" applyNumberFormat="0" applyBorder="0" applyProtection="0"/>
    <xf numFmtId="0" fontId="81" fillId="21" borderId="0" applyNumberFormat="0" applyBorder="0" applyProtection="0"/>
    <xf numFmtId="0" fontId="81" fillId="21" borderId="0" applyNumberFormat="0" applyBorder="0" applyProtection="0"/>
    <xf numFmtId="0" fontId="82" fillId="12" borderId="0" applyNumberFormat="0" applyBorder="0" applyProtection="0"/>
    <xf numFmtId="0" fontId="82" fillId="21" borderId="0" applyNumberFormat="0" applyBorder="0" applyProtection="0"/>
    <xf numFmtId="0" fontId="82" fillId="21" borderId="0" applyNumberFormat="0" applyBorder="0" applyProtection="0"/>
    <xf numFmtId="0" fontId="81" fillId="21" borderId="0" applyNumberFormat="0" applyBorder="0" applyProtection="0"/>
    <xf numFmtId="0" fontId="82" fillId="21" borderId="0" applyNumberFormat="0" applyBorder="0" applyProtection="0"/>
    <xf numFmtId="0" fontId="81" fillId="21" borderId="0" applyNumberFormat="0" applyBorder="0" applyProtection="0"/>
    <xf numFmtId="0" fontId="82" fillId="21" borderId="0" applyNumberFormat="0" applyBorder="0" applyProtection="0"/>
    <xf numFmtId="0" fontId="81" fillId="21" borderId="0" applyNumberFormat="0" applyBorder="0" applyProtection="0"/>
    <xf numFmtId="0" fontId="81" fillId="21" borderId="0" applyNumberFormat="0" applyBorder="0" applyProtection="0"/>
    <xf numFmtId="0" fontId="81" fillId="21" borderId="0" applyNumberFormat="0" applyBorder="0" applyProtection="0"/>
    <xf numFmtId="0" fontId="84" fillId="38" borderId="0" applyNumberFormat="0" applyBorder="0" applyProtection="0"/>
    <xf numFmtId="0" fontId="81" fillId="21" borderId="0" applyNumberFormat="0" applyBorder="0" applyProtection="0"/>
    <xf numFmtId="0" fontId="84" fillId="38" borderId="0" applyNumberFormat="0" applyBorder="0" applyProtection="0"/>
    <xf numFmtId="0" fontId="82" fillId="21" borderId="0" applyNumberFormat="0" applyBorder="0" applyProtection="0"/>
    <xf numFmtId="4" fontId="85" fillId="0" borderId="0" applyFont="0" applyFill="0" applyBorder="0" applyAlignment="0" applyProtection="0"/>
    <xf numFmtId="179" fontId="10" fillId="0" borderId="0" applyFont="0" applyFill="0" applyBorder="0" applyAlignment="0" applyProtection="0"/>
    <xf numFmtId="201" fontId="86" fillId="0" borderId="0" applyFont="0" applyFill="0" applyBorder="0" applyAlignment="0" applyProtection="0"/>
    <xf numFmtId="202" fontId="86" fillId="0" borderId="0" applyFont="0" applyFill="0" applyBorder="0" applyAlignment="0" applyProtection="0"/>
    <xf numFmtId="203" fontId="10" fillId="0" borderId="0" applyFont="0" applyFill="0" applyBorder="0" applyAlignment="0" applyProtection="0"/>
    <xf numFmtId="204" fontId="10" fillId="0" borderId="0" applyFont="0" applyFill="0" applyBorder="0" applyAlignment="0" applyProtection="0"/>
    <xf numFmtId="205" fontId="87" fillId="0" borderId="0" applyFont="0" applyFill="0" applyBorder="0" applyAlignment="0" applyProtection="0"/>
    <xf numFmtId="206" fontId="87" fillId="0" borderId="0" applyFont="0" applyFill="0" applyBorder="0" applyAlignment="0" applyProtection="0"/>
    <xf numFmtId="201" fontId="54" fillId="0" borderId="0" applyFont="0" applyFill="0" applyBorder="0" applyAlignment="0" applyProtection="0"/>
    <xf numFmtId="202" fontId="54" fillId="0" borderId="0" applyFont="0" applyFill="0" applyBorder="0" applyAlignment="0" applyProtection="0"/>
    <xf numFmtId="0" fontId="39" fillId="0" borderId="0"/>
    <xf numFmtId="179" fontId="39" fillId="0" borderId="0" applyFont="0" applyFill="0" applyBorder="0" applyAlignment="0" applyProtection="0"/>
    <xf numFmtId="176" fontId="39" fillId="0" borderId="0" applyFont="0" applyFill="0" applyBorder="0" applyAlignment="0" applyProtection="0"/>
    <xf numFmtId="179"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3" fillId="0" borderId="0" applyFont="0" applyAlignment="0" applyProtection="0"/>
    <xf numFmtId="176" fontId="93" fillId="0" borderId="0" applyFont="0" applyProtection="0"/>
    <xf numFmtId="176" fontId="93" fillId="0" borderId="0" applyFont="0" applyFill="0" applyBorder="0" applyProtection="0"/>
    <xf numFmtId="176" fontId="93" fillId="0" borderId="0" applyFont="0" applyProtection="0"/>
    <xf numFmtId="176" fontId="10" fillId="0" borderId="0" applyFont="0" applyFill="0" applyBorder="0" applyAlignment="0" applyProtection="0"/>
    <xf numFmtId="176" fontId="93" fillId="0" borderId="0" applyFont="0" applyFill="0" applyBorder="0" applyProtection="0"/>
    <xf numFmtId="176" fontId="93" fillId="0" borderId="0" applyFont="0" applyProtection="0"/>
    <xf numFmtId="176" fontId="93" fillId="0" borderId="0" applyFont="0" applyProtection="0"/>
    <xf numFmtId="176" fontId="23" fillId="0" borderId="0" applyAlignment="0"/>
    <xf numFmtId="176" fontId="23" fillId="0" borderId="0" applyAlignment="0"/>
    <xf numFmtId="176" fontId="10" fillId="0" borderId="0" applyFont="0" applyFill="0" applyBorder="0" applyAlignment="0" applyProtection="0"/>
    <xf numFmtId="176" fontId="38" fillId="0" borderId="0" applyFont="0" applyProtection="0"/>
    <xf numFmtId="176" fontId="43" fillId="0" borderId="0" applyFont="0" applyFill="0" applyBorder="0" applyAlignment="0" applyProtection="0"/>
    <xf numFmtId="176" fontId="43" fillId="0" borderId="0" applyFont="0" applyFill="0" applyBorder="0" applyAlignment="0" applyProtection="0"/>
    <xf numFmtId="176" fontId="93" fillId="0" borderId="0" applyFont="0" applyProtection="0"/>
    <xf numFmtId="176" fontId="93" fillId="0" borderId="0" applyFont="0" applyProtection="0"/>
    <xf numFmtId="176" fontId="93" fillId="0" borderId="0" applyFont="0" applyFill="0" applyBorder="0" applyProtection="0"/>
    <xf numFmtId="176" fontId="25" fillId="0" borderId="0" applyFont="0" applyFill="0" applyBorder="0" applyAlignment="0" applyProtection="0"/>
    <xf numFmtId="176" fontId="25" fillId="0" borderId="0" applyFont="0" applyFill="0" applyBorder="0" applyAlignment="0" applyProtection="0"/>
    <xf numFmtId="176" fontId="93" fillId="0" borderId="0" applyFont="0" applyProtection="0"/>
    <xf numFmtId="176" fontId="93" fillId="0" borderId="0" applyFont="0" applyProtection="0"/>
    <xf numFmtId="176" fontId="93" fillId="0" borderId="0" applyFont="0" applyProtection="0"/>
    <xf numFmtId="176" fontId="93" fillId="0" borderId="0" applyFont="0" applyProtection="0"/>
    <xf numFmtId="176" fontId="38" fillId="0" borderId="0" applyFont="0" applyProtection="0"/>
    <xf numFmtId="176" fontId="93" fillId="0" borderId="0" applyFont="0" applyProtection="0"/>
    <xf numFmtId="176" fontId="93" fillId="0" borderId="0" applyFont="0" applyProtection="0"/>
    <xf numFmtId="176" fontId="93" fillId="0" borderId="0" applyFont="0" applyProtection="0"/>
    <xf numFmtId="176" fontId="93" fillId="0" borderId="0" applyFont="0" applyProtection="0"/>
    <xf numFmtId="176" fontId="38" fillId="0" borderId="0" applyFont="0" applyProtection="0"/>
    <xf numFmtId="176" fontId="25" fillId="0" borderId="0" applyFont="0" applyFill="0" applyBorder="0" applyAlignment="0" applyProtection="0"/>
    <xf numFmtId="176" fontId="93" fillId="0" borderId="0" applyFont="0" applyProtection="0"/>
    <xf numFmtId="176" fontId="93" fillId="0" borderId="0" applyFo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6" fontId="93" fillId="0" borderId="0" applyFont="0" applyFill="0" applyBorder="0" applyAlignment="0" applyProtection="0"/>
    <xf numFmtId="179" fontId="25" fillId="0" borderId="0" applyFont="0" applyFill="0" applyBorder="0" applyAlignment="0" applyProtection="0"/>
    <xf numFmtId="0" fontId="88" fillId="0" borderId="0"/>
    <xf numFmtId="0" fontId="89" fillId="39" borderId="0" applyNumberFormat="0" applyBorder="0" applyAlignment="0" applyProtection="0"/>
    <xf numFmtId="0" fontId="89" fillId="40" borderId="0" applyNumberFormat="0" applyBorder="0" applyAlignment="0" applyProtection="0"/>
    <xf numFmtId="0" fontId="89" fillId="41" borderId="0" applyNumberFormat="0" applyBorder="0" applyAlignment="0" applyProtection="0"/>
    <xf numFmtId="0" fontId="75" fillId="25" borderId="0" applyNumberFormat="0" applyBorder="0" applyProtection="0"/>
    <xf numFmtId="0" fontId="75" fillId="42" borderId="0" applyNumberFormat="0" applyBorder="0" applyProtection="0"/>
    <xf numFmtId="0" fontId="75" fillId="42" borderId="0" applyNumberFormat="0" applyBorder="0" applyProtection="0"/>
    <xf numFmtId="0" fontId="75" fillId="28" borderId="0" applyNumberFormat="0" applyBorder="0" applyProtection="0"/>
    <xf numFmtId="0" fontId="75" fillId="25" borderId="0" applyNumberFormat="0" applyBorder="0" applyProtection="0"/>
    <xf numFmtId="0" fontId="75" fillId="16" borderId="0" applyNumberFormat="0" applyBorder="0" applyProtection="0"/>
    <xf numFmtId="180" fontId="10" fillId="0" borderId="0" applyFont="0" applyFill="0" applyBorder="0" applyAlignment="0" applyProtection="0"/>
    <xf numFmtId="207" fontId="85" fillId="0" borderId="0" applyFont="0" applyFill="0" applyBorder="0" applyAlignment="0" applyProtection="0"/>
    <xf numFmtId="0" fontId="54" fillId="0" borderId="0"/>
    <xf numFmtId="0" fontId="90" fillId="0" borderId="0"/>
    <xf numFmtId="40" fontId="68" fillId="0" borderId="0" applyFont="0" applyFill="0" applyBorder="0" applyAlignment="0" applyProtection="0"/>
    <xf numFmtId="38" fontId="68" fillId="0" borderId="0" applyFont="0" applyFill="0" applyBorder="0" applyAlignment="0" applyProtection="0"/>
    <xf numFmtId="0" fontId="10" fillId="0" borderId="1" applyNumberFormat="0"/>
    <xf numFmtId="0" fontId="10" fillId="0" borderId="1" applyNumberFormat="0"/>
    <xf numFmtId="38" fontId="91" fillId="0" borderId="0" applyFont="0" applyFill="0" applyBorder="0" applyAlignment="0" applyProtection="0"/>
    <xf numFmtId="40" fontId="91" fillId="0" borderId="0" applyFont="0" applyFill="0" applyBorder="0" applyAlignment="0" applyProtection="0"/>
    <xf numFmtId="0" fontId="91" fillId="0" borderId="0" applyFont="0" applyFill="0" applyBorder="0" applyAlignment="0" applyProtection="0"/>
    <xf numFmtId="0" fontId="91" fillId="0" borderId="0" applyFont="0" applyFill="0" applyBorder="0" applyAlignment="0" applyProtection="0"/>
    <xf numFmtId="0" fontId="92" fillId="0" borderId="0"/>
    <xf numFmtId="0" fontId="93" fillId="0" borderId="0"/>
    <xf numFmtId="0" fontId="93" fillId="0" borderId="0"/>
    <xf numFmtId="0" fontId="14" fillId="0" borderId="0" applyNumberFormat="0" applyFill="0" applyBorder="0" applyAlignment="0" applyProtection="0"/>
    <xf numFmtId="0" fontId="95" fillId="0" borderId="0"/>
    <xf numFmtId="176" fontId="25" fillId="0" borderId="0" applyFont="0" applyFill="0" applyBorder="0" applyAlignment="0" applyProtection="0"/>
    <xf numFmtId="176" fontId="93" fillId="0" borderId="0" applyFont="0" applyFill="0" applyBorder="0" applyAlignment="0" applyProtection="0"/>
    <xf numFmtId="9" fontId="93" fillId="0" borderId="0" applyFont="0" applyFill="0" applyBorder="0" applyAlignment="0" applyProtection="0"/>
    <xf numFmtId="0" fontId="6" fillId="0" borderId="0"/>
    <xf numFmtId="0" fontId="80" fillId="0" borderId="0" applyNumberFormat="0" applyFill="0" applyBorder="0">
      <protection locked="0"/>
    </xf>
    <xf numFmtId="176" fontId="93" fillId="0" borderId="0" applyFont="0" applyFill="0" applyBorder="0" applyAlignment="0" applyProtection="0"/>
    <xf numFmtId="0" fontId="25" fillId="0" borderId="0"/>
    <xf numFmtId="0" fontId="5" fillId="0" borderId="0"/>
    <xf numFmtId="0" fontId="93" fillId="0" borderId="0"/>
    <xf numFmtId="0" fontId="4" fillId="0" borderId="0"/>
    <xf numFmtId="0" fontId="14" fillId="0" borderId="0" applyNumberFormat="0" applyFill="0" applyBorder="0" applyAlignment="0" applyProtection="0"/>
    <xf numFmtId="0" fontId="93" fillId="0" borderId="0"/>
    <xf numFmtId="176" fontId="93" fillId="0" borderId="0" applyFont="0" applyFill="0" applyBorder="0" applyAlignment="0" applyProtection="0"/>
    <xf numFmtId="0" fontId="3" fillId="0" borderId="0"/>
    <xf numFmtId="0" fontId="96" fillId="0" borderId="0" applyNumberFormat="0" applyFill="0" applyBorder="0" applyAlignment="0" applyProtection="0"/>
    <xf numFmtId="0" fontId="93" fillId="0" borderId="0">
      <alignment vertical="center"/>
    </xf>
    <xf numFmtId="0" fontId="98" fillId="0" borderId="0"/>
    <xf numFmtId="0" fontId="93" fillId="0" borderId="0">
      <alignment vertical="center"/>
    </xf>
    <xf numFmtId="0" fontId="43" fillId="0" borderId="0"/>
    <xf numFmtId="0" fontId="2" fillId="0" borderId="0"/>
    <xf numFmtId="176" fontId="93" fillId="0" borderId="0" applyFont="0" applyFill="0" applyBorder="0" applyAlignment="0" applyProtection="0"/>
    <xf numFmtId="0" fontId="43" fillId="0" borderId="0"/>
    <xf numFmtId="0" fontId="99" fillId="0" borderId="0"/>
    <xf numFmtId="0" fontId="43" fillId="0" borderId="0"/>
    <xf numFmtId="0" fontId="99" fillId="0" borderId="0">
      <alignment vertical="center"/>
    </xf>
    <xf numFmtId="0" fontId="100" fillId="0" borderId="0">
      <alignment vertical="center"/>
    </xf>
    <xf numFmtId="0" fontId="99" fillId="0" borderId="0"/>
    <xf numFmtId="0" fontId="93" fillId="0" borderId="0">
      <alignment vertical="center"/>
    </xf>
    <xf numFmtId="0" fontId="93" fillId="0" borderId="0"/>
    <xf numFmtId="0" fontId="99" fillId="0" borderId="0">
      <alignment vertical="center"/>
    </xf>
    <xf numFmtId="0" fontId="93" fillId="0" borderId="0">
      <alignment vertical="center"/>
    </xf>
    <xf numFmtId="0" fontId="1" fillId="0" borderId="0"/>
    <xf numFmtId="0" fontId="93" fillId="0" borderId="0"/>
    <xf numFmtId="0" fontId="1" fillId="0" borderId="0"/>
    <xf numFmtId="43" fontId="1" fillId="0" borderId="0" applyFont="0" applyFill="0" applyBorder="0" applyAlignment="0" applyProtection="0"/>
    <xf numFmtId="0" fontId="112" fillId="0" borderId="0"/>
    <xf numFmtId="43" fontId="112" fillId="0" borderId="0" applyFont="0" applyFill="0" applyBorder="0" applyAlignment="0" applyProtection="0"/>
    <xf numFmtId="0" fontId="12" fillId="0" borderId="0"/>
    <xf numFmtId="0" fontId="1" fillId="0" borderId="0"/>
    <xf numFmtId="43" fontId="10" fillId="0" borderId="0" applyFont="0" applyFill="0" applyBorder="0" applyAlignment="0" applyProtection="0"/>
    <xf numFmtId="180" fontId="10" fillId="0" borderId="0" applyFont="0" applyFill="0" applyBorder="0" applyAlignment="0" applyProtection="0"/>
    <xf numFmtId="180" fontId="11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1" fillId="0" borderId="0">
      <alignment vertical="top"/>
    </xf>
    <xf numFmtId="0" fontId="112" fillId="0" borderId="0"/>
    <xf numFmtId="43" fontId="1" fillId="0" borderId="0" applyFont="0" applyFill="0" applyBorder="0" applyAlignment="0" applyProtection="0"/>
    <xf numFmtId="0" fontId="1" fillId="0" borderId="0"/>
    <xf numFmtId="202" fontId="39" fillId="0" borderId="0" applyFont="0" applyFill="0" applyBorder="0" applyAlignment="0" applyProtection="0"/>
    <xf numFmtId="0" fontId="10" fillId="0" borderId="0">
      <alignment vertical="top"/>
    </xf>
    <xf numFmtId="202" fontId="39" fillId="0" borderId="0" applyFont="0" applyFill="0" applyBorder="0" applyAlignment="0" applyProtection="0"/>
    <xf numFmtId="0" fontId="1" fillId="0" borderId="0"/>
    <xf numFmtId="180" fontId="1" fillId="0" borderId="0" applyFont="0" applyFill="0" applyBorder="0" applyAlignment="0" applyProtection="0"/>
    <xf numFmtId="0" fontId="113" fillId="0" borderId="0"/>
    <xf numFmtId="0" fontId="113" fillId="0" borderId="0"/>
    <xf numFmtId="0" fontId="113" fillId="0" borderId="0"/>
    <xf numFmtId="43" fontId="1" fillId="0" borderId="0" applyFont="0" applyFill="0" applyBorder="0" applyAlignment="0" applyProtection="0"/>
    <xf numFmtId="0" fontId="8" fillId="0" borderId="0"/>
    <xf numFmtId="43" fontId="8" fillId="0" borderId="0" applyFont="0" applyFill="0" applyBorder="0" applyAlignment="0" applyProtection="0"/>
    <xf numFmtId="180" fontId="8" fillId="0" borderId="0" applyFont="0" applyFill="0" applyBorder="0" applyAlignment="0" applyProtection="0"/>
    <xf numFmtId="9" fontId="8" fillId="0" borderId="0" applyFont="0" applyFill="0" applyBorder="0" applyAlignment="0" applyProtection="0"/>
    <xf numFmtId="0" fontId="10" fillId="0" borderId="0"/>
    <xf numFmtId="180" fontId="8" fillId="0" borderId="0" applyFont="0" applyFill="0" applyBorder="0" applyAlignment="0" applyProtection="0"/>
    <xf numFmtId="0" fontId="114" fillId="0" borderId="0"/>
    <xf numFmtId="0" fontId="1" fillId="0" borderId="0"/>
    <xf numFmtId="0" fontId="112" fillId="0" borderId="0"/>
    <xf numFmtId="0" fontId="115" fillId="0" borderId="0"/>
    <xf numFmtId="0" fontId="111" fillId="0" borderId="0" applyNumberFormat="0" applyFill="0" applyBorder="0" applyAlignment="0" applyProtection="0"/>
    <xf numFmtId="41" fontId="1" fillId="0" borderId="0" applyFont="0" applyFill="0" applyBorder="0" applyAlignment="0" applyProtection="0"/>
    <xf numFmtId="0" fontId="1" fillId="0" borderId="0"/>
    <xf numFmtId="0" fontId="1" fillId="0" borderId="0"/>
    <xf numFmtId="0" fontId="116" fillId="0" borderId="0"/>
    <xf numFmtId="43" fontId="116" fillId="0" borderId="0" applyFont="0" applyFill="0" applyBorder="0" applyAlignment="0" applyProtection="0"/>
    <xf numFmtId="180" fontId="11" fillId="0" borderId="0" applyFont="0" applyFill="0" applyBorder="0" applyAlignment="0" applyProtection="0">
      <alignment vertical="top"/>
    </xf>
    <xf numFmtId="0" fontId="14" fillId="0" borderId="0" applyNumberFormat="0" applyFill="0" applyBorder="0" applyAlignment="0" applyProtection="0">
      <alignment vertical="top"/>
      <protection locked="0"/>
    </xf>
    <xf numFmtId="43" fontId="10" fillId="0" borderId="0" applyFont="0" applyFill="0" applyBorder="0" applyAlignment="0" applyProtection="0"/>
    <xf numFmtId="0" fontId="8" fillId="0" borderId="0"/>
    <xf numFmtId="0" fontId="96" fillId="0" borderId="0" applyNumberFormat="0" applyFill="0" applyBorder="0" applyAlignment="0" applyProtection="0"/>
    <xf numFmtId="0" fontId="12" fillId="0" borderId="0"/>
    <xf numFmtId="0" fontId="38" fillId="0" borderId="0"/>
    <xf numFmtId="0" fontId="96" fillId="0" borderId="0" applyNumberFormat="0" applyFill="0" applyBorder="0" applyAlignment="0" applyProtection="0"/>
    <xf numFmtId="9" fontId="1" fillId="0" borderId="0" applyFont="0" applyFill="0" applyBorder="0" applyAlignment="0" applyProtection="0"/>
    <xf numFmtId="185" fontId="1" fillId="0" borderId="0" applyFont="0" applyFill="0" applyBorder="0" applyAlignment="0" applyProtection="0"/>
    <xf numFmtId="0" fontId="12" fillId="0" borderId="0"/>
    <xf numFmtId="4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8" fillId="0" borderId="0"/>
    <xf numFmtId="0" fontId="1" fillId="0" borderId="0"/>
    <xf numFmtId="0" fontId="8" fillId="0" borderId="0"/>
    <xf numFmtId="0" fontId="123" fillId="0" borderId="0"/>
    <xf numFmtId="0" fontId="31" fillId="51" borderId="0" applyNumberFormat="0" applyBorder="0" applyAlignment="0" applyProtection="0">
      <alignment vertical="center"/>
    </xf>
    <xf numFmtId="0" fontId="11" fillId="8" borderId="28" applyNumberFormat="0" applyProtection="0">
      <alignment horizontal="left" vertical="center" indent="1"/>
    </xf>
    <xf numFmtId="0" fontId="10" fillId="6" borderId="48" applyNumberFormat="0" applyProtection="0">
      <alignment horizontal="left" vertical="center" indent="1"/>
    </xf>
    <xf numFmtId="0" fontId="99" fillId="0" borderId="0"/>
    <xf numFmtId="43" fontId="43" fillId="0" borderId="0" applyFont="0" applyFill="0" applyBorder="0" applyAlignment="0" applyProtection="0"/>
    <xf numFmtId="43" fontId="99" fillId="0" borderId="0" applyFont="0" applyFill="0" applyBorder="0" applyAlignment="0" applyProtection="0"/>
    <xf numFmtId="41" fontId="25" fillId="0" borderId="0" applyFont="0" applyFill="0" applyBorder="0" applyAlignment="0" applyProtection="0"/>
    <xf numFmtId="0" fontId="62" fillId="36" borderId="35" applyNumberFormat="0" applyProtection="0">
      <alignment horizontal="right" vertical="center"/>
    </xf>
    <xf numFmtId="9" fontId="99" fillId="0" borderId="0" applyFont="0" applyFill="0" applyBorder="0" applyAlignment="0" applyProtection="0"/>
    <xf numFmtId="0" fontId="62" fillId="36" borderId="35" applyNumberFormat="0" applyProtection="0">
      <alignment horizontal="right" vertical="center"/>
    </xf>
    <xf numFmtId="9" fontId="99" fillId="0" borderId="0" applyFont="0" applyFill="0" applyBorder="0" applyAlignment="0" applyProtection="0"/>
    <xf numFmtId="0" fontId="99" fillId="0" borderId="0"/>
    <xf numFmtId="43" fontId="99" fillId="0" borderId="0" applyFont="0" applyFill="0" applyBorder="0" applyAlignment="0" applyProtection="0"/>
    <xf numFmtId="0" fontId="11" fillId="27" borderId="28" applyNumberFormat="0" applyProtection="0">
      <alignment horizontal="right" vertical="center"/>
    </xf>
    <xf numFmtId="0" fontId="31" fillId="52" borderId="0" applyNumberFormat="0" applyBorder="0" applyAlignment="0" applyProtection="0">
      <alignment vertical="center"/>
    </xf>
    <xf numFmtId="0" fontId="11" fillId="28" borderId="48" applyNumberFormat="0" applyProtection="0">
      <alignment horizontal="right" vertical="center"/>
    </xf>
    <xf numFmtId="41" fontId="25" fillId="0" borderId="0" applyFont="0" applyFill="0" applyBorder="0" applyAlignment="0" applyProtection="0"/>
    <xf numFmtId="0" fontId="11" fillId="26" borderId="28" applyNumberFormat="0" applyProtection="0">
      <alignment horizontal="left" vertical="center" indent="1"/>
    </xf>
    <xf numFmtId="0" fontId="21" fillId="25" borderId="28" applyNumberFormat="0" applyProtection="0">
      <alignment horizontal="left" vertical="center" indent="1"/>
    </xf>
    <xf numFmtId="0" fontId="80" fillId="0" borderId="0" applyNumberFormat="0" applyFill="0" applyBorder="0">
      <protection locked="0"/>
    </xf>
    <xf numFmtId="0" fontId="10" fillId="36" borderId="28" applyNumberFormat="0" applyProtection="0">
      <alignment horizontal="left" vertical="top" indent="1"/>
    </xf>
    <xf numFmtId="41" fontId="99" fillId="0" borderId="0" applyFont="0" applyFill="0" applyBorder="0" applyAlignment="0" applyProtection="0"/>
    <xf numFmtId="209" fontId="25" fillId="0" borderId="0" applyFont="0" applyFill="0" applyBorder="0" applyAlignment="0" applyProtection="0"/>
    <xf numFmtId="0" fontId="21" fillId="35" borderId="34" applyNumberFormat="0" applyProtection="0">
      <alignment horizontal="left" vertical="center" indent="1"/>
    </xf>
    <xf numFmtId="0" fontId="99" fillId="0" borderId="0"/>
    <xf numFmtId="41" fontId="99" fillId="0" borderId="0" applyFont="0" applyFill="0" applyBorder="0" applyAlignment="0" applyProtection="0"/>
    <xf numFmtId="0" fontId="21" fillId="25" borderId="35" applyNumberFormat="0" applyProtection="0">
      <alignment horizontal="left" vertical="top" indent="1"/>
    </xf>
    <xf numFmtId="0" fontId="11" fillId="36" borderId="55" applyNumberFormat="0" applyProtection="0">
      <alignment horizontal="right" vertical="center"/>
    </xf>
    <xf numFmtId="0" fontId="93" fillId="0" borderId="45" applyAlignment="0"/>
    <xf numFmtId="0" fontId="11" fillId="33" borderId="35" applyNumberFormat="0" applyProtection="0">
      <alignment horizontal="right" vertical="center"/>
    </xf>
    <xf numFmtId="0" fontId="31" fillId="11" borderId="0" applyNumberFormat="0" applyBorder="0" applyAlignment="0" applyProtection="0">
      <alignment vertical="center"/>
    </xf>
    <xf numFmtId="0" fontId="10" fillId="26" borderId="35" applyNumberFormat="0" applyProtection="0">
      <alignment horizontal="left" vertical="top" indent="1"/>
    </xf>
    <xf numFmtId="0" fontId="99" fillId="0" borderId="0"/>
    <xf numFmtId="4" fontId="99" fillId="0" borderId="56">
      <alignment horizontal="right"/>
    </xf>
    <xf numFmtId="4" fontId="7" fillId="0" borderId="45">
      <alignment horizontal="right" vertical="center"/>
    </xf>
    <xf numFmtId="0" fontId="11" fillId="31" borderId="28" applyNumberFormat="0" applyProtection="0">
      <alignment horizontal="right" vertical="center"/>
    </xf>
    <xf numFmtId="0" fontId="99" fillId="0" borderId="0"/>
    <xf numFmtId="43" fontId="99" fillId="0" borderId="0" applyFont="0" applyFill="0" applyBorder="0" applyAlignment="0" applyProtection="0"/>
    <xf numFmtId="0" fontId="31" fillId="53" borderId="0" applyNumberFormat="0" applyBorder="0" applyAlignment="0" applyProtection="0">
      <alignment vertical="center"/>
    </xf>
    <xf numFmtId="0" fontId="10" fillId="6" borderId="28" applyNumberFormat="0" applyProtection="0">
      <alignment horizontal="left" vertical="center" indent="1"/>
    </xf>
    <xf numFmtId="0" fontId="31" fillId="54" borderId="0" applyNumberFormat="0" applyBorder="0" applyAlignment="0" applyProtection="0">
      <alignment vertical="center"/>
    </xf>
    <xf numFmtId="0" fontId="21" fillId="35" borderId="29" applyNumberFormat="0" applyProtection="0">
      <alignment horizontal="left" vertical="center" indent="1"/>
    </xf>
    <xf numFmtId="0" fontId="11" fillId="30" borderId="28" applyNumberFormat="0" applyProtection="0">
      <alignment horizontal="right" vertical="center"/>
    </xf>
    <xf numFmtId="0" fontId="43" fillId="0" borderId="0"/>
    <xf numFmtId="0" fontId="11" fillId="31" borderId="28" applyNumberFormat="0" applyProtection="0">
      <alignment horizontal="right" vertical="center"/>
    </xf>
    <xf numFmtId="0" fontId="11" fillId="36" borderId="28" applyNumberFormat="0" applyProtection="0">
      <alignment horizontal="right" vertical="center"/>
    </xf>
    <xf numFmtId="0" fontId="21" fillId="25" borderId="28" applyNumberFormat="0" applyProtection="0">
      <alignment vertical="center"/>
    </xf>
    <xf numFmtId="0" fontId="11" fillId="31" borderId="55" applyNumberFormat="0" applyProtection="0">
      <alignment horizontal="right" vertical="center"/>
    </xf>
    <xf numFmtId="0" fontId="11" fillId="29" borderId="28" applyNumberFormat="0" applyProtection="0">
      <alignment horizontal="right" vertical="center"/>
    </xf>
    <xf numFmtId="0" fontId="31" fillId="55" borderId="0" applyNumberFormat="0" applyBorder="0" applyAlignment="0" applyProtection="0">
      <alignment vertical="center"/>
    </xf>
    <xf numFmtId="0" fontId="21" fillId="35" borderId="32" applyNumberFormat="0" applyProtection="0">
      <alignment horizontal="left" vertical="center" indent="1"/>
    </xf>
    <xf numFmtId="0" fontId="10" fillId="36" borderId="28" applyNumberFormat="0" applyProtection="0">
      <alignment horizontal="left" vertical="center" indent="1"/>
    </xf>
    <xf numFmtId="0" fontId="99" fillId="0" borderId="0"/>
    <xf numFmtId="43" fontId="99" fillId="0" borderId="0" applyFont="0" applyFill="0" applyBorder="0" applyAlignment="0" applyProtection="0"/>
    <xf numFmtId="0" fontId="99" fillId="0" borderId="0"/>
    <xf numFmtId="41" fontId="99" fillId="0" borderId="0" applyFont="0" applyFill="0" applyBorder="0" applyAlignment="0" applyProtection="0"/>
    <xf numFmtId="41" fontId="37" fillId="0" borderId="0" applyFont="0" applyFill="0" applyBorder="0" applyAlignment="0" applyProtection="0"/>
    <xf numFmtId="41" fontId="99" fillId="0" borderId="0" applyFont="0" applyFill="0" applyBorder="0" applyAlignment="0" applyProtection="0"/>
    <xf numFmtId="41" fontId="99" fillId="0" borderId="0" applyFont="0" applyFill="0" applyBorder="0" applyAlignment="0" applyProtection="0"/>
    <xf numFmtId="41" fontId="99" fillId="0" borderId="0" applyFont="0" applyFill="0" applyBorder="0" applyAlignment="0" applyProtection="0"/>
    <xf numFmtId="0" fontId="99" fillId="0" borderId="0"/>
    <xf numFmtId="41" fontId="99" fillId="0" borderId="0" applyFont="0" applyFill="0" applyBorder="0" applyAlignment="0" applyProtection="0"/>
    <xf numFmtId="0" fontId="99" fillId="0" borderId="0"/>
    <xf numFmtId="41" fontId="99" fillId="0" borderId="0" applyFont="0" applyFill="0" applyBorder="0" applyAlignment="0" applyProtection="0"/>
    <xf numFmtId="41" fontId="99" fillId="0" borderId="0" applyFont="0" applyFill="0" applyBorder="0" applyAlignment="0" applyProtection="0"/>
    <xf numFmtId="41" fontId="37" fillId="0" borderId="0" applyFont="0" applyFill="0" applyBorder="0" applyAlignment="0" applyProtection="0"/>
    <xf numFmtId="41" fontId="37" fillId="0" borderId="0" applyFont="0" applyFill="0" applyBorder="0" applyAlignment="0" applyProtection="0"/>
    <xf numFmtId="41" fontId="37" fillId="0" borderId="0" applyFont="0" applyFill="0" applyBorder="0" applyAlignment="0" applyProtection="0"/>
    <xf numFmtId="41" fontId="99"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41" fontId="99" fillId="0" borderId="0" applyFont="0" applyFill="0" applyBorder="0" applyAlignment="0" applyProtection="0"/>
    <xf numFmtId="41" fontId="99" fillId="0" borderId="0" applyFont="0" applyFill="0" applyBorder="0" applyAlignment="0" applyProtection="0"/>
    <xf numFmtId="0" fontId="99" fillId="0" borderId="0"/>
    <xf numFmtId="41" fontId="25" fillId="0" borderId="0" applyFont="0" applyFill="0" applyBorder="0" applyAlignment="0" applyProtection="0"/>
    <xf numFmtId="0" fontId="79" fillId="0" borderId="0" applyNumberFormat="0" applyFill="0" applyBorder="0">
      <protection locked="0"/>
    </xf>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3" fontId="25" fillId="0" borderId="0" applyFont="0" applyFill="0" applyBorder="0" applyAlignment="0" applyProtection="0"/>
    <xf numFmtId="43" fontId="10" fillId="0" borderId="0" applyFont="0" applyFill="0" applyBorder="0" applyAlignment="0" applyProtection="0"/>
    <xf numFmtId="43" fontId="99" fillId="0" borderId="0" applyFont="0" applyFill="0" applyBorder="0" applyAlignment="0" applyProtection="0"/>
    <xf numFmtId="43" fontId="25" fillId="0" borderId="0" applyFont="0" applyFill="0" applyBorder="0" applyAlignment="0" applyProtection="0"/>
    <xf numFmtId="43" fontId="10" fillId="0" borderId="0" applyFont="0" applyFill="0" applyBorder="0" applyAlignment="0" applyProtection="0"/>
    <xf numFmtId="43" fontId="99" fillId="0" borderId="0" applyFont="0" applyFill="0" applyBorder="0" applyAlignment="0" applyProtection="0"/>
    <xf numFmtId="43" fontId="25" fillId="0" borderId="0" applyFont="0" applyFill="0" applyBorder="0" applyAlignment="0" applyProtection="0"/>
    <xf numFmtId="43" fontId="10"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43" fontId="43" fillId="0" borderId="0" applyFont="0" applyFill="0" applyBorder="0" applyAlignment="0" applyProtection="0"/>
    <xf numFmtId="43" fontId="99" fillId="0" borderId="0" applyFont="0" applyFill="0" applyBorder="0" applyAlignment="0" applyProtection="0"/>
    <xf numFmtId="43" fontId="43" fillId="0" borderId="0" applyFont="0" applyFill="0" applyBorder="0" applyAlignment="0" applyProtection="0"/>
    <xf numFmtId="41" fontId="37" fillId="0" borderId="0" applyFont="0" applyFill="0" applyBorder="0" applyAlignment="0" applyProtection="0"/>
    <xf numFmtId="43" fontId="43" fillId="0" borderId="0" applyFont="0" applyFill="0" applyBorder="0" applyAlignment="0" applyProtection="0"/>
    <xf numFmtId="41" fontId="37" fillId="0" borderId="0" applyFont="0" applyFill="0" applyBorder="0" applyAlignment="0" applyProtection="0"/>
    <xf numFmtId="43" fontId="43" fillId="0" borderId="0" applyFont="0" applyFill="0" applyBorder="0" applyAlignment="0" applyProtection="0"/>
    <xf numFmtId="41" fontId="37" fillId="0" borderId="0" applyFont="0" applyFill="0" applyBorder="0" applyAlignment="0" applyProtection="0"/>
    <xf numFmtId="43" fontId="43" fillId="0" borderId="0" applyFont="0" applyFill="0" applyBorder="0" applyAlignment="0" applyProtection="0"/>
    <xf numFmtId="41" fontId="37"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0" fontId="10" fillId="36" borderId="35" applyNumberFormat="0" applyProtection="0">
      <alignment horizontal="left" vertical="top" indent="1"/>
    </xf>
    <xf numFmtId="43" fontId="99" fillId="0" borderId="0" applyFont="0" applyFill="0" applyBorder="0" applyAlignment="0" applyProtection="0"/>
    <xf numFmtId="0" fontId="11" fillId="36" borderId="35" applyNumberFormat="0" applyProtection="0">
      <alignment horizontal="right" vertical="center"/>
    </xf>
    <xf numFmtId="0" fontId="10" fillId="36" borderId="35" applyNumberFormat="0" applyProtection="0">
      <alignment horizontal="left" vertical="top" indent="1"/>
    </xf>
    <xf numFmtId="0" fontId="10" fillId="6" borderId="35" applyNumberFormat="0" applyProtection="0">
      <alignment horizontal="left" vertical="top" indent="1"/>
    </xf>
    <xf numFmtId="0" fontId="10" fillId="36" borderId="35" applyNumberFormat="0" applyProtection="0">
      <alignment horizontal="left" vertical="center" indent="1"/>
    </xf>
    <xf numFmtId="0" fontId="100" fillId="0" borderId="0">
      <alignment vertical="center"/>
    </xf>
    <xf numFmtId="0" fontId="10" fillId="26" borderId="35" applyNumberFormat="0" applyProtection="0">
      <alignment horizontal="left" vertical="top" indent="1"/>
    </xf>
    <xf numFmtId="0" fontId="42" fillId="20" borderId="21"/>
    <xf numFmtId="0" fontId="11" fillId="34" borderId="35" applyNumberFormat="0" applyProtection="0">
      <alignment horizontal="right" vertical="center"/>
    </xf>
    <xf numFmtId="193" fontId="43" fillId="0" borderId="0" applyFont="0" applyFill="0" applyBorder="0" applyAlignment="0" applyProtection="0"/>
    <xf numFmtId="0" fontId="21" fillId="25" borderId="35" applyNumberFormat="0" applyProtection="0">
      <alignment vertical="center"/>
    </xf>
    <xf numFmtId="0" fontId="47" fillId="0" borderId="19" applyNumberFormat="0" applyProtection="0"/>
    <xf numFmtId="0" fontId="43" fillId="0" borderId="0"/>
    <xf numFmtId="0" fontId="47" fillId="0" borderId="18">
      <alignment horizontal="left" vertical="center"/>
    </xf>
    <xf numFmtId="43" fontId="25" fillId="0" borderId="0" applyFont="0" applyFill="0" applyBorder="0" applyAlignment="0" applyProtection="0"/>
    <xf numFmtId="0" fontId="42" fillId="8" borderId="21" applyNumberFormat="0" applyBorder="0" applyAlignment="0" applyProtection="0"/>
    <xf numFmtId="0" fontId="52" fillId="0" borderId="17"/>
    <xf numFmtId="0" fontId="52" fillId="0" borderId="17"/>
    <xf numFmtId="0" fontId="10" fillId="26" borderId="35" applyNumberFormat="0" applyProtection="0">
      <alignment horizontal="left" vertical="top" indent="1"/>
    </xf>
    <xf numFmtId="0" fontId="99" fillId="0" borderId="0"/>
    <xf numFmtId="0" fontId="11" fillId="15" borderId="28" applyNumberFormat="0" applyProtection="0">
      <alignment horizontal="right" vertical="center"/>
    </xf>
    <xf numFmtId="0" fontId="11" fillId="15" borderId="28" applyNumberFormat="0" applyProtection="0">
      <alignment horizontal="right" vertical="center"/>
    </xf>
    <xf numFmtId="0" fontId="99" fillId="0" borderId="0"/>
    <xf numFmtId="0" fontId="99" fillId="0" borderId="0"/>
    <xf numFmtId="0" fontId="99" fillId="0" borderId="0"/>
    <xf numFmtId="0" fontId="99" fillId="0" borderId="0"/>
    <xf numFmtId="0" fontId="99" fillId="0" borderId="0"/>
    <xf numFmtId="0" fontId="11" fillId="26" borderId="28" applyNumberFormat="0" applyProtection="0">
      <alignment horizontal="left" vertical="top" indent="1"/>
    </xf>
    <xf numFmtId="0" fontId="21" fillId="25" borderId="28" applyNumberFormat="0" applyProtection="0">
      <alignment horizontal="left" vertical="top" indent="1"/>
    </xf>
    <xf numFmtId="0" fontId="56" fillId="0" borderId="0"/>
    <xf numFmtId="43" fontId="25" fillId="0" borderId="0" applyFont="0" applyFill="0" applyBorder="0" applyAlignment="0" applyProtection="0"/>
    <xf numFmtId="0" fontId="100" fillId="0" borderId="0">
      <alignment vertical="center"/>
    </xf>
    <xf numFmtId="0" fontId="99" fillId="0" borderId="0"/>
    <xf numFmtId="0" fontId="99" fillId="0" borderId="0"/>
    <xf numFmtId="43" fontId="25" fillId="0" borderId="0" applyFont="0" applyFill="0" applyBorder="0" applyAlignment="0" applyProtection="0"/>
    <xf numFmtId="0" fontId="99" fillId="0" borderId="0"/>
    <xf numFmtId="43" fontId="25" fillId="0" borderId="0" applyFont="0" applyFill="0" applyBorder="0" applyAlignment="0" applyProtection="0"/>
    <xf numFmtId="0" fontId="99" fillId="0" borderId="0"/>
    <xf numFmtId="0" fontId="99" fillId="0" borderId="0"/>
    <xf numFmtId="0" fontId="99" fillId="0" borderId="0" applyAlignment="0"/>
    <xf numFmtId="0" fontId="11" fillId="31" borderId="55" applyNumberFormat="0" applyProtection="0">
      <alignment horizontal="right" vertical="center"/>
    </xf>
    <xf numFmtId="43" fontId="99" fillId="0" borderId="0" applyFont="0" applyFill="0" applyBorder="0" applyAlignment="0" applyProtection="0"/>
    <xf numFmtId="0" fontId="43" fillId="0" borderId="0"/>
    <xf numFmtId="0" fontId="43" fillId="0" borderId="0"/>
    <xf numFmtId="0" fontId="20" fillId="36" borderId="55" applyNumberFormat="0" applyProtection="0">
      <alignment horizontal="right" vertical="center"/>
    </xf>
    <xf numFmtId="0" fontId="11" fillId="26" borderId="55" applyNumberFormat="0" applyProtection="0">
      <alignment horizontal="left" vertical="center" indent="1"/>
    </xf>
    <xf numFmtId="0" fontId="42" fillId="9" borderId="21"/>
    <xf numFmtId="9" fontId="99" fillId="0" borderId="0" applyFont="0" applyFill="0" applyBorder="0" applyAlignment="0" applyProtection="0"/>
    <xf numFmtId="0" fontId="11" fillId="36" borderId="28" applyNumberFormat="0" applyProtection="0">
      <alignment horizontal="right" vertical="center"/>
    </xf>
    <xf numFmtId="0" fontId="11" fillId="28" borderId="28" applyNumberFormat="0" applyProtection="0">
      <alignment horizontal="right" vertical="center"/>
    </xf>
    <xf numFmtId="0" fontId="21" fillId="25" borderId="28" applyNumberFormat="0" applyProtection="0">
      <alignment vertical="center"/>
    </xf>
    <xf numFmtId="0" fontId="62" fillId="36" borderId="28" applyNumberFormat="0" applyProtection="0">
      <alignment horizontal="right" vertical="center"/>
    </xf>
    <xf numFmtId="0" fontId="60" fillId="25" borderId="28" applyNumberFormat="0" applyProtection="0">
      <alignment vertical="center"/>
    </xf>
    <xf numFmtId="0" fontId="62" fillId="36" borderId="28" applyNumberFormat="0" applyProtection="0">
      <alignment horizontal="right" vertical="center"/>
    </xf>
    <xf numFmtId="0" fontId="60" fillId="25" borderId="28" applyNumberFormat="0" applyProtection="0">
      <alignment vertical="center"/>
    </xf>
    <xf numFmtId="0" fontId="11" fillId="26" borderId="28" applyNumberFormat="0" applyProtection="0">
      <alignment horizontal="left" vertical="center" indent="1"/>
    </xf>
    <xf numFmtId="0" fontId="21" fillId="25" borderId="28" applyNumberFormat="0" applyProtection="0">
      <alignment horizontal="left" vertical="center" indent="1"/>
    </xf>
    <xf numFmtId="0" fontId="11" fillId="26" borderId="28" applyNumberFormat="0" applyProtection="0">
      <alignment horizontal="left" vertical="top" indent="1"/>
    </xf>
    <xf numFmtId="0" fontId="21" fillId="25" borderId="28" applyNumberFormat="0" applyProtection="0">
      <alignment horizontal="left" vertical="top" indent="1"/>
    </xf>
    <xf numFmtId="0" fontId="11" fillId="27" borderId="28" applyNumberFormat="0" applyProtection="0">
      <alignment horizontal="right" vertical="center"/>
    </xf>
    <xf numFmtId="0" fontId="11" fillId="28" borderId="28" applyNumberFormat="0" applyProtection="0">
      <alignment horizontal="right" vertical="center"/>
    </xf>
    <xf numFmtId="0" fontId="11" fillId="29" borderId="28" applyNumberFormat="0" applyProtection="0">
      <alignment horizontal="right" vertical="center"/>
    </xf>
    <xf numFmtId="0" fontId="11" fillId="8" borderId="28" applyNumberFormat="0" applyProtection="0">
      <alignment horizontal="left" vertical="center" indent="1"/>
    </xf>
    <xf numFmtId="0" fontId="11" fillId="30" borderId="28" applyNumberFormat="0" applyProtection="0">
      <alignment horizontal="right" vertical="center"/>
    </xf>
    <xf numFmtId="0" fontId="11" fillId="32" borderId="28" applyNumberFormat="0" applyProtection="0">
      <alignment horizontal="right" vertical="center"/>
    </xf>
    <xf numFmtId="0" fontId="11" fillId="32" borderId="28" applyNumberFormat="0" applyProtection="0">
      <alignment horizontal="right" vertical="center"/>
    </xf>
    <xf numFmtId="0" fontId="11" fillId="33" borderId="28" applyNumberFormat="0" applyProtection="0">
      <alignment horizontal="right" vertical="center"/>
    </xf>
    <xf numFmtId="0" fontId="11" fillId="33" borderId="28" applyNumberFormat="0" applyProtection="0">
      <alignment horizontal="right" vertical="center"/>
    </xf>
    <xf numFmtId="9" fontId="43" fillId="0" borderId="0" applyFont="0" applyFill="0" applyBorder="0" applyProtection="0"/>
    <xf numFmtId="0" fontId="11" fillId="34" borderId="28" applyNumberFormat="0" applyProtection="0">
      <alignment horizontal="right" vertical="center"/>
    </xf>
    <xf numFmtId="9" fontId="43" fillId="0" borderId="0" applyFont="0" applyFill="0" applyBorder="0" applyProtection="0"/>
    <xf numFmtId="0" fontId="11" fillId="34" borderId="28" applyNumberFormat="0" applyProtection="0">
      <alignment horizontal="right" vertical="center"/>
    </xf>
    <xf numFmtId="0" fontId="21" fillId="35" borderId="29" applyNumberFormat="0" applyProtection="0">
      <alignment horizontal="left" vertical="center" indent="1"/>
    </xf>
    <xf numFmtId="0" fontId="11" fillId="26" borderId="28" applyNumberFormat="0" applyProtection="0">
      <alignment horizontal="right" vertical="center"/>
    </xf>
    <xf numFmtId="0" fontId="11" fillId="26" borderId="28" applyNumberFormat="0" applyProtection="0">
      <alignment horizontal="right" vertical="center"/>
    </xf>
    <xf numFmtId="0" fontId="11" fillId="15" borderId="48" applyNumberFormat="0" applyProtection="0">
      <alignment horizontal="right" vertical="center"/>
    </xf>
    <xf numFmtId="0" fontId="10" fillId="4" borderId="28" applyNumberFormat="0" applyProtection="0">
      <alignment horizontal="left" vertical="center" indent="1"/>
    </xf>
    <xf numFmtId="0" fontId="10" fillId="4" borderId="28" applyNumberFormat="0" applyProtection="0">
      <alignment horizontal="left" vertical="center" indent="1"/>
    </xf>
    <xf numFmtId="0" fontId="10" fillId="4" borderId="28" applyNumberFormat="0" applyProtection="0">
      <alignment horizontal="left" vertical="top" indent="1"/>
    </xf>
    <xf numFmtId="0" fontId="10" fillId="4" borderId="28" applyNumberFormat="0" applyProtection="0">
      <alignment horizontal="left" vertical="top" indent="1"/>
    </xf>
    <xf numFmtId="43" fontId="99" fillId="0" borderId="0" applyFont="0" applyFill="0" applyBorder="0" applyAlignment="0" applyProtection="0"/>
    <xf numFmtId="0" fontId="10" fillId="26" borderId="28" applyNumberFormat="0" applyProtection="0">
      <alignment horizontal="left" vertical="center" indent="1"/>
    </xf>
    <xf numFmtId="0" fontId="10" fillId="26" borderId="28" applyNumberFormat="0" applyProtection="0">
      <alignment horizontal="left" vertical="center" indent="1"/>
    </xf>
    <xf numFmtId="0" fontId="10" fillId="26" borderId="28" applyNumberFormat="0" applyProtection="0">
      <alignment horizontal="left" vertical="top" indent="1"/>
    </xf>
    <xf numFmtId="0" fontId="10" fillId="26" borderId="28" applyNumberFormat="0" applyProtection="0">
      <alignment horizontal="left" vertical="top" indent="1"/>
    </xf>
    <xf numFmtId="0" fontId="10" fillId="6" borderId="28" applyNumberFormat="0" applyProtection="0">
      <alignment horizontal="left" vertical="center" indent="1"/>
    </xf>
    <xf numFmtId="0" fontId="10" fillId="6" borderId="28" applyNumberFormat="0" applyProtection="0">
      <alignment horizontal="left" vertical="top" indent="1"/>
    </xf>
    <xf numFmtId="0" fontId="10" fillId="6" borderId="28" applyNumberFormat="0" applyProtection="0">
      <alignment horizontal="left" vertical="top" indent="1"/>
    </xf>
    <xf numFmtId="0" fontId="10" fillId="36" borderId="28" applyNumberFormat="0" applyProtection="0">
      <alignment horizontal="left" vertical="center" indent="1"/>
    </xf>
    <xf numFmtId="0" fontId="10" fillId="36" borderId="28" applyNumberFormat="0" applyProtection="0">
      <alignment horizontal="left" vertical="top" indent="1"/>
    </xf>
    <xf numFmtId="0" fontId="11" fillId="8" borderId="28" applyNumberFormat="0" applyProtection="0">
      <alignment vertical="center"/>
    </xf>
    <xf numFmtId="0" fontId="11" fillId="8" borderId="28" applyNumberFormat="0" applyProtection="0">
      <alignment vertical="center"/>
    </xf>
    <xf numFmtId="0" fontId="62" fillId="8" borderId="28" applyNumberFormat="0" applyProtection="0">
      <alignment vertical="center"/>
    </xf>
    <xf numFmtId="0" fontId="62" fillId="8" borderId="28" applyNumberFormat="0" applyProtection="0">
      <alignment vertical="center"/>
    </xf>
    <xf numFmtId="0" fontId="11" fillId="8" borderId="28" applyNumberFormat="0" applyProtection="0">
      <alignment horizontal="left" vertical="top" indent="1"/>
    </xf>
    <xf numFmtId="0" fontId="11" fillId="8" borderId="28" applyNumberFormat="0" applyProtection="0">
      <alignment horizontal="left" vertical="top" indent="1"/>
    </xf>
    <xf numFmtId="43" fontId="43" fillId="0" borderId="0" applyFont="0" applyFill="0" applyBorder="0" applyAlignment="0" applyProtection="0"/>
    <xf numFmtId="0" fontId="20" fillId="36" borderId="28" applyNumberFormat="0" applyProtection="0">
      <alignment horizontal="right" vertical="center"/>
    </xf>
    <xf numFmtId="0" fontId="20" fillId="36" borderId="28" applyNumberFormat="0" applyProtection="0">
      <alignment horizontal="right" vertical="center"/>
    </xf>
    <xf numFmtId="43" fontId="42" fillId="0" borderId="10"/>
    <xf numFmtId="43" fontId="42" fillId="0" borderId="10"/>
    <xf numFmtId="43" fontId="42" fillId="0" borderId="10"/>
    <xf numFmtId="43" fontId="42" fillId="0" borderId="10"/>
    <xf numFmtId="0" fontId="21" fillId="35" borderId="34" applyNumberFormat="0" applyProtection="0">
      <alignment horizontal="left" vertical="center" indent="1"/>
    </xf>
    <xf numFmtId="0" fontId="11" fillId="29" borderId="57" applyNumberFormat="0" applyProtection="0">
      <alignment horizontal="right" vertical="center"/>
    </xf>
    <xf numFmtId="0" fontId="11" fillId="8" borderId="35" applyNumberFormat="0" applyProtection="0">
      <alignment horizontal="left" vertical="center" indent="1"/>
    </xf>
    <xf numFmtId="9" fontId="99" fillId="0" borderId="0" applyFont="0" applyFill="0" applyBorder="0" applyAlignment="0" applyProtection="0"/>
    <xf numFmtId="43" fontId="25" fillId="0" borderId="0" applyFont="0" applyFill="0" applyBorder="0" applyAlignment="0" applyProtection="0"/>
    <xf numFmtId="0" fontId="11" fillId="26" borderId="35" applyNumberFormat="0" applyProtection="0">
      <alignment horizontal="right" vertical="center"/>
    </xf>
    <xf numFmtId="0" fontId="11" fillId="31" borderId="35" applyNumberFormat="0" applyProtection="0">
      <alignment horizontal="right" vertical="center"/>
    </xf>
    <xf numFmtId="0" fontId="99" fillId="0" borderId="0"/>
    <xf numFmtId="4" fontId="93" fillId="0" borderId="40">
      <alignment horizontal="right"/>
    </xf>
    <xf numFmtId="0" fontId="25" fillId="0" borderId="0"/>
    <xf numFmtId="0" fontId="43" fillId="0" borderId="0"/>
    <xf numFmtId="0" fontId="43" fillId="0" borderId="0"/>
    <xf numFmtId="208" fontId="99" fillId="0" borderId="0" applyFont="0" applyFill="0" applyBorder="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43" fillId="0" borderId="0" applyFont="0" applyFill="0" applyBorder="0" applyAlignment="0" applyProtection="0"/>
    <xf numFmtId="43" fontId="25"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0" fontId="10" fillId="0" borderId="21" applyNumberFormat="0"/>
    <xf numFmtId="0" fontId="1" fillId="0" borderId="0"/>
    <xf numFmtId="0" fontId="93" fillId="0" borderId="0"/>
    <xf numFmtId="0" fontId="43" fillId="0" borderId="0"/>
    <xf numFmtId="0" fontId="99" fillId="0" borderId="0"/>
    <xf numFmtId="0" fontId="10" fillId="4" borderId="55" applyNumberFormat="0" applyProtection="0">
      <alignment horizontal="left" vertical="top" indent="1"/>
    </xf>
    <xf numFmtId="0" fontId="99" fillId="0" borderId="0"/>
    <xf numFmtId="0" fontId="100" fillId="0" borderId="0">
      <alignment vertical="center"/>
    </xf>
    <xf numFmtId="0" fontId="93" fillId="0" borderId="0">
      <alignment vertical="center"/>
    </xf>
    <xf numFmtId="0" fontId="20" fillId="36" borderId="35" applyNumberFormat="0" applyProtection="0">
      <alignment horizontal="right" vertical="center"/>
    </xf>
    <xf numFmtId="0" fontId="24" fillId="0" borderId="0">
      <alignment vertical="center"/>
    </xf>
    <xf numFmtId="43" fontId="93" fillId="0" borderId="0" applyFont="0" applyFill="0" applyBorder="0" applyAlignment="0" applyProtection="0"/>
    <xf numFmtId="0" fontId="93" fillId="0" borderId="0"/>
    <xf numFmtId="9" fontId="93" fillId="0" borderId="0" applyFont="0" applyFill="0" applyBorder="0" applyAlignment="0" applyProtection="0"/>
    <xf numFmtId="41" fontId="10" fillId="0" borderId="0" applyFont="0" applyFill="0" applyBorder="0" applyAlignment="0" applyProtection="0"/>
    <xf numFmtId="0" fontId="10" fillId="26" borderId="55" applyNumberFormat="0" applyProtection="0">
      <alignment horizontal="left" vertical="top" indent="1"/>
    </xf>
    <xf numFmtId="43" fontId="10" fillId="0" borderId="0" applyFont="0" applyFill="0" applyBorder="0" applyAlignment="0" applyProtection="0"/>
    <xf numFmtId="0" fontId="43" fillId="0" borderId="0"/>
    <xf numFmtId="0" fontId="93" fillId="0" borderId="0" applyAlignment="0"/>
    <xf numFmtId="43" fontId="93" fillId="0" borderId="0" applyFont="0" applyFill="0" applyBorder="0" applyAlignment="0" applyProtection="0"/>
    <xf numFmtId="0" fontId="24" fillId="0" borderId="0">
      <alignment vertical="center"/>
    </xf>
    <xf numFmtId="0" fontId="93" fillId="0" borderId="0"/>
    <xf numFmtId="0" fontId="43" fillId="0" borderId="0"/>
    <xf numFmtId="183" fontId="27" fillId="0" borderId="0">
      <protection locked="0"/>
    </xf>
    <xf numFmtId="0" fontId="99" fillId="0" borderId="0"/>
    <xf numFmtId="43" fontId="43" fillId="0" borderId="0" applyFont="0" applyFill="0" applyBorder="0" applyProtection="0"/>
    <xf numFmtId="0" fontId="99" fillId="0" borderId="0"/>
    <xf numFmtId="0" fontId="56" fillId="0" borderId="0"/>
    <xf numFmtId="41" fontId="25" fillId="0" borderId="0" applyFont="0" applyFill="0" applyBorder="0" applyAlignment="0" applyProtection="0"/>
    <xf numFmtId="9" fontId="43" fillId="0" borderId="0" applyFont="0" applyFill="0" applyBorder="0" applyProtection="0"/>
    <xf numFmtId="41" fontId="99" fillId="0" borderId="0" applyFont="0" applyFill="0" applyBorder="0" applyAlignment="0" applyProtection="0"/>
    <xf numFmtId="9" fontId="99" fillId="0" borderId="0" applyFont="0" applyFill="0" applyBorder="0" applyAlignment="0" applyProtection="0"/>
    <xf numFmtId="41" fontId="99" fillId="0" borderId="0" applyFont="0" applyFill="0" applyBorder="0" applyAlignment="0" applyProtection="0"/>
    <xf numFmtId="41" fontId="99" fillId="0" borderId="0" applyFont="0" applyFill="0" applyBorder="0" applyAlignment="0" applyProtection="0"/>
    <xf numFmtId="43" fontId="10" fillId="0" borderId="0" applyFont="0" applyFill="0" applyBorder="0" applyAlignment="0" applyProtection="0"/>
    <xf numFmtId="41" fontId="99" fillId="0" borderId="0" applyFont="0" applyFill="0" applyBorder="0" applyAlignment="0" applyProtection="0"/>
    <xf numFmtId="9" fontId="99" fillId="0" borderId="0" applyFont="0" applyFill="0" applyBorder="0" applyProtection="0"/>
    <xf numFmtId="41" fontId="99" fillId="0" borderId="0" applyFont="0" applyFill="0" applyBorder="0" applyAlignment="0" applyProtection="0"/>
    <xf numFmtId="9" fontId="99" fillId="0" borderId="0" applyFont="0" applyFill="0" applyBorder="0" applyAlignment="0" applyProtection="0"/>
    <xf numFmtId="41" fontId="99" fillId="0" borderId="0" applyFont="0" applyFill="0" applyBorder="0" applyAlignment="0" applyProtection="0"/>
    <xf numFmtId="41" fontId="99" fillId="0" borderId="0" applyFont="0" applyFill="0" applyBorder="0" applyAlignment="0" applyProtection="0"/>
    <xf numFmtId="43" fontId="99" fillId="0" borderId="0" applyFont="0" applyFill="0" applyBorder="0" applyProtection="0"/>
    <xf numFmtId="41" fontId="99" fillId="0" borderId="0" applyFont="0" applyFill="0" applyBorder="0" applyAlignment="0" applyProtection="0"/>
    <xf numFmtId="43" fontId="99" fillId="0" borderId="0" applyFont="0" applyFill="0" applyBorder="0" applyAlignment="0" applyProtection="0"/>
    <xf numFmtId="0" fontId="99" fillId="0" borderId="0"/>
    <xf numFmtId="210" fontId="25" fillId="0" borderId="0" applyFont="0" applyFill="0" applyBorder="0" applyAlignment="0" applyProtection="0"/>
    <xf numFmtId="41" fontId="99" fillId="0" borderId="0" applyFont="0" applyFill="0" applyBorder="0" applyAlignment="0" applyProtection="0"/>
    <xf numFmtId="41" fontId="25" fillId="0" borderId="0" applyFont="0" applyFill="0" applyBorder="0" applyAlignment="0" applyProtection="0"/>
    <xf numFmtId="0" fontId="14" fillId="0" borderId="0" applyNumberFormat="0" applyFill="0" applyBorder="0" applyAlignment="0" applyProtection="0"/>
    <xf numFmtId="4" fontId="99" fillId="0" borderId="21">
      <alignment horizontal="right"/>
    </xf>
    <xf numFmtId="0" fontId="14" fillId="0" borderId="0" applyNumberFormat="0" applyFill="0" applyBorder="0" applyAlignment="0" applyProtection="0"/>
    <xf numFmtId="0" fontId="99" fillId="0" borderId="0" applyAlignment="0"/>
    <xf numFmtId="0" fontId="49" fillId="0" borderId="0" applyNumberFormat="0" applyFill="0" applyBorder="0" applyAlignment="0" applyProtection="0"/>
    <xf numFmtId="0" fontId="49" fillId="0" borderId="0" applyNumberFormat="0" applyFill="0" applyBorder="0" applyProtection="0"/>
    <xf numFmtId="0" fontId="99" fillId="0" borderId="0"/>
    <xf numFmtId="183" fontId="27" fillId="0" borderId="0">
      <protection locked="0"/>
    </xf>
    <xf numFmtId="4" fontId="99" fillId="0" borderId="21">
      <alignment horizontal="right"/>
    </xf>
    <xf numFmtId="41" fontId="99" fillId="0" borderId="0" applyFont="0" applyFill="0" applyBorder="0" applyAlignment="0" applyProtection="0"/>
    <xf numFmtId="41" fontId="99" fillId="0" borderId="0" applyFont="0" applyFill="0" applyBorder="0" applyAlignment="0" applyProtection="0"/>
    <xf numFmtId="41" fontId="99" fillId="0" borderId="0" applyFont="0" applyFill="0" applyBorder="0" applyAlignment="0" applyProtection="0"/>
    <xf numFmtId="41" fontId="99" fillId="0" borderId="0" applyFont="0" applyFill="0" applyBorder="0" applyAlignment="0" applyProtection="0"/>
    <xf numFmtId="41" fontId="99" fillId="0" borderId="0" applyFont="0" applyFill="0" applyBorder="0" applyAlignment="0" applyProtection="0"/>
    <xf numFmtId="41" fontId="99" fillId="0" borderId="0" applyFont="0" applyFill="0" applyBorder="0" applyAlignment="0" applyProtection="0"/>
    <xf numFmtId="41" fontId="99" fillId="0" borderId="0" applyFont="0" applyFill="0" applyBorder="0" applyAlignment="0" applyProtection="0"/>
    <xf numFmtId="0" fontId="49" fillId="0" borderId="0" applyNumberFormat="0" applyFill="0" applyBorder="0" applyProtection="0"/>
    <xf numFmtId="41" fontId="25" fillId="0" borderId="0" applyFont="0" applyFill="0" applyBorder="0" applyAlignment="0" applyProtection="0"/>
    <xf numFmtId="41" fontId="25" fillId="0" borderId="0" applyFont="0" applyFill="0" applyBorder="0" applyAlignment="0" applyProtection="0"/>
    <xf numFmtId="43" fontId="99" fillId="0" borderId="0" applyFont="0" applyFill="0" applyBorder="0" applyAlignment="0" applyProtection="0"/>
    <xf numFmtId="0" fontId="99" fillId="0" borderId="0"/>
    <xf numFmtId="43" fontId="99" fillId="0" borderId="0" applyFont="0" applyFill="0" applyBorder="0" applyProtection="0"/>
    <xf numFmtId="43" fontId="99" fillId="0" borderId="0" applyFont="0" applyFill="0" applyBorder="0" applyProtection="0"/>
    <xf numFmtId="43" fontId="99" fillId="0" borderId="0" applyFont="0" applyFill="0" applyBorder="0" applyProtection="0"/>
    <xf numFmtId="0" fontId="124" fillId="0" borderId="0"/>
    <xf numFmtId="210" fontId="43" fillId="0" borderId="0" applyFont="0" applyFill="0" applyBorder="0" applyProtection="0"/>
    <xf numFmtId="43" fontId="43" fillId="0" borderId="0" applyFont="0" applyFill="0" applyBorder="0" applyProtection="0"/>
    <xf numFmtId="43" fontId="43" fillId="0" borderId="0" applyFont="0" applyFill="0" applyBorder="0" applyAlignment="0" applyProtection="0"/>
    <xf numFmtId="43" fontId="10" fillId="0" borderId="0" applyFont="0" applyFill="0" applyBorder="0" applyAlignment="0" applyProtection="0"/>
    <xf numFmtId="43" fontId="43" fillId="0" borderId="0" applyFont="0" applyFill="0" applyBorder="0" applyAlignment="0" applyProtection="0"/>
    <xf numFmtId="41" fontId="99" fillId="0" borderId="0" applyFont="0" applyFill="0" applyBorder="0" applyAlignment="0" applyProtection="0"/>
    <xf numFmtId="43" fontId="99" fillId="0" borderId="0" applyFont="0" applyFill="0" applyBorder="0" applyAlignment="0" applyProtection="0"/>
    <xf numFmtId="41" fontId="99" fillId="0" borderId="0" applyFont="0" applyFill="0" applyBorder="0" applyAlignment="0" applyProtection="0"/>
    <xf numFmtId="43" fontId="99" fillId="0" borderId="0" applyFont="0" applyFill="0" applyBorder="0" applyProtection="0"/>
    <xf numFmtId="41" fontId="99" fillId="0" borderId="0" applyFont="0" applyFill="0" applyBorder="0" applyAlignment="0" applyProtection="0"/>
    <xf numFmtId="43" fontId="99" fillId="0" borderId="0" applyFont="0" applyFill="0" applyBorder="0" applyProtection="0"/>
    <xf numFmtId="41" fontId="99" fillId="0" borderId="0" applyFont="0" applyFill="0" applyBorder="0" applyAlignment="0" applyProtection="0"/>
    <xf numFmtId="43" fontId="99" fillId="0" borderId="0" applyFont="0" applyFill="0" applyBorder="0" applyProtection="0"/>
    <xf numFmtId="41" fontId="99" fillId="0" borderId="0" applyFont="0" applyFill="0" applyBorder="0" applyAlignment="0" applyProtection="0"/>
    <xf numFmtId="41" fontId="99" fillId="0" borderId="0" applyFont="0" applyFill="0" applyBorder="0" applyAlignment="0" applyProtection="0"/>
    <xf numFmtId="43" fontId="10" fillId="0" borderId="0" applyFont="0" applyFill="0" applyBorder="0" applyAlignment="0" applyProtection="0"/>
    <xf numFmtId="210" fontId="25" fillId="0" borderId="0" applyFont="0" applyFill="0" applyBorder="0" applyAlignment="0" applyProtection="0"/>
    <xf numFmtId="43" fontId="25" fillId="0" borderId="0" applyFont="0" applyFill="0" applyBorder="0" applyAlignment="0" applyProtection="0"/>
    <xf numFmtId="43" fontId="99" fillId="0" borderId="0" applyFont="0" applyFill="0" applyBorder="0" applyProtection="0"/>
    <xf numFmtId="43" fontId="99" fillId="0" borderId="0" applyFont="0" applyFill="0" applyBorder="0" applyAlignment="0" applyProtection="0"/>
    <xf numFmtId="43" fontId="99" fillId="0" borderId="0" applyFont="0" applyFill="0" applyBorder="0" applyAlignment="0" applyProtection="0"/>
    <xf numFmtId="43" fontId="43" fillId="0" borderId="0" applyFont="0" applyFill="0" applyBorder="0" applyProtection="0"/>
    <xf numFmtId="43" fontId="10" fillId="0" borderId="0" applyFont="0" applyFill="0" applyBorder="0" applyAlignment="0" applyProtection="0"/>
    <xf numFmtId="43" fontId="10" fillId="0" borderId="0" applyFont="0" applyFill="0" applyBorder="0" applyAlignment="0" applyProtection="0"/>
    <xf numFmtId="43" fontId="99" fillId="0" borderId="0" applyFont="0" applyFill="0" applyBorder="0" applyAlignment="0" applyProtection="0"/>
    <xf numFmtId="43" fontId="99" fillId="0" borderId="0" applyFont="0" applyFill="0" applyBorder="0" applyProtection="0"/>
    <xf numFmtId="43" fontId="99"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54" fillId="0" borderId="0" applyFont="0" applyFill="0" applyBorder="0" applyProtection="0"/>
    <xf numFmtId="43" fontId="54" fillId="0" borderId="0" applyFont="0" applyFill="0" applyBorder="0" applyAlignment="0" applyProtection="0"/>
    <xf numFmtId="0" fontId="11" fillId="32" borderId="35" applyNumberFormat="0" applyProtection="0">
      <alignment horizontal="right" vertical="center"/>
    </xf>
    <xf numFmtId="43" fontId="99" fillId="0" borderId="0" applyFont="0" applyFill="0" applyBorder="0" applyProtection="0"/>
    <xf numFmtId="43" fontId="99" fillId="0" borderId="0" applyFont="0" applyFill="0" applyBorder="0" applyAlignment="0" applyProtection="0"/>
    <xf numFmtId="43" fontId="99" fillId="0" borderId="0" applyFont="0" applyFill="0" applyBorder="0" applyAlignment="0" applyProtection="0"/>
    <xf numFmtId="0" fontId="99" fillId="0" borderId="0" applyAlignment="0"/>
    <xf numFmtId="43" fontId="99" fillId="0" borderId="0" applyFont="0" applyFill="0" applyBorder="0" applyProtection="0"/>
    <xf numFmtId="43" fontId="99" fillId="0" borderId="0" applyFont="0" applyFill="0" applyBorder="0" applyProtection="0"/>
    <xf numFmtId="0" fontId="99" fillId="0" borderId="21" applyAlignment="0"/>
    <xf numFmtId="0" fontId="99" fillId="0" borderId="21" applyAlignment="0"/>
    <xf numFmtId="0" fontId="99" fillId="0" borderId="21" applyAlignment="0"/>
    <xf numFmtId="0" fontId="99" fillId="0" borderId="21" applyAlignment="0"/>
    <xf numFmtId="41" fontId="25" fillId="0" borderId="0" applyFont="0" applyFill="0" applyBorder="0" applyAlignment="0" applyProtection="0"/>
    <xf numFmtId="0" fontId="99" fillId="0" borderId="0" applyAlignment="0"/>
    <xf numFmtId="0" fontId="99" fillId="0" borderId="0" applyAlignment="0"/>
    <xf numFmtId="0" fontId="99" fillId="0" borderId="0"/>
    <xf numFmtId="0" fontId="99" fillId="0" borderId="0"/>
    <xf numFmtId="0" fontId="99" fillId="0" borderId="0"/>
    <xf numFmtId="0" fontId="99" fillId="0" borderId="0" applyAlignment="0"/>
    <xf numFmtId="0" fontId="99" fillId="0" borderId="0" applyAlignment="0"/>
    <xf numFmtId="0" fontId="11" fillId="8" borderId="35" applyNumberFormat="0" applyProtection="0">
      <alignment vertical="center"/>
    </xf>
    <xf numFmtId="0" fontId="99" fillId="0" borderId="0"/>
    <xf numFmtId="0" fontId="99" fillId="0" borderId="0"/>
    <xf numFmtId="0" fontId="43" fillId="0" borderId="0"/>
    <xf numFmtId="0" fontId="99" fillId="0" borderId="0"/>
    <xf numFmtId="0" fontId="10" fillId="0" borderId="0"/>
    <xf numFmtId="200" fontId="43" fillId="0" borderId="0"/>
    <xf numFmtId="0" fontId="99" fillId="0" borderId="0"/>
    <xf numFmtId="0" fontId="99" fillId="0" borderId="0"/>
    <xf numFmtId="0" fontId="99" fillId="0" borderId="0"/>
    <xf numFmtId="0" fontId="43" fillId="0" borderId="0"/>
    <xf numFmtId="0" fontId="43" fillId="0" borderId="0"/>
    <xf numFmtId="0" fontId="99" fillId="0" borderId="0" applyAlignment="0"/>
    <xf numFmtId="0" fontId="43" fillId="0" borderId="0"/>
    <xf numFmtId="0" fontId="43" fillId="0" borderId="0"/>
    <xf numFmtId="0" fontId="99" fillId="0" borderId="0"/>
    <xf numFmtId="0" fontId="99" fillId="0" borderId="0">
      <alignment vertical="center"/>
    </xf>
    <xf numFmtId="0" fontId="43" fillId="0" borderId="0"/>
    <xf numFmtId="0" fontId="99" fillId="0" borderId="0"/>
    <xf numFmtId="0" fontId="25" fillId="0" borderId="0"/>
    <xf numFmtId="0" fontId="99" fillId="0" borderId="0"/>
    <xf numFmtId="0" fontId="25" fillId="0" borderId="0"/>
    <xf numFmtId="0" fontId="99" fillId="0" borderId="0"/>
    <xf numFmtId="0" fontId="99" fillId="0" borderId="0">
      <alignment vertical="center"/>
    </xf>
    <xf numFmtId="185" fontId="99" fillId="0" borderId="0" applyFont="0" applyFill="0" applyBorder="0" applyAlignment="0" applyProtection="0"/>
    <xf numFmtId="185" fontId="99" fillId="0" borderId="0" applyFont="0" applyFill="0" applyBorder="0" applyAlignment="0" applyProtection="0"/>
    <xf numFmtId="9" fontId="10" fillId="0" borderId="0" applyFont="0" applyFill="0" applyBorder="0" applyAlignment="0" applyProtection="0"/>
    <xf numFmtId="9" fontId="99" fillId="0" borderId="0" applyFont="0" applyFill="0" applyBorder="0" applyProtection="0"/>
    <xf numFmtId="9" fontId="99" fillId="0" borderId="0" applyFont="0" applyFill="0" applyBorder="0" applyProtection="0"/>
    <xf numFmtId="9" fontId="99" fillId="0" borderId="0" applyFont="0" applyFill="0" applyBorder="0" applyProtection="0"/>
    <xf numFmtId="9" fontId="25" fillId="0" borderId="0" applyFont="0" applyFill="0" applyBorder="0" applyAlignment="0" applyProtection="0"/>
    <xf numFmtId="0" fontId="43" fillId="0" borderId="0"/>
    <xf numFmtId="0" fontId="25" fillId="0" borderId="0"/>
    <xf numFmtId="0" fontId="23" fillId="0" borderId="0">
      <protection locked="0"/>
    </xf>
    <xf numFmtId="0" fontId="10" fillId="0" borderId="0">
      <protection locked="0"/>
    </xf>
    <xf numFmtId="183" fontId="10" fillId="0" borderId="0"/>
    <xf numFmtId="0" fontId="25" fillId="0" borderId="0">
      <alignment vertical="top"/>
    </xf>
    <xf numFmtId="0" fontId="23" fillId="0" borderId="0">
      <protection locked="0"/>
    </xf>
    <xf numFmtId="0" fontId="10" fillId="0" borderId="0">
      <protection locked="0"/>
    </xf>
    <xf numFmtId="0" fontId="99" fillId="0" borderId="0">
      <alignment vertical="center"/>
      <protection locked="0"/>
    </xf>
    <xf numFmtId="0" fontId="10" fillId="0" borderId="0">
      <protection locked="0"/>
    </xf>
    <xf numFmtId="0" fontId="99" fillId="0" borderId="0"/>
    <xf numFmtId="0" fontId="25" fillId="0" borderId="0"/>
    <xf numFmtId="0" fontId="99" fillId="0" borderId="0">
      <alignment vertical="center"/>
    </xf>
    <xf numFmtId="0" fontId="43" fillId="0" borderId="0"/>
    <xf numFmtId="0" fontId="99" fillId="0" borderId="0">
      <alignment vertical="center"/>
    </xf>
    <xf numFmtId="43" fontId="10" fillId="0" borderId="0" applyFont="0" applyFill="0" applyBorder="0" applyAlignment="0" applyProtection="0"/>
    <xf numFmtId="0" fontId="99" fillId="0" borderId="0" applyFont="0" applyFill="0" applyBorder="0" applyProtection="0"/>
    <xf numFmtId="43" fontId="23" fillId="0" borderId="0" applyFont="0" applyAlignment="0" applyProtection="0"/>
    <xf numFmtId="43" fontId="23" fillId="0" borderId="0" applyFont="0" applyAlignment="0" applyProtection="0"/>
    <xf numFmtId="43" fontId="10" fillId="0" borderId="0" applyFont="0" applyFill="0" applyBorder="0" applyAlignment="0" applyProtection="0"/>
    <xf numFmtId="43" fontId="10" fillId="0" borderId="0" applyFont="0" applyFill="0" applyBorder="0" applyAlignment="0" applyProtection="0"/>
    <xf numFmtId="41" fontId="25" fillId="0" borderId="0" applyFont="0" applyFill="0" applyBorder="0" applyAlignment="0" applyProtection="0"/>
    <xf numFmtId="0" fontId="43" fillId="0" borderId="0"/>
    <xf numFmtId="43" fontId="43" fillId="0" borderId="0" applyFont="0" applyFill="0" applyBorder="0" applyProtection="0"/>
    <xf numFmtId="0" fontId="43" fillId="0" borderId="0"/>
    <xf numFmtId="0" fontId="43" fillId="0" borderId="0"/>
    <xf numFmtId="0" fontId="43" fillId="0" borderId="0"/>
    <xf numFmtId="43" fontId="1" fillId="0" borderId="0" applyFont="0" applyFill="0" applyBorder="0" applyProtection="0"/>
    <xf numFmtId="200" fontId="43" fillId="0" borderId="0"/>
    <xf numFmtId="0" fontId="43" fillId="0" borderId="0"/>
    <xf numFmtId="0" fontId="99" fillId="0" borderId="0">
      <alignment vertical="center"/>
    </xf>
    <xf numFmtId="0" fontId="99" fillId="0" borderId="0"/>
    <xf numFmtId="0" fontId="43" fillId="0" borderId="0"/>
    <xf numFmtId="9" fontId="99" fillId="0" borderId="0" applyFont="0" applyFill="0" applyBorder="0" applyProtection="0"/>
    <xf numFmtId="0" fontId="99" fillId="0" borderId="0"/>
    <xf numFmtId="43" fontId="99" fillId="0" borderId="0" applyFont="0" applyFill="0" applyBorder="0" applyProtection="0"/>
    <xf numFmtId="0" fontId="99" fillId="0" borderId="0"/>
    <xf numFmtId="0" fontId="99" fillId="0" borderId="0" applyAlignment="0"/>
    <xf numFmtId="41" fontId="99" fillId="0" borderId="0" applyFont="0" applyFill="0" applyBorder="0" applyAlignment="0" applyProtection="0"/>
    <xf numFmtId="0" fontId="93" fillId="0" borderId="0">
      <alignment vertical="center"/>
    </xf>
    <xf numFmtId="9" fontId="99" fillId="0" borderId="0" applyFont="0" applyFill="0" applyBorder="0" applyAlignment="0" applyProtection="0"/>
    <xf numFmtId="43" fontId="99" fillId="0" borderId="0" applyFont="0" applyFill="0" applyBorder="0" applyProtection="0"/>
    <xf numFmtId="0" fontId="43" fillId="0" borderId="0"/>
    <xf numFmtId="0" fontId="1" fillId="0" borderId="0"/>
    <xf numFmtId="43" fontId="43" fillId="0" borderId="0" applyFont="0" applyFill="0" applyBorder="0" applyProtection="0"/>
    <xf numFmtId="0" fontId="43" fillId="0" borderId="0"/>
    <xf numFmtId="43" fontId="1" fillId="0" borderId="0" applyFont="0" applyFill="0" applyBorder="0" applyProtection="0"/>
    <xf numFmtId="0" fontId="93" fillId="0" borderId="0">
      <alignment vertical="center"/>
    </xf>
    <xf numFmtId="0" fontId="1" fillId="0" borderId="0"/>
    <xf numFmtId="0" fontId="99" fillId="0" borderId="0"/>
    <xf numFmtId="0" fontId="10" fillId="36" borderId="55" applyNumberFormat="0" applyProtection="0">
      <alignment horizontal="left" vertical="center" indent="1"/>
    </xf>
    <xf numFmtId="0" fontId="99" fillId="0" borderId="0"/>
    <xf numFmtId="43" fontId="99" fillId="0" borderId="0" applyFont="0" applyFill="0" applyBorder="0" applyProtection="0"/>
    <xf numFmtId="0" fontId="93" fillId="0" borderId="0">
      <alignment vertical="center"/>
    </xf>
    <xf numFmtId="0" fontId="105" fillId="0" borderId="0" applyNumberFormat="0" applyFill="0" applyBorder="0" applyAlignment="0" applyProtection="0">
      <alignment vertical="center"/>
    </xf>
    <xf numFmtId="0" fontId="99" fillId="0" borderId="0"/>
    <xf numFmtId="0" fontId="125" fillId="0" borderId="0"/>
    <xf numFmtId="0" fontId="93" fillId="0" borderId="0">
      <alignment vertical="center"/>
    </xf>
    <xf numFmtId="0" fontId="99" fillId="0" borderId="0"/>
    <xf numFmtId="208" fontId="99" fillId="0" borderId="0" applyFont="0" applyFill="0" applyBorder="0" applyProtection="0"/>
    <xf numFmtId="43" fontId="43" fillId="0" borderId="0" applyFont="0" applyFill="0" applyBorder="0" applyAlignment="0" applyProtection="0"/>
    <xf numFmtId="43" fontId="99" fillId="0" borderId="0" applyFont="0" applyFill="0" applyBorder="0" applyAlignment="0" applyProtection="0"/>
    <xf numFmtId="41" fontId="25" fillId="0" borderId="0" applyFont="0" applyFill="0" applyBorder="0" applyAlignment="0" applyProtection="0"/>
    <xf numFmtId="0" fontId="49" fillId="0" borderId="0" applyNumberFormat="0" applyFill="0" applyBorder="0" applyAlignment="0" applyProtection="0"/>
    <xf numFmtId="43" fontId="10" fillId="0" borderId="0" applyFont="0" applyFill="0" applyBorder="0" applyAlignment="0" applyProtection="0"/>
    <xf numFmtId="43" fontId="99" fillId="0" borderId="0" applyFont="0" applyFill="0" applyBorder="0" applyAlignment="0" applyProtection="0"/>
    <xf numFmtId="41" fontId="25" fillId="0" borderId="0" applyFont="0" applyFill="0" applyBorder="0" applyAlignment="0" applyProtection="0"/>
    <xf numFmtId="0" fontId="50" fillId="0" borderId="0" applyNumberFormat="0" applyFill="0" applyBorder="0" applyAlignment="0" applyProtection="0"/>
    <xf numFmtId="0" fontId="21" fillId="25" borderId="35" applyNumberFormat="0" applyProtection="0">
      <alignment horizontal="left" vertical="center" indent="1"/>
    </xf>
    <xf numFmtId="0" fontId="80" fillId="0" borderId="0" applyNumberFormat="0" applyFill="0" applyBorder="0">
      <protection locked="0"/>
    </xf>
    <xf numFmtId="0" fontId="50" fillId="0" borderId="0" applyNumberFormat="0" applyFill="0" applyBorder="0" applyAlignment="0" applyProtection="0"/>
    <xf numFmtId="41" fontId="99" fillId="0" borderId="0" applyFont="0" applyFill="0" applyBorder="0" applyAlignment="0" applyProtection="0"/>
    <xf numFmtId="41" fontId="99" fillId="0" borderId="0" applyFont="0" applyFill="0" applyBorder="0" applyAlignment="0" applyProtection="0"/>
    <xf numFmtId="43" fontId="99" fillId="0" borderId="0" applyFont="0" applyFill="0" applyBorder="0" applyAlignment="0" applyProtection="0"/>
    <xf numFmtId="0" fontId="21" fillId="35" borderId="29" applyNumberFormat="0" applyProtection="0">
      <alignment horizontal="left" vertical="center" indent="1"/>
    </xf>
    <xf numFmtId="0" fontId="11" fillId="36" borderId="48" applyNumberFormat="0" applyProtection="0">
      <alignment horizontal="right" vertical="center"/>
    </xf>
    <xf numFmtId="0" fontId="43" fillId="0" borderId="0"/>
    <xf numFmtId="0" fontId="11" fillId="8" borderId="35" applyNumberFormat="0" applyProtection="0">
      <alignment horizontal="left" vertical="top" indent="1"/>
    </xf>
    <xf numFmtId="0" fontId="10" fillId="36" borderId="35" applyNumberFormat="0" applyProtection="0">
      <alignment horizontal="left" vertical="center" indent="1"/>
    </xf>
    <xf numFmtId="0" fontId="10" fillId="0" borderId="0"/>
    <xf numFmtId="0" fontId="34" fillId="18" borderId="2" applyNumberFormat="0" applyAlignment="0" applyProtection="0"/>
    <xf numFmtId="0" fontId="11" fillId="34" borderId="48" applyNumberFormat="0" applyProtection="0">
      <alignment horizontal="right" vertical="center"/>
    </xf>
    <xf numFmtId="43" fontId="99" fillId="0" borderId="0" applyFont="0" applyFill="0" applyBorder="0" applyAlignment="0" applyProtection="0"/>
    <xf numFmtId="41" fontId="99" fillId="0" borderId="0" applyFont="0" applyFill="0" applyBorder="0" applyAlignment="0" applyProtection="0"/>
    <xf numFmtId="41" fontId="37" fillId="0" borderId="0" applyFont="0" applyFill="0" applyBorder="0" applyAlignment="0" applyProtection="0"/>
    <xf numFmtId="41" fontId="99" fillId="0" borderId="0" applyFont="0" applyFill="0" applyBorder="0" applyAlignment="0" applyProtection="0"/>
    <xf numFmtId="41" fontId="99" fillId="0" borderId="0" applyFont="0" applyFill="0" applyBorder="0" applyAlignment="0" applyProtection="0"/>
    <xf numFmtId="41" fontId="99" fillId="0" borderId="0" applyFont="0" applyFill="0" applyBorder="0" applyAlignment="0" applyProtection="0"/>
    <xf numFmtId="41" fontId="99" fillId="0" borderId="0" applyFont="0" applyFill="0" applyBorder="0" applyAlignment="0" applyProtection="0"/>
    <xf numFmtId="41" fontId="99" fillId="0" borderId="0" applyFont="0" applyFill="0" applyBorder="0" applyAlignment="0" applyProtection="0"/>
    <xf numFmtId="41" fontId="99" fillId="0" borderId="0" applyFont="0" applyFill="0" applyBorder="0" applyAlignment="0" applyProtection="0"/>
    <xf numFmtId="41" fontId="37" fillId="0" borderId="0" applyFont="0" applyFill="0" applyBorder="0" applyAlignment="0" applyProtection="0"/>
    <xf numFmtId="41" fontId="37" fillId="0" borderId="0" applyFont="0" applyFill="0" applyBorder="0" applyAlignment="0" applyProtection="0"/>
    <xf numFmtId="41" fontId="37" fillId="0" borderId="0" applyFont="0" applyFill="0" applyBorder="0" applyAlignment="0" applyProtection="0"/>
    <xf numFmtId="41" fontId="99"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41" fontId="99" fillId="0" borderId="0" applyFont="0" applyFill="0" applyBorder="0" applyAlignment="0" applyProtection="0"/>
    <xf numFmtId="41" fontId="99" fillId="0" borderId="0" applyFont="0" applyFill="0" applyBorder="0" applyAlignment="0" applyProtection="0"/>
    <xf numFmtId="0" fontId="14" fillId="0" borderId="0" applyNumberForma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0" fontId="79" fillId="0" borderId="0" applyNumberFormat="0" applyFill="0" applyBorder="0">
      <protection locked="0"/>
    </xf>
    <xf numFmtId="41" fontId="25" fillId="0" borderId="0" applyFont="0" applyFill="0" applyBorder="0" applyAlignment="0" applyProtection="0"/>
    <xf numFmtId="43" fontId="25" fillId="0" borderId="0" applyFont="0" applyFill="0" applyBorder="0" applyAlignment="0" applyProtection="0"/>
    <xf numFmtId="43" fontId="10" fillId="0" borderId="0" applyFont="0" applyFill="0" applyBorder="0" applyAlignment="0" applyProtection="0"/>
    <xf numFmtId="43" fontId="99" fillId="0" borderId="0" applyFont="0" applyFill="0" applyBorder="0" applyAlignment="0" applyProtection="0"/>
    <xf numFmtId="43" fontId="25" fillId="0" borderId="0" applyFont="0" applyFill="0" applyBorder="0" applyAlignment="0" applyProtection="0"/>
    <xf numFmtId="43" fontId="10" fillId="0" borderId="0" applyFont="0" applyFill="0" applyBorder="0" applyAlignment="0" applyProtection="0"/>
    <xf numFmtId="43" fontId="99" fillId="0" borderId="0" applyFont="0" applyFill="0" applyBorder="0" applyAlignment="0" applyProtection="0"/>
    <xf numFmtId="43" fontId="25" fillId="0" borderId="0" applyFont="0" applyFill="0" applyBorder="0" applyAlignment="0" applyProtection="0"/>
    <xf numFmtId="43" fontId="10"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43" fontId="43" fillId="0" borderId="0" applyFont="0" applyFill="0" applyBorder="0" applyAlignment="0" applyProtection="0"/>
    <xf numFmtId="43" fontId="99" fillId="0" borderId="0" applyFont="0" applyFill="0" applyBorder="0" applyAlignment="0" applyProtection="0"/>
    <xf numFmtId="43" fontId="43" fillId="0" borderId="0" applyFont="0" applyFill="0" applyBorder="0" applyAlignment="0" applyProtection="0"/>
    <xf numFmtId="41" fontId="37" fillId="0" borderId="0" applyFont="0" applyFill="0" applyBorder="0" applyAlignment="0" applyProtection="0"/>
    <xf numFmtId="43" fontId="43" fillId="0" borderId="0" applyFont="0" applyFill="0" applyBorder="0" applyAlignment="0" applyProtection="0"/>
    <xf numFmtId="41" fontId="37" fillId="0" borderId="0" applyFont="0" applyFill="0" applyBorder="0" applyAlignment="0" applyProtection="0"/>
    <xf numFmtId="43" fontId="43" fillId="0" borderId="0" applyFont="0" applyFill="0" applyBorder="0" applyAlignment="0" applyProtection="0"/>
    <xf numFmtId="41" fontId="37" fillId="0" borderId="0" applyFont="0" applyFill="0" applyBorder="0" applyAlignment="0" applyProtection="0"/>
    <xf numFmtId="43" fontId="43" fillId="0" borderId="0" applyFont="0" applyFill="0" applyBorder="0" applyAlignment="0" applyProtection="0"/>
    <xf numFmtId="41" fontId="37"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0" fontId="44" fillId="21" borderId="0" applyNumberFormat="0" applyBorder="0" applyAlignment="0" applyProtection="0"/>
    <xf numFmtId="43" fontId="99"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0" fontId="42" fillId="20" borderId="21"/>
    <xf numFmtId="193" fontId="43" fillId="0" borderId="0" applyFont="0" applyFill="0" applyBorder="0" applyAlignment="0" applyProtection="0"/>
    <xf numFmtId="193" fontId="43" fillId="0" borderId="0" applyFont="0" applyFill="0" applyBorder="0" applyAlignment="0" applyProtection="0"/>
    <xf numFmtId="0" fontId="47" fillId="0" borderId="19" applyNumberFormat="0" applyProtection="0"/>
    <xf numFmtId="0" fontId="43" fillId="0" borderId="0"/>
    <xf numFmtId="43" fontId="25" fillId="0" borderId="0" applyFont="0" applyFill="0" applyBorder="0" applyAlignment="0" applyProtection="0"/>
    <xf numFmtId="0" fontId="42" fillId="8" borderId="21" applyNumberFormat="0" applyBorder="0" applyAlignment="0" applyProtection="0"/>
    <xf numFmtId="0" fontId="99" fillId="0" borderId="0"/>
    <xf numFmtId="0" fontId="11" fillId="34" borderId="55" applyNumberFormat="0" applyProtection="0">
      <alignment horizontal="right" vertical="center"/>
    </xf>
    <xf numFmtId="0" fontId="56" fillId="0" borderId="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0" fontId="8" fillId="0" borderId="0"/>
    <xf numFmtId="0" fontId="43" fillId="0" borderId="0"/>
    <xf numFmtId="0" fontId="43" fillId="0" borderId="0"/>
    <xf numFmtId="43" fontId="99" fillId="0" borderId="0" applyFont="0" applyFill="0" applyBorder="0" applyAlignment="0" applyProtection="0"/>
    <xf numFmtId="0" fontId="10" fillId="0" borderId="0"/>
    <xf numFmtId="0" fontId="43" fillId="0" borderId="0"/>
    <xf numFmtId="0" fontId="56" fillId="0" borderId="0"/>
    <xf numFmtId="0" fontId="43" fillId="0" borderId="0"/>
    <xf numFmtId="0" fontId="43" fillId="0" borderId="0"/>
    <xf numFmtId="0" fontId="42" fillId="9" borderId="21"/>
    <xf numFmtId="9" fontId="99" fillId="0" borderId="0" applyFont="0" applyFill="0" applyBorder="0" applyAlignment="0" applyProtection="0"/>
    <xf numFmtId="0" fontId="10" fillId="26" borderId="48" applyNumberFormat="0" applyProtection="0">
      <alignment horizontal="left" vertical="top" indent="1"/>
    </xf>
    <xf numFmtId="0" fontId="21" fillId="25" borderId="35" applyNumberFormat="0" applyProtection="0">
      <alignment horizontal="left" vertical="center" indent="1"/>
    </xf>
    <xf numFmtId="0" fontId="62" fillId="8" borderId="35" applyNumberFormat="0" applyProtection="0">
      <alignment vertical="center"/>
    </xf>
    <xf numFmtId="0" fontId="43" fillId="0" borderId="0"/>
    <xf numFmtId="0" fontId="11" fillId="27" borderId="35" applyNumberFormat="0" applyProtection="0">
      <alignment horizontal="right" vertical="center"/>
    </xf>
    <xf numFmtId="9" fontId="25" fillId="0" borderId="0" applyFont="0" applyFill="0" applyBorder="0" applyAlignment="0" applyProtection="0"/>
    <xf numFmtId="9" fontId="43" fillId="0" borderId="0" applyFont="0" applyFill="0" applyBorder="0" applyProtection="0"/>
    <xf numFmtId="9" fontId="43" fillId="0" borderId="0" applyFont="0" applyFill="0" applyBorder="0" applyProtection="0"/>
    <xf numFmtId="0" fontId="21" fillId="35" borderId="29" applyNumberFormat="0" applyProtection="0">
      <alignment horizontal="left" vertical="center" indent="1"/>
    </xf>
    <xf numFmtId="0" fontId="43" fillId="0" borderId="0"/>
    <xf numFmtId="0" fontId="21" fillId="35" borderId="31" applyNumberFormat="0" applyProtection="0">
      <alignment horizontal="left" vertical="center" indent="1"/>
    </xf>
    <xf numFmtId="43" fontId="99" fillId="0" borderId="0" applyFont="0" applyFill="0" applyBorder="0" applyAlignment="0" applyProtection="0"/>
    <xf numFmtId="43" fontId="43" fillId="0" borderId="0" applyFont="0" applyFill="0" applyBorder="0" applyAlignment="0" applyProtection="0"/>
    <xf numFmtId="43" fontId="42" fillId="0" borderId="10"/>
    <xf numFmtId="43" fontId="42" fillId="0" borderId="10"/>
    <xf numFmtId="43" fontId="42" fillId="0" borderId="10"/>
    <xf numFmtId="43" fontId="42" fillId="0" borderId="10"/>
    <xf numFmtId="0" fontId="25" fillId="0" borderId="0"/>
    <xf numFmtId="43" fontId="25" fillId="0" borderId="0" applyFont="0" applyFill="0" applyBorder="0" applyAlignment="0" applyProtection="0"/>
    <xf numFmtId="0" fontId="43" fillId="0" borderId="0"/>
    <xf numFmtId="0" fontId="25" fillId="0" borderId="0"/>
    <xf numFmtId="0" fontId="43" fillId="0" borderId="0"/>
    <xf numFmtId="0" fontId="43" fillId="0" borderId="0"/>
    <xf numFmtId="0" fontId="25" fillId="0" borderId="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43" fillId="0" borderId="0" applyFont="0" applyFill="0" applyBorder="0" applyAlignment="0" applyProtection="0"/>
    <xf numFmtId="43" fontId="25"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0" fontId="10" fillId="0" borderId="21" applyNumberFormat="0"/>
    <xf numFmtId="0" fontId="1" fillId="0" borderId="0"/>
    <xf numFmtId="0" fontId="93" fillId="0" borderId="0">
      <alignment vertical="center"/>
    </xf>
    <xf numFmtId="0" fontId="99" fillId="0" borderId="0"/>
    <xf numFmtId="0" fontId="93" fillId="0" borderId="0"/>
    <xf numFmtId="0" fontId="24" fillId="0" borderId="0">
      <alignment vertical="center"/>
    </xf>
    <xf numFmtId="43" fontId="93" fillId="0" borderId="0" applyFont="0" applyFill="0" applyBorder="0" applyAlignment="0" applyProtection="0"/>
    <xf numFmtId="41" fontId="10" fillId="0" borderId="0" applyFont="0" applyFill="0" applyBorder="0" applyAlignment="0" applyProtection="0"/>
    <xf numFmtId="43" fontId="10" fillId="0" borderId="0" applyFont="0" applyFill="0" applyBorder="0" applyAlignment="0" applyProtection="0"/>
    <xf numFmtId="0" fontId="93" fillId="0" borderId="0" applyAlignment="0"/>
    <xf numFmtId="183" fontId="27" fillId="0" borderId="0">
      <protection locked="0"/>
    </xf>
    <xf numFmtId="43" fontId="93" fillId="0" borderId="0" applyFont="0" applyFill="0" applyBorder="0" applyAlignment="0" applyProtection="0"/>
    <xf numFmtId="0" fontId="25" fillId="0" borderId="0"/>
    <xf numFmtId="0" fontId="21" fillId="35" borderId="29" applyNumberFormat="0" applyProtection="0">
      <alignment horizontal="left" vertical="center" indent="1"/>
    </xf>
    <xf numFmtId="0" fontId="47" fillId="0" borderId="30" applyNumberFormat="0" applyProtection="0"/>
    <xf numFmtId="0" fontId="21" fillId="35" borderId="29" applyNumberFormat="0" applyProtection="0">
      <alignment horizontal="left" vertical="center" indent="1"/>
    </xf>
    <xf numFmtId="0" fontId="8" fillId="0" borderId="0"/>
    <xf numFmtId="0" fontId="93" fillId="0" borderId="0"/>
    <xf numFmtId="0" fontId="93" fillId="0" borderId="0"/>
    <xf numFmtId="0" fontId="24" fillId="0" borderId="0">
      <alignment vertical="center"/>
    </xf>
    <xf numFmtId="0" fontId="93" fillId="0" borderId="0"/>
    <xf numFmtId="0" fontId="93" fillId="0" borderId="0"/>
    <xf numFmtId="41" fontId="93" fillId="0" borderId="0" applyFont="0" applyFill="0" applyBorder="0" applyAlignment="0" applyProtection="0"/>
    <xf numFmtId="9" fontId="93" fillId="0" borderId="0" applyFont="0" applyFill="0" applyBorder="0" applyAlignment="0" applyProtection="0"/>
    <xf numFmtId="41" fontId="93" fillId="0" borderId="0" applyFont="0" applyFill="0" applyBorder="0" applyAlignment="0" applyProtection="0"/>
    <xf numFmtId="0" fontId="93" fillId="0" borderId="0">
      <alignment vertical="center"/>
    </xf>
    <xf numFmtId="0" fontId="93" fillId="0" borderId="0"/>
    <xf numFmtId="0" fontId="93" fillId="0" borderId="0">
      <alignment vertical="center"/>
      <protection locked="0"/>
    </xf>
    <xf numFmtId="43" fontId="93" fillId="0" borderId="0" applyFont="0" applyFill="0" applyBorder="0" applyAlignment="0" applyProtection="0"/>
    <xf numFmtId="0" fontId="93" fillId="0" borderId="0" applyFont="0" applyFill="0" applyBorder="0" applyProtection="0"/>
    <xf numFmtId="186" fontId="25" fillId="0" borderId="0" applyFont="0" applyFill="0" applyBorder="0" applyAlignment="0" applyProtection="0"/>
    <xf numFmtId="0" fontId="62" fillId="8" borderId="35" applyNumberFormat="0" applyProtection="0">
      <alignment vertical="center"/>
    </xf>
    <xf numFmtId="0" fontId="60" fillId="25" borderId="48" applyNumberFormat="0" applyProtection="0">
      <alignment vertical="center"/>
    </xf>
    <xf numFmtId="43" fontId="10" fillId="0" borderId="0" applyFont="0" applyFill="0" applyBorder="0" applyAlignment="0" applyProtection="0"/>
    <xf numFmtId="4" fontId="93" fillId="0" borderId="21">
      <alignment horizontal="right"/>
    </xf>
    <xf numFmtId="4" fontId="93" fillId="0" borderId="21">
      <alignment horizontal="right"/>
    </xf>
    <xf numFmtId="4" fontId="7" fillId="0" borderId="21">
      <alignment horizontal="right" vertical="center"/>
    </xf>
    <xf numFmtId="4" fontId="7" fillId="0" borderId="21">
      <alignment horizontal="right" vertical="center"/>
    </xf>
    <xf numFmtId="4" fontId="93" fillId="0" borderId="21">
      <alignment horizontal="right"/>
    </xf>
    <xf numFmtId="4" fontId="93" fillId="0" borderId="21">
      <alignment horizontal="right"/>
    </xf>
    <xf numFmtId="10" fontId="93" fillId="0" borderId="21" applyAlignment="0"/>
    <xf numFmtId="0" fontId="7" fillId="0" borderId="21">
      <alignment horizontal="right" vertical="center"/>
    </xf>
    <xf numFmtId="0" fontId="7" fillId="0" borderId="21">
      <alignment horizontal="right" vertical="center"/>
    </xf>
    <xf numFmtId="10" fontId="93" fillId="0" borderId="21" applyAlignment="0"/>
    <xf numFmtId="0" fontId="35" fillId="19" borderId="3" applyNumberFormat="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37" fillId="0" borderId="0" applyFont="0" applyFill="0" applyBorder="0" applyAlignment="0" applyProtection="0"/>
    <xf numFmtId="41"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189" fontId="10"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1" fontId="93" fillId="0" borderId="0" applyFont="0" applyFill="0" applyBorder="0" applyAlignment="0" applyProtection="0"/>
    <xf numFmtId="43" fontId="10"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3" fontId="93" fillId="0" borderId="0" applyFont="0" applyAlignment="0" applyProtection="0"/>
    <xf numFmtId="43" fontId="93" fillId="0" borderId="0" applyFont="0" applyAlignment="0" applyProtection="0"/>
    <xf numFmtId="43" fontId="93" fillId="0" borderId="0" applyFont="0" applyAlignment="0" applyProtection="0"/>
    <xf numFmtId="43" fontId="93" fillId="0" borderId="0" applyFont="0" applyAlignment="0" applyProtection="0"/>
    <xf numFmtId="41" fontId="93" fillId="0" borderId="0" applyFont="0" applyFill="0" applyBorder="0" applyAlignment="0" applyProtection="0"/>
    <xf numFmtId="43" fontId="93" fillId="0" borderId="0" applyFont="0" applyAlignment="0" applyProtection="0"/>
    <xf numFmtId="43" fontId="93" fillId="0" borderId="0" applyFont="0" applyAlignment="0" applyProtection="0"/>
    <xf numFmtId="43" fontId="93" fillId="0" borderId="0" applyFont="0" applyAlignment="0" applyProtection="0"/>
    <xf numFmtId="43" fontId="93" fillId="0" borderId="0" applyFont="0" applyAlignment="0" applyProtection="0"/>
    <xf numFmtId="41" fontId="93" fillId="0" borderId="0" applyFont="0" applyFill="0" applyBorder="0" applyAlignment="0" applyProtection="0"/>
    <xf numFmtId="41" fontId="93" fillId="0" borderId="0" applyFont="0" applyFill="0" applyBorder="0" applyAlignment="0" applyProtection="0"/>
    <xf numFmtId="43" fontId="10" fillId="0" borderId="0" applyFont="0" applyFill="0" applyBorder="0" applyAlignment="0" applyProtection="0"/>
    <xf numFmtId="43" fontId="93" fillId="0" borderId="0" applyFont="0" applyAlignment="0" applyProtection="0"/>
    <xf numFmtId="43" fontId="93" fillId="0" borderId="0" applyFont="0" applyAlignment="0" applyProtection="0"/>
    <xf numFmtId="43" fontId="93" fillId="0" borderId="0" applyFont="0" applyAlignment="0" applyProtection="0"/>
    <xf numFmtId="43" fontId="93" fillId="0" borderId="0" applyFont="0" applyAlignment="0" applyProtection="0"/>
    <xf numFmtId="43" fontId="93" fillId="0" borderId="0" applyFont="0" applyAlignment="0" applyProtection="0"/>
    <xf numFmtId="43" fontId="93" fillId="0" borderId="0" applyFont="0" applyAlignment="0" applyProtection="0"/>
    <xf numFmtId="43" fontId="93" fillId="0" borderId="0" applyFont="0" applyAlignment="0" applyProtection="0"/>
    <xf numFmtId="43" fontId="93" fillId="0" borderId="0" applyFont="0" applyAlignment="0" applyProtection="0"/>
    <xf numFmtId="43" fontId="93" fillId="0" borderId="0" applyFont="0" applyAlignment="0" applyProtection="0"/>
    <xf numFmtId="43" fontId="93" fillId="0" borderId="0" applyFont="0" applyAlignment="0" applyProtection="0"/>
    <xf numFmtId="43" fontId="93" fillId="0" borderId="0" applyFont="0" applyAlignment="0" applyProtection="0"/>
    <xf numFmtId="43" fontId="93" fillId="0" borderId="0" applyFont="0" applyAlignment="0" applyProtection="0"/>
    <xf numFmtId="43" fontId="93" fillId="0" borderId="0" applyFont="0" applyAlignment="0" applyProtection="0"/>
    <xf numFmtId="43" fontId="93" fillId="0" borderId="0" applyFont="0" applyAlignment="0" applyProtection="0"/>
    <xf numFmtId="41" fontId="93" fillId="0" borderId="0" applyFont="0" applyFill="0" applyBorder="0" applyAlignment="0" applyProtection="0"/>
    <xf numFmtId="43" fontId="10" fillId="0" borderId="0" applyFont="0" applyFill="0" applyBorder="0" applyAlignment="0" applyProtection="0"/>
    <xf numFmtId="43" fontId="93" fillId="0" borderId="0" applyFont="0" applyAlignment="0" applyProtection="0"/>
    <xf numFmtId="43" fontId="93" fillId="0" borderId="0" applyFont="0" applyAlignment="0" applyProtection="0"/>
    <xf numFmtId="43" fontId="93" fillId="0" borderId="0" applyFont="0" applyAlignment="0" applyProtection="0"/>
    <xf numFmtId="43" fontId="93" fillId="0" borderId="0" applyFont="0" applyAlignment="0" applyProtection="0"/>
    <xf numFmtId="41" fontId="93" fillId="0" borderId="0" applyFont="0" applyFill="0" applyBorder="0" applyAlignment="0" applyProtection="0"/>
    <xf numFmtId="43" fontId="10" fillId="0" borderId="0" applyFont="0" applyFill="0" applyBorder="0" applyAlignment="0" applyProtection="0"/>
    <xf numFmtId="43" fontId="93" fillId="0" borderId="0" applyFont="0" applyAlignment="0" applyProtection="0"/>
    <xf numFmtId="43" fontId="93" fillId="0" borderId="0" applyFont="0" applyAlignment="0" applyProtection="0"/>
    <xf numFmtId="43" fontId="10" fillId="0" borderId="0" applyFont="0" applyFill="0" applyBorder="0" applyAlignment="0" applyProtection="0"/>
    <xf numFmtId="41" fontId="93" fillId="0" borderId="0" applyFont="0" applyFill="0" applyBorder="0" applyAlignment="0" applyProtection="0"/>
    <xf numFmtId="43" fontId="10"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Alignment="0"/>
    <xf numFmtId="43" fontId="93" fillId="0" borderId="0" applyAlignment="0"/>
    <xf numFmtId="43" fontId="93" fillId="0" borderId="0" applyFont="0" applyFill="0" applyBorder="0" applyAlignment="0" applyProtection="0"/>
    <xf numFmtId="43" fontId="93" fillId="0" borderId="0" applyFont="0" applyFill="0" applyBorder="0" applyAlignment="0" applyProtection="0"/>
    <xf numFmtId="43" fontId="93" fillId="0" borderId="0" applyAlignment="0"/>
    <xf numFmtId="43" fontId="93" fillId="0" borderId="0" applyFont="0" applyFill="0" applyBorder="0" applyAlignment="0" applyProtection="0"/>
    <xf numFmtId="43" fontId="93" fillId="0" borderId="0" applyAlignment="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Alignment="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Alignment="0"/>
    <xf numFmtId="43" fontId="93" fillId="0" borderId="0" applyFont="0" applyFill="0" applyBorder="0" applyAlignment="0" applyProtection="0"/>
    <xf numFmtId="43"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Alignment="0"/>
    <xf numFmtId="43" fontId="93" fillId="0" borderId="0" applyFont="0" applyFill="0" applyBorder="0" applyAlignment="0" applyProtection="0"/>
    <xf numFmtId="43" fontId="93" fillId="0" borderId="0" applyAlignment="0"/>
    <xf numFmtId="41" fontId="93" fillId="0" borderId="0" applyFont="0" applyFill="0" applyBorder="0" applyAlignment="0" applyProtection="0"/>
    <xf numFmtId="43"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3" fontId="93" fillId="0" borderId="0" applyAlignment="0"/>
    <xf numFmtId="43" fontId="93" fillId="0" borderId="0" applyAlignment="0"/>
    <xf numFmtId="41" fontId="93" fillId="0" borderId="0" applyFont="0" applyFill="0" applyBorder="0" applyAlignment="0" applyProtection="0"/>
    <xf numFmtId="43" fontId="93" fillId="0" borderId="0" applyAlignment="0"/>
    <xf numFmtId="43" fontId="93" fillId="0" borderId="0" applyAlignment="0"/>
    <xf numFmtId="43" fontId="10" fillId="0" borderId="0" applyFont="0" applyFill="0" applyBorder="0" applyAlignment="0" applyProtection="0"/>
    <xf numFmtId="41" fontId="93" fillId="0" borderId="0" applyFont="0" applyFill="0" applyBorder="0" applyAlignment="0" applyProtection="0"/>
    <xf numFmtId="41" fontId="37" fillId="0" borderId="0" applyFont="0" applyFill="0" applyBorder="0" applyAlignment="0" applyProtection="0"/>
    <xf numFmtId="43" fontId="93" fillId="0" borderId="0" applyAlignment="0"/>
    <xf numFmtId="43" fontId="93" fillId="0" borderId="0" applyAlignment="0"/>
    <xf numFmtId="43" fontId="93" fillId="0" borderId="0" applyFont="0" applyFill="0" applyBorder="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3" fontId="93" fillId="0" borderId="0" applyFont="0" applyFill="0" applyBorder="0" applyProtection="0"/>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3" fontId="93" fillId="0" borderId="0" applyFont="0" applyFill="0" applyBorder="0" applyProtection="0"/>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3" fontId="93"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3" fontId="93"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3" fontId="93" fillId="0" borderId="0" applyFont="0" applyFill="0" applyBorder="0" applyAlignment="0" applyProtection="0"/>
    <xf numFmtId="41" fontId="10"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Protection="0"/>
    <xf numFmtId="43"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0" fontId="93" fillId="0" borderId="21" applyAlignment="0"/>
    <xf numFmtId="0" fontId="93" fillId="0" borderId="21" applyAlignment="0"/>
    <xf numFmtId="0" fontId="93" fillId="0" borderId="21" applyAlignment="0"/>
    <xf numFmtId="0" fontId="93" fillId="0" borderId="21" applyAlignment="0"/>
    <xf numFmtId="0" fontId="93" fillId="0" borderId="21" applyAlignment="0"/>
    <xf numFmtId="0" fontId="93" fillId="0" borderId="21" applyAlignment="0"/>
    <xf numFmtId="0" fontId="93" fillId="0" borderId="21" applyAlignment="0"/>
    <xf numFmtId="0" fontId="93" fillId="0" borderId="21" applyAlignment="0"/>
    <xf numFmtId="0" fontId="42" fillId="20" borderId="21"/>
    <xf numFmtId="0" fontId="42" fillId="20" borderId="21"/>
    <xf numFmtId="0" fontId="7" fillId="0" borderId="21" applyAlignment="0"/>
    <xf numFmtId="0" fontId="7" fillId="0" borderId="21" applyAlignment="0"/>
    <xf numFmtId="0" fontId="45" fillId="22" borderId="0" applyNumberFormat="0" applyBorder="0" applyAlignment="0" applyProtection="0"/>
    <xf numFmtId="0" fontId="10" fillId="6" borderId="43" applyNumberFormat="0" applyProtection="0">
      <alignment horizontal="left" vertical="top" indent="1"/>
    </xf>
    <xf numFmtId="0" fontId="47" fillId="0" borderId="30" applyNumberFormat="0" applyProtection="0"/>
    <xf numFmtId="0" fontId="47" fillId="0" borderId="18">
      <alignment horizontal="left" vertical="center"/>
    </xf>
    <xf numFmtId="0" fontId="48" fillId="23" borderId="21">
      <alignment horizontal="center" vertical="center"/>
    </xf>
    <xf numFmtId="0" fontId="48" fillId="23" borderId="21">
      <alignment horizontal="center" vertical="center"/>
    </xf>
    <xf numFmtId="0" fontId="50" fillId="0" borderId="0" applyNumberFormat="0" applyFill="0" applyBorder="0" applyAlignment="0" applyProtection="0"/>
    <xf numFmtId="0" fontId="10" fillId="4" borderId="43" applyNumberFormat="0" applyProtection="0">
      <alignment horizontal="left" vertical="top" indent="1"/>
    </xf>
    <xf numFmtId="0" fontId="49" fillId="0" borderId="0" applyNumberFormat="0" applyFill="0" applyBorder="0" applyAlignment="0" applyProtection="0"/>
    <xf numFmtId="0" fontId="50" fillId="0" borderId="0" applyNumberFormat="0" applyFill="0" applyBorder="0" applyAlignment="0" applyProtection="0"/>
    <xf numFmtId="0" fontId="51" fillId="0" borderId="0" applyNumberFormat="0" applyFill="0" applyBorder="0" applyProtection="0"/>
    <xf numFmtId="0" fontId="42" fillId="8" borderId="21" applyNumberFormat="0" applyBorder="0" applyAlignment="0" applyProtection="0"/>
    <xf numFmtId="0" fontId="42" fillId="8" borderId="21" applyNumberFormat="0" applyBorder="0" applyAlignment="0" applyProtection="0"/>
    <xf numFmtId="0" fontId="93" fillId="0" borderId="0"/>
    <xf numFmtId="0" fontId="11" fillId="33" borderId="48" applyNumberFormat="0" applyProtection="0">
      <alignment horizontal="right" vertical="center"/>
    </xf>
    <xf numFmtId="0" fontId="93" fillId="0" borderId="0" applyAlignment="0"/>
    <xf numFmtId="0" fontId="21" fillId="35" borderId="49" applyNumberFormat="0" applyProtection="0">
      <alignment horizontal="left" vertical="center" indent="1"/>
    </xf>
    <xf numFmtId="0" fontId="93" fillId="0" borderId="0"/>
    <xf numFmtId="0" fontId="93" fillId="0" borderId="0"/>
    <xf numFmtId="0" fontId="93" fillId="0" borderId="0"/>
    <xf numFmtId="0" fontId="93" fillId="0" borderId="0"/>
    <xf numFmtId="0" fontId="10" fillId="4" borderId="35" applyNumberFormat="0" applyProtection="0">
      <alignment horizontal="left" vertical="center" indent="1"/>
    </xf>
    <xf numFmtId="0" fontId="93" fillId="0" borderId="0"/>
    <xf numFmtId="0" fontId="10" fillId="6" borderId="55" applyNumberFormat="0" applyProtection="0">
      <alignment horizontal="left" vertical="center" indent="1"/>
    </xf>
    <xf numFmtId="0" fontId="93" fillId="0" borderId="0"/>
    <xf numFmtId="0" fontId="93" fillId="0" borderId="0"/>
    <xf numFmtId="0" fontId="93" fillId="0" borderId="0"/>
    <xf numFmtId="0" fontId="93" fillId="0" borderId="0"/>
    <xf numFmtId="0" fontId="21" fillId="25" borderId="48" applyNumberFormat="0" applyProtection="0">
      <alignment horizontal="left" vertical="center" indent="1"/>
    </xf>
    <xf numFmtId="0" fontId="93" fillId="0" borderId="0"/>
    <xf numFmtId="0" fontId="93" fillId="0" borderId="0"/>
    <xf numFmtId="0" fontId="93" fillId="0" borderId="0" applyAlignment="0"/>
    <xf numFmtId="0" fontId="93" fillId="0" borderId="0"/>
    <xf numFmtId="0" fontId="93" fillId="0" borderId="0"/>
    <xf numFmtId="0" fontId="10" fillId="4" borderId="55" applyNumberFormat="0" applyProtection="0">
      <alignment horizontal="left" vertical="top" indent="1"/>
    </xf>
    <xf numFmtId="0" fontId="93" fillId="0" borderId="0"/>
    <xf numFmtId="0" fontId="54" fillId="0" borderId="0"/>
    <xf numFmtId="0" fontId="93" fillId="0" borderId="0"/>
    <xf numFmtId="0" fontId="93" fillId="0" borderId="0"/>
    <xf numFmtId="194" fontId="55" fillId="0" borderId="0" applyAlignment="0">
      <protection locked="0"/>
    </xf>
    <xf numFmtId="0" fontId="11" fillId="8" borderId="55" applyNumberFormat="0" applyProtection="0">
      <alignment horizontal="left" vertical="top" indent="1"/>
    </xf>
    <xf numFmtId="0" fontId="56" fillId="0" borderId="0"/>
    <xf numFmtId="0" fontId="93" fillId="0" borderId="0" applyAlignment="0"/>
    <xf numFmtId="0" fontId="43" fillId="0" borderId="0"/>
    <xf numFmtId="0" fontId="93" fillId="0" borderId="0"/>
    <xf numFmtId="0" fontId="8" fillId="0" borderId="0"/>
    <xf numFmtId="0" fontId="93" fillId="0" borderId="0" applyAlignment="0"/>
    <xf numFmtId="0" fontId="93" fillId="0" borderId="0" applyAlignment="0"/>
    <xf numFmtId="0" fontId="93" fillId="0" borderId="0"/>
    <xf numFmtId="0" fontId="93" fillId="0" borderId="0" applyAlignment="0"/>
    <xf numFmtId="0" fontId="93" fillId="0" borderId="0" applyAlignment="0"/>
    <xf numFmtId="0" fontId="8" fillId="0" borderId="0" applyAlignment="0"/>
    <xf numFmtId="0" fontId="93" fillId="0" borderId="0">
      <alignment vertical="center"/>
    </xf>
    <xf numFmtId="0" fontId="93" fillId="0" borderId="0" applyAlignment="0"/>
    <xf numFmtId="0" fontId="57" fillId="0" borderId="0" applyAlignment="0"/>
    <xf numFmtId="0" fontId="93" fillId="0" borderId="0"/>
    <xf numFmtId="0" fontId="93" fillId="0" borderId="0"/>
    <xf numFmtId="0" fontId="93" fillId="0" borderId="0"/>
    <xf numFmtId="0" fontId="93" fillId="0" borderId="0"/>
    <xf numFmtId="0" fontId="93" fillId="0" borderId="0"/>
    <xf numFmtId="0" fontId="37" fillId="0" borderId="0" applyAlignment="0">
      <protection locked="0"/>
    </xf>
    <xf numFmtId="0" fontId="25" fillId="0" borderId="0"/>
    <xf numFmtId="0" fontId="20" fillId="36" borderId="35" applyNumberFormat="0" applyProtection="0">
      <alignment horizontal="right" vertical="center"/>
    </xf>
    <xf numFmtId="9" fontId="93" fillId="0" borderId="0" applyAlignment="0"/>
    <xf numFmtId="0" fontId="37" fillId="0" borderId="0" applyAlignment="0">
      <protection locked="0"/>
    </xf>
    <xf numFmtId="0" fontId="93" fillId="0" borderId="0"/>
    <xf numFmtId="0" fontId="93" fillId="0" borderId="52" applyAlignment="0"/>
    <xf numFmtId="0" fontId="93" fillId="0" borderId="0"/>
    <xf numFmtId="0" fontId="93" fillId="0" borderId="0"/>
    <xf numFmtId="0" fontId="93" fillId="0" borderId="0"/>
    <xf numFmtId="0" fontId="21" fillId="25" borderId="53" applyNumberFormat="0" applyProtection="0">
      <alignment horizontal="left" vertical="center" indent="1"/>
    </xf>
    <xf numFmtId="0" fontId="42" fillId="20" borderId="45"/>
    <xf numFmtId="0" fontId="93" fillId="0" borderId="0"/>
    <xf numFmtId="43" fontId="23" fillId="0" borderId="0" applyAlignment="0"/>
    <xf numFmtId="43" fontId="23" fillId="0" borderId="0" applyAlignment="0"/>
    <xf numFmtId="0" fontId="93" fillId="0" borderId="0"/>
    <xf numFmtId="0" fontId="93" fillId="0" borderId="0"/>
    <xf numFmtId="0" fontId="93" fillId="0" borderId="0">
      <alignment vertical="center"/>
    </xf>
    <xf numFmtId="185" fontId="93" fillId="0" borderId="0" applyFont="0" applyFill="0" applyBorder="0" applyAlignment="0" applyProtection="0"/>
    <xf numFmtId="0" fontId="10" fillId="4" borderId="35" applyNumberFormat="0" applyProtection="0">
      <alignment horizontal="left" vertical="top" indent="1"/>
    </xf>
    <xf numFmtId="9" fontId="10" fillId="0" borderId="0" applyFont="0" applyFill="0" applyBorder="0" applyAlignment="0" applyProtection="0"/>
    <xf numFmtId="9" fontId="93" fillId="0" borderId="0" applyFont="0" applyFill="0" applyBorder="0" applyProtection="0"/>
    <xf numFmtId="9" fontId="93" fillId="0" borderId="0" applyFont="0" applyFill="0" applyBorder="0" applyAlignment="0" applyProtection="0"/>
    <xf numFmtId="9" fontId="93" fillId="0" borderId="0" applyFont="0" applyFill="0" applyBorder="0" applyAlignment="0" applyProtection="0"/>
    <xf numFmtId="9" fontId="93" fillId="0" borderId="0" applyFont="0" applyFill="0" applyBorder="0" applyProtection="0"/>
    <xf numFmtId="0" fontId="10" fillId="36" borderId="55" applyNumberFormat="0" applyProtection="0">
      <alignment horizontal="left" vertical="top" indent="1"/>
    </xf>
    <xf numFmtId="9" fontId="93" fillId="0" borderId="0" applyFont="0" applyFill="0" applyBorder="0" applyProtection="0"/>
    <xf numFmtId="0" fontId="11" fillId="29" borderId="35" applyNumberFormat="0" applyProtection="0">
      <alignment horizontal="right" vertical="center"/>
    </xf>
    <xf numFmtId="0" fontId="42" fillId="9" borderId="21"/>
    <xf numFmtId="0" fontId="42" fillId="9" borderId="21"/>
    <xf numFmtId="0" fontId="21" fillId="25" borderId="8" applyNumberFormat="0" applyProtection="0">
      <alignment vertical="center"/>
    </xf>
    <xf numFmtId="0" fontId="21" fillId="25" borderId="8" applyNumberFormat="0" applyProtection="0">
      <alignment vertical="center"/>
    </xf>
    <xf numFmtId="0" fontId="21" fillId="25" borderId="8" applyNumberFormat="0" applyProtection="0">
      <alignment vertical="center"/>
    </xf>
    <xf numFmtId="0" fontId="21" fillId="25" borderId="8" applyNumberFormat="0" applyProtection="0">
      <alignment vertical="center"/>
    </xf>
    <xf numFmtId="0" fontId="60" fillId="25" borderId="8" applyNumberFormat="0" applyProtection="0">
      <alignment vertical="center"/>
    </xf>
    <xf numFmtId="0" fontId="60" fillId="25" borderId="8" applyNumberFormat="0" applyProtection="0">
      <alignment vertical="center"/>
    </xf>
    <xf numFmtId="0" fontId="60" fillId="25" borderId="8" applyNumberFormat="0" applyProtection="0">
      <alignment vertical="center"/>
    </xf>
    <xf numFmtId="0" fontId="60" fillId="25" borderId="8" applyNumberFormat="0" applyProtection="0">
      <alignment vertical="center"/>
    </xf>
    <xf numFmtId="0" fontId="21" fillId="25" borderId="8" applyNumberFormat="0" applyProtection="0">
      <alignment horizontal="left" vertical="center" indent="1"/>
    </xf>
    <xf numFmtId="0" fontId="21" fillId="25" borderId="8" applyNumberFormat="0" applyProtection="0">
      <alignment horizontal="left" vertical="center" indent="1"/>
    </xf>
    <xf numFmtId="0" fontId="21" fillId="25" borderId="8" applyNumberFormat="0" applyProtection="0">
      <alignment horizontal="left" vertical="center" indent="1"/>
    </xf>
    <xf numFmtId="0" fontId="21" fillId="25" borderId="8" applyNumberFormat="0" applyProtection="0">
      <alignment horizontal="left" vertical="center" indent="1"/>
    </xf>
    <xf numFmtId="0" fontId="21" fillId="25" borderId="8" applyNumberFormat="0" applyProtection="0">
      <alignment horizontal="left" vertical="top" indent="1"/>
    </xf>
    <xf numFmtId="0" fontId="21" fillId="25" borderId="8" applyNumberFormat="0" applyProtection="0">
      <alignment horizontal="left" vertical="top" indent="1"/>
    </xf>
    <xf numFmtId="0" fontId="21" fillId="25" borderId="8" applyNumberFormat="0" applyProtection="0">
      <alignment horizontal="left" vertical="top" indent="1"/>
    </xf>
    <xf numFmtId="0" fontId="21" fillId="25" borderId="8" applyNumberFormat="0" applyProtection="0">
      <alignment horizontal="left" vertical="top" indent="1"/>
    </xf>
    <xf numFmtId="0" fontId="11" fillId="27" borderId="8" applyNumberFormat="0" applyProtection="0">
      <alignment horizontal="right" vertical="center"/>
    </xf>
    <xf numFmtId="0" fontId="11" fillId="27" borderId="8" applyNumberFormat="0" applyProtection="0">
      <alignment horizontal="right" vertical="center"/>
    </xf>
    <xf numFmtId="0" fontId="11" fillId="27" borderId="8" applyNumberFormat="0" applyProtection="0">
      <alignment horizontal="right" vertical="center"/>
    </xf>
    <xf numFmtId="0" fontId="11" fillId="27" borderId="8" applyNumberFormat="0" applyProtection="0">
      <alignment horizontal="right" vertical="center"/>
    </xf>
    <xf numFmtId="0" fontId="11" fillId="28" borderId="8" applyNumberFormat="0" applyProtection="0">
      <alignment horizontal="right" vertical="center"/>
    </xf>
    <xf numFmtId="0" fontId="11" fillId="28" borderId="8" applyNumberFormat="0" applyProtection="0">
      <alignment horizontal="right" vertical="center"/>
    </xf>
    <xf numFmtId="0" fontId="11" fillId="28" borderId="8" applyNumberFormat="0" applyProtection="0">
      <alignment horizontal="right" vertical="center"/>
    </xf>
    <xf numFmtId="0" fontId="11" fillId="28" borderId="8" applyNumberFormat="0" applyProtection="0">
      <alignment horizontal="right" vertical="center"/>
    </xf>
    <xf numFmtId="0" fontId="11" fillId="29" borderId="8" applyNumberFormat="0" applyProtection="0">
      <alignment horizontal="right" vertical="center"/>
    </xf>
    <xf numFmtId="0" fontId="11" fillId="29" borderId="8" applyNumberFormat="0" applyProtection="0">
      <alignment horizontal="right" vertical="center"/>
    </xf>
    <xf numFmtId="0" fontId="11" fillId="29" borderId="8" applyNumberFormat="0" applyProtection="0">
      <alignment horizontal="right" vertical="center"/>
    </xf>
    <xf numFmtId="0" fontId="11" fillId="29" borderId="8" applyNumberFormat="0" applyProtection="0">
      <alignment horizontal="right" vertical="center"/>
    </xf>
    <xf numFmtId="0" fontId="11" fillId="30" borderId="8" applyNumberFormat="0" applyProtection="0">
      <alignment horizontal="right" vertical="center"/>
    </xf>
    <xf numFmtId="0" fontId="11" fillId="30" borderId="8" applyNumberFormat="0" applyProtection="0">
      <alignment horizontal="right" vertical="center"/>
    </xf>
    <xf numFmtId="0" fontId="11" fillId="30" borderId="8" applyNumberFormat="0" applyProtection="0">
      <alignment horizontal="right" vertical="center"/>
    </xf>
    <xf numFmtId="0" fontId="11" fillId="30" borderId="8" applyNumberFormat="0" applyProtection="0">
      <alignment horizontal="right" vertical="center"/>
    </xf>
    <xf numFmtId="0" fontId="11" fillId="15" borderId="8" applyNumberFormat="0" applyProtection="0">
      <alignment horizontal="right" vertical="center"/>
    </xf>
    <xf numFmtId="0" fontId="11" fillId="15" borderId="8" applyNumberFormat="0" applyProtection="0">
      <alignment horizontal="right" vertical="center"/>
    </xf>
    <xf numFmtId="0" fontId="11" fillId="15" borderId="8" applyNumberFormat="0" applyProtection="0">
      <alignment horizontal="right" vertical="center"/>
    </xf>
    <xf numFmtId="0" fontId="11" fillId="15" borderId="8" applyNumberFormat="0" applyProtection="0">
      <alignment horizontal="right" vertical="center"/>
    </xf>
    <xf numFmtId="0" fontId="11" fillId="31" borderId="8" applyNumberFormat="0" applyProtection="0">
      <alignment horizontal="right" vertical="center"/>
    </xf>
    <xf numFmtId="0" fontId="11" fillId="31" borderId="8" applyNumberFormat="0" applyProtection="0">
      <alignment horizontal="right" vertical="center"/>
    </xf>
    <xf numFmtId="0" fontId="11" fillId="31" borderId="8" applyNumberFormat="0" applyProtection="0">
      <alignment horizontal="right" vertical="center"/>
    </xf>
    <xf numFmtId="0" fontId="11" fillId="31" borderId="8" applyNumberFormat="0" applyProtection="0">
      <alignment horizontal="right" vertical="center"/>
    </xf>
    <xf numFmtId="0" fontId="11" fillId="32" borderId="8" applyNumberFormat="0" applyProtection="0">
      <alignment horizontal="right" vertical="center"/>
    </xf>
    <xf numFmtId="0" fontId="11" fillId="32" borderId="8" applyNumberFormat="0" applyProtection="0">
      <alignment horizontal="right" vertical="center"/>
    </xf>
    <xf numFmtId="0" fontId="11" fillId="32" borderId="8" applyNumberFormat="0" applyProtection="0">
      <alignment horizontal="right" vertical="center"/>
    </xf>
    <xf numFmtId="0" fontId="11" fillId="32" borderId="8" applyNumberFormat="0" applyProtection="0">
      <alignment horizontal="right" vertical="center"/>
    </xf>
    <xf numFmtId="0" fontId="11" fillId="33" borderId="8" applyNumberFormat="0" applyProtection="0">
      <alignment horizontal="right" vertical="center"/>
    </xf>
    <xf numFmtId="0" fontId="11" fillId="33" borderId="8" applyNumberFormat="0" applyProtection="0">
      <alignment horizontal="right" vertical="center"/>
    </xf>
    <xf numFmtId="0" fontId="11" fillId="33" borderId="8" applyNumberFormat="0" applyProtection="0">
      <alignment horizontal="right" vertical="center"/>
    </xf>
    <xf numFmtId="0" fontId="11" fillId="33" borderId="8" applyNumberFormat="0" applyProtection="0">
      <alignment horizontal="right" vertical="center"/>
    </xf>
    <xf numFmtId="0" fontId="11" fillId="34" borderId="8" applyNumberFormat="0" applyProtection="0">
      <alignment horizontal="right" vertical="center"/>
    </xf>
    <xf numFmtId="0" fontId="11" fillId="34" borderId="8" applyNumberFormat="0" applyProtection="0">
      <alignment horizontal="right" vertical="center"/>
    </xf>
    <xf numFmtId="0" fontId="11" fillId="34" borderId="8" applyNumberFormat="0" applyProtection="0">
      <alignment horizontal="right" vertical="center"/>
    </xf>
    <xf numFmtId="0" fontId="11" fillId="34" borderId="8" applyNumberFormat="0" applyProtection="0">
      <alignment horizontal="right" vertical="center"/>
    </xf>
    <xf numFmtId="0" fontId="21" fillId="35" borderId="29" applyNumberFormat="0" applyProtection="0">
      <alignment horizontal="left" vertical="center" indent="1"/>
    </xf>
    <xf numFmtId="0" fontId="11" fillId="26" borderId="8" applyNumberFormat="0" applyProtection="0">
      <alignment horizontal="right" vertical="center"/>
    </xf>
    <xf numFmtId="0" fontId="11" fillId="26" borderId="8" applyNumberFormat="0" applyProtection="0">
      <alignment horizontal="right" vertical="center"/>
    </xf>
    <xf numFmtId="0" fontId="11" fillId="26" borderId="8" applyNumberFormat="0" applyProtection="0">
      <alignment horizontal="right" vertical="center"/>
    </xf>
    <xf numFmtId="0" fontId="11" fillId="26" borderId="8" applyNumberFormat="0" applyProtection="0">
      <alignment horizontal="right" vertical="center"/>
    </xf>
    <xf numFmtId="0" fontId="10" fillId="4" borderId="8" applyNumberFormat="0" applyProtection="0">
      <alignment horizontal="left" vertical="center" indent="1"/>
    </xf>
    <xf numFmtId="0" fontId="10" fillId="4" borderId="8" applyNumberFormat="0" applyProtection="0">
      <alignment horizontal="left" vertical="center" indent="1"/>
    </xf>
    <xf numFmtId="0" fontId="10" fillId="4" borderId="8" applyNumberFormat="0" applyProtection="0">
      <alignment horizontal="left" vertical="center" indent="1"/>
    </xf>
    <xf numFmtId="0" fontId="10" fillId="4" borderId="8" applyNumberFormat="0" applyProtection="0">
      <alignment horizontal="left" vertical="center" indent="1"/>
    </xf>
    <xf numFmtId="0" fontId="10" fillId="4" borderId="8" applyNumberFormat="0" applyProtection="0">
      <alignment horizontal="left" vertical="top" indent="1"/>
    </xf>
    <xf numFmtId="0" fontId="10" fillId="4" borderId="8" applyNumberFormat="0" applyProtection="0">
      <alignment horizontal="left" vertical="top" indent="1"/>
    </xf>
    <xf numFmtId="0" fontId="10" fillId="4" borderId="8" applyNumberFormat="0" applyProtection="0">
      <alignment horizontal="left" vertical="top" indent="1"/>
    </xf>
    <xf numFmtId="0" fontId="10" fillId="4" borderId="8" applyNumberFormat="0" applyProtection="0">
      <alignment horizontal="left" vertical="top" indent="1"/>
    </xf>
    <xf numFmtId="0" fontId="10" fillId="26" borderId="8" applyNumberFormat="0" applyProtection="0">
      <alignment horizontal="left" vertical="center" indent="1"/>
    </xf>
    <xf numFmtId="0" fontId="10" fillId="26" borderId="8" applyNumberFormat="0" applyProtection="0">
      <alignment horizontal="left" vertical="center" indent="1"/>
    </xf>
    <xf numFmtId="0" fontId="10" fillId="26" borderId="8" applyNumberFormat="0" applyProtection="0">
      <alignment horizontal="left" vertical="center" indent="1"/>
    </xf>
    <xf numFmtId="0" fontId="10" fillId="26" borderId="8" applyNumberFormat="0" applyProtection="0">
      <alignment horizontal="left" vertical="center" indent="1"/>
    </xf>
    <xf numFmtId="0" fontId="10" fillId="26" borderId="8" applyNumberFormat="0" applyProtection="0">
      <alignment horizontal="left" vertical="top" indent="1"/>
    </xf>
    <xf numFmtId="0" fontId="10" fillId="26" borderId="8" applyNumberFormat="0" applyProtection="0">
      <alignment horizontal="left" vertical="top" indent="1"/>
    </xf>
    <xf numFmtId="0" fontId="10" fillId="26" borderId="8" applyNumberFormat="0" applyProtection="0">
      <alignment horizontal="left" vertical="top" indent="1"/>
    </xf>
    <xf numFmtId="0" fontId="10" fillId="26" borderId="8" applyNumberFormat="0" applyProtection="0">
      <alignment horizontal="left" vertical="top" indent="1"/>
    </xf>
    <xf numFmtId="0" fontId="10" fillId="6" borderId="8" applyNumberFormat="0" applyProtection="0">
      <alignment horizontal="left" vertical="center" indent="1"/>
    </xf>
    <xf numFmtId="0" fontId="10" fillId="6" borderId="8" applyNumberFormat="0" applyProtection="0">
      <alignment horizontal="left" vertical="center" indent="1"/>
    </xf>
    <xf numFmtId="0" fontId="10" fillId="6" borderId="8" applyNumberFormat="0" applyProtection="0">
      <alignment horizontal="left" vertical="center" indent="1"/>
    </xf>
    <xf numFmtId="0" fontId="10" fillId="6" borderId="8" applyNumberFormat="0" applyProtection="0">
      <alignment horizontal="left" vertical="center" indent="1"/>
    </xf>
    <xf numFmtId="0" fontId="10" fillId="6" borderId="8" applyNumberFormat="0" applyProtection="0">
      <alignment horizontal="left" vertical="top" indent="1"/>
    </xf>
    <xf numFmtId="0" fontId="10" fillId="6" borderId="8" applyNumberFormat="0" applyProtection="0">
      <alignment horizontal="left" vertical="top" indent="1"/>
    </xf>
    <xf numFmtId="0" fontId="10" fillId="6" borderId="8" applyNumberFormat="0" applyProtection="0">
      <alignment horizontal="left" vertical="top" indent="1"/>
    </xf>
    <xf numFmtId="0" fontId="10" fillId="6" borderId="8" applyNumberFormat="0" applyProtection="0">
      <alignment horizontal="left" vertical="top" indent="1"/>
    </xf>
    <xf numFmtId="0" fontId="10" fillId="36" borderId="8" applyNumberFormat="0" applyProtection="0">
      <alignment horizontal="left" vertical="center" indent="1"/>
    </xf>
    <xf numFmtId="0" fontId="10" fillId="36" borderId="8" applyNumberFormat="0" applyProtection="0">
      <alignment horizontal="left" vertical="center" indent="1"/>
    </xf>
    <xf numFmtId="0" fontId="10" fillId="36" borderId="8" applyNumberFormat="0" applyProtection="0">
      <alignment horizontal="left" vertical="center" indent="1"/>
    </xf>
    <xf numFmtId="0" fontId="10" fillId="36" borderId="8" applyNumberFormat="0" applyProtection="0">
      <alignment horizontal="left" vertical="center" indent="1"/>
    </xf>
    <xf numFmtId="0" fontId="10" fillId="36" borderId="8" applyNumberFormat="0" applyProtection="0">
      <alignment horizontal="left" vertical="top" indent="1"/>
    </xf>
    <xf numFmtId="0" fontId="10" fillId="36" borderId="8" applyNumberFormat="0" applyProtection="0">
      <alignment horizontal="left" vertical="top" indent="1"/>
    </xf>
    <xf numFmtId="0" fontId="10" fillId="36" borderId="8" applyNumberFormat="0" applyProtection="0">
      <alignment horizontal="left" vertical="top" indent="1"/>
    </xf>
    <xf numFmtId="0" fontId="10" fillId="36" borderId="8" applyNumberFormat="0" applyProtection="0">
      <alignment horizontal="left" vertical="top" indent="1"/>
    </xf>
    <xf numFmtId="0" fontId="11" fillId="8" borderId="8" applyNumberFormat="0" applyProtection="0">
      <alignment vertical="center"/>
    </xf>
    <xf numFmtId="0" fontId="11" fillId="8" borderId="8" applyNumberFormat="0" applyProtection="0">
      <alignment vertical="center"/>
    </xf>
    <xf numFmtId="0" fontId="11" fillId="8" borderId="8" applyNumberFormat="0" applyProtection="0">
      <alignment vertical="center"/>
    </xf>
    <xf numFmtId="0" fontId="11" fillId="8" borderId="8" applyNumberFormat="0" applyProtection="0">
      <alignment vertical="center"/>
    </xf>
    <xf numFmtId="0" fontId="62" fillId="8" borderId="8" applyNumberFormat="0" applyProtection="0">
      <alignment vertical="center"/>
    </xf>
    <xf numFmtId="0" fontId="62" fillId="8" borderId="8" applyNumberFormat="0" applyProtection="0">
      <alignment vertical="center"/>
    </xf>
    <xf numFmtId="0" fontId="62" fillId="8" borderId="8" applyNumberFormat="0" applyProtection="0">
      <alignment vertical="center"/>
    </xf>
    <xf numFmtId="0" fontId="62" fillId="8" borderId="8" applyNumberFormat="0" applyProtection="0">
      <alignment vertical="center"/>
    </xf>
    <xf numFmtId="0" fontId="11" fillId="8" borderId="8" applyNumberFormat="0" applyProtection="0">
      <alignment horizontal="left" vertical="center" indent="1"/>
    </xf>
    <xf numFmtId="0" fontId="11" fillId="8" borderId="8" applyNumberFormat="0" applyProtection="0">
      <alignment horizontal="left" vertical="center" indent="1"/>
    </xf>
    <xf numFmtId="0" fontId="11" fillId="8" borderId="8" applyNumberFormat="0" applyProtection="0">
      <alignment horizontal="left" vertical="center" indent="1"/>
    </xf>
    <xf numFmtId="0" fontId="11" fillId="8" borderId="8" applyNumberFormat="0" applyProtection="0">
      <alignment horizontal="left" vertical="center" indent="1"/>
    </xf>
    <xf numFmtId="0" fontId="11" fillId="8" borderId="8" applyNumberFormat="0" applyProtection="0">
      <alignment horizontal="left" vertical="top" indent="1"/>
    </xf>
    <xf numFmtId="0" fontId="11" fillId="8" borderId="8" applyNumberFormat="0" applyProtection="0">
      <alignment horizontal="left" vertical="top" indent="1"/>
    </xf>
    <xf numFmtId="0" fontId="11" fillId="8" borderId="8" applyNumberFormat="0" applyProtection="0">
      <alignment horizontal="left" vertical="top" indent="1"/>
    </xf>
    <xf numFmtId="0" fontId="11" fillId="8" borderId="8" applyNumberFormat="0" applyProtection="0">
      <alignment horizontal="left" vertical="top" indent="1"/>
    </xf>
    <xf numFmtId="0" fontId="11" fillId="36" borderId="8" applyNumberFormat="0" applyProtection="0">
      <alignment horizontal="right" vertical="center"/>
    </xf>
    <xf numFmtId="0" fontId="11" fillId="36" borderId="8" applyNumberFormat="0" applyProtection="0">
      <alignment horizontal="right" vertical="center"/>
    </xf>
    <xf numFmtId="0" fontId="11" fillId="36" borderId="8" applyNumberFormat="0" applyProtection="0">
      <alignment horizontal="right" vertical="center"/>
    </xf>
    <xf numFmtId="0" fontId="11" fillId="36" borderId="8" applyNumberFormat="0" applyProtection="0">
      <alignment horizontal="right" vertical="center"/>
    </xf>
    <xf numFmtId="0" fontId="62" fillId="36" borderId="8" applyNumberFormat="0" applyProtection="0">
      <alignment horizontal="right" vertical="center"/>
    </xf>
    <xf numFmtId="0" fontId="62" fillId="36" borderId="8" applyNumberFormat="0" applyProtection="0">
      <alignment horizontal="right" vertical="center"/>
    </xf>
    <xf numFmtId="0" fontId="62" fillId="36" borderId="8" applyNumberFormat="0" applyProtection="0">
      <alignment horizontal="right" vertical="center"/>
    </xf>
    <xf numFmtId="0" fontId="62" fillId="36" borderId="8" applyNumberFormat="0" applyProtection="0">
      <alignment horizontal="right" vertical="center"/>
    </xf>
    <xf numFmtId="0" fontId="11" fillId="26" borderId="8" applyNumberFormat="0" applyProtection="0">
      <alignment horizontal="left" vertical="center" indent="1"/>
    </xf>
    <xf numFmtId="0" fontId="11" fillId="26" borderId="8" applyNumberFormat="0" applyProtection="0">
      <alignment horizontal="left" vertical="center" indent="1"/>
    </xf>
    <xf numFmtId="0" fontId="11" fillId="26" borderId="8" applyNumberFormat="0" applyProtection="0">
      <alignment horizontal="left" vertical="center" indent="1"/>
    </xf>
    <xf numFmtId="0" fontId="11" fillId="26" borderId="8" applyNumberFormat="0" applyProtection="0">
      <alignment horizontal="left" vertical="center" indent="1"/>
    </xf>
    <xf numFmtId="0" fontId="11" fillId="26" borderId="8" applyNumberFormat="0" applyProtection="0">
      <alignment horizontal="left" vertical="top" indent="1"/>
    </xf>
    <xf numFmtId="0" fontId="11" fillId="26" borderId="8" applyNumberFormat="0" applyProtection="0">
      <alignment horizontal="left" vertical="top" indent="1"/>
    </xf>
    <xf numFmtId="0" fontId="11" fillId="26" borderId="8" applyNumberFormat="0" applyProtection="0">
      <alignment horizontal="left" vertical="top" indent="1"/>
    </xf>
    <xf numFmtId="0" fontId="11" fillId="26" borderId="8" applyNumberFormat="0" applyProtection="0">
      <alignment horizontal="left" vertical="top" indent="1"/>
    </xf>
    <xf numFmtId="0" fontId="20" fillId="36" borderId="8" applyNumberFormat="0" applyProtection="0">
      <alignment horizontal="right" vertical="center"/>
    </xf>
    <xf numFmtId="0" fontId="20" fillId="36" borderId="8" applyNumberFormat="0" applyProtection="0">
      <alignment horizontal="right" vertical="center"/>
    </xf>
    <xf numFmtId="0" fontId="20" fillId="36" borderId="8" applyNumberFormat="0" applyProtection="0">
      <alignment horizontal="right" vertical="center"/>
    </xf>
    <xf numFmtId="0" fontId="20" fillId="36" borderId="8" applyNumberFormat="0" applyProtection="0">
      <alignment horizontal="right" vertical="center"/>
    </xf>
    <xf numFmtId="9" fontId="23" fillId="0" borderId="0" applyAlignment="0"/>
    <xf numFmtId="9" fontId="93" fillId="0" borderId="0" applyFont="0" applyFill="0" applyBorder="0" applyAlignment="0" applyProtection="0"/>
    <xf numFmtId="9" fontId="43" fillId="0" borderId="0" applyFont="0" applyFill="0" applyBorder="0" applyProtection="0"/>
    <xf numFmtId="0" fontId="93" fillId="0" borderId="0"/>
    <xf numFmtId="0" fontId="23" fillId="0" borderId="0">
      <protection locked="0"/>
    </xf>
    <xf numFmtId="0" fontId="93" fillId="0" borderId="0"/>
    <xf numFmtId="0" fontId="77" fillId="0" borderId="0">
      <alignment vertical="center"/>
    </xf>
    <xf numFmtId="0" fontId="77" fillId="0" borderId="0">
      <alignment vertical="center"/>
    </xf>
    <xf numFmtId="0" fontId="57" fillId="0" borderId="0"/>
    <xf numFmtId="0" fontId="93" fillId="0" borderId="0"/>
    <xf numFmtId="0" fontId="93" fillId="0" borderId="0"/>
    <xf numFmtId="0" fontId="93" fillId="0" borderId="0"/>
    <xf numFmtId="0" fontId="57" fillId="0" borderId="0"/>
    <xf numFmtId="0" fontId="93" fillId="0" borderId="0" applyAlignment="0"/>
    <xf numFmtId="0" fontId="93" fillId="0" borderId="0"/>
    <xf numFmtId="0" fontId="93" fillId="0" borderId="0"/>
    <xf numFmtId="0" fontId="93" fillId="0" borderId="0"/>
    <xf numFmtId="0" fontId="93" fillId="0" borderId="0"/>
    <xf numFmtId="0" fontId="93" fillId="0" borderId="0"/>
    <xf numFmtId="0" fontId="49" fillId="0" borderId="0" applyNumberFormat="0" applyFill="0" applyBorder="0" applyAlignment="0" applyProtection="0"/>
    <xf numFmtId="0" fontId="93" fillId="0" borderId="0">
      <alignment vertical="center"/>
      <protection locked="0"/>
    </xf>
    <xf numFmtId="43" fontId="10" fillId="0" borderId="0" applyFont="0" applyFill="0" applyBorder="0" applyAlignment="0" applyProtection="0"/>
    <xf numFmtId="43" fontId="93" fillId="0" borderId="0" applyFont="0" applyProtection="0"/>
    <xf numFmtId="43" fontId="93" fillId="0" borderId="0" applyFont="0" applyFill="0" applyBorder="0" applyProtection="0"/>
    <xf numFmtId="43" fontId="93" fillId="0" borderId="0" applyFont="0" applyProtection="0"/>
    <xf numFmtId="43" fontId="10" fillId="0" borderId="0" applyFont="0" applyFill="0" applyBorder="0" applyAlignment="0" applyProtection="0"/>
    <xf numFmtId="43" fontId="93" fillId="0" borderId="0" applyFont="0" applyFill="0" applyBorder="0" applyProtection="0"/>
    <xf numFmtId="43" fontId="93" fillId="0" borderId="0" applyFont="0" applyProtection="0"/>
    <xf numFmtId="43" fontId="93" fillId="0" borderId="0" applyFont="0" applyProtection="0"/>
    <xf numFmtId="43" fontId="23" fillId="0" borderId="0" applyAlignment="0"/>
    <xf numFmtId="43" fontId="23" fillId="0" borderId="0" applyAlignment="0"/>
    <xf numFmtId="43" fontId="10" fillId="0" borderId="0" applyFont="0" applyFill="0" applyBorder="0" applyAlignment="0" applyProtection="0"/>
    <xf numFmtId="43" fontId="93" fillId="0" borderId="0" applyFont="0" applyProtection="0"/>
    <xf numFmtId="43" fontId="93" fillId="0" borderId="0" applyFont="0" applyProtection="0"/>
    <xf numFmtId="43" fontId="93" fillId="0" borderId="0" applyFont="0" applyFill="0" applyBorder="0" applyProtection="0"/>
    <xf numFmtId="43" fontId="93" fillId="0" borderId="0" applyFont="0" applyProtection="0"/>
    <xf numFmtId="43" fontId="93" fillId="0" borderId="0" applyFont="0" applyProtection="0"/>
    <xf numFmtId="43" fontId="93" fillId="0" borderId="0" applyFont="0" applyProtection="0"/>
    <xf numFmtId="43" fontId="93" fillId="0" borderId="0" applyFont="0" applyProtection="0"/>
    <xf numFmtId="43" fontId="93" fillId="0" borderId="0" applyFont="0" applyProtection="0"/>
    <xf numFmtId="43" fontId="93" fillId="0" borderId="0" applyFont="0" applyProtection="0"/>
    <xf numFmtId="43" fontId="93" fillId="0" borderId="0" applyFont="0" applyProtection="0"/>
    <xf numFmtId="43" fontId="93" fillId="0" borderId="0" applyFont="0" applyProtection="0"/>
    <xf numFmtId="43" fontId="93" fillId="0" borderId="0" applyFont="0" applyProtection="0"/>
    <xf numFmtId="43" fontId="93" fillId="0" borderId="0" applyFo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0" fontId="10" fillId="0" borderId="21" applyNumberFormat="0"/>
    <xf numFmtId="0" fontId="10" fillId="0" borderId="21" applyNumberFormat="0"/>
    <xf numFmtId="0" fontId="93" fillId="0" borderId="0"/>
    <xf numFmtId="0" fontId="95" fillId="0" borderId="0"/>
    <xf numFmtId="43" fontId="25" fillId="0" borderId="0" applyFont="0" applyFill="0" applyBorder="0" applyAlignment="0" applyProtection="0"/>
    <xf numFmtId="43" fontId="93" fillId="0" borderId="0" applyFont="0" applyFill="0" applyBorder="0" applyAlignment="0" applyProtection="0"/>
    <xf numFmtId="9" fontId="93" fillId="0" borderId="0" applyFont="0" applyFill="0" applyBorder="0" applyAlignment="0" applyProtection="0"/>
    <xf numFmtId="0" fontId="1" fillId="0" borderId="0"/>
    <xf numFmtId="43" fontId="93" fillId="0" borderId="0" applyFont="0" applyFill="0" applyBorder="0" applyAlignment="0" applyProtection="0"/>
    <xf numFmtId="0" fontId="1" fillId="0" borderId="0"/>
    <xf numFmtId="0" fontId="93" fillId="0" borderId="0"/>
    <xf numFmtId="0" fontId="1" fillId="0" borderId="0"/>
    <xf numFmtId="0" fontId="93" fillId="0" borderId="0"/>
    <xf numFmtId="43" fontId="93" fillId="0" borderId="0" applyFont="0" applyFill="0" applyBorder="0" applyAlignment="0" applyProtection="0"/>
    <xf numFmtId="0" fontId="1" fillId="0" borderId="0"/>
    <xf numFmtId="0" fontId="1" fillId="0" borderId="0"/>
    <xf numFmtId="43" fontId="93" fillId="0" borderId="0" applyFont="0" applyFill="0" applyBorder="0" applyAlignment="0" applyProtection="0"/>
    <xf numFmtId="0" fontId="43" fillId="0" borderId="0"/>
    <xf numFmtId="0" fontId="105" fillId="0" borderId="0" applyNumberFormat="0" applyFill="0" applyBorder="0" applyAlignment="0" applyProtection="0"/>
    <xf numFmtId="0" fontId="105" fillId="0" borderId="0" applyNumberFormat="0" applyFill="0" applyBorder="0" applyAlignment="0" applyProtection="0"/>
    <xf numFmtId="0" fontId="21" fillId="25" borderId="8" applyNumberFormat="0" applyProtection="0">
      <alignment vertical="center"/>
    </xf>
    <xf numFmtId="0" fontId="21" fillId="25" borderId="8" applyNumberFormat="0" applyProtection="0">
      <alignment vertical="center"/>
    </xf>
    <xf numFmtId="0" fontId="21" fillId="25" borderId="8" applyNumberFormat="0" applyProtection="0">
      <alignment vertical="center"/>
    </xf>
    <xf numFmtId="0" fontId="21" fillId="25" borderId="8" applyNumberFormat="0" applyProtection="0">
      <alignment vertical="center"/>
    </xf>
    <xf numFmtId="0" fontId="60" fillId="25" borderId="8" applyNumberFormat="0" applyProtection="0">
      <alignment vertical="center"/>
    </xf>
    <xf numFmtId="0" fontId="60" fillId="25" borderId="8" applyNumberFormat="0" applyProtection="0">
      <alignment vertical="center"/>
    </xf>
    <xf numFmtId="0" fontId="60" fillId="25" borderId="8" applyNumberFormat="0" applyProtection="0">
      <alignment vertical="center"/>
    </xf>
    <xf numFmtId="0" fontId="60" fillId="25" borderId="8" applyNumberFormat="0" applyProtection="0">
      <alignment vertical="center"/>
    </xf>
    <xf numFmtId="0" fontId="21" fillId="25" borderId="8" applyNumberFormat="0" applyProtection="0">
      <alignment horizontal="left" vertical="center" indent="1"/>
    </xf>
    <xf numFmtId="0" fontId="21" fillId="25" borderId="8" applyNumberFormat="0" applyProtection="0">
      <alignment horizontal="left" vertical="center" indent="1"/>
    </xf>
    <xf numFmtId="0" fontId="21" fillId="25" borderId="8" applyNumberFormat="0" applyProtection="0">
      <alignment horizontal="left" vertical="center" indent="1"/>
    </xf>
    <xf numFmtId="0" fontId="21" fillId="25" borderId="8" applyNumberFormat="0" applyProtection="0">
      <alignment horizontal="left" vertical="center" indent="1"/>
    </xf>
    <xf numFmtId="0" fontId="21" fillId="25" borderId="8" applyNumberFormat="0" applyProtection="0">
      <alignment horizontal="left" vertical="top" indent="1"/>
    </xf>
    <xf numFmtId="0" fontId="21" fillId="25" borderId="8" applyNumberFormat="0" applyProtection="0">
      <alignment horizontal="left" vertical="top" indent="1"/>
    </xf>
    <xf numFmtId="0" fontId="21" fillId="25" borderId="8" applyNumberFormat="0" applyProtection="0">
      <alignment horizontal="left" vertical="top" indent="1"/>
    </xf>
    <xf numFmtId="0" fontId="21" fillId="25" borderId="8" applyNumberFormat="0" applyProtection="0">
      <alignment horizontal="left" vertical="top" indent="1"/>
    </xf>
    <xf numFmtId="0" fontId="11" fillId="27" borderId="8" applyNumberFormat="0" applyProtection="0">
      <alignment horizontal="right" vertical="center"/>
    </xf>
    <xf numFmtId="0" fontId="11" fillId="27" borderId="8" applyNumberFormat="0" applyProtection="0">
      <alignment horizontal="right" vertical="center"/>
    </xf>
    <xf numFmtId="0" fontId="11" fillId="27" borderId="8" applyNumberFormat="0" applyProtection="0">
      <alignment horizontal="right" vertical="center"/>
    </xf>
    <xf numFmtId="0" fontId="11" fillId="27" borderId="8" applyNumberFormat="0" applyProtection="0">
      <alignment horizontal="right" vertical="center"/>
    </xf>
    <xf numFmtId="0" fontId="11" fillId="28" borderId="8" applyNumberFormat="0" applyProtection="0">
      <alignment horizontal="right" vertical="center"/>
    </xf>
    <xf numFmtId="0" fontId="11" fillId="28" borderId="8" applyNumberFormat="0" applyProtection="0">
      <alignment horizontal="right" vertical="center"/>
    </xf>
    <xf numFmtId="0" fontId="11" fillId="28" borderId="8" applyNumberFormat="0" applyProtection="0">
      <alignment horizontal="right" vertical="center"/>
    </xf>
    <xf numFmtId="0" fontId="11" fillId="28" borderId="8" applyNumberFormat="0" applyProtection="0">
      <alignment horizontal="right" vertical="center"/>
    </xf>
    <xf numFmtId="0" fontId="11" fillId="29" borderId="8" applyNumberFormat="0" applyProtection="0">
      <alignment horizontal="right" vertical="center"/>
    </xf>
    <xf numFmtId="0" fontId="11" fillId="29" borderId="8" applyNumberFormat="0" applyProtection="0">
      <alignment horizontal="right" vertical="center"/>
    </xf>
    <xf numFmtId="0" fontId="11" fillId="29" borderId="8" applyNumberFormat="0" applyProtection="0">
      <alignment horizontal="right" vertical="center"/>
    </xf>
    <xf numFmtId="0" fontId="11" fillId="29" borderId="8" applyNumberFormat="0" applyProtection="0">
      <alignment horizontal="right" vertical="center"/>
    </xf>
    <xf numFmtId="0" fontId="11" fillId="30" borderId="8" applyNumberFormat="0" applyProtection="0">
      <alignment horizontal="right" vertical="center"/>
    </xf>
    <xf numFmtId="0" fontId="11" fillId="30" borderId="8" applyNumberFormat="0" applyProtection="0">
      <alignment horizontal="right" vertical="center"/>
    </xf>
    <xf numFmtId="0" fontId="11" fillId="30" borderId="8" applyNumberFormat="0" applyProtection="0">
      <alignment horizontal="right" vertical="center"/>
    </xf>
    <xf numFmtId="0" fontId="11" fillId="30" borderId="8" applyNumberFormat="0" applyProtection="0">
      <alignment horizontal="right" vertical="center"/>
    </xf>
    <xf numFmtId="0" fontId="11" fillId="15" borderId="8" applyNumberFormat="0" applyProtection="0">
      <alignment horizontal="right" vertical="center"/>
    </xf>
    <xf numFmtId="0" fontId="11" fillId="15" borderId="8" applyNumberFormat="0" applyProtection="0">
      <alignment horizontal="right" vertical="center"/>
    </xf>
    <xf numFmtId="0" fontId="11" fillId="15" borderId="8" applyNumberFormat="0" applyProtection="0">
      <alignment horizontal="right" vertical="center"/>
    </xf>
    <xf numFmtId="0" fontId="11" fillId="15" borderId="8" applyNumberFormat="0" applyProtection="0">
      <alignment horizontal="right" vertical="center"/>
    </xf>
    <xf numFmtId="0" fontId="11" fillId="31" borderId="8" applyNumberFormat="0" applyProtection="0">
      <alignment horizontal="right" vertical="center"/>
    </xf>
    <xf numFmtId="0" fontId="11" fillId="31" borderId="8" applyNumberFormat="0" applyProtection="0">
      <alignment horizontal="right" vertical="center"/>
    </xf>
    <xf numFmtId="0" fontId="11" fillId="31" borderId="8" applyNumberFormat="0" applyProtection="0">
      <alignment horizontal="right" vertical="center"/>
    </xf>
    <xf numFmtId="0" fontId="11" fillId="31" borderId="8" applyNumberFormat="0" applyProtection="0">
      <alignment horizontal="right" vertical="center"/>
    </xf>
    <xf numFmtId="0" fontId="11" fillId="32" borderId="8" applyNumberFormat="0" applyProtection="0">
      <alignment horizontal="right" vertical="center"/>
    </xf>
    <xf numFmtId="0" fontId="11" fillId="32" borderId="8" applyNumberFormat="0" applyProtection="0">
      <alignment horizontal="right" vertical="center"/>
    </xf>
    <xf numFmtId="0" fontId="11" fillId="32" borderId="8" applyNumberFormat="0" applyProtection="0">
      <alignment horizontal="right" vertical="center"/>
    </xf>
    <xf numFmtId="0" fontId="11" fillId="32" borderId="8" applyNumberFormat="0" applyProtection="0">
      <alignment horizontal="right" vertical="center"/>
    </xf>
    <xf numFmtId="0" fontId="11" fillId="33" borderId="8" applyNumberFormat="0" applyProtection="0">
      <alignment horizontal="right" vertical="center"/>
    </xf>
    <xf numFmtId="0" fontId="11" fillId="33" borderId="8" applyNumberFormat="0" applyProtection="0">
      <alignment horizontal="right" vertical="center"/>
    </xf>
    <xf numFmtId="0" fontId="11" fillId="33" borderId="8" applyNumberFormat="0" applyProtection="0">
      <alignment horizontal="right" vertical="center"/>
    </xf>
    <xf numFmtId="0" fontId="11" fillId="33" borderId="8" applyNumberFormat="0" applyProtection="0">
      <alignment horizontal="right" vertical="center"/>
    </xf>
    <xf numFmtId="0" fontId="11" fillId="34" borderId="8" applyNumberFormat="0" applyProtection="0">
      <alignment horizontal="right" vertical="center"/>
    </xf>
    <xf numFmtId="0" fontId="11" fillId="34" borderId="8" applyNumberFormat="0" applyProtection="0">
      <alignment horizontal="right" vertical="center"/>
    </xf>
    <xf numFmtId="0" fontId="11" fillId="34" borderId="8" applyNumberFormat="0" applyProtection="0">
      <alignment horizontal="right" vertical="center"/>
    </xf>
    <xf numFmtId="0" fontId="11" fillId="34" borderId="8" applyNumberFormat="0" applyProtection="0">
      <alignment horizontal="right" vertical="center"/>
    </xf>
    <xf numFmtId="0" fontId="11" fillId="26" borderId="8" applyNumberFormat="0" applyProtection="0">
      <alignment horizontal="right" vertical="center"/>
    </xf>
    <xf numFmtId="0" fontId="11" fillId="26" borderId="8" applyNumberFormat="0" applyProtection="0">
      <alignment horizontal="right" vertical="center"/>
    </xf>
    <xf numFmtId="0" fontId="11" fillId="26" borderId="8" applyNumberFormat="0" applyProtection="0">
      <alignment horizontal="right" vertical="center"/>
    </xf>
    <xf numFmtId="0" fontId="11" fillId="26" borderId="8" applyNumberFormat="0" applyProtection="0">
      <alignment horizontal="right" vertical="center"/>
    </xf>
    <xf numFmtId="0" fontId="10" fillId="4" borderId="8" applyNumberFormat="0" applyProtection="0">
      <alignment horizontal="left" vertical="center" indent="1"/>
    </xf>
    <xf numFmtId="0" fontId="10" fillId="4" borderId="8" applyNumberFormat="0" applyProtection="0">
      <alignment horizontal="left" vertical="center" indent="1"/>
    </xf>
    <xf numFmtId="0" fontId="10" fillId="4" borderId="8" applyNumberFormat="0" applyProtection="0">
      <alignment horizontal="left" vertical="center" indent="1"/>
    </xf>
    <xf numFmtId="0" fontId="10" fillId="4" borderId="8" applyNumberFormat="0" applyProtection="0">
      <alignment horizontal="left" vertical="center" indent="1"/>
    </xf>
    <xf numFmtId="0" fontId="10" fillId="4" borderId="8" applyNumberFormat="0" applyProtection="0">
      <alignment horizontal="left" vertical="top" indent="1"/>
    </xf>
    <xf numFmtId="0" fontId="10" fillId="4" borderId="8" applyNumberFormat="0" applyProtection="0">
      <alignment horizontal="left" vertical="top" indent="1"/>
    </xf>
    <xf numFmtId="0" fontId="10" fillId="4" borderId="8" applyNumberFormat="0" applyProtection="0">
      <alignment horizontal="left" vertical="top" indent="1"/>
    </xf>
    <xf numFmtId="0" fontId="10" fillId="4" borderId="8" applyNumberFormat="0" applyProtection="0">
      <alignment horizontal="left" vertical="top" indent="1"/>
    </xf>
    <xf numFmtId="0" fontId="10" fillId="26" borderId="8" applyNumberFormat="0" applyProtection="0">
      <alignment horizontal="left" vertical="center" indent="1"/>
    </xf>
    <xf numFmtId="0" fontId="10" fillId="26" borderId="8" applyNumberFormat="0" applyProtection="0">
      <alignment horizontal="left" vertical="center" indent="1"/>
    </xf>
    <xf numFmtId="0" fontId="10" fillId="26" borderId="8" applyNumberFormat="0" applyProtection="0">
      <alignment horizontal="left" vertical="center" indent="1"/>
    </xf>
    <xf numFmtId="0" fontId="10" fillId="26" borderId="8" applyNumberFormat="0" applyProtection="0">
      <alignment horizontal="left" vertical="center" indent="1"/>
    </xf>
    <xf numFmtId="0" fontId="10" fillId="26" borderId="8" applyNumberFormat="0" applyProtection="0">
      <alignment horizontal="left" vertical="top" indent="1"/>
    </xf>
    <xf numFmtId="0" fontId="10" fillId="26" borderId="8" applyNumberFormat="0" applyProtection="0">
      <alignment horizontal="left" vertical="top" indent="1"/>
    </xf>
    <xf numFmtId="0" fontId="10" fillId="26" borderId="8" applyNumberFormat="0" applyProtection="0">
      <alignment horizontal="left" vertical="top" indent="1"/>
    </xf>
    <xf numFmtId="0" fontId="10" fillId="26" borderId="8" applyNumberFormat="0" applyProtection="0">
      <alignment horizontal="left" vertical="top" indent="1"/>
    </xf>
    <xf numFmtId="0" fontId="10" fillId="6" borderId="8" applyNumberFormat="0" applyProtection="0">
      <alignment horizontal="left" vertical="center" indent="1"/>
    </xf>
    <xf numFmtId="0" fontId="10" fillId="6" borderId="8" applyNumberFormat="0" applyProtection="0">
      <alignment horizontal="left" vertical="center" indent="1"/>
    </xf>
    <xf numFmtId="0" fontId="10" fillId="6" borderId="8" applyNumberFormat="0" applyProtection="0">
      <alignment horizontal="left" vertical="center" indent="1"/>
    </xf>
    <xf numFmtId="0" fontId="10" fillId="6" borderId="8" applyNumberFormat="0" applyProtection="0">
      <alignment horizontal="left" vertical="center" indent="1"/>
    </xf>
    <xf numFmtId="0" fontId="10" fillId="6" borderId="8" applyNumberFormat="0" applyProtection="0">
      <alignment horizontal="left" vertical="top" indent="1"/>
    </xf>
    <xf numFmtId="0" fontId="10" fillId="6" borderId="8" applyNumberFormat="0" applyProtection="0">
      <alignment horizontal="left" vertical="top" indent="1"/>
    </xf>
    <xf numFmtId="0" fontId="10" fillId="6" borderId="8" applyNumberFormat="0" applyProtection="0">
      <alignment horizontal="left" vertical="top" indent="1"/>
    </xf>
    <xf numFmtId="0" fontId="10" fillId="6" borderId="8" applyNumberFormat="0" applyProtection="0">
      <alignment horizontal="left" vertical="top" indent="1"/>
    </xf>
    <xf numFmtId="0" fontId="10" fillId="36" borderId="8" applyNumberFormat="0" applyProtection="0">
      <alignment horizontal="left" vertical="center" indent="1"/>
    </xf>
    <xf numFmtId="0" fontId="10" fillId="36" borderId="8" applyNumberFormat="0" applyProtection="0">
      <alignment horizontal="left" vertical="center" indent="1"/>
    </xf>
    <xf numFmtId="0" fontId="10" fillId="36" borderId="8" applyNumberFormat="0" applyProtection="0">
      <alignment horizontal="left" vertical="center" indent="1"/>
    </xf>
    <xf numFmtId="0" fontId="10" fillId="36" borderId="8" applyNumberFormat="0" applyProtection="0">
      <alignment horizontal="left" vertical="center" indent="1"/>
    </xf>
    <xf numFmtId="0" fontId="10" fillId="36" borderId="8" applyNumberFormat="0" applyProtection="0">
      <alignment horizontal="left" vertical="top" indent="1"/>
    </xf>
    <xf numFmtId="0" fontId="10" fillId="36" borderId="8" applyNumberFormat="0" applyProtection="0">
      <alignment horizontal="left" vertical="top" indent="1"/>
    </xf>
    <xf numFmtId="0" fontId="10" fillId="36" borderId="8" applyNumberFormat="0" applyProtection="0">
      <alignment horizontal="left" vertical="top" indent="1"/>
    </xf>
    <xf numFmtId="0" fontId="10" fillId="36" borderId="8" applyNumberFormat="0" applyProtection="0">
      <alignment horizontal="left" vertical="top" indent="1"/>
    </xf>
    <xf numFmtId="0" fontId="11" fillId="8" borderId="8" applyNumberFormat="0" applyProtection="0">
      <alignment vertical="center"/>
    </xf>
    <xf numFmtId="0" fontId="11" fillId="8" borderId="8" applyNumberFormat="0" applyProtection="0">
      <alignment vertical="center"/>
    </xf>
    <xf numFmtId="0" fontId="11" fillId="8" borderId="8" applyNumberFormat="0" applyProtection="0">
      <alignment vertical="center"/>
    </xf>
    <xf numFmtId="0" fontId="11" fillId="8" borderId="8" applyNumberFormat="0" applyProtection="0">
      <alignment vertical="center"/>
    </xf>
    <xf numFmtId="0" fontId="62" fillId="8" borderId="8" applyNumberFormat="0" applyProtection="0">
      <alignment vertical="center"/>
    </xf>
    <xf numFmtId="0" fontId="62" fillId="8" borderId="8" applyNumberFormat="0" applyProtection="0">
      <alignment vertical="center"/>
    </xf>
    <xf numFmtId="0" fontId="62" fillId="8" borderId="8" applyNumberFormat="0" applyProtection="0">
      <alignment vertical="center"/>
    </xf>
    <xf numFmtId="0" fontId="62" fillId="8" borderId="8" applyNumberFormat="0" applyProtection="0">
      <alignment vertical="center"/>
    </xf>
    <xf numFmtId="0" fontId="11" fillId="8" borderId="8" applyNumberFormat="0" applyProtection="0">
      <alignment horizontal="left" vertical="center" indent="1"/>
    </xf>
    <xf numFmtId="0" fontId="11" fillId="8" borderId="8" applyNumberFormat="0" applyProtection="0">
      <alignment horizontal="left" vertical="center" indent="1"/>
    </xf>
    <xf numFmtId="0" fontId="11" fillId="8" borderId="8" applyNumberFormat="0" applyProtection="0">
      <alignment horizontal="left" vertical="center" indent="1"/>
    </xf>
    <xf numFmtId="0" fontId="11" fillId="8" borderId="8" applyNumberFormat="0" applyProtection="0">
      <alignment horizontal="left" vertical="center" indent="1"/>
    </xf>
    <xf numFmtId="0" fontId="11" fillId="8" borderId="8" applyNumberFormat="0" applyProtection="0">
      <alignment horizontal="left" vertical="top" indent="1"/>
    </xf>
    <xf numFmtId="0" fontId="11" fillId="8" borderId="8" applyNumberFormat="0" applyProtection="0">
      <alignment horizontal="left" vertical="top" indent="1"/>
    </xf>
    <xf numFmtId="0" fontId="11" fillId="8" borderId="8" applyNumberFormat="0" applyProtection="0">
      <alignment horizontal="left" vertical="top" indent="1"/>
    </xf>
    <xf numFmtId="0" fontId="11" fillId="8" borderId="8" applyNumberFormat="0" applyProtection="0">
      <alignment horizontal="left" vertical="top" indent="1"/>
    </xf>
    <xf numFmtId="0" fontId="11" fillId="36" borderId="8" applyNumberFormat="0" applyProtection="0">
      <alignment horizontal="right" vertical="center"/>
    </xf>
    <xf numFmtId="0" fontId="11" fillId="36" borderId="8" applyNumberFormat="0" applyProtection="0">
      <alignment horizontal="right" vertical="center"/>
    </xf>
    <xf numFmtId="0" fontId="11" fillId="36" borderId="8" applyNumberFormat="0" applyProtection="0">
      <alignment horizontal="right" vertical="center"/>
    </xf>
    <xf numFmtId="0" fontId="11" fillId="36" borderId="8" applyNumberFormat="0" applyProtection="0">
      <alignment horizontal="right" vertical="center"/>
    </xf>
    <xf numFmtId="0" fontId="62" fillId="36" borderId="8" applyNumberFormat="0" applyProtection="0">
      <alignment horizontal="right" vertical="center"/>
    </xf>
    <xf numFmtId="0" fontId="62" fillId="36" borderId="8" applyNumberFormat="0" applyProtection="0">
      <alignment horizontal="right" vertical="center"/>
    </xf>
    <xf numFmtId="0" fontId="62" fillId="36" borderId="8" applyNumberFormat="0" applyProtection="0">
      <alignment horizontal="right" vertical="center"/>
    </xf>
    <xf numFmtId="0" fontId="62" fillId="36" borderId="8" applyNumberFormat="0" applyProtection="0">
      <alignment horizontal="right" vertical="center"/>
    </xf>
    <xf numFmtId="0" fontId="11" fillId="26" borderId="8" applyNumberFormat="0" applyProtection="0">
      <alignment horizontal="left" vertical="center" indent="1"/>
    </xf>
    <xf numFmtId="0" fontId="11" fillId="26" borderId="8" applyNumberFormat="0" applyProtection="0">
      <alignment horizontal="left" vertical="center" indent="1"/>
    </xf>
    <xf numFmtId="0" fontId="11" fillId="26" borderId="8" applyNumberFormat="0" applyProtection="0">
      <alignment horizontal="left" vertical="center" indent="1"/>
    </xf>
    <xf numFmtId="0" fontId="11" fillId="26" borderId="8" applyNumberFormat="0" applyProtection="0">
      <alignment horizontal="left" vertical="center" indent="1"/>
    </xf>
    <xf numFmtId="0" fontId="11" fillId="26" borderId="8" applyNumberFormat="0" applyProtection="0">
      <alignment horizontal="left" vertical="top" indent="1"/>
    </xf>
    <xf numFmtId="0" fontId="11" fillId="26" borderId="8" applyNumberFormat="0" applyProtection="0">
      <alignment horizontal="left" vertical="top" indent="1"/>
    </xf>
    <xf numFmtId="0" fontId="11" fillId="26" borderId="8" applyNumberFormat="0" applyProtection="0">
      <alignment horizontal="left" vertical="top" indent="1"/>
    </xf>
    <xf numFmtId="0" fontId="11" fillId="26" borderId="8" applyNumberFormat="0" applyProtection="0">
      <alignment horizontal="left" vertical="top" indent="1"/>
    </xf>
    <xf numFmtId="0" fontId="20" fillId="36" borderId="8" applyNumberFormat="0" applyProtection="0">
      <alignment horizontal="right" vertical="center"/>
    </xf>
    <xf numFmtId="0" fontId="20" fillId="36" borderId="8" applyNumberFormat="0" applyProtection="0">
      <alignment horizontal="right" vertical="center"/>
    </xf>
    <xf numFmtId="0" fontId="20" fillId="36" borderId="8" applyNumberFormat="0" applyProtection="0">
      <alignment horizontal="right" vertical="center"/>
    </xf>
    <xf numFmtId="0" fontId="20" fillId="36" borderId="8" applyNumberFormat="0" applyProtection="0">
      <alignment horizontal="right" vertical="center"/>
    </xf>
    <xf numFmtId="0" fontId="93" fillId="0" borderId="0"/>
    <xf numFmtId="0" fontId="93" fillId="0" borderId="0"/>
    <xf numFmtId="43" fontId="93" fillId="0" borderId="0" applyFont="0" applyFill="0" applyBorder="0" applyAlignment="0" applyProtection="0"/>
    <xf numFmtId="0" fontId="93" fillId="0" borderId="0"/>
    <xf numFmtId="0" fontId="93" fillId="0" borderId="0"/>
    <xf numFmtId="0" fontId="93" fillId="0" borderId="0"/>
    <xf numFmtId="43" fontId="93" fillId="0" borderId="0" applyFont="0" applyFill="0" applyBorder="0" applyAlignment="0" applyProtection="0"/>
    <xf numFmtId="0" fontId="93" fillId="0" borderId="0" applyAlignment="0"/>
    <xf numFmtId="9" fontId="93" fillId="0" borderId="0" applyFont="0" applyFill="0" applyBorder="0" applyAlignment="0" applyProtection="0"/>
    <xf numFmtId="0" fontId="10" fillId="6" borderId="35" applyNumberFormat="0" applyProtection="0">
      <alignment horizontal="left" vertical="center" indent="1"/>
    </xf>
    <xf numFmtId="43" fontId="1" fillId="0" borderId="0" applyFont="0" applyFill="0" applyBorder="0" applyAlignment="0" applyProtection="0"/>
    <xf numFmtId="0" fontId="11" fillId="26" borderId="35" applyNumberFormat="0" applyProtection="0">
      <alignment horizontal="left" vertical="center" indent="1"/>
    </xf>
    <xf numFmtId="41" fontId="1" fillId="0" borderId="0" applyFont="0" applyFill="0" applyBorder="0" applyAlignment="0" applyProtection="0"/>
    <xf numFmtId="0" fontId="96" fillId="0" borderId="0" applyNumberFormat="0" applyFill="0" applyBorder="0" applyAlignment="0" applyProtection="0"/>
    <xf numFmtId="43" fontId="10" fillId="0" borderId="0" applyFont="0" applyFill="0" applyBorder="0" applyAlignment="0" applyProtection="0"/>
    <xf numFmtId="0" fontId="1" fillId="0" borderId="0"/>
    <xf numFmtId="0" fontId="112" fillId="0" borderId="0"/>
    <xf numFmtId="43" fontId="112" fillId="0" borderId="0" applyFont="0" applyFill="0" applyBorder="0" applyAlignment="0" applyProtection="0"/>
    <xf numFmtId="0" fontId="113" fillId="0" borderId="0"/>
    <xf numFmtId="0" fontId="11" fillId="36" borderId="35" applyNumberFormat="0" applyProtection="0">
      <alignment horizontal="right" vertical="center"/>
    </xf>
    <xf numFmtId="0" fontId="21" fillId="35" borderId="31" applyNumberFormat="0" applyProtection="0">
      <alignment horizontal="left" vertical="center" indent="1"/>
    </xf>
    <xf numFmtId="0" fontId="11" fillId="36" borderId="35" applyNumberFormat="0" applyProtection="0">
      <alignment horizontal="right" vertical="center"/>
    </xf>
    <xf numFmtId="0" fontId="11" fillId="28" borderId="35" applyNumberFormat="0" applyProtection="0">
      <alignment horizontal="right" vertical="center"/>
    </xf>
    <xf numFmtId="0" fontId="11" fillId="32" borderId="55" applyNumberFormat="0" applyProtection="0">
      <alignment horizontal="right" vertical="center"/>
    </xf>
    <xf numFmtId="0" fontId="21" fillId="25" borderId="55" applyNumberFormat="0" applyProtection="0">
      <alignment horizontal="left" vertical="center" indent="1"/>
    </xf>
    <xf numFmtId="0" fontId="11" fillId="8" borderId="55" applyNumberFormat="0" applyProtection="0">
      <alignment horizontal="left" vertical="top" indent="1"/>
    </xf>
    <xf numFmtId="0" fontId="62" fillId="8" borderId="55" applyNumberFormat="0" applyProtection="0">
      <alignment vertical="center"/>
    </xf>
    <xf numFmtId="0" fontId="21" fillId="35" borderId="51" applyNumberFormat="0" applyProtection="0">
      <alignment horizontal="left" vertical="center" indent="1"/>
    </xf>
    <xf numFmtId="0" fontId="10" fillId="26" borderId="55" applyNumberFormat="0" applyProtection="0">
      <alignment horizontal="left" vertical="top" indent="1"/>
    </xf>
    <xf numFmtId="0" fontId="11" fillId="29" borderId="48" applyNumberFormat="0" applyProtection="0">
      <alignment horizontal="right" vertical="center"/>
    </xf>
    <xf numFmtId="0" fontId="62" fillId="36" borderId="35" applyNumberFormat="0" applyProtection="0">
      <alignment horizontal="right" vertical="center"/>
    </xf>
    <xf numFmtId="4" fontId="93" fillId="0" borderId="40">
      <alignment horizontal="right"/>
    </xf>
    <xf numFmtId="0" fontId="62" fillId="8" borderId="35" applyNumberFormat="0" applyProtection="0">
      <alignment vertical="center"/>
    </xf>
    <xf numFmtId="0" fontId="99" fillId="0" borderId="0"/>
    <xf numFmtId="0" fontId="60" fillId="25" borderId="48" applyNumberFormat="0" applyProtection="0">
      <alignment vertical="center"/>
    </xf>
    <xf numFmtId="0" fontId="10" fillId="6" borderId="55" applyNumberFormat="0" applyProtection="0">
      <alignment horizontal="left" vertical="center" indent="1"/>
    </xf>
    <xf numFmtId="0" fontId="21" fillId="25" borderId="55" applyNumberFormat="0" applyProtection="0">
      <alignment horizontal="left" vertical="center" indent="1"/>
    </xf>
    <xf numFmtId="0" fontId="11" fillId="26" borderId="43" applyNumberFormat="0" applyProtection="0">
      <alignment horizontal="left" vertical="top" indent="1"/>
    </xf>
    <xf numFmtId="0" fontId="11" fillId="27" borderId="35" applyNumberFormat="0" applyProtection="0">
      <alignment horizontal="right" vertical="center"/>
    </xf>
    <xf numFmtId="0" fontId="21" fillId="35" borderId="32" applyNumberFormat="0" applyProtection="0">
      <alignment horizontal="left" vertical="center" indent="1"/>
    </xf>
    <xf numFmtId="0" fontId="11" fillId="32" borderId="43" applyNumberFormat="0" applyProtection="0">
      <alignment horizontal="right" vertical="center"/>
    </xf>
    <xf numFmtId="0" fontId="62" fillId="8" borderId="55" applyNumberFormat="0" applyProtection="0">
      <alignment vertical="center"/>
    </xf>
    <xf numFmtId="0" fontId="60" fillId="25" borderId="35" applyNumberFormat="0" applyProtection="0">
      <alignment vertical="center"/>
    </xf>
    <xf numFmtId="0" fontId="11" fillId="29" borderId="55" applyNumberFormat="0" applyProtection="0">
      <alignment horizontal="right" vertical="center"/>
    </xf>
    <xf numFmtId="0" fontId="11" fillId="15" borderId="48" applyNumberFormat="0" applyProtection="0">
      <alignment horizontal="right" vertical="center"/>
    </xf>
    <xf numFmtId="0" fontId="11" fillId="33" borderId="43" applyNumberFormat="0" applyProtection="0">
      <alignment horizontal="right" vertical="center"/>
    </xf>
    <xf numFmtId="0" fontId="10" fillId="36" borderId="35" applyNumberFormat="0" applyProtection="0">
      <alignment horizontal="left" vertical="center" indent="1"/>
    </xf>
    <xf numFmtId="0" fontId="11" fillId="8" borderId="53" applyNumberFormat="0" applyProtection="0">
      <alignment horizontal="left" vertical="center" indent="1"/>
    </xf>
    <xf numFmtId="0" fontId="11" fillId="8" borderId="35" applyNumberFormat="0" applyProtection="0">
      <alignment vertical="center"/>
    </xf>
    <xf numFmtId="0" fontId="21" fillId="25" borderId="35" applyNumberFormat="0" applyProtection="0">
      <alignment horizontal="left" vertical="top" indent="1"/>
    </xf>
    <xf numFmtId="0" fontId="93" fillId="0" borderId="56" applyAlignment="0"/>
    <xf numFmtId="0" fontId="11" fillId="30" borderId="35" applyNumberFormat="0" applyProtection="0">
      <alignment horizontal="right" vertical="center"/>
    </xf>
    <xf numFmtId="0" fontId="11" fillId="15" borderId="35" applyNumberFormat="0" applyProtection="0">
      <alignment horizontal="right" vertical="center"/>
    </xf>
    <xf numFmtId="0" fontId="11" fillId="31" borderId="35" applyNumberFormat="0" applyProtection="0">
      <alignment horizontal="right" vertical="center"/>
    </xf>
    <xf numFmtId="0" fontId="10" fillId="4" borderId="35" applyNumberFormat="0" applyProtection="0">
      <alignment horizontal="left" vertical="center" indent="1"/>
    </xf>
    <xf numFmtId="0" fontId="20" fillId="36" borderId="35" applyNumberFormat="0" applyProtection="0">
      <alignment horizontal="right" vertical="center"/>
    </xf>
    <xf numFmtId="0" fontId="11" fillId="31" borderId="35" applyNumberFormat="0" applyProtection="0">
      <alignment horizontal="right" vertical="center"/>
    </xf>
    <xf numFmtId="0" fontId="47" fillId="0" borderId="46" applyNumberFormat="0" applyProtection="0"/>
    <xf numFmtId="0" fontId="10" fillId="36" borderId="35" applyNumberFormat="0" applyProtection="0">
      <alignment horizontal="left" vertical="center" indent="1"/>
    </xf>
    <xf numFmtId="0" fontId="10" fillId="4" borderId="35" applyNumberFormat="0" applyProtection="0">
      <alignment horizontal="left" vertical="top" indent="1"/>
    </xf>
    <xf numFmtId="0" fontId="11" fillId="36" borderId="35" applyNumberFormat="0" applyProtection="0">
      <alignment horizontal="right" vertical="center"/>
    </xf>
    <xf numFmtId="0" fontId="11" fillId="36" borderId="35" applyNumberFormat="0" applyProtection="0">
      <alignment horizontal="right" vertical="center"/>
    </xf>
    <xf numFmtId="0" fontId="11" fillId="26" borderId="43" applyNumberFormat="0" applyProtection="0">
      <alignment horizontal="left" vertical="center" indent="1"/>
    </xf>
    <xf numFmtId="0" fontId="20" fillId="36" borderId="55" applyNumberFormat="0" applyProtection="0">
      <alignment horizontal="right" vertical="center"/>
    </xf>
    <xf numFmtId="0" fontId="11" fillId="30" borderId="35" applyNumberFormat="0" applyProtection="0">
      <alignment horizontal="right" vertical="center"/>
    </xf>
    <xf numFmtId="0" fontId="11" fillId="32" borderId="35" applyNumberFormat="0" applyProtection="0">
      <alignment horizontal="right" vertical="center"/>
    </xf>
    <xf numFmtId="0" fontId="11" fillId="34" borderId="35" applyNumberFormat="0" applyProtection="0">
      <alignment horizontal="right" vertical="center"/>
    </xf>
    <xf numFmtId="0" fontId="10" fillId="26" borderId="35" applyNumberFormat="0" applyProtection="0">
      <alignment horizontal="left" vertical="center" indent="1"/>
    </xf>
    <xf numFmtId="0" fontId="10" fillId="6" borderId="35" applyNumberFormat="0" applyProtection="0">
      <alignment horizontal="left" vertical="center" indent="1"/>
    </xf>
    <xf numFmtId="0" fontId="10" fillId="4" borderId="35" applyNumberFormat="0" applyProtection="0">
      <alignment horizontal="left" vertical="top" indent="1"/>
    </xf>
    <xf numFmtId="0" fontId="62" fillId="8" borderId="35" applyNumberFormat="0" applyProtection="0">
      <alignment vertical="center"/>
    </xf>
    <xf numFmtId="0" fontId="62" fillId="36" borderId="48" applyNumberFormat="0" applyProtection="0">
      <alignment horizontal="right" vertical="center"/>
    </xf>
    <xf numFmtId="0" fontId="21" fillId="25" borderId="35" applyNumberFormat="0" applyProtection="0">
      <alignment vertical="center"/>
    </xf>
    <xf numFmtId="0" fontId="99" fillId="0" borderId="0"/>
    <xf numFmtId="0" fontId="20" fillId="36" borderId="35" applyNumberFormat="0" applyProtection="0">
      <alignment horizontal="right" vertical="center"/>
    </xf>
    <xf numFmtId="0" fontId="43" fillId="0" borderId="0"/>
    <xf numFmtId="0" fontId="11" fillId="26" borderId="48" applyNumberFormat="0" applyProtection="0">
      <alignment horizontal="left" vertical="center" indent="1"/>
    </xf>
    <xf numFmtId="0" fontId="11" fillId="32" borderId="35" applyNumberFormat="0" applyProtection="0">
      <alignment horizontal="right" vertical="center"/>
    </xf>
    <xf numFmtId="0" fontId="47" fillId="0" borderId="42">
      <alignment horizontal="left" vertical="center"/>
    </xf>
    <xf numFmtId="0" fontId="11" fillId="30" borderId="48" applyNumberFormat="0" applyProtection="0">
      <alignment horizontal="right" vertical="center"/>
    </xf>
    <xf numFmtId="0" fontId="21" fillId="35" borderId="32" applyNumberFormat="0" applyProtection="0">
      <alignment horizontal="left" vertical="center" indent="1"/>
    </xf>
    <xf numFmtId="0" fontId="62" fillId="36" borderId="35" applyNumberFormat="0" applyProtection="0">
      <alignment horizontal="right" vertical="center"/>
    </xf>
    <xf numFmtId="0" fontId="11" fillId="33" borderId="55" applyNumberFormat="0" applyProtection="0">
      <alignment horizontal="right" vertical="center"/>
    </xf>
    <xf numFmtId="0" fontId="11" fillId="26" borderId="35" applyNumberFormat="0" applyProtection="0">
      <alignment horizontal="left" vertical="center" indent="1"/>
    </xf>
    <xf numFmtId="0" fontId="10" fillId="6" borderId="55" applyNumberFormat="0" applyProtection="0">
      <alignment horizontal="left" vertical="top" indent="1"/>
    </xf>
    <xf numFmtId="41" fontId="37" fillId="0" borderId="0" applyFont="0" applyFill="0" applyBorder="0" applyAlignment="0" applyProtection="0"/>
    <xf numFmtId="0" fontId="42" fillId="20" borderId="40"/>
    <xf numFmtId="0" fontId="10" fillId="6" borderId="48" applyNumberFormat="0" applyProtection="0">
      <alignment horizontal="left" vertical="center" indent="1"/>
    </xf>
    <xf numFmtId="0" fontId="11" fillId="27" borderId="48" applyNumberFormat="0" applyProtection="0">
      <alignment horizontal="right" vertical="center"/>
    </xf>
    <xf numFmtId="0" fontId="11" fillId="27" borderId="55" applyNumberFormat="0" applyProtection="0">
      <alignment horizontal="right" vertical="center"/>
    </xf>
    <xf numFmtId="0" fontId="11" fillId="8" borderId="48" applyNumberFormat="0" applyProtection="0">
      <alignment vertical="center"/>
    </xf>
    <xf numFmtId="0" fontId="21" fillId="35" borderId="44" applyNumberFormat="0" applyProtection="0">
      <alignment horizontal="left" vertical="center" indent="1"/>
    </xf>
    <xf numFmtId="0" fontId="10" fillId="4" borderId="35" applyNumberFormat="0" applyProtection="0">
      <alignment horizontal="left" vertical="top" indent="1"/>
    </xf>
    <xf numFmtId="0" fontId="11" fillId="32" borderId="35" applyNumberFormat="0" applyProtection="0">
      <alignment horizontal="right" vertical="center"/>
    </xf>
    <xf numFmtId="0" fontId="11" fillId="26" borderId="35" applyNumberFormat="0" applyProtection="0">
      <alignment horizontal="left" vertical="top" indent="1"/>
    </xf>
    <xf numFmtId="0" fontId="10" fillId="26" borderId="48" applyNumberFormat="0" applyProtection="0">
      <alignment horizontal="left" vertical="center" indent="1"/>
    </xf>
    <xf numFmtId="0" fontId="11" fillId="29" borderId="43" applyNumberFormat="0" applyProtection="0">
      <alignment horizontal="right" vertical="center"/>
    </xf>
    <xf numFmtId="0" fontId="11" fillId="30" borderId="55" applyNumberFormat="0" applyProtection="0">
      <alignment horizontal="right" vertical="center"/>
    </xf>
    <xf numFmtId="0" fontId="10" fillId="0" borderId="45" applyNumberFormat="0"/>
    <xf numFmtId="0" fontId="11" fillId="27" borderId="55" applyNumberFormat="0" applyProtection="0">
      <alignment horizontal="right" vertical="center"/>
    </xf>
    <xf numFmtId="0" fontId="11" fillId="8" borderId="35" applyNumberFormat="0" applyProtection="0">
      <alignment horizontal="left" vertical="center" indent="1"/>
    </xf>
    <xf numFmtId="0" fontId="21" fillId="35" borderId="34" applyNumberFormat="0" applyProtection="0">
      <alignment horizontal="left" vertical="center" indent="1"/>
    </xf>
    <xf numFmtId="0" fontId="11" fillId="27" borderId="43" applyNumberFormat="0" applyProtection="0">
      <alignment horizontal="right" vertical="center"/>
    </xf>
    <xf numFmtId="0" fontId="10" fillId="6" borderId="35" applyNumberFormat="0" applyProtection="0">
      <alignment horizontal="left" vertical="top" indent="1"/>
    </xf>
    <xf numFmtId="0" fontId="10" fillId="36" borderId="55" applyNumberFormat="0" applyProtection="0">
      <alignment horizontal="left" vertical="center" indent="1"/>
    </xf>
    <xf numFmtId="0" fontId="62" fillId="8" borderId="48" applyNumberFormat="0" applyProtection="0">
      <alignment vertical="center"/>
    </xf>
    <xf numFmtId="0" fontId="62" fillId="8" borderId="48" applyNumberFormat="0" applyProtection="0">
      <alignment vertical="center"/>
    </xf>
    <xf numFmtId="0" fontId="11" fillId="36" borderId="55" applyNumberFormat="0" applyProtection="0">
      <alignment horizontal="right" vertical="center"/>
    </xf>
    <xf numFmtId="0" fontId="21" fillId="25" borderId="35" applyNumberFormat="0" applyProtection="0">
      <alignment vertical="center"/>
    </xf>
    <xf numFmtId="0" fontId="11" fillId="33" borderId="35" applyNumberFormat="0" applyProtection="0">
      <alignment horizontal="right" vertical="center"/>
    </xf>
    <xf numFmtId="0" fontId="21" fillId="25" borderId="35" applyNumberFormat="0" applyProtection="0">
      <alignment horizontal="left" vertical="center" indent="1"/>
    </xf>
    <xf numFmtId="0" fontId="21" fillId="25" borderId="35" applyNumberFormat="0" applyProtection="0">
      <alignment vertical="center"/>
    </xf>
    <xf numFmtId="0" fontId="21" fillId="25" borderId="35" applyNumberFormat="0" applyProtection="0">
      <alignment horizontal="left" vertical="top" indent="1"/>
    </xf>
    <xf numFmtId="0" fontId="11" fillId="26" borderId="35" applyNumberFormat="0" applyProtection="0">
      <alignment horizontal="left" vertical="top" indent="1"/>
    </xf>
    <xf numFmtId="0" fontId="11" fillId="26" borderId="35" applyNumberFormat="0" applyProtection="0">
      <alignment horizontal="left" vertical="center" indent="1"/>
    </xf>
    <xf numFmtId="0" fontId="21" fillId="35" borderId="32" applyNumberFormat="0" applyProtection="0">
      <alignment horizontal="left" vertical="center" indent="1"/>
    </xf>
    <xf numFmtId="0" fontId="10" fillId="36" borderId="55" applyNumberFormat="0" applyProtection="0">
      <alignment horizontal="left" vertical="center" indent="1"/>
    </xf>
    <xf numFmtId="0" fontId="10" fillId="36" borderId="35" applyNumberFormat="0" applyProtection="0">
      <alignment horizontal="left" vertical="top" indent="1"/>
    </xf>
    <xf numFmtId="0" fontId="21" fillId="35" borderId="31" applyNumberFormat="0" applyProtection="0">
      <alignment horizontal="left" vertical="center" indent="1"/>
    </xf>
    <xf numFmtId="0" fontId="20" fillId="36" borderId="35" applyNumberFormat="0" applyProtection="0">
      <alignment horizontal="right" vertical="center"/>
    </xf>
    <xf numFmtId="0" fontId="11" fillId="29" borderId="48" applyNumberFormat="0" applyProtection="0">
      <alignment horizontal="right" vertical="center"/>
    </xf>
    <xf numFmtId="0" fontId="10" fillId="4" borderId="35" applyNumberFormat="0" applyProtection="0">
      <alignment horizontal="left" vertical="center" indent="1"/>
    </xf>
    <xf numFmtId="0" fontId="21" fillId="25" borderId="55" applyNumberFormat="0" applyProtection="0">
      <alignment vertical="center"/>
    </xf>
    <xf numFmtId="0" fontId="20" fillId="36" borderId="53" applyNumberFormat="0" applyProtection="0">
      <alignment horizontal="right" vertical="center"/>
    </xf>
    <xf numFmtId="0" fontId="10" fillId="26" borderId="55" applyNumberFormat="0" applyProtection="0">
      <alignment horizontal="left" vertical="top" indent="1"/>
    </xf>
    <xf numFmtId="4" fontId="7" fillId="0" borderId="40">
      <alignment horizontal="right" vertical="center"/>
    </xf>
    <xf numFmtId="0" fontId="10" fillId="26" borderId="55" applyNumberFormat="0" applyProtection="0">
      <alignment horizontal="left" vertical="top" indent="1"/>
    </xf>
    <xf numFmtId="0" fontId="11" fillId="32" borderId="48" applyNumberFormat="0" applyProtection="0">
      <alignment horizontal="right" vertical="center"/>
    </xf>
    <xf numFmtId="0" fontId="10" fillId="26" borderId="48" applyNumberFormat="0" applyProtection="0">
      <alignment horizontal="left" vertical="top" indent="1"/>
    </xf>
    <xf numFmtId="0" fontId="11" fillId="15" borderId="55" applyNumberFormat="0" applyProtection="0">
      <alignment horizontal="right" vertical="center"/>
    </xf>
    <xf numFmtId="0" fontId="21" fillId="35" borderId="32" applyNumberFormat="0" applyProtection="0">
      <alignment horizontal="left" vertical="center" indent="1"/>
    </xf>
    <xf numFmtId="0" fontId="11" fillId="28" borderId="48" applyNumberFormat="0" applyProtection="0">
      <alignment horizontal="right" vertical="center"/>
    </xf>
    <xf numFmtId="0" fontId="10" fillId="26" borderId="48" applyNumberFormat="0" applyProtection="0">
      <alignment horizontal="left" vertical="top" indent="1"/>
    </xf>
    <xf numFmtId="41" fontId="37" fillId="0" borderId="0" applyFont="0" applyFill="0" applyBorder="0" applyAlignment="0" applyProtection="0"/>
    <xf numFmtId="0" fontId="20" fillId="36" borderId="55" applyNumberFormat="0" applyProtection="0">
      <alignment horizontal="right" vertical="center"/>
    </xf>
    <xf numFmtId="0" fontId="47" fillId="0" borderId="30" applyNumberFormat="0" applyProtection="0"/>
    <xf numFmtId="0" fontId="21" fillId="35" borderId="44" applyNumberFormat="0" applyProtection="0">
      <alignment horizontal="left" vertical="center" indent="1"/>
    </xf>
    <xf numFmtId="0" fontId="11" fillId="8" borderId="48" applyNumberFormat="0" applyProtection="0">
      <alignment horizontal="left" vertical="top" indent="1"/>
    </xf>
    <xf numFmtId="0" fontId="62" fillId="8" borderId="35" applyNumberFormat="0" applyProtection="0">
      <alignment vertical="center"/>
    </xf>
    <xf numFmtId="0" fontId="11" fillId="26" borderId="55" applyNumberFormat="0" applyProtection="0">
      <alignment horizontal="right" vertical="center"/>
    </xf>
    <xf numFmtId="0" fontId="11" fillId="26" borderId="35" applyNumberFormat="0" applyProtection="0">
      <alignment horizontal="left" vertical="center" indent="1"/>
    </xf>
    <xf numFmtId="0" fontId="43" fillId="0" borderId="0"/>
    <xf numFmtId="0" fontId="42" fillId="8" borderId="45" applyNumberFormat="0" applyBorder="0" applyAlignment="0" applyProtection="0"/>
    <xf numFmtId="0" fontId="11" fillId="29" borderId="35" applyNumberFormat="0" applyProtection="0">
      <alignment horizontal="right" vertical="center"/>
    </xf>
    <xf numFmtId="0" fontId="11" fillId="30" borderId="35" applyNumberFormat="0" applyProtection="0">
      <alignment horizontal="right" vertical="center"/>
    </xf>
    <xf numFmtId="0" fontId="11" fillId="27" borderId="35" applyNumberFormat="0" applyProtection="0">
      <alignment horizontal="right" vertical="center"/>
    </xf>
    <xf numFmtId="0" fontId="21" fillId="25" borderId="35" applyNumberFormat="0" applyProtection="0">
      <alignment horizontal="left" vertical="center" indent="1"/>
    </xf>
    <xf numFmtId="0" fontId="11" fillId="26" borderId="35" applyNumberFormat="0" applyProtection="0">
      <alignment horizontal="left" vertical="center" indent="1"/>
    </xf>
    <xf numFmtId="0" fontId="21" fillId="35" borderId="31" applyNumberFormat="0" applyProtection="0">
      <alignment horizontal="left" vertical="center" indent="1"/>
    </xf>
    <xf numFmtId="0" fontId="11" fillId="30" borderId="55" applyNumberFormat="0" applyProtection="0">
      <alignment horizontal="right" vertical="center"/>
    </xf>
    <xf numFmtId="0" fontId="10" fillId="26" borderId="55" applyNumberFormat="0" applyProtection="0">
      <alignment horizontal="left" vertical="top" indent="1"/>
    </xf>
    <xf numFmtId="0" fontId="11" fillId="30" borderId="35" applyNumberFormat="0" applyProtection="0">
      <alignment horizontal="right" vertical="center"/>
    </xf>
    <xf numFmtId="0" fontId="11" fillId="8" borderId="48" applyNumberFormat="0" applyProtection="0">
      <alignment vertical="center"/>
    </xf>
    <xf numFmtId="0" fontId="11" fillId="26" borderId="35" applyNumberFormat="0" applyProtection="0">
      <alignment horizontal="left" vertical="center" indent="1"/>
    </xf>
    <xf numFmtId="0" fontId="10" fillId="26" borderId="55" applyNumberFormat="0" applyProtection="0">
      <alignment horizontal="left" vertical="center" indent="1"/>
    </xf>
    <xf numFmtId="0" fontId="11" fillId="26" borderId="55" applyNumberFormat="0" applyProtection="0">
      <alignment horizontal="left" vertical="center" indent="1"/>
    </xf>
    <xf numFmtId="0" fontId="11" fillId="28" borderId="35" applyNumberFormat="0" applyProtection="0">
      <alignment horizontal="right" vertical="center"/>
    </xf>
    <xf numFmtId="0" fontId="11" fillId="33" borderId="48" applyNumberFormat="0" applyProtection="0">
      <alignment horizontal="right" vertical="center"/>
    </xf>
    <xf numFmtId="0" fontId="21" fillId="35" borderId="39" applyNumberFormat="0" applyProtection="0">
      <alignment horizontal="left" vertical="center" indent="1"/>
    </xf>
    <xf numFmtId="0" fontId="21" fillId="35" borderId="31" applyNumberFormat="0" applyProtection="0">
      <alignment horizontal="left" vertical="center" indent="1"/>
    </xf>
    <xf numFmtId="0" fontId="21" fillId="35" borderId="31" applyNumberFormat="0" applyProtection="0">
      <alignment horizontal="left" vertical="center" indent="1"/>
    </xf>
    <xf numFmtId="0" fontId="10" fillId="6" borderId="35" applyNumberFormat="0" applyProtection="0">
      <alignment horizontal="left" vertical="center" indent="1"/>
    </xf>
    <xf numFmtId="0" fontId="11" fillId="8" borderId="35" applyNumberFormat="0" applyProtection="0">
      <alignment vertical="center"/>
    </xf>
    <xf numFmtId="0" fontId="10" fillId="26" borderId="35" applyNumberFormat="0" applyProtection="0">
      <alignment horizontal="left" vertical="center" indent="1"/>
    </xf>
    <xf numFmtId="0" fontId="21" fillId="35" borderId="34" applyNumberFormat="0" applyProtection="0">
      <alignment horizontal="left" vertical="center" indent="1"/>
    </xf>
    <xf numFmtId="0" fontId="42" fillId="9" borderId="45"/>
    <xf numFmtId="0" fontId="11" fillId="28" borderId="35" applyNumberFormat="0" applyProtection="0">
      <alignment horizontal="right" vertical="center"/>
    </xf>
    <xf numFmtId="0" fontId="60" fillId="25" borderId="35" applyNumberFormat="0" applyProtection="0">
      <alignment vertical="center"/>
    </xf>
    <xf numFmtId="0" fontId="21" fillId="35" borderId="49" applyNumberFormat="0" applyProtection="0">
      <alignment horizontal="left" vertical="center" indent="1"/>
    </xf>
    <xf numFmtId="0" fontId="11" fillId="15" borderId="48" applyNumberFormat="0" applyProtection="0">
      <alignment horizontal="right" vertical="center"/>
    </xf>
    <xf numFmtId="0" fontId="10" fillId="6" borderId="48" applyNumberFormat="0" applyProtection="0">
      <alignment horizontal="left" vertical="center" indent="1"/>
    </xf>
    <xf numFmtId="0" fontId="10" fillId="0" borderId="56" applyNumberFormat="0"/>
    <xf numFmtId="0" fontId="21" fillId="35" borderId="32" applyNumberFormat="0" applyProtection="0">
      <alignment horizontal="left" vertical="center" indent="1"/>
    </xf>
    <xf numFmtId="0" fontId="11" fillId="8" borderId="57" applyNumberFormat="0" applyProtection="0">
      <alignment horizontal="left" vertical="center" indent="1"/>
    </xf>
    <xf numFmtId="0" fontId="11" fillId="15" borderId="43" applyNumberFormat="0" applyProtection="0">
      <alignment horizontal="right" vertical="center"/>
    </xf>
    <xf numFmtId="0" fontId="60" fillId="25" borderId="55" applyNumberFormat="0" applyProtection="0">
      <alignment vertical="center"/>
    </xf>
    <xf numFmtId="0" fontId="10" fillId="26" borderId="53" applyNumberFormat="0" applyProtection="0">
      <alignment horizontal="left" vertical="center" indent="1"/>
    </xf>
    <xf numFmtId="0" fontId="60" fillId="25" borderId="43" applyNumberFormat="0" applyProtection="0">
      <alignment vertical="center"/>
    </xf>
    <xf numFmtId="10" fontId="93" fillId="0" borderId="45" applyAlignment="0"/>
    <xf numFmtId="0" fontId="11" fillId="34" borderId="55" applyNumberFormat="0" applyProtection="0">
      <alignment horizontal="right" vertical="center"/>
    </xf>
    <xf numFmtId="0" fontId="11" fillId="8" borderId="48" applyNumberFormat="0" applyProtection="0">
      <alignment vertical="center"/>
    </xf>
    <xf numFmtId="0" fontId="11" fillId="33" borderId="48" applyNumberFormat="0" applyProtection="0">
      <alignment horizontal="right" vertical="center"/>
    </xf>
    <xf numFmtId="0" fontId="99" fillId="0" borderId="0"/>
    <xf numFmtId="0" fontId="11" fillId="27" borderId="35" applyNumberFormat="0" applyProtection="0">
      <alignment horizontal="right" vertical="center"/>
    </xf>
    <xf numFmtId="0" fontId="21" fillId="25" borderId="35" applyNumberFormat="0" applyProtection="0">
      <alignment horizontal="left" vertical="center" indent="1"/>
    </xf>
    <xf numFmtId="0" fontId="10" fillId="36" borderId="35" applyNumberFormat="0" applyProtection="0">
      <alignment horizontal="left" vertical="top" indent="1"/>
    </xf>
    <xf numFmtId="0" fontId="11" fillId="31" borderId="35" applyNumberFormat="0" applyProtection="0">
      <alignment horizontal="right" vertical="center"/>
    </xf>
    <xf numFmtId="0" fontId="10" fillId="6" borderId="35" applyNumberFormat="0" applyProtection="0">
      <alignment horizontal="left" vertical="center" indent="1"/>
    </xf>
    <xf numFmtId="0" fontId="11" fillId="30" borderId="35" applyNumberFormat="0" applyProtection="0">
      <alignment horizontal="right" vertical="center"/>
    </xf>
    <xf numFmtId="0" fontId="11" fillId="31" borderId="35" applyNumberFormat="0" applyProtection="0">
      <alignment horizontal="right" vertical="center"/>
    </xf>
    <xf numFmtId="0" fontId="21" fillId="25" borderId="35" applyNumberFormat="0" applyProtection="0">
      <alignment vertical="center"/>
    </xf>
    <xf numFmtId="0" fontId="21" fillId="25" borderId="55" applyNumberFormat="0" applyProtection="0">
      <alignment horizontal="left" vertical="center" indent="1"/>
    </xf>
    <xf numFmtId="0" fontId="10" fillId="0" borderId="40" applyNumberFormat="0"/>
    <xf numFmtId="0" fontId="11" fillId="26" borderId="55" applyNumberFormat="0" applyProtection="0">
      <alignment horizontal="left" vertical="center" indent="1"/>
    </xf>
    <xf numFmtId="0" fontId="93" fillId="0" borderId="56" applyAlignment="0"/>
    <xf numFmtId="0" fontId="11" fillId="15" borderId="35" applyNumberFormat="0" applyProtection="0">
      <alignment horizontal="right" vertical="center"/>
    </xf>
    <xf numFmtId="0" fontId="60" fillId="25" borderId="35" applyNumberFormat="0" applyProtection="0">
      <alignment vertical="center"/>
    </xf>
    <xf numFmtId="0" fontId="21" fillId="25" borderId="35" applyNumberFormat="0" applyProtection="0">
      <alignment horizontal="left" vertical="top" indent="1"/>
    </xf>
    <xf numFmtId="0" fontId="10" fillId="4" borderId="35" applyNumberFormat="0" applyProtection="0">
      <alignment horizontal="left" vertical="center" indent="1"/>
    </xf>
    <xf numFmtId="0" fontId="11" fillId="34" borderId="35" applyNumberFormat="0" applyProtection="0">
      <alignment horizontal="right" vertical="center"/>
    </xf>
    <xf numFmtId="0" fontId="10" fillId="4" borderId="35" applyNumberFormat="0" applyProtection="0">
      <alignment horizontal="left" vertical="center" indent="1"/>
    </xf>
    <xf numFmtId="0" fontId="10" fillId="6" borderId="35" applyNumberFormat="0" applyProtection="0">
      <alignment horizontal="left" vertical="top" indent="1"/>
    </xf>
    <xf numFmtId="0" fontId="10" fillId="6" borderId="35" applyNumberFormat="0" applyProtection="0">
      <alignment horizontal="left" vertical="center" indent="1"/>
    </xf>
    <xf numFmtId="0" fontId="11" fillId="26" borderId="48" applyNumberFormat="0" applyProtection="0">
      <alignment horizontal="left" vertical="center" indent="1"/>
    </xf>
    <xf numFmtId="0" fontId="10" fillId="36" borderId="48" applyNumberFormat="0" applyProtection="0">
      <alignment horizontal="left" vertical="center" indent="1"/>
    </xf>
    <xf numFmtId="0" fontId="11" fillId="26" borderId="48" applyNumberFormat="0" applyProtection="0">
      <alignment horizontal="left" vertical="top" indent="1"/>
    </xf>
    <xf numFmtId="0" fontId="10" fillId="36" borderId="43" applyNumberFormat="0" applyProtection="0">
      <alignment horizontal="left" vertical="top" indent="1"/>
    </xf>
    <xf numFmtId="0" fontId="11" fillId="30" borderId="43" applyNumberFormat="0" applyProtection="0">
      <alignment horizontal="right" vertical="center"/>
    </xf>
    <xf numFmtId="0" fontId="7" fillId="0" borderId="40">
      <alignment horizontal="right" vertical="center"/>
    </xf>
    <xf numFmtId="0" fontId="10" fillId="4" borderId="48" applyNumberFormat="0" applyProtection="0">
      <alignment horizontal="left" vertical="top" indent="1"/>
    </xf>
    <xf numFmtId="0" fontId="47" fillId="0" borderId="33" applyNumberFormat="0" applyProtection="0"/>
    <xf numFmtId="0" fontId="21" fillId="35" borderId="39" applyNumberFormat="0" applyProtection="0">
      <alignment horizontal="left" vertical="center" indent="1"/>
    </xf>
    <xf numFmtId="0" fontId="11" fillId="29" borderId="48" applyNumberFormat="0" applyProtection="0">
      <alignment horizontal="right" vertical="center"/>
    </xf>
    <xf numFmtId="0" fontId="99" fillId="0" borderId="40" applyAlignment="0"/>
    <xf numFmtId="0" fontId="11" fillId="29" borderId="48" applyNumberFormat="0" applyProtection="0">
      <alignment horizontal="right" vertical="center"/>
    </xf>
    <xf numFmtId="0" fontId="11" fillId="34" borderId="43" applyNumberFormat="0" applyProtection="0">
      <alignment horizontal="right" vertical="center"/>
    </xf>
    <xf numFmtId="0" fontId="11" fillId="27" borderId="53" applyNumberFormat="0" applyProtection="0">
      <alignment horizontal="right" vertical="center"/>
    </xf>
    <xf numFmtId="0" fontId="11" fillId="34" borderId="43" applyNumberFormat="0" applyProtection="0">
      <alignment horizontal="right" vertical="center"/>
    </xf>
    <xf numFmtId="0" fontId="11" fillId="15" borderId="48" applyNumberFormat="0" applyProtection="0">
      <alignment horizontal="right" vertical="center"/>
    </xf>
    <xf numFmtId="0" fontId="11" fillId="8" borderId="48" applyNumberFormat="0" applyProtection="0">
      <alignment vertical="center"/>
    </xf>
    <xf numFmtId="0" fontId="21" fillId="25" borderId="48" applyNumberFormat="0" applyProtection="0">
      <alignment horizontal="left" vertical="top" indent="1"/>
    </xf>
    <xf numFmtId="0" fontId="93" fillId="0" borderId="45" applyAlignment="0"/>
    <xf numFmtId="0" fontId="99" fillId="0" borderId="56" applyAlignment="0"/>
    <xf numFmtId="0" fontId="20" fillId="36" borderId="55" applyNumberFormat="0" applyProtection="0">
      <alignment horizontal="right" vertical="center"/>
    </xf>
    <xf numFmtId="0" fontId="10" fillId="6" borderId="55" applyNumberFormat="0" applyProtection="0">
      <alignment horizontal="left" vertical="top" indent="1"/>
    </xf>
    <xf numFmtId="0" fontId="11" fillId="26" borderId="55" applyNumberFormat="0" applyProtection="0">
      <alignment horizontal="left" vertical="center" indent="1"/>
    </xf>
    <xf numFmtId="0" fontId="11" fillId="8" borderId="48" applyNumberFormat="0" applyProtection="0">
      <alignment vertical="center"/>
    </xf>
    <xf numFmtId="0" fontId="11" fillId="30" borderId="43" applyNumberFormat="0" applyProtection="0">
      <alignment horizontal="right" vertical="center"/>
    </xf>
    <xf numFmtId="0" fontId="21" fillId="35" borderId="44" applyNumberFormat="0" applyProtection="0">
      <alignment horizontal="left" vertical="center" indent="1"/>
    </xf>
    <xf numFmtId="0" fontId="11" fillId="8" borderId="55" applyNumberFormat="0" applyProtection="0">
      <alignment horizontal="left" vertical="center" indent="1"/>
    </xf>
    <xf numFmtId="0" fontId="11" fillId="27" borderId="48" applyNumberFormat="0" applyProtection="0">
      <alignment horizontal="right" vertical="center"/>
    </xf>
    <xf numFmtId="0" fontId="62" fillId="36" borderId="43" applyNumberFormat="0" applyProtection="0">
      <alignment horizontal="right" vertical="center"/>
    </xf>
    <xf numFmtId="0" fontId="47" fillId="0" borderId="50" applyNumberFormat="0" applyProtection="0"/>
    <xf numFmtId="0" fontId="21" fillId="35" borderId="44" applyNumberFormat="0" applyProtection="0">
      <alignment horizontal="left" vertical="center" indent="1"/>
    </xf>
    <xf numFmtId="0" fontId="10" fillId="4" borderId="43" applyNumberFormat="0" applyProtection="0">
      <alignment horizontal="left" vertical="top" indent="1"/>
    </xf>
    <xf numFmtId="0" fontId="10" fillId="4" borderId="55" applyNumberFormat="0" applyProtection="0">
      <alignment horizontal="left" vertical="center" indent="1"/>
    </xf>
    <xf numFmtId="0" fontId="21" fillId="25" borderId="48" applyNumberFormat="0" applyProtection="0">
      <alignment horizontal="left" vertical="center" indent="1"/>
    </xf>
    <xf numFmtId="0" fontId="62" fillId="36" borderId="55" applyNumberFormat="0" applyProtection="0">
      <alignment horizontal="right" vertical="center"/>
    </xf>
    <xf numFmtId="0" fontId="11" fillId="8" borderId="43" applyNumberFormat="0" applyProtection="0">
      <alignment vertical="center"/>
    </xf>
    <xf numFmtId="0" fontId="47" fillId="0" borderId="36" applyNumberFormat="0" applyProtection="0"/>
    <xf numFmtId="0" fontId="10" fillId="4" borderId="48" applyNumberFormat="0" applyProtection="0">
      <alignment horizontal="left" vertical="top" indent="1"/>
    </xf>
    <xf numFmtId="0" fontId="11" fillId="32" borderId="35" applyNumberFormat="0" applyProtection="0">
      <alignment horizontal="right" vertical="center"/>
    </xf>
    <xf numFmtId="0" fontId="11" fillId="29" borderId="35" applyNumberFormat="0" applyProtection="0">
      <alignment horizontal="right" vertical="center"/>
    </xf>
    <xf numFmtId="0" fontId="11" fillId="33" borderId="35" applyNumberFormat="0" applyProtection="0">
      <alignment horizontal="right" vertical="center"/>
    </xf>
    <xf numFmtId="0" fontId="11" fillId="26" borderId="35" applyNumberFormat="0" applyProtection="0">
      <alignment horizontal="right" vertical="center"/>
    </xf>
    <xf numFmtId="0" fontId="11" fillId="26" borderId="35" applyNumberFormat="0" applyProtection="0">
      <alignment horizontal="right" vertical="center"/>
    </xf>
    <xf numFmtId="0" fontId="10" fillId="26" borderId="35" applyNumberFormat="0" applyProtection="0">
      <alignment horizontal="left" vertical="center" indent="1"/>
    </xf>
    <xf numFmtId="0" fontId="10" fillId="6" borderId="35" applyNumberFormat="0" applyProtection="0">
      <alignment horizontal="left" vertical="top" indent="1"/>
    </xf>
    <xf numFmtId="0" fontId="11" fillId="8" borderId="35" applyNumberFormat="0" applyProtection="0">
      <alignment horizontal="left" vertical="center" indent="1"/>
    </xf>
    <xf numFmtId="0" fontId="62" fillId="36" borderId="35" applyNumberFormat="0" applyProtection="0">
      <alignment horizontal="right" vertical="center"/>
    </xf>
    <xf numFmtId="0" fontId="11" fillId="26" borderId="35" applyNumberFormat="0" applyProtection="0">
      <alignment horizontal="left" vertical="top" indent="1"/>
    </xf>
    <xf numFmtId="0" fontId="93" fillId="0" borderId="45" applyAlignment="0"/>
    <xf numFmtId="0" fontId="11" fillId="28" borderId="35" applyNumberFormat="0" applyProtection="0">
      <alignment horizontal="right" vertical="center"/>
    </xf>
    <xf numFmtId="0" fontId="21" fillId="35" borderId="32" applyNumberFormat="0" applyProtection="0">
      <alignment horizontal="left" vertical="center" indent="1"/>
    </xf>
    <xf numFmtId="0" fontId="11" fillId="31" borderId="48" applyNumberFormat="0" applyProtection="0">
      <alignment horizontal="right" vertical="center"/>
    </xf>
    <xf numFmtId="0" fontId="11" fillId="28" borderId="48" applyNumberFormat="0" applyProtection="0">
      <alignment horizontal="right" vertical="center"/>
    </xf>
    <xf numFmtId="0" fontId="21" fillId="35" borderId="39" applyNumberFormat="0" applyProtection="0">
      <alignment horizontal="left" vertical="center" indent="1"/>
    </xf>
    <xf numFmtId="0" fontId="11" fillId="31" borderId="48" applyNumberFormat="0" applyProtection="0">
      <alignment horizontal="right" vertical="center"/>
    </xf>
    <xf numFmtId="0" fontId="42" fillId="8" borderId="52" applyNumberFormat="0" applyBorder="0" applyAlignment="0" applyProtection="0"/>
    <xf numFmtId="0" fontId="11" fillId="8" borderId="55" applyNumberFormat="0" applyProtection="0">
      <alignment horizontal="left" vertical="top" indent="1"/>
    </xf>
    <xf numFmtId="0" fontId="11" fillId="29" borderId="55" applyNumberFormat="0" applyProtection="0">
      <alignment horizontal="right" vertical="center"/>
    </xf>
    <xf numFmtId="41" fontId="37" fillId="0" borderId="0" applyFont="0" applyFill="0" applyBorder="0" applyAlignment="0" applyProtection="0"/>
    <xf numFmtId="0" fontId="21" fillId="25" borderId="35" applyNumberFormat="0" applyProtection="0">
      <alignment horizontal="left" vertical="top" indent="1"/>
    </xf>
    <xf numFmtId="0" fontId="11" fillId="30" borderId="35" applyNumberFormat="0" applyProtection="0">
      <alignment horizontal="right" vertical="center"/>
    </xf>
    <xf numFmtId="0" fontId="11" fillId="29" borderId="35" applyNumberFormat="0" applyProtection="0">
      <alignment horizontal="right" vertical="center"/>
    </xf>
    <xf numFmtId="0" fontId="11" fillId="15" borderId="35" applyNumberFormat="0" applyProtection="0">
      <alignment horizontal="right" vertical="center"/>
    </xf>
    <xf numFmtId="0" fontId="11" fillId="8" borderId="35" applyNumberFormat="0" applyProtection="0">
      <alignment horizontal="left" vertical="top" indent="1"/>
    </xf>
    <xf numFmtId="0" fontId="10" fillId="36" borderId="35" applyNumberFormat="0" applyProtection="0">
      <alignment horizontal="left" vertical="center" indent="1"/>
    </xf>
    <xf numFmtId="0" fontId="11" fillId="8" borderId="35" applyNumberFormat="0" applyProtection="0">
      <alignment horizontal="left" vertical="center" indent="1"/>
    </xf>
    <xf numFmtId="0" fontId="60" fillId="25" borderId="35" applyNumberFormat="0" applyProtection="0">
      <alignment vertical="center"/>
    </xf>
    <xf numFmtId="0" fontId="10" fillId="6" borderId="35" applyNumberFormat="0" applyProtection="0">
      <alignment horizontal="left" vertical="top" indent="1"/>
    </xf>
    <xf numFmtId="0" fontId="11" fillId="29" borderId="35" applyNumberFormat="0" applyProtection="0">
      <alignment horizontal="right" vertical="center"/>
    </xf>
    <xf numFmtId="0" fontId="10" fillId="26" borderId="35" applyNumberFormat="0" applyProtection="0">
      <alignment horizontal="left" vertical="center" indent="1"/>
    </xf>
    <xf numFmtId="0" fontId="11" fillId="34" borderId="48" applyNumberFormat="0" applyProtection="0">
      <alignment horizontal="right" vertical="center"/>
    </xf>
    <xf numFmtId="0" fontId="11" fillId="8" borderId="35" applyNumberFormat="0" applyProtection="0">
      <alignment vertical="center"/>
    </xf>
    <xf numFmtId="0" fontId="20" fillId="36" borderId="35" applyNumberFormat="0" applyProtection="0">
      <alignment horizontal="right" vertical="center"/>
    </xf>
    <xf numFmtId="0" fontId="48" fillId="23" borderId="45">
      <alignment horizontal="center" vertical="center"/>
    </xf>
    <xf numFmtId="0" fontId="10" fillId="36" borderId="55" applyNumberFormat="0" applyProtection="0">
      <alignment horizontal="left" vertical="top" indent="1"/>
    </xf>
    <xf numFmtId="0" fontId="11" fillId="8" borderId="55" applyNumberFormat="0" applyProtection="0">
      <alignment horizontal="left" vertical="center" indent="1"/>
    </xf>
    <xf numFmtId="4" fontId="93" fillId="0" borderId="40">
      <alignment horizontal="right"/>
    </xf>
    <xf numFmtId="0" fontId="21" fillId="35" borderId="31" applyNumberFormat="0" applyProtection="0">
      <alignment horizontal="left" vertical="center" indent="1"/>
    </xf>
    <xf numFmtId="0" fontId="11" fillId="30" borderId="48" applyNumberFormat="0" applyProtection="0">
      <alignment horizontal="right" vertical="center"/>
    </xf>
    <xf numFmtId="0" fontId="11" fillId="26" borderId="48" applyNumberFormat="0" applyProtection="0">
      <alignment horizontal="right" vertical="center"/>
    </xf>
    <xf numFmtId="0" fontId="21" fillId="35" borderId="44" applyNumberFormat="0" applyProtection="0">
      <alignment horizontal="left" vertical="center" indent="1"/>
    </xf>
    <xf numFmtId="0" fontId="21" fillId="35" borderId="34" applyNumberFormat="0" applyProtection="0">
      <alignment horizontal="left" vertical="center" indent="1"/>
    </xf>
    <xf numFmtId="0" fontId="60" fillId="25" borderId="35" applyNumberFormat="0" applyProtection="0">
      <alignment vertical="center"/>
    </xf>
    <xf numFmtId="10" fontId="93" fillId="0" borderId="40" applyAlignment="0"/>
    <xf numFmtId="0" fontId="10" fillId="6" borderId="35" applyNumberFormat="0" applyProtection="0">
      <alignment horizontal="left" vertical="center" indent="1"/>
    </xf>
    <xf numFmtId="0" fontId="10" fillId="6" borderId="48" applyNumberFormat="0" applyProtection="0">
      <alignment horizontal="left" vertical="top" indent="1"/>
    </xf>
    <xf numFmtId="0" fontId="10" fillId="36" borderId="35" applyNumberFormat="0" applyProtection="0">
      <alignment horizontal="left" vertical="top" indent="1"/>
    </xf>
    <xf numFmtId="0" fontId="11" fillId="32" borderId="35" applyNumberFormat="0" applyProtection="0">
      <alignment horizontal="right" vertical="center"/>
    </xf>
    <xf numFmtId="0" fontId="11" fillId="28" borderId="35" applyNumberFormat="0" applyProtection="0">
      <alignment horizontal="right" vertical="center"/>
    </xf>
    <xf numFmtId="0" fontId="21" fillId="35" borderId="34" applyNumberFormat="0" applyProtection="0">
      <alignment horizontal="left" vertical="center" indent="1"/>
    </xf>
    <xf numFmtId="0" fontId="11" fillId="34" borderId="35" applyNumberFormat="0" applyProtection="0">
      <alignment horizontal="right" vertical="center"/>
    </xf>
    <xf numFmtId="0" fontId="21" fillId="25" borderId="48" applyNumberFormat="0" applyProtection="0">
      <alignment horizontal="left" vertical="top" indent="1"/>
    </xf>
    <xf numFmtId="0" fontId="11" fillId="32" borderId="48" applyNumberFormat="0" applyProtection="0">
      <alignment horizontal="right" vertical="center"/>
    </xf>
    <xf numFmtId="0" fontId="21" fillId="35" borderId="39" applyNumberFormat="0" applyProtection="0">
      <alignment horizontal="left" vertical="center" indent="1"/>
    </xf>
    <xf numFmtId="0" fontId="10" fillId="4" borderId="48" applyNumberFormat="0" applyProtection="0">
      <alignment horizontal="left" vertical="center" indent="1"/>
    </xf>
    <xf numFmtId="0" fontId="21" fillId="35" borderId="39" applyNumberFormat="0" applyProtection="0">
      <alignment horizontal="left" vertical="center" indent="1"/>
    </xf>
    <xf numFmtId="0" fontId="21" fillId="35" borderId="49" applyNumberFormat="0" applyProtection="0">
      <alignment horizontal="left" vertical="center" indent="1"/>
    </xf>
    <xf numFmtId="0" fontId="11" fillId="26" borderId="48" applyNumberFormat="0" applyProtection="0">
      <alignment horizontal="left" vertical="center" indent="1"/>
    </xf>
    <xf numFmtId="0" fontId="11" fillId="8" borderId="35" applyNumberFormat="0" applyProtection="0">
      <alignment horizontal="left" vertical="center" indent="1"/>
    </xf>
    <xf numFmtId="0" fontId="62" fillId="36" borderId="35" applyNumberFormat="0" applyProtection="0">
      <alignment horizontal="right" vertical="center"/>
    </xf>
    <xf numFmtId="0" fontId="10" fillId="26" borderId="35" applyNumberFormat="0" applyProtection="0">
      <alignment horizontal="left" vertical="top" indent="1"/>
    </xf>
    <xf numFmtId="0" fontId="10" fillId="36" borderId="35" applyNumberFormat="0" applyProtection="0">
      <alignment horizontal="left" vertical="center" indent="1"/>
    </xf>
    <xf numFmtId="0" fontId="11" fillId="34" borderId="48" applyNumberFormat="0" applyProtection="0">
      <alignment horizontal="right" vertical="center"/>
    </xf>
    <xf numFmtId="0" fontId="21" fillId="35" borderId="34" applyNumberFormat="0" applyProtection="0">
      <alignment horizontal="left" vertical="center" indent="1"/>
    </xf>
    <xf numFmtId="0" fontId="11" fillId="26" borderId="53" applyNumberFormat="0" applyProtection="0">
      <alignment horizontal="left" vertical="center" indent="1"/>
    </xf>
    <xf numFmtId="0" fontId="11" fillId="27" borderId="35" applyNumberFormat="0" applyProtection="0">
      <alignment horizontal="right" vertical="center"/>
    </xf>
    <xf numFmtId="0" fontId="11" fillId="28" borderId="35" applyNumberFormat="0" applyProtection="0">
      <alignment horizontal="right" vertical="center"/>
    </xf>
    <xf numFmtId="0" fontId="10" fillId="6" borderId="48" applyNumberFormat="0" applyProtection="0">
      <alignment horizontal="left" vertical="top" indent="1"/>
    </xf>
    <xf numFmtId="0" fontId="48" fillId="23" borderId="45">
      <alignment horizontal="center" vertical="center"/>
    </xf>
    <xf numFmtId="0" fontId="47" fillId="0" borderId="47">
      <alignment horizontal="left" vertical="center"/>
    </xf>
    <xf numFmtId="0" fontId="10" fillId="36" borderId="48" applyNumberFormat="0" applyProtection="0">
      <alignment horizontal="left" vertical="top" indent="1"/>
    </xf>
    <xf numFmtId="0" fontId="11" fillId="26" borderId="48" applyNumberFormat="0" applyProtection="0">
      <alignment horizontal="left" vertical="center" indent="1"/>
    </xf>
    <xf numFmtId="0" fontId="11" fillId="29" borderId="35" applyNumberFormat="0" applyProtection="0">
      <alignment horizontal="right" vertical="center"/>
    </xf>
    <xf numFmtId="0" fontId="11" fillId="26" borderId="35" applyNumberFormat="0" applyProtection="0">
      <alignment horizontal="right" vertical="center"/>
    </xf>
    <xf numFmtId="0" fontId="11" fillId="34" borderId="35" applyNumberFormat="0" applyProtection="0">
      <alignment horizontal="right" vertical="center"/>
    </xf>
    <xf numFmtId="0" fontId="11" fillId="27" borderId="35" applyNumberFormat="0" applyProtection="0">
      <alignment horizontal="right" vertical="center"/>
    </xf>
    <xf numFmtId="0" fontId="60" fillId="25" borderId="35" applyNumberFormat="0" applyProtection="0">
      <alignment vertical="center"/>
    </xf>
    <xf numFmtId="0" fontId="11" fillId="15" borderId="35" applyNumberFormat="0" applyProtection="0">
      <alignment horizontal="right" vertical="center"/>
    </xf>
    <xf numFmtId="0" fontId="11" fillId="26" borderId="35" applyNumberFormat="0" applyProtection="0">
      <alignment horizontal="left" vertical="top" indent="1"/>
    </xf>
    <xf numFmtId="0" fontId="11" fillId="8" borderId="35" applyNumberFormat="0" applyProtection="0">
      <alignment vertical="center"/>
    </xf>
    <xf numFmtId="0" fontId="10" fillId="26" borderId="35" applyNumberFormat="0" applyProtection="0">
      <alignment horizontal="left" vertical="center" indent="1"/>
    </xf>
    <xf numFmtId="0" fontId="11" fillId="8" borderId="35" applyNumberFormat="0" applyProtection="0">
      <alignment horizontal="left" vertical="top" indent="1"/>
    </xf>
    <xf numFmtId="0" fontId="11" fillId="33" borderId="35" applyNumberFormat="0" applyProtection="0">
      <alignment horizontal="right" vertical="center"/>
    </xf>
    <xf numFmtId="0" fontId="11" fillId="26" borderId="35" applyNumberFormat="0" applyProtection="0">
      <alignment horizontal="left" vertical="top" indent="1"/>
    </xf>
    <xf numFmtId="0" fontId="21" fillId="25" borderId="35" applyNumberFormat="0" applyProtection="0">
      <alignment vertical="center"/>
    </xf>
    <xf numFmtId="0" fontId="11" fillId="8" borderId="35" applyNumberFormat="0" applyProtection="0">
      <alignment horizontal="left" vertical="top" indent="1"/>
    </xf>
    <xf numFmtId="0" fontId="11" fillId="8" borderId="35" applyNumberFormat="0" applyProtection="0">
      <alignment vertical="center"/>
    </xf>
    <xf numFmtId="0" fontId="62" fillId="8" borderId="35" applyNumberFormat="0" applyProtection="0">
      <alignment vertical="center"/>
    </xf>
    <xf numFmtId="0" fontId="11" fillId="8" borderId="35" applyNumberFormat="0" applyProtection="0">
      <alignment horizontal="left" vertical="top" indent="1"/>
    </xf>
    <xf numFmtId="0" fontId="11" fillId="8" borderId="55" applyNumberFormat="0" applyProtection="0">
      <alignment horizontal="left" vertical="top" indent="1"/>
    </xf>
    <xf numFmtId="0" fontId="11" fillId="26" borderId="48" applyNumberFormat="0" applyProtection="0">
      <alignment horizontal="right" vertical="center"/>
    </xf>
    <xf numFmtId="10" fontId="93" fillId="0" borderId="40" applyAlignment="0"/>
    <xf numFmtId="0" fontId="93" fillId="0" borderId="45" applyAlignment="0"/>
    <xf numFmtId="0" fontId="11" fillId="15" borderId="35" applyNumberFormat="0" applyProtection="0">
      <alignment horizontal="right" vertical="center"/>
    </xf>
    <xf numFmtId="0" fontId="10" fillId="6" borderId="48" applyNumberFormat="0" applyProtection="0">
      <alignment horizontal="left" vertical="center" indent="1"/>
    </xf>
    <xf numFmtId="0" fontId="43" fillId="0" borderId="0"/>
    <xf numFmtId="0" fontId="10" fillId="4" borderId="53" applyNumberFormat="0" applyProtection="0">
      <alignment horizontal="left" vertical="top" indent="1"/>
    </xf>
    <xf numFmtId="41" fontId="37" fillId="0" borderId="0" applyFont="0" applyFill="0" applyBorder="0" applyAlignment="0" applyProtection="0"/>
    <xf numFmtId="0" fontId="11" fillId="28" borderId="48" applyNumberFormat="0" applyProtection="0">
      <alignment horizontal="right" vertical="center"/>
    </xf>
    <xf numFmtId="0" fontId="11" fillId="36" borderId="48" applyNumberFormat="0" applyProtection="0">
      <alignment horizontal="right" vertical="center"/>
    </xf>
    <xf numFmtId="0" fontId="10" fillId="26" borderId="35" applyNumberFormat="0" applyProtection="0">
      <alignment horizontal="left" vertical="top" indent="1"/>
    </xf>
    <xf numFmtId="0" fontId="11" fillId="15" borderId="35" applyNumberFormat="0" applyProtection="0">
      <alignment horizontal="right" vertical="center"/>
    </xf>
    <xf numFmtId="0" fontId="21" fillId="25" borderId="35" applyNumberFormat="0" applyProtection="0">
      <alignment horizontal="left" vertical="center" indent="1"/>
    </xf>
    <xf numFmtId="0" fontId="11" fillId="34" borderId="35" applyNumberFormat="0" applyProtection="0">
      <alignment horizontal="right" vertical="center"/>
    </xf>
    <xf numFmtId="0" fontId="11" fillId="36" borderId="35" applyNumberFormat="0" applyProtection="0">
      <alignment horizontal="right" vertical="center"/>
    </xf>
    <xf numFmtId="0" fontId="10" fillId="6" borderId="35" applyNumberFormat="0" applyProtection="0">
      <alignment horizontal="left" vertical="top" indent="1"/>
    </xf>
    <xf numFmtId="0" fontId="11" fillId="8" borderId="35" applyNumberFormat="0" applyProtection="0">
      <alignment horizontal="left" vertical="top" indent="1"/>
    </xf>
    <xf numFmtId="0" fontId="10" fillId="4" borderId="35" applyNumberFormat="0" applyProtection="0">
      <alignment horizontal="left" vertical="top" indent="1"/>
    </xf>
    <xf numFmtId="0" fontId="11" fillId="8" borderId="35" applyNumberFormat="0" applyProtection="0">
      <alignment horizontal="left" vertical="center" indent="1"/>
    </xf>
    <xf numFmtId="0" fontId="10" fillId="26" borderId="35" applyNumberFormat="0" applyProtection="0">
      <alignment horizontal="left" vertical="center" indent="1"/>
    </xf>
    <xf numFmtId="0" fontId="21" fillId="25" borderId="48" applyNumberFormat="0" applyProtection="0">
      <alignment horizontal="left" vertical="top" indent="1"/>
    </xf>
    <xf numFmtId="0" fontId="11" fillId="26" borderId="35" applyNumberFormat="0" applyProtection="0">
      <alignment horizontal="left" vertical="top" indent="1"/>
    </xf>
    <xf numFmtId="0" fontId="21" fillId="25" borderId="43" applyNumberFormat="0" applyProtection="0">
      <alignment horizontal="left" vertical="center" indent="1"/>
    </xf>
    <xf numFmtId="0" fontId="11" fillId="26" borderId="35" applyNumberFormat="0" applyProtection="0">
      <alignment horizontal="right" vertical="center"/>
    </xf>
    <xf numFmtId="0" fontId="11" fillId="26" borderId="48" applyNumberFormat="0" applyProtection="0">
      <alignment horizontal="right" vertical="center"/>
    </xf>
    <xf numFmtId="0" fontId="10" fillId="36" borderId="48" applyNumberFormat="0" applyProtection="0">
      <alignment horizontal="left" vertical="top" indent="1"/>
    </xf>
    <xf numFmtId="0" fontId="21" fillId="25" borderId="48" applyNumberFormat="0" applyProtection="0">
      <alignment horizontal="left" vertical="center" indent="1"/>
    </xf>
    <xf numFmtId="0" fontId="21" fillId="25" borderId="55" applyNumberFormat="0" applyProtection="0">
      <alignment horizontal="left" vertical="center" indent="1"/>
    </xf>
    <xf numFmtId="0" fontId="21" fillId="25" borderId="35" applyNumberFormat="0" applyProtection="0">
      <alignment horizontal="left" vertical="top" indent="1"/>
    </xf>
    <xf numFmtId="0" fontId="11" fillId="33" borderId="35" applyNumberFormat="0" applyProtection="0">
      <alignment horizontal="right" vertical="center"/>
    </xf>
    <xf numFmtId="0" fontId="10" fillId="4" borderId="35" applyNumberFormat="0" applyProtection="0">
      <alignment horizontal="left" vertical="center" indent="1"/>
    </xf>
    <xf numFmtId="0" fontId="11" fillId="30" borderId="48" applyNumberFormat="0" applyProtection="0">
      <alignment horizontal="right" vertical="center"/>
    </xf>
    <xf numFmtId="0" fontId="11" fillId="26" borderId="35" applyNumberFormat="0" applyProtection="0">
      <alignment horizontal="right" vertical="center"/>
    </xf>
    <xf numFmtId="0" fontId="11" fillId="26" borderId="48" applyNumberFormat="0" applyProtection="0">
      <alignment horizontal="left" vertical="center" indent="1"/>
    </xf>
    <xf numFmtId="0" fontId="11" fillId="34" borderId="48" applyNumberFormat="0" applyProtection="0">
      <alignment horizontal="right" vertical="center"/>
    </xf>
    <xf numFmtId="0" fontId="10" fillId="36" borderId="35" applyNumberFormat="0" applyProtection="0">
      <alignment horizontal="left" vertical="top" indent="1"/>
    </xf>
    <xf numFmtId="0" fontId="10" fillId="0" borderId="45" applyNumberFormat="0"/>
    <xf numFmtId="0" fontId="10" fillId="26" borderId="35" applyNumberFormat="0" applyProtection="0">
      <alignment horizontal="left" vertical="top" indent="1"/>
    </xf>
    <xf numFmtId="0" fontId="11" fillId="33" borderId="35" applyNumberFormat="0" applyProtection="0">
      <alignment horizontal="right" vertical="center"/>
    </xf>
    <xf numFmtId="0" fontId="11" fillId="34" borderId="55" applyNumberFormat="0" applyProtection="0">
      <alignment horizontal="right" vertical="center"/>
    </xf>
    <xf numFmtId="0" fontId="10" fillId="4" borderId="35" applyNumberFormat="0" applyProtection="0">
      <alignment horizontal="left" vertical="top" indent="1"/>
    </xf>
    <xf numFmtId="0" fontId="11" fillId="31" borderId="35" applyNumberFormat="0" applyProtection="0">
      <alignment horizontal="right" vertical="center"/>
    </xf>
    <xf numFmtId="0" fontId="10" fillId="26" borderId="48" applyNumberFormat="0" applyProtection="0">
      <alignment horizontal="left" vertical="top" indent="1"/>
    </xf>
    <xf numFmtId="0" fontId="10" fillId="26" borderId="43" applyNumberFormat="0" applyProtection="0">
      <alignment horizontal="left" vertical="top" indent="1"/>
    </xf>
    <xf numFmtId="0" fontId="42" fillId="9" borderId="52"/>
    <xf numFmtId="0" fontId="21" fillId="25" borderId="35" applyNumberFormat="0" applyProtection="0">
      <alignment vertical="center"/>
    </xf>
    <xf numFmtId="0" fontId="21" fillId="25" borderId="35" applyNumberFormat="0" applyProtection="0">
      <alignment vertical="center"/>
    </xf>
    <xf numFmtId="0" fontId="21" fillId="25" borderId="35" applyNumberFormat="0" applyProtection="0">
      <alignment vertical="center"/>
    </xf>
    <xf numFmtId="0" fontId="21" fillId="25" borderId="35" applyNumberFormat="0" applyProtection="0">
      <alignment vertical="center"/>
    </xf>
    <xf numFmtId="0" fontId="60" fillId="25" borderId="35" applyNumberFormat="0" applyProtection="0">
      <alignment vertical="center"/>
    </xf>
    <xf numFmtId="0" fontId="60" fillId="25" borderId="35" applyNumberFormat="0" applyProtection="0">
      <alignment vertical="center"/>
    </xf>
    <xf numFmtId="0" fontId="60" fillId="25" borderId="35" applyNumberFormat="0" applyProtection="0">
      <alignment vertical="center"/>
    </xf>
    <xf numFmtId="0" fontId="60" fillId="25" borderId="35" applyNumberFormat="0" applyProtection="0">
      <alignment vertical="center"/>
    </xf>
    <xf numFmtId="0" fontId="21" fillId="25" borderId="35" applyNumberFormat="0" applyProtection="0">
      <alignment horizontal="left" vertical="center" indent="1"/>
    </xf>
    <xf numFmtId="0" fontId="21" fillId="25" borderId="35" applyNumberFormat="0" applyProtection="0">
      <alignment horizontal="left" vertical="center" indent="1"/>
    </xf>
    <xf numFmtId="0" fontId="21" fillId="25" borderId="35" applyNumberFormat="0" applyProtection="0">
      <alignment horizontal="left" vertical="center" indent="1"/>
    </xf>
    <xf numFmtId="0" fontId="21" fillId="25" borderId="35" applyNumberFormat="0" applyProtection="0">
      <alignment horizontal="left" vertical="center" indent="1"/>
    </xf>
    <xf numFmtId="0" fontId="21" fillId="25" borderId="35" applyNumberFormat="0" applyProtection="0">
      <alignment horizontal="left" vertical="top" indent="1"/>
    </xf>
    <xf numFmtId="0" fontId="21" fillId="25" borderId="35" applyNumberFormat="0" applyProtection="0">
      <alignment horizontal="left" vertical="top" indent="1"/>
    </xf>
    <xf numFmtId="0" fontId="21" fillId="25" borderId="35" applyNumberFormat="0" applyProtection="0">
      <alignment horizontal="left" vertical="top" indent="1"/>
    </xf>
    <xf numFmtId="0" fontId="21" fillId="25" borderId="35" applyNumberFormat="0" applyProtection="0">
      <alignment horizontal="left" vertical="top" indent="1"/>
    </xf>
    <xf numFmtId="0" fontId="11" fillId="27" borderId="35" applyNumberFormat="0" applyProtection="0">
      <alignment horizontal="right" vertical="center"/>
    </xf>
    <xf numFmtId="0" fontId="11" fillId="27" borderId="35" applyNumberFormat="0" applyProtection="0">
      <alignment horizontal="right" vertical="center"/>
    </xf>
    <xf numFmtId="0" fontId="11" fillId="27" borderId="35" applyNumberFormat="0" applyProtection="0">
      <alignment horizontal="right" vertical="center"/>
    </xf>
    <xf numFmtId="0" fontId="11" fillId="27" borderId="35" applyNumberFormat="0" applyProtection="0">
      <alignment horizontal="right" vertical="center"/>
    </xf>
    <xf numFmtId="0" fontId="11" fillId="28" borderId="35" applyNumberFormat="0" applyProtection="0">
      <alignment horizontal="right" vertical="center"/>
    </xf>
    <xf numFmtId="0" fontId="11" fillId="28" borderId="35" applyNumberFormat="0" applyProtection="0">
      <alignment horizontal="right" vertical="center"/>
    </xf>
    <xf numFmtId="0" fontId="11" fillId="28" borderId="35" applyNumberFormat="0" applyProtection="0">
      <alignment horizontal="right" vertical="center"/>
    </xf>
    <xf numFmtId="0" fontId="11" fillId="28" borderId="35" applyNumberFormat="0" applyProtection="0">
      <alignment horizontal="right" vertical="center"/>
    </xf>
    <xf numFmtId="0" fontId="11" fillId="29" borderId="35" applyNumberFormat="0" applyProtection="0">
      <alignment horizontal="right" vertical="center"/>
    </xf>
    <xf numFmtId="0" fontId="11" fillId="29" borderId="35" applyNumberFormat="0" applyProtection="0">
      <alignment horizontal="right" vertical="center"/>
    </xf>
    <xf numFmtId="0" fontId="11" fillId="29" borderId="35" applyNumberFormat="0" applyProtection="0">
      <alignment horizontal="right" vertical="center"/>
    </xf>
    <xf numFmtId="0" fontId="11" fillId="29" borderId="35" applyNumberFormat="0" applyProtection="0">
      <alignment horizontal="right" vertical="center"/>
    </xf>
    <xf numFmtId="0" fontId="11" fillId="30" borderId="35" applyNumberFormat="0" applyProtection="0">
      <alignment horizontal="right" vertical="center"/>
    </xf>
    <xf numFmtId="0" fontId="11" fillId="30" borderId="35" applyNumberFormat="0" applyProtection="0">
      <alignment horizontal="right" vertical="center"/>
    </xf>
    <xf numFmtId="0" fontId="11" fillId="30" borderId="35" applyNumberFormat="0" applyProtection="0">
      <alignment horizontal="right" vertical="center"/>
    </xf>
    <xf numFmtId="0" fontId="11" fillId="30" borderId="35" applyNumberFormat="0" applyProtection="0">
      <alignment horizontal="right" vertical="center"/>
    </xf>
    <xf numFmtId="0" fontId="11" fillId="15" borderId="35" applyNumberFormat="0" applyProtection="0">
      <alignment horizontal="right" vertical="center"/>
    </xf>
    <xf numFmtId="0" fontId="11" fillId="15" borderId="35" applyNumberFormat="0" applyProtection="0">
      <alignment horizontal="right" vertical="center"/>
    </xf>
    <xf numFmtId="0" fontId="11" fillId="15" borderId="35" applyNumberFormat="0" applyProtection="0">
      <alignment horizontal="right" vertical="center"/>
    </xf>
    <xf numFmtId="0" fontId="11" fillId="15" borderId="35" applyNumberFormat="0" applyProtection="0">
      <alignment horizontal="right" vertical="center"/>
    </xf>
    <xf numFmtId="0" fontId="11" fillId="31" borderId="35" applyNumberFormat="0" applyProtection="0">
      <alignment horizontal="right" vertical="center"/>
    </xf>
    <xf numFmtId="0" fontId="11" fillId="31" borderId="35" applyNumberFormat="0" applyProtection="0">
      <alignment horizontal="right" vertical="center"/>
    </xf>
    <xf numFmtId="0" fontId="11" fillId="31" borderId="35" applyNumberFormat="0" applyProtection="0">
      <alignment horizontal="right" vertical="center"/>
    </xf>
    <xf numFmtId="0" fontId="11" fillId="31" borderId="35" applyNumberFormat="0" applyProtection="0">
      <alignment horizontal="right" vertical="center"/>
    </xf>
    <xf numFmtId="0" fontId="11" fillId="32" borderId="35" applyNumberFormat="0" applyProtection="0">
      <alignment horizontal="right" vertical="center"/>
    </xf>
    <xf numFmtId="0" fontId="11" fillId="32" borderId="35" applyNumberFormat="0" applyProtection="0">
      <alignment horizontal="right" vertical="center"/>
    </xf>
    <xf numFmtId="0" fontId="11" fillId="32" borderId="35" applyNumberFormat="0" applyProtection="0">
      <alignment horizontal="right" vertical="center"/>
    </xf>
    <xf numFmtId="0" fontId="11" fillId="32" borderId="35" applyNumberFormat="0" applyProtection="0">
      <alignment horizontal="right" vertical="center"/>
    </xf>
    <xf numFmtId="0" fontId="11" fillId="33" borderId="35" applyNumberFormat="0" applyProtection="0">
      <alignment horizontal="right" vertical="center"/>
    </xf>
    <xf numFmtId="0" fontId="11" fillId="33" borderId="35" applyNumberFormat="0" applyProtection="0">
      <alignment horizontal="right" vertical="center"/>
    </xf>
    <xf numFmtId="0" fontId="11" fillId="33" borderId="35" applyNumberFormat="0" applyProtection="0">
      <alignment horizontal="right" vertical="center"/>
    </xf>
    <xf numFmtId="0" fontId="11" fillId="33" borderId="35" applyNumberFormat="0" applyProtection="0">
      <alignment horizontal="right" vertical="center"/>
    </xf>
    <xf numFmtId="0" fontId="11" fillId="34" borderId="35" applyNumberFormat="0" applyProtection="0">
      <alignment horizontal="right" vertical="center"/>
    </xf>
    <xf numFmtId="0" fontId="11" fillId="34" borderId="35" applyNumberFormat="0" applyProtection="0">
      <alignment horizontal="right" vertical="center"/>
    </xf>
    <xf numFmtId="0" fontId="11" fillId="34" borderId="35" applyNumberFormat="0" applyProtection="0">
      <alignment horizontal="right" vertical="center"/>
    </xf>
    <xf numFmtId="0" fontId="11" fillId="34" borderId="35" applyNumberFormat="0" applyProtection="0">
      <alignment horizontal="right" vertical="center"/>
    </xf>
    <xf numFmtId="0" fontId="11" fillId="26" borderId="35" applyNumberFormat="0" applyProtection="0">
      <alignment horizontal="right" vertical="center"/>
    </xf>
    <xf numFmtId="0" fontId="11" fillId="26" borderId="35" applyNumberFormat="0" applyProtection="0">
      <alignment horizontal="right" vertical="center"/>
    </xf>
    <xf numFmtId="0" fontId="11" fillId="26" borderId="35" applyNumberFormat="0" applyProtection="0">
      <alignment horizontal="right" vertical="center"/>
    </xf>
    <xf numFmtId="0" fontId="11" fillId="26" borderId="35" applyNumberFormat="0" applyProtection="0">
      <alignment horizontal="right" vertical="center"/>
    </xf>
    <xf numFmtId="0" fontId="10" fillId="4" borderId="35" applyNumberFormat="0" applyProtection="0">
      <alignment horizontal="left" vertical="center" indent="1"/>
    </xf>
    <xf numFmtId="0" fontId="10" fillId="4" borderId="35" applyNumberFormat="0" applyProtection="0">
      <alignment horizontal="left" vertical="center" indent="1"/>
    </xf>
    <xf numFmtId="0" fontId="10" fillId="4" borderId="35" applyNumberFormat="0" applyProtection="0">
      <alignment horizontal="left" vertical="center" indent="1"/>
    </xf>
    <xf numFmtId="0" fontId="10" fillId="4" borderId="35" applyNumberFormat="0" applyProtection="0">
      <alignment horizontal="left" vertical="center" indent="1"/>
    </xf>
    <xf numFmtId="0" fontId="10" fillId="4" borderId="35" applyNumberFormat="0" applyProtection="0">
      <alignment horizontal="left" vertical="top" indent="1"/>
    </xf>
    <xf numFmtId="0" fontId="10" fillId="4" borderId="35" applyNumberFormat="0" applyProtection="0">
      <alignment horizontal="left" vertical="top" indent="1"/>
    </xf>
    <xf numFmtId="0" fontId="10" fillId="4" borderId="35" applyNumberFormat="0" applyProtection="0">
      <alignment horizontal="left" vertical="top" indent="1"/>
    </xf>
    <xf numFmtId="0" fontId="10" fillId="4" borderId="35" applyNumberFormat="0" applyProtection="0">
      <alignment horizontal="left" vertical="top" indent="1"/>
    </xf>
    <xf numFmtId="0" fontId="10" fillId="26" borderId="35" applyNumberFormat="0" applyProtection="0">
      <alignment horizontal="left" vertical="center" indent="1"/>
    </xf>
    <xf numFmtId="0" fontId="10" fillId="26" borderId="35" applyNumberFormat="0" applyProtection="0">
      <alignment horizontal="left" vertical="center" indent="1"/>
    </xf>
    <xf numFmtId="0" fontId="10" fillId="26" borderId="35" applyNumberFormat="0" applyProtection="0">
      <alignment horizontal="left" vertical="center" indent="1"/>
    </xf>
    <xf numFmtId="0" fontId="10" fillId="26" borderId="35" applyNumberFormat="0" applyProtection="0">
      <alignment horizontal="left" vertical="center" indent="1"/>
    </xf>
    <xf numFmtId="0" fontId="10" fillId="26" borderId="35" applyNumberFormat="0" applyProtection="0">
      <alignment horizontal="left" vertical="top" indent="1"/>
    </xf>
    <xf numFmtId="0" fontId="10" fillId="26" borderId="35" applyNumberFormat="0" applyProtection="0">
      <alignment horizontal="left" vertical="top" indent="1"/>
    </xf>
    <xf numFmtId="0" fontId="10" fillId="26" borderId="35" applyNumberFormat="0" applyProtection="0">
      <alignment horizontal="left" vertical="top" indent="1"/>
    </xf>
    <xf numFmtId="0" fontId="10" fillId="26" borderId="35" applyNumberFormat="0" applyProtection="0">
      <alignment horizontal="left" vertical="top" indent="1"/>
    </xf>
    <xf numFmtId="0" fontId="10" fillId="6" borderId="35" applyNumberFormat="0" applyProtection="0">
      <alignment horizontal="left" vertical="center" indent="1"/>
    </xf>
    <xf numFmtId="0" fontId="10" fillId="6" borderId="35" applyNumberFormat="0" applyProtection="0">
      <alignment horizontal="left" vertical="center" indent="1"/>
    </xf>
    <xf numFmtId="0" fontId="10" fillId="6" borderId="35" applyNumberFormat="0" applyProtection="0">
      <alignment horizontal="left" vertical="center" indent="1"/>
    </xf>
    <xf numFmtId="0" fontId="10" fillId="6" borderId="35" applyNumberFormat="0" applyProtection="0">
      <alignment horizontal="left" vertical="center" indent="1"/>
    </xf>
    <xf numFmtId="0" fontId="10" fillId="6" borderId="35" applyNumberFormat="0" applyProtection="0">
      <alignment horizontal="left" vertical="top" indent="1"/>
    </xf>
    <xf numFmtId="0" fontId="10" fillId="6" borderId="35" applyNumberFormat="0" applyProtection="0">
      <alignment horizontal="left" vertical="top" indent="1"/>
    </xf>
    <xf numFmtId="0" fontId="10" fillId="6" borderId="35" applyNumberFormat="0" applyProtection="0">
      <alignment horizontal="left" vertical="top" indent="1"/>
    </xf>
    <xf numFmtId="0" fontId="10" fillId="6" borderId="35" applyNumberFormat="0" applyProtection="0">
      <alignment horizontal="left" vertical="top" indent="1"/>
    </xf>
    <xf numFmtId="0" fontId="10" fillId="36" borderId="35" applyNumberFormat="0" applyProtection="0">
      <alignment horizontal="left" vertical="center" indent="1"/>
    </xf>
    <xf numFmtId="0" fontId="10" fillId="36" borderId="35" applyNumberFormat="0" applyProtection="0">
      <alignment horizontal="left" vertical="center" indent="1"/>
    </xf>
    <xf numFmtId="0" fontId="10" fillId="36" borderId="35" applyNumberFormat="0" applyProtection="0">
      <alignment horizontal="left" vertical="center" indent="1"/>
    </xf>
    <xf numFmtId="0" fontId="10" fillId="36" borderId="35" applyNumberFormat="0" applyProtection="0">
      <alignment horizontal="left" vertical="center" indent="1"/>
    </xf>
    <xf numFmtId="0" fontId="10" fillId="36" borderId="35" applyNumberFormat="0" applyProtection="0">
      <alignment horizontal="left" vertical="top" indent="1"/>
    </xf>
    <xf numFmtId="0" fontId="10" fillId="36" borderId="35" applyNumberFormat="0" applyProtection="0">
      <alignment horizontal="left" vertical="top" indent="1"/>
    </xf>
    <xf numFmtId="0" fontId="10" fillId="36" borderId="35" applyNumberFormat="0" applyProtection="0">
      <alignment horizontal="left" vertical="top" indent="1"/>
    </xf>
    <xf numFmtId="0" fontId="10" fillId="36" borderId="35" applyNumberFormat="0" applyProtection="0">
      <alignment horizontal="left" vertical="top" indent="1"/>
    </xf>
    <xf numFmtId="0" fontId="11" fillId="8" borderId="35" applyNumberFormat="0" applyProtection="0">
      <alignment vertical="center"/>
    </xf>
    <xf numFmtId="0" fontId="11" fillId="8" borderId="35" applyNumberFormat="0" applyProtection="0">
      <alignment vertical="center"/>
    </xf>
    <xf numFmtId="0" fontId="11" fillId="8" borderId="35" applyNumberFormat="0" applyProtection="0">
      <alignment vertical="center"/>
    </xf>
    <xf numFmtId="0" fontId="11" fillId="8" borderId="35" applyNumberFormat="0" applyProtection="0">
      <alignment vertical="center"/>
    </xf>
    <xf numFmtId="0" fontId="62" fillId="8" borderId="35" applyNumberFormat="0" applyProtection="0">
      <alignment vertical="center"/>
    </xf>
    <xf numFmtId="0" fontId="62" fillId="8" borderId="35" applyNumberFormat="0" applyProtection="0">
      <alignment vertical="center"/>
    </xf>
    <xf numFmtId="0" fontId="62" fillId="8" borderId="35" applyNumberFormat="0" applyProtection="0">
      <alignment vertical="center"/>
    </xf>
    <xf numFmtId="0" fontId="62" fillId="8" borderId="35" applyNumberFormat="0" applyProtection="0">
      <alignment vertical="center"/>
    </xf>
    <xf numFmtId="0" fontId="11" fillId="8" borderId="35" applyNumberFormat="0" applyProtection="0">
      <alignment horizontal="left" vertical="center" indent="1"/>
    </xf>
    <xf numFmtId="0" fontId="11" fillId="8" borderId="35" applyNumberFormat="0" applyProtection="0">
      <alignment horizontal="left" vertical="center" indent="1"/>
    </xf>
    <xf numFmtId="0" fontId="11" fillId="8" borderId="35" applyNumberFormat="0" applyProtection="0">
      <alignment horizontal="left" vertical="center" indent="1"/>
    </xf>
    <xf numFmtId="0" fontId="11" fillId="8" borderId="35" applyNumberFormat="0" applyProtection="0">
      <alignment horizontal="left" vertical="center" indent="1"/>
    </xf>
    <xf numFmtId="0" fontId="11" fillId="8" borderId="35" applyNumberFormat="0" applyProtection="0">
      <alignment horizontal="left" vertical="top" indent="1"/>
    </xf>
    <xf numFmtId="0" fontId="11" fillId="8" borderId="35" applyNumberFormat="0" applyProtection="0">
      <alignment horizontal="left" vertical="top" indent="1"/>
    </xf>
    <xf numFmtId="0" fontId="11" fillId="8" borderId="35" applyNumberFormat="0" applyProtection="0">
      <alignment horizontal="left" vertical="top" indent="1"/>
    </xf>
    <xf numFmtId="0" fontId="11" fillId="8" borderId="35" applyNumberFormat="0" applyProtection="0">
      <alignment horizontal="left" vertical="top" indent="1"/>
    </xf>
    <xf numFmtId="0" fontId="11" fillId="36" borderId="35" applyNumberFormat="0" applyProtection="0">
      <alignment horizontal="right" vertical="center"/>
    </xf>
    <xf numFmtId="0" fontId="11" fillId="36" borderId="35" applyNumberFormat="0" applyProtection="0">
      <alignment horizontal="right" vertical="center"/>
    </xf>
    <xf numFmtId="0" fontId="11" fillId="36" borderId="35" applyNumberFormat="0" applyProtection="0">
      <alignment horizontal="right" vertical="center"/>
    </xf>
    <xf numFmtId="0" fontId="11" fillId="36" borderId="35" applyNumberFormat="0" applyProtection="0">
      <alignment horizontal="right" vertical="center"/>
    </xf>
    <xf numFmtId="0" fontId="62" fillId="36" borderId="35" applyNumberFormat="0" applyProtection="0">
      <alignment horizontal="right" vertical="center"/>
    </xf>
    <xf numFmtId="0" fontId="62" fillId="36" borderId="35" applyNumberFormat="0" applyProtection="0">
      <alignment horizontal="right" vertical="center"/>
    </xf>
    <xf numFmtId="0" fontId="62" fillId="36" borderId="35" applyNumberFormat="0" applyProtection="0">
      <alignment horizontal="right" vertical="center"/>
    </xf>
    <xf numFmtId="0" fontId="62" fillId="36" borderId="35" applyNumberFormat="0" applyProtection="0">
      <alignment horizontal="right" vertical="center"/>
    </xf>
    <xf numFmtId="0" fontId="11" fillId="26" borderId="35" applyNumberFormat="0" applyProtection="0">
      <alignment horizontal="left" vertical="center" indent="1"/>
    </xf>
    <xf numFmtId="0" fontId="11" fillId="26" borderId="35" applyNumberFormat="0" applyProtection="0">
      <alignment horizontal="left" vertical="center" indent="1"/>
    </xf>
    <xf numFmtId="0" fontId="11" fillId="26" borderId="35" applyNumberFormat="0" applyProtection="0">
      <alignment horizontal="left" vertical="center" indent="1"/>
    </xf>
    <xf numFmtId="0" fontId="11" fillId="26" borderId="35" applyNumberFormat="0" applyProtection="0">
      <alignment horizontal="left" vertical="center" indent="1"/>
    </xf>
    <xf numFmtId="0" fontId="11" fillId="26" borderId="35" applyNumberFormat="0" applyProtection="0">
      <alignment horizontal="left" vertical="top" indent="1"/>
    </xf>
    <xf numFmtId="0" fontId="11" fillId="26" borderId="35" applyNumberFormat="0" applyProtection="0">
      <alignment horizontal="left" vertical="top" indent="1"/>
    </xf>
    <xf numFmtId="0" fontId="11" fillId="26" borderId="35" applyNumberFormat="0" applyProtection="0">
      <alignment horizontal="left" vertical="top" indent="1"/>
    </xf>
    <xf numFmtId="0" fontId="11" fillId="26" borderId="35" applyNumberFormat="0" applyProtection="0">
      <alignment horizontal="left" vertical="top" indent="1"/>
    </xf>
    <xf numFmtId="0" fontId="20" fillId="36" borderId="35" applyNumberFormat="0" applyProtection="0">
      <alignment horizontal="right" vertical="center"/>
    </xf>
    <xf numFmtId="0" fontId="20" fillId="36" borderId="35" applyNumberFormat="0" applyProtection="0">
      <alignment horizontal="right" vertical="center"/>
    </xf>
    <xf numFmtId="0" fontId="20" fillId="36" borderId="35" applyNumberFormat="0" applyProtection="0">
      <alignment horizontal="right" vertical="center"/>
    </xf>
    <xf numFmtId="0" fontId="20" fillId="36" borderId="35" applyNumberFormat="0" applyProtection="0">
      <alignment horizontal="right" vertical="center"/>
    </xf>
    <xf numFmtId="0" fontId="10" fillId="36" borderId="48" applyNumberFormat="0" applyProtection="0">
      <alignment horizontal="left" vertical="center" indent="1"/>
    </xf>
    <xf numFmtId="0" fontId="21" fillId="25" borderId="48" applyNumberFormat="0" applyProtection="0">
      <alignment horizontal="left" vertical="top" indent="1"/>
    </xf>
    <xf numFmtId="0" fontId="10" fillId="6" borderId="53" applyNumberFormat="0" applyProtection="0">
      <alignment horizontal="left" vertical="center" indent="1"/>
    </xf>
    <xf numFmtId="0" fontId="93" fillId="0" borderId="0"/>
    <xf numFmtId="0" fontId="93" fillId="0" borderId="0"/>
    <xf numFmtId="0" fontId="93" fillId="0" borderId="0"/>
    <xf numFmtId="43" fontId="93"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9" fontId="93" fillId="0" borderId="0" applyFont="0" applyFill="0" applyBorder="0" applyAlignment="0" applyProtection="0"/>
    <xf numFmtId="0" fontId="93" fillId="0" borderId="0"/>
    <xf numFmtId="41" fontId="93" fillId="0" borderId="0" applyFont="0" applyFill="0" applyBorder="0" applyAlignment="0" applyProtection="0"/>
    <xf numFmtId="0" fontId="93" fillId="0" borderId="0"/>
    <xf numFmtId="9" fontId="93" fillId="0" borderId="0" applyFont="0" applyFill="0" applyBorder="0" applyAlignment="0" applyProtection="0"/>
    <xf numFmtId="41" fontId="93" fillId="0" borderId="0" applyFont="0" applyFill="0" applyBorder="0" applyAlignment="0" applyProtection="0"/>
    <xf numFmtId="0" fontId="93" fillId="0" borderId="0">
      <alignment vertical="center"/>
    </xf>
    <xf numFmtId="0" fontId="93" fillId="0" borderId="0"/>
    <xf numFmtId="0" fontId="93" fillId="0" borderId="0">
      <alignment vertical="center"/>
      <protection locked="0"/>
    </xf>
    <xf numFmtId="43" fontId="93" fillId="0" borderId="0" applyFont="0" applyFill="0" applyBorder="0" applyAlignment="0" applyProtection="0"/>
    <xf numFmtId="0" fontId="93" fillId="0" borderId="0" applyFont="0" applyFill="0" applyBorder="0" applyProtection="0"/>
    <xf numFmtId="0" fontId="93" fillId="2" borderId="0" applyNumberFormat="0" applyBorder="0" applyProtection="0"/>
    <xf numFmtId="0" fontId="93" fillId="3" borderId="0" applyNumberFormat="0" applyBorder="0" applyProtection="0"/>
    <xf numFmtId="4" fontId="93" fillId="0" borderId="21">
      <alignment horizontal="right"/>
    </xf>
    <xf numFmtId="4" fontId="93" fillId="0" borderId="21">
      <alignment horizontal="right"/>
    </xf>
    <xf numFmtId="4" fontId="7" fillId="0" borderId="21">
      <alignment horizontal="right" vertical="center"/>
    </xf>
    <xf numFmtId="4" fontId="7" fillId="0" borderId="21">
      <alignment horizontal="right" vertical="center"/>
    </xf>
    <xf numFmtId="4" fontId="93" fillId="0" borderId="21">
      <alignment horizontal="right"/>
    </xf>
    <xf numFmtId="4" fontId="93" fillId="0" borderId="21">
      <alignment horizontal="right"/>
    </xf>
    <xf numFmtId="10" fontId="93" fillId="0" borderId="21" applyAlignment="0"/>
    <xf numFmtId="0" fontId="7" fillId="0" borderId="21">
      <alignment horizontal="right" vertical="center"/>
    </xf>
    <xf numFmtId="0" fontId="7" fillId="0" borderId="21">
      <alignment horizontal="right" vertical="center"/>
    </xf>
    <xf numFmtId="10" fontId="93" fillId="0" borderId="21" applyAlignment="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3" fontId="93" fillId="0" borderId="0" applyFont="0" applyAlignment="0" applyProtection="0"/>
    <xf numFmtId="43" fontId="93" fillId="0" borderId="0" applyFont="0" applyAlignment="0" applyProtection="0"/>
    <xf numFmtId="43" fontId="93" fillId="0" borderId="0" applyFont="0" applyAlignment="0" applyProtection="0"/>
    <xf numFmtId="43" fontId="93" fillId="0" borderId="0" applyFont="0" applyAlignment="0" applyProtection="0"/>
    <xf numFmtId="41" fontId="93" fillId="0" borderId="0" applyFont="0" applyFill="0" applyBorder="0" applyAlignment="0" applyProtection="0"/>
    <xf numFmtId="43" fontId="93" fillId="0" borderId="0" applyFont="0" applyAlignment="0" applyProtection="0"/>
    <xf numFmtId="43" fontId="93" fillId="0" borderId="0" applyFont="0" applyAlignment="0" applyProtection="0"/>
    <xf numFmtId="43" fontId="93" fillId="0" borderId="0" applyFont="0" applyAlignment="0" applyProtection="0"/>
    <xf numFmtId="43" fontId="93" fillId="0" borderId="0" applyFont="0" applyAlignment="0" applyProtection="0"/>
    <xf numFmtId="41" fontId="93" fillId="0" borderId="0" applyFont="0" applyFill="0" applyBorder="0" applyAlignment="0" applyProtection="0"/>
    <xf numFmtId="41" fontId="93" fillId="0" borderId="0" applyFont="0" applyFill="0" applyBorder="0" applyAlignment="0" applyProtection="0"/>
    <xf numFmtId="43" fontId="93" fillId="0" borderId="0" applyFont="0" applyAlignment="0" applyProtection="0"/>
    <xf numFmtId="43" fontId="93" fillId="0" borderId="0" applyFont="0" applyAlignment="0" applyProtection="0"/>
    <xf numFmtId="43" fontId="93" fillId="0" borderId="0" applyFont="0" applyAlignment="0" applyProtection="0"/>
    <xf numFmtId="43" fontId="93" fillId="0" borderId="0" applyFont="0" applyAlignment="0" applyProtection="0"/>
    <xf numFmtId="43" fontId="93" fillId="0" borderId="0" applyFont="0" applyAlignment="0" applyProtection="0"/>
    <xf numFmtId="43" fontId="93" fillId="0" borderId="0" applyFont="0" applyAlignment="0" applyProtection="0"/>
    <xf numFmtId="43" fontId="93" fillId="0" borderId="0" applyFont="0" applyAlignment="0" applyProtection="0"/>
    <xf numFmtId="43" fontId="93" fillId="0" borderId="0" applyFont="0" applyAlignment="0" applyProtection="0"/>
    <xf numFmtId="43" fontId="93" fillId="0" borderId="0" applyFont="0" applyAlignment="0" applyProtection="0"/>
    <xf numFmtId="43" fontId="93" fillId="0" borderId="0" applyFont="0" applyAlignment="0" applyProtection="0"/>
    <xf numFmtId="43" fontId="93" fillId="0" borderId="0" applyFont="0" applyAlignment="0" applyProtection="0"/>
    <xf numFmtId="43" fontId="93" fillId="0" borderId="0" applyFont="0" applyAlignment="0" applyProtection="0"/>
    <xf numFmtId="43" fontId="93" fillId="0" borderId="0" applyFont="0" applyAlignment="0" applyProtection="0"/>
    <xf numFmtId="43" fontId="93" fillId="0" borderId="0" applyFont="0" applyAlignment="0" applyProtection="0"/>
    <xf numFmtId="41" fontId="93" fillId="0" borderId="0" applyFont="0" applyFill="0" applyBorder="0" applyAlignment="0" applyProtection="0"/>
    <xf numFmtId="43" fontId="93" fillId="0" borderId="0" applyFont="0" applyAlignment="0" applyProtection="0"/>
    <xf numFmtId="43" fontId="93" fillId="0" borderId="0" applyFont="0" applyAlignment="0" applyProtection="0"/>
    <xf numFmtId="43" fontId="93" fillId="0" borderId="0" applyFont="0" applyAlignment="0" applyProtection="0"/>
    <xf numFmtId="43" fontId="93" fillId="0" borderId="0" applyFont="0" applyAlignment="0" applyProtection="0"/>
    <xf numFmtId="41" fontId="93" fillId="0" borderId="0" applyFont="0" applyFill="0" applyBorder="0" applyAlignment="0" applyProtection="0"/>
    <xf numFmtId="43" fontId="93" fillId="0" borderId="0" applyFont="0" applyAlignment="0" applyProtection="0"/>
    <xf numFmtId="43" fontId="93" fillId="0" borderId="0" applyFont="0" applyAlignment="0" applyProtection="0"/>
    <xf numFmtId="41"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Alignment="0"/>
    <xf numFmtId="43" fontId="93" fillId="0" borderId="0" applyAlignment="0"/>
    <xf numFmtId="43" fontId="93" fillId="0" borderId="0" applyFont="0" applyFill="0" applyBorder="0" applyAlignment="0" applyProtection="0"/>
    <xf numFmtId="43" fontId="93" fillId="0" borderId="0" applyFont="0" applyFill="0" applyBorder="0" applyAlignment="0" applyProtection="0"/>
    <xf numFmtId="43" fontId="93" fillId="0" borderId="0" applyAlignment="0"/>
    <xf numFmtId="43" fontId="93" fillId="0" borderId="0" applyFont="0" applyFill="0" applyBorder="0" applyAlignment="0" applyProtection="0"/>
    <xf numFmtId="43" fontId="93" fillId="0" borderId="0" applyAlignment="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Alignment="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Alignment="0"/>
    <xf numFmtId="43" fontId="93" fillId="0" borderId="0" applyFont="0" applyFill="0" applyBorder="0" applyAlignment="0" applyProtection="0"/>
    <xf numFmtId="43"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Alignment="0"/>
    <xf numFmtId="43" fontId="93" fillId="0" borderId="0" applyFont="0" applyFill="0" applyBorder="0" applyAlignment="0" applyProtection="0"/>
    <xf numFmtId="43" fontId="93" fillId="0" borderId="0" applyAlignment="0"/>
    <xf numFmtId="41" fontId="93" fillId="0" borderId="0" applyFont="0" applyFill="0" applyBorder="0" applyAlignment="0" applyProtection="0"/>
    <xf numFmtId="43"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3" fontId="93" fillId="0" borderId="0" applyAlignment="0"/>
    <xf numFmtId="43" fontId="93" fillId="0" borderId="0" applyAlignment="0"/>
    <xf numFmtId="41" fontId="93" fillId="0" borderId="0" applyFont="0" applyFill="0" applyBorder="0" applyAlignment="0" applyProtection="0"/>
    <xf numFmtId="43" fontId="93" fillId="0" borderId="0" applyAlignment="0"/>
    <xf numFmtId="43" fontId="93" fillId="0" borderId="0" applyAlignment="0"/>
    <xf numFmtId="41" fontId="93" fillId="0" borderId="0" applyFont="0" applyFill="0" applyBorder="0" applyAlignment="0" applyProtection="0"/>
    <xf numFmtId="43" fontId="93" fillId="0" borderId="0" applyAlignment="0"/>
    <xf numFmtId="43" fontId="93" fillId="0" borderId="0" applyAlignment="0"/>
    <xf numFmtId="43" fontId="93" fillId="0" borderId="0" applyFont="0" applyFill="0" applyBorder="0" applyProtection="0"/>
    <xf numFmtId="41" fontId="93" fillId="0" borderId="0" applyFont="0" applyFill="0" applyBorder="0" applyAlignment="0" applyProtection="0"/>
    <xf numFmtId="41"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Protection="0"/>
    <xf numFmtId="43" fontId="93" fillId="0" borderId="0" applyFont="0" applyFill="0" applyBorder="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Protection="0"/>
    <xf numFmtId="43"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0" fontId="93" fillId="0" borderId="21" applyAlignment="0"/>
    <xf numFmtId="0" fontId="93" fillId="0" borderId="21" applyAlignment="0"/>
    <xf numFmtId="0" fontId="93" fillId="0" borderId="21" applyAlignment="0"/>
    <xf numFmtId="0" fontId="93" fillId="0" borderId="21" applyAlignment="0"/>
    <xf numFmtId="0" fontId="93" fillId="0" borderId="21" applyAlignment="0"/>
    <xf numFmtId="0" fontId="93" fillId="0" borderId="21" applyAlignment="0"/>
    <xf numFmtId="0" fontId="93" fillId="0" borderId="21" applyAlignment="0"/>
    <xf numFmtId="0" fontId="93" fillId="0" borderId="21" applyAlignment="0"/>
    <xf numFmtId="0" fontId="42" fillId="20" borderId="21"/>
    <xf numFmtId="0" fontId="42" fillId="20" borderId="21"/>
    <xf numFmtId="0" fontId="7" fillId="0" borderId="21" applyAlignment="0"/>
    <xf numFmtId="0" fontId="7" fillId="0" borderId="21" applyAlignment="0"/>
    <xf numFmtId="0" fontId="48" fillId="23" borderId="21">
      <alignment horizontal="center" vertical="center"/>
    </xf>
    <xf numFmtId="0" fontId="48" fillId="23" borderId="21">
      <alignment horizontal="center" vertical="center"/>
    </xf>
    <xf numFmtId="0" fontId="42" fillId="8" borderId="21" applyNumberFormat="0" applyBorder="0" applyAlignment="0" applyProtection="0"/>
    <xf numFmtId="0" fontId="42" fillId="8" borderId="21" applyNumberFormat="0" applyBorder="0" applyAlignment="0" applyProtection="0"/>
    <xf numFmtId="0" fontId="93" fillId="0" borderId="0" applyAlignment="0"/>
    <xf numFmtId="0" fontId="93" fillId="0" borderId="0"/>
    <xf numFmtId="0" fontId="93" fillId="0" borderId="0"/>
    <xf numFmtId="0" fontId="93" fillId="0" borderId="0"/>
    <xf numFmtId="0" fontId="93" fillId="0" borderId="0" applyAlignment="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applyAlignment="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applyAlignment="0"/>
    <xf numFmtId="0" fontId="93" fillId="0" borderId="0"/>
    <xf numFmtId="0" fontId="93" fillId="0" borderId="0"/>
    <xf numFmtId="0" fontId="93" fillId="0" borderId="0"/>
    <xf numFmtId="0" fontId="93" fillId="0" borderId="0" applyAlignment="0"/>
    <xf numFmtId="0" fontId="93" fillId="0" borderId="0" applyAlignment="0"/>
    <xf numFmtId="0" fontId="93" fillId="0" borderId="0" applyAlignment="0"/>
    <xf numFmtId="0" fontId="93" fillId="0" borderId="0"/>
    <xf numFmtId="0" fontId="93" fillId="0" borderId="0" applyAlignment="0"/>
    <xf numFmtId="0" fontId="93" fillId="0" borderId="0" applyAlignment="0"/>
    <xf numFmtId="0" fontId="93" fillId="0" borderId="0">
      <alignment vertical="center"/>
    </xf>
    <xf numFmtId="0" fontId="93" fillId="0" borderId="0" applyAlignment="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94" fontId="93" fillId="0" borderId="0">
      <protection locked="0"/>
    </xf>
    <xf numFmtId="9" fontId="93" fillId="0" borderId="0" applyAlignment="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alignment vertical="center"/>
    </xf>
    <xf numFmtId="185" fontId="93" fillId="0" borderId="0" applyFont="0" applyFill="0" applyBorder="0" applyAlignment="0" applyProtection="0"/>
    <xf numFmtId="9" fontId="93" fillId="0" borderId="0" applyAlignment="0"/>
    <xf numFmtId="185" fontId="93" fillId="0" borderId="0" applyFont="0" applyFill="0" applyBorder="0" applyAlignment="0" applyProtection="0"/>
    <xf numFmtId="185" fontId="93" fillId="0" borderId="0" applyFont="0" applyFill="0" applyBorder="0" applyAlignment="0" applyProtection="0"/>
    <xf numFmtId="185" fontId="93" fillId="0" borderId="0" applyFont="0" applyFill="0" applyBorder="0" applyAlignment="0" applyProtection="0"/>
    <xf numFmtId="9" fontId="93" fillId="0" borderId="0" applyFont="0" applyFill="0" applyBorder="0" applyProtection="0"/>
    <xf numFmtId="185" fontId="93" fillId="0" borderId="0" applyFont="0" applyFill="0" applyBorder="0" applyAlignment="0" applyProtection="0"/>
    <xf numFmtId="185" fontId="93" fillId="0" borderId="0" applyFont="0" applyFill="0" applyBorder="0" applyAlignment="0" applyProtection="0"/>
    <xf numFmtId="9" fontId="93" fillId="0" borderId="0" applyFont="0" applyFill="0" applyBorder="0" applyAlignment="0" applyProtection="0"/>
    <xf numFmtId="9" fontId="93" fillId="0" borderId="0" applyFont="0" applyFill="0" applyBorder="0" applyAlignment="0" applyProtection="0"/>
    <xf numFmtId="9" fontId="93" fillId="0" borderId="0" applyFont="0" applyFill="0" applyBorder="0" applyProtection="0"/>
    <xf numFmtId="9" fontId="93" fillId="0" borderId="0" applyFont="0" applyFill="0" applyBorder="0" applyProtection="0"/>
    <xf numFmtId="9" fontId="93" fillId="0" borderId="0" applyFont="0" applyFill="0" applyBorder="0" applyProtection="0"/>
    <xf numFmtId="9" fontId="93" fillId="0" borderId="0" applyFont="0" applyFill="0" applyBorder="0" applyProtection="0"/>
    <xf numFmtId="0" fontId="42" fillId="9" borderId="21"/>
    <xf numFmtId="0" fontId="42" fillId="9" borderId="21"/>
    <xf numFmtId="0" fontId="21" fillId="25" borderId="28" applyNumberFormat="0" applyProtection="0">
      <alignment vertical="center"/>
    </xf>
    <xf numFmtId="0" fontId="21" fillId="25" borderId="28" applyNumberFormat="0" applyProtection="0">
      <alignment vertical="center"/>
    </xf>
    <xf numFmtId="0" fontId="60" fillId="25" borderId="28" applyNumberFormat="0" applyProtection="0">
      <alignment vertical="center"/>
    </xf>
    <xf numFmtId="0" fontId="60" fillId="25" borderId="28" applyNumberFormat="0" applyProtection="0">
      <alignment vertical="center"/>
    </xf>
    <xf numFmtId="0" fontId="21" fillId="25" borderId="28" applyNumberFormat="0" applyProtection="0">
      <alignment horizontal="left" vertical="center" indent="1"/>
    </xf>
    <xf numFmtId="0" fontId="21" fillId="25" borderId="28" applyNumberFormat="0" applyProtection="0">
      <alignment horizontal="left" vertical="center" indent="1"/>
    </xf>
    <xf numFmtId="0" fontId="21" fillId="25" borderId="28" applyNumberFormat="0" applyProtection="0">
      <alignment horizontal="left" vertical="top" indent="1"/>
    </xf>
    <xf numFmtId="0" fontId="21" fillId="25" borderId="28" applyNumberFormat="0" applyProtection="0">
      <alignment horizontal="left" vertical="top" indent="1"/>
    </xf>
    <xf numFmtId="0" fontId="11" fillId="27" borderId="28" applyNumberFormat="0" applyProtection="0">
      <alignment horizontal="right" vertical="center"/>
    </xf>
    <xf numFmtId="0" fontId="11" fillId="27" borderId="28" applyNumberFormat="0" applyProtection="0">
      <alignment horizontal="right" vertical="center"/>
    </xf>
    <xf numFmtId="0" fontId="11" fillId="28" borderId="28" applyNumberFormat="0" applyProtection="0">
      <alignment horizontal="right" vertical="center"/>
    </xf>
    <xf numFmtId="0" fontId="11" fillId="28" borderId="28" applyNumberFormat="0" applyProtection="0">
      <alignment horizontal="right" vertical="center"/>
    </xf>
    <xf numFmtId="0" fontId="11" fillId="29" borderId="28" applyNumberFormat="0" applyProtection="0">
      <alignment horizontal="right" vertical="center"/>
    </xf>
    <xf numFmtId="0" fontId="11" fillId="29" borderId="28" applyNumberFormat="0" applyProtection="0">
      <alignment horizontal="right" vertical="center"/>
    </xf>
    <xf numFmtId="0" fontId="11" fillId="30" borderId="28" applyNumberFormat="0" applyProtection="0">
      <alignment horizontal="right" vertical="center"/>
    </xf>
    <xf numFmtId="0" fontId="11" fillId="30" borderId="28" applyNumberFormat="0" applyProtection="0">
      <alignment horizontal="right" vertical="center"/>
    </xf>
    <xf numFmtId="0" fontId="11" fillId="15" borderId="28" applyNumberFormat="0" applyProtection="0">
      <alignment horizontal="right" vertical="center"/>
    </xf>
    <xf numFmtId="0" fontId="11" fillId="15" borderId="28" applyNumberFormat="0" applyProtection="0">
      <alignment horizontal="right" vertical="center"/>
    </xf>
    <xf numFmtId="0" fontId="11" fillId="31" borderId="28" applyNumberFormat="0" applyProtection="0">
      <alignment horizontal="right" vertical="center"/>
    </xf>
    <xf numFmtId="0" fontId="11" fillId="31" borderId="28" applyNumberFormat="0" applyProtection="0">
      <alignment horizontal="right" vertical="center"/>
    </xf>
    <xf numFmtId="0" fontId="11" fillId="32" borderId="28" applyNumberFormat="0" applyProtection="0">
      <alignment horizontal="right" vertical="center"/>
    </xf>
    <xf numFmtId="0" fontId="11" fillId="32" borderId="28" applyNumberFormat="0" applyProtection="0">
      <alignment horizontal="right" vertical="center"/>
    </xf>
    <xf numFmtId="0" fontId="11" fillId="33" borderId="28" applyNumberFormat="0" applyProtection="0">
      <alignment horizontal="right" vertical="center"/>
    </xf>
    <xf numFmtId="0" fontId="11" fillId="33" borderId="28" applyNumberFormat="0" applyProtection="0">
      <alignment horizontal="right" vertical="center"/>
    </xf>
    <xf numFmtId="0" fontId="11" fillId="34" borderId="28" applyNumberFormat="0" applyProtection="0">
      <alignment horizontal="right" vertical="center"/>
    </xf>
    <xf numFmtId="0" fontId="11" fillId="34" borderId="28" applyNumberFormat="0" applyProtection="0">
      <alignment horizontal="right" vertical="center"/>
    </xf>
    <xf numFmtId="0" fontId="21" fillId="35" borderId="37" applyNumberFormat="0" applyProtection="0">
      <alignment horizontal="left" vertical="center" indent="1"/>
    </xf>
    <xf numFmtId="0" fontId="11" fillId="26" borderId="28" applyNumberFormat="0" applyProtection="0">
      <alignment horizontal="right" vertical="center"/>
    </xf>
    <xf numFmtId="0" fontId="11" fillId="26" borderId="28" applyNumberFormat="0" applyProtection="0">
      <alignment horizontal="right" vertical="center"/>
    </xf>
    <xf numFmtId="0" fontId="10" fillId="4" borderId="28" applyNumberFormat="0" applyProtection="0">
      <alignment horizontal="left" vertical="center" indent="1"/>
    </xf>
    <xf numFmtId="0" fontId="10" fillId="4" borderId="28" applyNumberFormat="0" applyProtection="0">
      <alignment horizontal="left" vertical="center" indent="1"/>
    </xf>
    <xf numFmtId="0" fontId="10" fillId="4" borderId="28" applyNumberFormat="0" applyProtection="0">
      <alignment horizontal="left" vertical="top" indent="1"/>
    </xf>
    <xf numFmtId="0" fontId="10" fillId="4" borderId="28" applyNumberFormat="0" applyProtection="0">
      <alignment horizontal="left" vertical="top" indent="1"/>
    </xf>
    <xf numFmtId="0" fontId="10" fillId="26" borderId="28" applyNumberFormat="0" applyProtection="0">
      <alignment horizontal="left" vertical="center" indent="1"/>
    </xf>
    <xf numFmtId="0" fontId="10" fillId="26" borderId="28" applyNumberFormat="0" applyProtection="0">
      <alignment horizontal="left" vertical="center" indent="1"/>
    </xf>
    <xf numFmtId="0" fontId="10" fillId="26" borderId="28" applyNumberFormat="0" applyProtection="0">
      <alignment horizontal="left" vertical="top" indent="1"/>
    </xf>
    <xf numFmtId="0" fontId="10" fillId="26" borderId="28" applyNumberFormat="0" applyProtection="0">
      <alignment horizontal="left" vertical="top" indent="1"/>
    </xf>
    <xf numFmtId="0" fontId="10" fillId="6" borderId="28" applyNumberFormat="0" applyProtection="0">
      <alignment horizontal="left" vertical="center" indent="1"/>
    </xf>
    <xf numFmtId="0" fontId="10" fillId="6" borderId="28" applyNumberFormat="0" applyProtection="0">
      <alignment horizontal="left" vertical="center" indent="1"/>
    </xf>
    <xf numFmtId="0" fontId="10" fillId="6" borderId="28" applyNumberFormat="0" applyProtection="0">
      <alignment horizontal="left" vertical="top" indent="1"/>
    </xf>
    <xf numFmtId="0" fontId="10" fillId="6" borderId="28" applyNumberFormat="0" applyProtection="0">
      <alignment horizontal="left" vertical="top" indent="1"/>
    </xf>
    <xf numFmtId="0" fontId="10" fillId="36" borderId="28" applyNumberFormat="0" applyProtection="0">
      <alignment horizontal="left" vertical="center" indent="1"/>
    </xf>
    <xf numFmtId="0" fontId="10" fillId="36" borderId="28" applyNumberFormat="0" applyProtection="0">
      <alignment horizontal="left" vertical="center" indent="1"/>
    </xf>
    <xf numFmtId="0" fontId="10" fillId="36" borderId="28" applyNumberFormat="0" applyProtection="0">
      <alignment horizontal="left" vertical="top" indent="1"/>
    </xf>
    <xf numFmtId="0" fontId="10" fillId="36" borderId="28" applyNumberFormat="0" applyProtection="0">
      <alignment horizontal="left" vertical="top" indent="1"/>
    </xf>
    <xf numFmtId="0" fontId="11" fillId="8" borderId="28" applyNumberFormat="0" applyProtection="0">
      <alignment vertical="center"/>
    </xf>
    <xf numFmtId="0" fontId="11" fillId="8" borderId="28" applyNumberFormat="0" applyProtection="0">
      <alignment vertical="center"/>
    </xf>
    <xf numFmtId="0" fontId="62" fillId="8" borderId="28" applyNumberFormat="0" applyProtection="0">
      <alignment vertical="center"/>
    </xf>
    <xf numFmtId="0" fontId="62" fillId="8" borderId="28" applyNumberFormat="0" applyProtection="0">
      <alignment vertical="center"/>
    </xf>
    <xf numFmtId="0" fontId="11" fillId="8" borderId="28" applyNumberFormat="0" applyProtection="0">
      <alignment horizontal="left" vertical="center" indent="1"/>
    </xf>
    <xf numFmtId="0" fontId="11" fillId="8" borderId="28" applyNumberFormat="0" applyProtection="0">
      <alignment horizontal="left" vertical="center" indent="1"/>
    </xf>
    <xf numFmtId="0" fontId="11" fillId="8" borderId="28" applyNumberFormat="0" applyProtection="0">
      <alignment horizontal="left" vertical="top" indent="1"/>
    </xf>
    <xf numFmtId="0" fontId="11" fillId="8" borderId="28" applyNumberFormat="0" applyProtection="0">
      <alignment horizontal="left" vertical="top" indent="1"/>
    </xf>
    <xf numFmtId="0" fontId="11" fillId="36" borderId="28" applyNumberFormat="0" applyProtection="0">
      <alignment horizontal="right" vertical="center"/>
    </xf>
    <xf numFmtId="0" fontId="11" fillId="36" borderId="28" applyNumberFormat="0" applyProtection="0">
      <alignment horizontal="right" vertical="center"/>
    </xf>
    <xf numFmtId="0" fontId="62" fillId="36" borderId="28" applyNumberFormat="0" applyProtection="0">
      <alignment horizontal="right" vertical="center"/>
    </xf>
    <xf numFmtId="0" fontId="62" fillId="36" borderId="28" applyNumberFormat="0" applyProtection="0">
      <alignment horizontal="right" vertical="center"/>
    </xf>
    <xf numFmtId="0" fontId="11" fillId="26" borderId="28" applyNumberFormat="0" applyProtection="0">
      <alignment horizontal="left" vertical="center" indent="1"/>
    </xf>
    <xf numFmtId="0" fontId="11" fillId="26" borderId="28" applyNumberFormat="0" applyProtection="0">
      <alignment horizontal="left" vertical="center" indent="1"/>
    </xf>
    <xf numFmtId="0" fontId="11" fillId="26" borderId="28" applyNumberFormat="0" applyProtection="0">
      <alignment horizontal="left" vertical="top" indent="1"/>
    </xf>
    <xf numFmtId="0" fontId="11" fillId="26" borderId="28" applyNumberFormat="0" applyProtection="0">
      <alignment horizontal="left" vertical="top" indent="1"/>
    </xf>
    <xf numFmtId="0" fontId="20" fillId="36" borderId="28" applyNumberFormat="0" applyProtection="0">
      <alignment horizontal="right" vertical="center"/>
    </xf>
    <xf numFmtId="0" fontId="20" fillId="36" borderId="28" applyNumberFormat="0" applyProtection="0">
      <alignment horizontal="right" vertical="center"/>
    </xf>
    <xf numFmtId="9" fontId="93"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applyAlignment="0"/>
    <xf numFmtId="0" fontId="93" fillId="0" borderId="0"/>
    <xf numFmtId="0" fontId="93" fillId="0" borderId="0"/>
    <xf numFmtId="0" fontId="93" fillId="0" borderId="0"/>
    <xf numFmtId="0" fontId="93" fillId="0" borderId="0"/>
    <xf numFmtId="0" fontId="93" fillId="0" borderId="0"/>
    <xf numFmtId="0" fontId="93" fillId="0" borderId="0"/>
    <xf numFmtId="43" fontId="93" fillId="0" borderId="0" applyFont="0" applyProtection="0"/>
    <xf numFmtId="43" fontId="93" fillId="0" borderId="0" applyFont="0" applyFill="0" applyBorder="0" applyProtection="0"/>
    <xf numFmtId="43" fontId="93" fillId="0" borderId="0" applyFont="0" applyProtection="0"/>
    <xf numFmtId="43" fontId="93" fillId="0" borderId="0" applyFont="0" applyFill="0" applyBorder="0" applyProtection="0"/>
    <xf numFmtId="43" fontId="93" fillId="0" borderId="0" applyFont="0" applyProtection="0"/>
    <xf numFmtId="43" fontId="93" fillId="0" borderId="0" applyFont="0" applyProtection="0"/>
    <xf numFmtId="43" fontId="93" fillId="0" borderId="0" applyFont="0" applyProtection="0"/>
    <xf numFmtId="43" fontId="93" fillId="0" borderId="0" applyFont="0" applyProtection="0"/>
    <xf numFmtId="43" fontId="93" fillId="0" borderId="0" applyFont="0" applyFill="0" applyBorder="0" applyProtection="0"/>
    <xf numFmtId="43" fontId="93" fillId="0" borderId="0" applyFont="0" applyProtection="0"/>
    <xf numFmtId="43" fontId="93" fillId="0" borderId="0" applyFont="0" applyProtection="0"/>
    <xf numFmtId="43" fontId="93" fillId="0" borderId="0" applyFont="0" applyProtection="0"/>
    <xf numFmtId="43" fontId="93" fillId="0" borderId="0" applyFont="0" applyProtection="0"/>
    <xf numFmtId="43" fontId="93" fillId="0" borderId="0" applyFont="0" applyProtection="0"/>
    <xf numFmtId="43" fontId="93" fillId="0" borderId="0" applyFont="0" applyProtection="0"/>
    <xf numFmtId="43" fontId="93" fillId="0" borderId="0" applyFont="0" applyProtection="0"/>
    <xf numFmtId="43" fontId="93" fillId="0" borderId="0" applyFont="0" applyProtection="0"/>
    <xf numFmtId="43" fontId="93" fillId="0" borderId="0" applyFont="0" applyProtection="0"/>
    <xf numFmtId="43" fontId="93" fillId="0" borderId="0" applyFo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0" fontId="10" fillId="0" borderId="21" applyNumberFormat="0"/>
    <xf numFmtId="0" fontId="10" fillId="0" borderId="21" applyNumberFormat="0"/>
    <xf numFmtId="0" fontId="93" fillId="0" borderId="0"/>
    <xf numFmtId="0" fontId="93" fillId="0" borderId="0"/>
    <xf numFmtId="43" fontId="93" fillId="0" borderId="0" applyFont="0" applyFill="0" applyBorder="0" applyAlignment="0" applyProtection="0"/>
    <xf numFmtId="9" fontId="93" fillId="0" borderId="0" applyFont="0" applyFill="0" applyBorder="0" applyAlignment="0" applyProtection="0"/>
    <xf numFmtId="0" fontId="1" fillId="0" borderId="0"/>
    <xf numFmtId="43" fontId="93" fillId="0" borderId="0" applyFont="0" applyFill="0" applyBorder="0" applyAlignment="0" applyProtection="0"/>
    <xf numFmtId="0" fontId="1" fillId="0" borderId="0"/>
    <xf numFmtId="0" fontId="93" fillId="0" borderId="0"/>
    <xf numFmtId="0" fontId="1" fillId="0" borderId="0"/>
    <xf numFmtId="0" fontId="93" fillId="0" borderId="0"/>
    <xf numFmtId="43" fontId="93" fillId="0" borderId="0" applyFont="0" applyFill="0" applyBorder="0" applyAlignment="0" applyProtection="0"/>
    <xf numFmtId="0" fontId="1" fillId="0" borderId="0"/>
    <xf numFmtId="0" fontId="93" fillId="0" borderId="0">
      <alignment vertical="center"/>
    </xf>
    <xf numFmtId="0" fontId="93" fillId="0" borderId="0">
      <alignment vertical="center"/>
    </xf>
    <xf numFmtId="0" fontId="1" fillId="0" borderId="0"/>
    <xf numFmtId="43" fontId="93" fillId="0" borderId="0" applyFont="0" applyFill="0" applyBorder="0" applyAlignment="0" applyProtection="0"/>
    <xf numFmtId="0" fontId="93" fillId="0" borderId="0">
      <alignment vertical="center"/>
    </xf>
    <xf numFmtId="0" fontId="93" fillId="0" borderId="0">
      <alignment vertical="center"/>
    </xf>
    <xf numFmtId="0" fontId="93" fillId="0" borderId="0"/>
    <xf numFmtId="0" fontId="1" fillId="0" borderId="0"/>
    <xf numFmtId="43" fontId="1" fillId="0" borderId="0" applyFont="0" applyFill="0" applyBorder="0" applyAlignment="0" applyProtection="0"/>
    <xf numFmtId="0" fontId="112" fillId="0" borderId="0"/>
    <xf numFmtId="43" fontId="112" fillId="0" borderId="0" applyFont="0" applyFill="0" applyBorder="0" applyAlignment="0" applyProtection="0"/>
    <xf numFmtId="0" fontId="1" fillId="0" borderId="0"/>
    <xf numFmtId="43" fontId="10" fillId="0" borderId="0" applyFont="0" applyFill="0" applyBorder="0" applyAlignment="0" applyProtection="0"/>
    <xf numFmtId="0" fontId="11" fillId="15" borderId="55" applyNumberFormat="0" applyProtection="0">
      <alignment horizontal="right" vertical="center"/>
    </xf>
    <xf numFmtId="43" fontId="10"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0" fontId="1" fillId="0" borderId="0"/>
    <xf numFmtId="0" fontId="10" fillId="0" borderId="0">
      <alignment vertical="top"/>
    </xf>
    <xf numFmtId="0" fontId="1" fillId="0" borderId="0"/>
    <xf numFmtId="0" fontId="113" fillId="0" borderId="0"/>
    <xf numFmtId="0" fontId="113" fillId="0" borderId="0"/>
    <xf numFmtId="43" fontId="1" fillId="0" borderId="0" applyFont="0" applyFill="0" applyBorder="0" applyAlignment="0" applyProtection="0"/>
    <xf numFmtId="0" fontId="8" fillId="0" borderId="0"/>
    <xf numFmtId="43" fontId="8" fillId="0" borderId="0" applyFont="0" applyFill="0" applyBorder="0" applyAlignment="0" applyProtection="0"/>
    <xf numFmtId="0" fontId="10" fillId="0" borderId="52" applyNumberFormat="0"/>
    <xf numFmtId="9" fontId="8" fillId="0" borderId="0" applyFont="0" applyFill="0" applyBorder="0" applyAlignment="0" applyProtection="0"/>
    <xf numFmtId="0" fontId="11" fillId="33" borderId="55" applyNumberFormat="0" applyProtection="0">
      <alignment horizontal="right" vertical="center"/>
    </xf>
    <xf numFmtId="0" fontId="114" fillId="0" borderId="0"/>
    <xf numFmtId="0" fontId="1" fillId="0" borderId="0"/>
    <xf numFmtId="0" fontId="115" fillId="0" borderId="0"/>
    <xf numFmtId="0" fontId="111" fillId="0" borderId="0" applyNumberFormat="0" applyFill="0" applyBorder="0" applyAlignment="0" applyProtection="0"/>
    <xf numFmtId="41" fontId="1" fillId="0" borderId="0" applyFont="0" applyFill="0" applyBorder="0" applyAlignment="0" applyProtection="0"/>
    <xf numFmtId="0" fontId="1" fillId="0" borderId="0"/>
    <xf numFmtId="0" fontId="1" fillId="0" borderId="0"/>
    <xf numFmtId="43" fontId="116" fillId="0" borderId="0" applyFont="0" applyFill="0" applyBorder="0" applyAlignment="0" applyProtection="0"/>
    <xf numFmtId="0" fontId="14" fillId="0" borderId="0" applyNumberFormat="0" applyFill="0" applyBorder="0" applyAlignment="0" applyProtection="0">
      <alignment vertical="top"/>
      <protection locked="0"/>
    </xf>
    <xf numFmtId="43" fontId="10" fillId="0" borderId="0" applyFont="0" applyFill="0" applyBorder="0" applyAlignment="0" applyProtection="0"/>
    <xf numFmtId="0" fontId="96" fillId="0" borderId="0" applyNumberFormat="0" applyFill="0" applyBorder="0" applyAlignment="0" applyProtection="0"/>
    <xf numFmtId="0" fontId="12" fillId="0" borderId="0"/>
    <xf numFmtId="0" fontId="38" fillId="0" borderId="0"/>
    <xf numFmtId="0" fontId="96" fillId="0" borderId="0" applyNumberFormat="0" applyFill="0" applyBorder="0" applyAlignment="0" applyProtection="0"/>
    <xf numFmtId="9" fontId="1" fillId="0" borderId="0" applyFont="0" applyFill="0" applyBorder="0" applyAlignment="0" applyProtection="0"/>
    <xf numFmtId="185" fontId="1" fillId="0" borderId="0" applyFont="0" applyFill="0" applyBorder="0" applyAlignment="0" applyProtection="0"/>
    <xf numFmtId="0" fontId="12" fillId="0" borderId="0"/>
    <xf numFmtId="41" fontId="1" fillId="0" borderId="0" applyFont="0" applyFill="0" applyBorder="0" applyAlignment="0" applyProtection="0"/>
    <xf numFmtId="0" fontId="1" fillId="0" borderId="0"/>
    <xf numFmtId="0" fontId="99" fillId="0" borderId="0"/>
    <xf numFmtId="0" fontId="11" fillId="8" borderId="35" applyNumberFormat="0" applyProtection="0">
      <alignment horizontal="left" vertical="center" indent="1"/>
    </xf>
    <xf numFmtId="43" fontId="43" fillId="0" borderId="0" applyFont="0" applyFill="0" applyBorder="0" applyAlignment="0" applyProtection="0"/>
    <xf numFmtId="43" fontId="99" fillId="0" borderId="0" applyFont="0" applyFill="0" applyBorder="0" applyAlignment="0" applyProtection="0"/>
    <xf numFmtId="41" fontId="25" fillId="0" borderId="0" applyFont="0" applyFill="0" applyBorder="0" applyAlignment="0" applyProtection="0"/>
    <xf numFmtId="43" fontId="99" fillId="0" borderId="0" applyFont="0" applyFill="0" applyBorder="0" applyAlignment="0" applyProtection="0"/>
    <xf numFmtId="0" fontId="11" fillId="27" borderId="35" applyNumberFormat="0" applyProtection="0">
      <alignment horizontal="right" vertical="center"/>
    </xf>
    <xf numFmtId="41" fontId="25" fillId="0" borderId="0" applyFont="0" applyFill="0" applyBorder="0" applyAlignment="0" applyProtection="0"/>
    <xf numFmtId="0" fontId="11" fillId="26" borderId="35" applyNumberFormat="0" applyProtection="0">
      <alignment horizontal="left" vertical="center" indent="1"/>
    </xf>
    <xf numFmtId="0" fontId="21" fillId="25" borderId="35" applyNumberFormat="0" applyProtection="0">
      <alignment horizontal="left" vertical="center" indent="1"/>
    </xf>
    <xf numFmtId="0" fontId="10" fillId="36" borderId="35" applyNumberFormat="0" applyProtection="0">
      <alignment horizontal="left" vertical="top" indent="1"/>
    </xf>
    <xf numFmtId="41" fontId="99" fillId="0" borderId="0" applyFont="0" applyFill="0" applyBorder="0" applyAlignment="0" applyProtection="0"/>
    <xf numFmtId="0" fontId="10" fillId="6" borderId="55" applyNumberFormat="0" applyProtection="0">
      <alignment horizontal="left" vertical="top" indent="1"/>
    </xf>
    <xf numFmtId="41" fontId="99" fillId="0" borderId="0" applyFont="0" applyFill="0" applyBorder="0" applyAlignment="0" applyProtection="0"/>
    <xf numFmtId="0" fontId="11" fillId="31" borderId="35" applyNumberFormat="0" applyProtection="0">
      <alignment horizontal="right" vertical="center"/>
    </xf>
    <xf numFmtId="43" fontId="99" fillId="0" borderId="0" applyFont="0" applyFill="0" applyBorder="0" applyAlignment="0" applyProtection="0"/>
    <xf numFmtId="0" fontId="10" fillId="6" borderId="35" applyNumberFormat="0" applyProtection="0">
      <alignment horizontal="left" vertical="center" indent="1"/>
    </xf>
    <xf numFmtId="0" fontId="21" fillId="35" borderId="37" applyNumberFormat="0" applyProtection="0">
      <alignment horizontal="left" vertical="center" indent="1"/>
    </xf>
    <xf numFmtId="0" fontId="11" fillId="30" borderId="35" applyNumberFormat="0" applyProtection="0">
      <alignment horizontal="right" vertical="center"/>
    </xf>
    <xf numFmtId="0" fontId="11" fillId="31" borderId="35" applyNumberFormat="0" applyProtection="0">
      <alignment horizontal="right" vertical="center"/>
    </xf>
    <xf numFmtId="0" fontId="11" fillId="36" borderId="35" applyNumberFormat="0" applyProtection="0">
      <alignment horizontal="right" vertical="center"/>
    </xf>
    <xf numFmtId="0" fontId="21" fillId="25" borderId="35" applyNumberFormat="0" applyProtection="0">
      <alignment vertical="center"/>
    </xf>
    <xf numFmtId="0" fontId="11" fillId="29" borderId="35" applyNumberFormat="0" applyProtection="0">
      <alignment horizontal="right" vertical="center"/>
    </xf>
    <xf numFmtId="0" fontId="21" fillId="35" borderId="38" applyNumberFormat="0" applyProtection="0">
      <alignment horizontal="left" vertical="center" indent="1"/>
    </xf>
    <xf numFmtId="0" fontId="10" fillId="36" borderId="35" applyNumberFormat="0" applyProtection="0">
      <alignment horizontal="left" vertical="center" indent="1"/>
    </xf>
    <xf numFmtId="43" fontId="99" fillId="0" borderId="0" applyFont="0" applyFill="0" applyBorder="0" applyAlignment="0" applyProtection="0"/>
    <xf numFmtId="41" fontId="99" fillId="0" borderId="0" applyFont="0" applyFill="0" applyBorder="0" applyAlignment="0" applyProtection="0"/>
    <xf numFmtId="41" fontId="37" fillId="0" borderId="0" applyFont="0" applyFill="0" applyBorder="0" applyAlignment="0" applyProtection="0"/>
    <xf numFmtId="41" fontId="99" fillId="0" borderId="0" applyFont="0" applyFill="0" applyBorder="0" applyAlignment="0" applyProtection="0"/>
    <xf numFmtId="41" fontId="99" fillId="0" borderId="0" applyFont="0" applyFill="0" applyBorder="0" applyAlignment="0" applyProtection="0"/>
    <xf numFmtId="41" fontId="99" fillId="0" borderId="0" applyFont="0" applyFill="0" applyBorder="0" applyAlignment="0" applyProtection="0"/>
    <xf numFmtId="41" fontId="99" fillId="0" borderId="0" applyFont="0" applyFill="0" applyBorder="0" applyAlignment="0" applyProtection="0"/>
    <xf numFmtId="41" fontId="99" fillId="0" borderId="0" applyFont="0" applyFill="0" applyBorder="0" applyAlignment="0" applyProtection="0"/>
    <xf numFmtId="41" fontId="99" fillId="0" borderId="0" applyFont="0" applyFill="0" applyBorder="0" applyAlignment="0" applyProtection="0"/>
    <xf numFmtId="41" fontId="37" fillId="0" borderId="0" applyFont="0" applyFill="0" applyBorder="0" applyAlignment="0" applyProtection="0"/>
    <xf numFmtId="41" fontId="37" fillId="0" borderId="0" applyFont="0" applyFill="0" applyBorder="0" applyAlignment="0" applyProtection="0"/>
    <xf numFmtId="41" fontId="37" fillId="0" borderId="0" applyFont="0" applyFill="0" applyBorder="0" applyAlignment="0" applyProtection="0"/>
    <xf numFmtId="41" fontId="99"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41" fontId="99" fillId="0" borderId="0" applyFont="0" applyFill="0" applyBorder="0" applyAlignment="0" applyProtection="0"/>
    <xf numFmtId="41" fontId="99"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3" fontId="25" fillId="0" borderId="0" applyFont="0" applyFill="0" applyBorder="0" applyAlignment="0" applyProtection="0"/>
    <xf numFmtId="43" fontId="10" fillId="0" borderId="0" applyFont="0" applyFill="0" applyBorder="0" applyAlignment="0" applyProtection="0"/>
    <xf numFmtId="43" fontId="99" fillId="0" borderId="0" applyFont="0" applyFill="0" applyBorder="0" applyAlignment="0" applyProtection="0"/>
    <xf numFmtId="43" fontId="25" fillId="0" borderId="0" applyFont="0" applyFill="0" applyBorder="0" applyAlignment="0" applyProtection="0"/>
    <xf numFmtId="43" fontId="10" fillId="0" borderId="0" applyFont="0" applyFill="0" applyBorder="0" applyAlignment="0" applyProtection="0"/>
    <xf numFmtId="43" fontId="99" fillId="0" borderId="0" applyFont="0" applyFill="0" applyBorder="0" applyAlignment="0" applyProtection="0"/>
    <xf numFmtId="43" fontId="25" fillId="0" borderId="0" applyFont="0" applyFill="0" applyBorder="0" applyAlignment="0" applyProtection="0"/>
    <xf numFmtId="43" fontId="10"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43" fontId="43" fillId="0" borderId="0" applyFont="0" applyFill="0" applyBorder="0" applyAlignment="0" applyProtection="0"/>
    <xf numFmtId="43" fontId="99" fillId="0" borderId="0" applyFont="0" applyFill="0" applyBorder="0" applyAlignment="0" applyProtection="0"/>
    <xf numFmtId="43" fontId="43" fillId="0" borderId="0" applyFont="0" applyFill="0" applyBorder="0" applyAlignment="0" applyProtection="0"/>
    <xf numFmtId="41" fontId="37" fillId="0" borderId="0" applyFont="0" applyFill="0" applyBorder="0" applyAlignment="0" applyProtection="0"/>
    <xf numFmtId="43" fontId="43" fillId="0" borderId="0" applyFont="0" applyFill="0" applyBorder="0" applyAlignment="0" applyProtection="0"/>
    <xf numFmtId="41" fontId="37" fillId="0" borderId="0" applyFont="0" applyFill="0" applyBorder="0" applyAlignment="0" applyProtection="0"/>
    <xf numFmtId="43" fontId="43" fillId="0" borderId="0" applyFont="0" applyFill="0" applyBorder="0" applyAlignment="0" applyProtection="0"/>
    <xf numFmtId="41" fontId="37" fillId="0" borderId="0" applyFont="0" applyFill="0" applyBorder="0" applyAlignment="0" applyProtection="0"/>
    <xf numFmtId="43" fontId="43" fillId="0" borderId="0" applyFont="0" applyFill="0" applyBorder="0" applyAlignment="0" applyProtection="0"/>
    <xf numFmtId="41" fontId="37"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0" fontId="47" fillId="0" borderId="30" applyNumberFormat="0" applyProtection="0"/>
    <xf numFmtId="43" fontId="25" fillId="0" borderId="0" applyFont="0" applyFill="0" applyBorder="0" applyAlignment="0" applyProtection="0"/>
    <xf numFmtId="0" fontId="11" fillId="15" borderId="35" applyNumberFormat="0" applyProtection="0">
      <alignment horizontal="right" vertical="center"/>
    </xf>
    <xf numFmtId="0" fontId="11" fillId="15" borderId="35" applyNumberFormat="0" applyProtection="0">
      <alignment horizontal="right" vertical="center"/>
    </xf>
    <xf numFmtId="0" fontId="11" fillId="26" borderId="35" applyNumberFormat="0" applyProtection="0">
      <alignment horizontal="left" vertical="top" indent="1"/>
    </xf>
    <xf numFmtId="0" fontId="21" fillId="25" borderId="35" applyNumberFormat="0" applyProtection="0">
      <alignment horizontal="left" vertical="top" indent="1"/>
    </xf>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99" fillId="0" borderId="0" applyFont="0" applyFill="0" applyBorder="0" applyAlignment="0" applyProtection="0"/>
    <xf numFmtId="0" fontId="11" fillId="36" borderId="35" applyNumberFormat="0" applyProtection="0">
      <alignment horizontal="right" vertical="center"/>
    </xf>
    <xf numFmtId="0" fontId="11" fillId="28" borderId="35" applyNumberFormat="0" applyProtection="0">
      <alignment horizontal="right" vertical="center"/>
    </xf>
    <xf numFmtId="0" fontId="21" fillId="25" borderId="35" applyNumberFormat="0" applyProtection="0">
      <alignment vertical="center"/>
    </xf>
    <xf numFmtId="0" fontId="62" fillId="36" borderId="35" applyNumberFormat="0" applyProtection="0">
      <alignment horizontal="right" vertical="center"/>
    </xf>
    <xf numFmtId="0" fontId="60" fillId="25" borderId="35" applyNumberFormat="0" applyProtection="0">
      <alignment vertical="center"/>
    </xf>
    <xf numFmtId="0" fontId="62" fillId="36" borderId="35" applyNumberFormat="0" applyProtection="0">
      <alignment horizontal="right" vertical="center"/>
    </xf>
    <xf numFmtId="0" fontId="60" fillId="25" borderId="35" applyNumberFormat="0" applyProtection="0">
      <alignment vertical="center"/>
    </xf>
    <xf numFmtId="0" fontId="11" fillId="26" borderId="35" applyNumberFormat="0" applyProtection="0">
      <alignment horizontal="left" vertical="center" indent="1"/>
    </xf>
    <xf numFmtId="0" fontId="21" fillId="25" borderId="35" applyNumberFormat="0" applyProtection="0">
      <alignment horizontal="left" vertical="center" indent="1"/>
    </xf>
    <xf numFmtId="0" fontId="11" fillId="26" borderId="35" applyNumberFormat="0" applyProtection="0">
      <alignment horizontal="left" vertical="top" indent="1"/>
    </xf>
    <xf numFmtId="0" fontId="21" fillId="25" borderId="35" applyNumberFormat="0" applyProtection="0">
      <alignment horizontal="left" vertical="top" indent="1"/>
    </xf>
    <xf numFmtId="0" fontId="11" fillId="27" borderId="35" applyNumberFormat="0" applyProtection="0">
      <alignment horizontal="right" vertical="center"/>
    </xf>
    <xf numFmtId="0" fontId="11" fillId="28" borderId="35" applyNumberFormat="0" applyProtection="0">
      <alignment horizontal="right" vertical="center"/>
    </xf>
    <xf numFmtId="0" fontId="11" fillId="29" borderId="35" applyNumberFormat="0" applyProtection="0">
      <alignment horizontal="right" vertical="center"/>
    </xf>
    <xf numFmtId="0" fontId="11" fillId="8" borderId="35" applyNumberFormat="0" applyProtection="0">
      <alignment horizontal="left" vertical="center" indent="1"/>
    </xf>
    <xf numFmtId="0" fontId="11" fillId="30" borderId="35" applyNumberFormat="0" applyProtection="0">
      <alignment horizontal="right" vertical="center"/>
    </xf>
    <xf numFmtId="0" fontId="11" fillId="32" borderId="35" applyNumberFormat="0" applyProtection="0">
      <alignment horizontal="right" vertical="center"/>
    </xf>
    <xf numFmtId="0" fontId="11" fillId="32" borderId="35" applyNumberFormat="0" applyProtection="0">
      <alignment horizontal="right" vertical="center"/>
    </xf>
    <xf numFmtId="0" fontId="11" fillId="33" borderId="35" applyNumberFormat="0" applyProtection="0">
      <alignment horizontal="right" vertical="center"/>
    </xf>
    <xf numFmtId="0" fontId="11" fillId="33" borderId="35" applyNumberFormat="0" applyProtection="0">
      <alignment horizontal="right" vertical="center"/>
    </xf>
    <xf numFmtId="0" fontId="11" fillId="34" borderId="35" applyNumberFormat="0" applyProtection="0">
      <alignment horizontal="right" vertical="center"/>
    </xf>
    <xf numFmtId="0" fontId="11" fillId="34" borderId="35" applyNumberFormat="0" applyProtection="0">
      <alignment horizontal="right" vertical="center"/>
    </xf>
    <xf numFmtId="0" fontId="21" fillId="35" borderId="37" applyNumberFormat="0" applyProtection="0">
      <alignment horizontal="left" vertical="center" indent="1"/>
    </xf>
    <xf numFmtId="0" fontId="11" fillId="26" borderId="35" applyNumberFormat="0" applyProtection="0">
      <alignment horizontal="right" vertical="center"/>
    </xf>
    <xf numFmtId="0" fontId="11" fillId="26" borderId="35" applyNumberFormat="0" applyProtection="0">
      <alignment horizontal="right" vertical="center"/>
    </xf>
    <xf numFmtId="0" fontId="10" fillId="4" borderId="35" applyNumberFormat="0" applyProtection="0">
      <alignment horizontal="left" vertical="center" indent="1"/>
    </xf>
    <xf numFmtId="0" fontId="10" fillId="4" borderId="35" applyNumberFormat="0" applyProtection="0">
      <alignment horizontal="left" vertical="center" indent="1"/>
    </xf>
    <xf numFmtId="0" fontId="10" fillId="4" borderId="35" applyNumberFormat="0" applyProtection="0">
      <alignment horizontal="left" vertical="top" indent="1"/>
    </xf>
    <xf numFmtId="0" fontId="10" fillId="4" borderId="35" applyNumberFormat="0" applyProtection="0">
      <alignment horizontal="left" vertical="top" indent="1"/>
    </xf>
    <xf numFmtId="43" fontId="99" fillId="0" borderId="0" applyFont="0" applyFill="0" applyBorder="0" applyAlignment="0" applyProtection="0"/>
    <xf numFmtId="0" fontId="10" fillId="26" borderId="35" applyNumberFormat="0" applyProtection="0">
      <alignment horizontal="left" vertical="center" indent="1"/>
    </xf>
    <xf numFmtId="0" fontId="10" fillId="26" borderId="35" applyNumberFormat="0" applyProtection="0">
      <alignment horizontal="left" vertical="center" indent="1"/>
    </xf>
    <xf numFmtId="0" fontId="10" fillId="26" borderId="35" applyNumberFormat="0" applyProtection="0">
      <alignment horizontal="left" vertical="top" indent="1"/>
    </xf>
    <xf numFmtId="0" fontId="10" fillId="26" borderId="35" applyNumberFormat="0" applyProtection="0">
      <alignment horizontal="left" vertical="top" indent="1"/>
    </xf>
    <xf numFmtId="0" fontId="10" fillId="6" borderId="35" applyNumberFormat="0" applyProtection="0">
      <alignment horizontal="left" vertical="center" indent="1"/>
    </xf>
    <xf numFmtId="0" fontId="10" fillId="6" borderId="35" applyNumberFormat="0" applyProtection="0">
      <alignment horizontal="left" vertical="top" indent="1"/>
    </xf>
    <xf numFmtId="0" fontId="10" fillId="6" borderId="35" applyNumberFormat="0" applyProtection="0">
      <alignment horizontal="left" vertical="top" indent="1"/>
    </xf>
    <xf numFmtId="0" fontId="10" fillId="36" borderId="35" applyNumberFormat="0" applyProtection="0">
      <alignment horizontal="left" vertical="center" indent="1"/>
    </xf>
    <xf numFmtId="0" fontId="10" fillId="36" borderId="35" applyNumberFormat="0" applyProtection="0">
      <alignment horizontal="left" vertical="top" indent="1"/>
    </xf>
    <xf numFmtId="0" fontId="11" fillId="8" borderId="35" applyNumberFormat="0" applyProtection="0">
      <alignment vertical="center"/>
    </xf>
    <xf numFmtId="0" fontId="11" fillId="8" borderId="35" applyNumberFormat="0" applyProtection="0">
      <alignment vertical="center"/>
    </xf>
    <xf numFmtId="0" fontId="62" fillId="8" borderId="35" applyNumberFormat="0" applyProtection="0">
      <alignment vertical="center"/>
    </xf>
    <xf numFmtId="0" fontId="62" fillId="8" borderId="35" applyNumberFormat="0" applyProtection="0">
      <alignment vertical="center"/>
    </xf>
    <xf numFmtId="0" fontId="11" fillId="8" borderId="35" applyNumberFormat="0" applyProtection="0">
      <alignment horizontal="left" vertical="top" indent="1"/>
    </xf>
    <xf numFmtId="0" fontId="11" fillId="8" borderId="35" applyNumberFormat="0" applyProtection="0">
      <alignment horizontal="left" vertical="top" indent="1"/>
    </xf>
    <xf numFmtId="43" fontId="43" fillId="0" borderId="0" applyFont="0" applyFill="0" applyBorder="0" applyAlignment="0" applyProtection="0"/>
    <xf numFmtId="0" fontId="20" fillId="36" borderId="35" applyNumberFormat="0" applyProtection="0">
      <alignment horizontal="right" vertical="center"/>
    </xf>
    <xf numFmtId="0" fontId="20" fillId="36" borderId="35" applyNumberFormat="0" applyProtection="0">
      <alignment horizontal="right" vertical="center"/>
    </xf>
    <xf numFmtId="43" fontId="42" fillId="0" borderId="10"/>
    <xf numFmtId="43" fontId="42" fillId="0" borderId="10"/>
    <xf numFmtId="43" fontId="42" fillId="0" borderId="10"/>
    <xf numFmtId="43" fontId="42" fillId="0" borderId="1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43" fillId="0" borderId="0" applyFont="0" applyFill="0" applyBorder="0" applyAlignment="0" applyProtection="0"/>
    <xf numFmtId="43" fontId="25"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0" fontId="93" fillId="0" borderId="0">
      <alignment vertical="center"/>
    </xf>
    <xf numFmtId="43" fontId="93" fillId="0" borderId="0" applyFont="0" applyFill="0" applyBorder="0" applyAlignment="0" applyProtection="0"/>
    <xf numFmtId="0" fontId="93" fillId="0" borderId="0"/>
    <xf numFmtId="9" fontId="93" fillId="0" borderId="0" applyFont="0" applyFill="0" applyBorder="0" applyAlignment="0" applyProtection="0"/>
    <xf numFmtId="41" fontId="10" fillId="0" borderId="0" applyFont="0" applyFill="0" applyBorder="0" applyAlignment="0" applyProtection="0"/>
    <xf numFmtId="43" fontId="10" fillId="0" borderId="0" applyFont="0" applyFill="0" applyBorder="0" applyAlignment="0" applyProtection="0"/>
    <xf numFmtId="43" fontId="93" fillId="0" borderId="0" applyFont="0" applyFill="0" applyBorder="0" applyAlignment="0" applyProtection="0"/>
    <xf numFmtId="0" fontId="93" fillId="0" borderId="0"/>
    <xf numFmtId="43" fontId="43" fillId="0" borderId="0" applyFont="0" applyFill="0" applyBorder="0" applyProtection="0"/>
    <xf numFmtId="41" fontId="25" fillId="0" borderId="0" applyFont="0" applyFill="0" applyBorder="0" applyAlignment="0" applyProtection="0"/>
    <xf numFmtId="0" fontId="11" fillId="30" borderId="57" applyNumberFormat="0" applyProtection="0">
      <alignment horizontal="right" vertical="center"/>
    </xf>
    <xf numFmtId="41" fontId="99" fillId="0" borderId="0" applyFont="0" applyFill="0" applyBorder="0" applyAlignment="0" applyProtection="0"/>
    <xf numFmtId="41" fontId="99" fillId="0" borderId="0" applyFont="0" applyFill="0" applyBorder="0" applyAlignment="0" applyProtection="0"/>
    <xf numFmtId="41" fontId="99" fillId="0" borderId="0" applyFont="0" applyFill="0" applyBorder="0" applyAlignment="0" applyProtection="0"/>
    <xf numFmtId="41" fontId="99" fillId="0" borderId="0" applyFont="0" applyFill="0" applyBorder="0" applyAlignment="0" applyProtection="0"/>
    <xf numFmtId="4" fontId="93" fillId="0" borderId="40">
      <alignment horizontal="right"/>
    </xf>
    <xf numFmtId="41" fontId="25" fillId="0" borderId="0" applyFont="0" applyFill="0" applyBorder="0" applyAlignment="0" applyProtection="0"/>
    <xf numFmtId="41" fontId="99" fillId="0" borderId="0" applyFont="0" applyFill="0" applyBorder="0" applyAlignment="0" applyProtection="0"/>
    <xf numFmtId="41" fontId="99" fillId="0" borderId="0" applyFont="0" applyFill="0" applyBorder="0" applyAlignment="0" applyProtection="0"/>
    <xf numFmtId="41" fontId="99" fillId="0" borderId="0" applyFont="0" applyFill="0" applyBorder="0" applyAlignment="0" applyProtection="0"/>
    <xf numFmtId="0" fontId="11" fillId="27" borderId="48" applyNumberFormat="0" applyProtection="0">
      <alignment horizontal="right" vertical="center"/>
    </xf>
    <xf numFmtId="0" fontId="11" fillId="26" borderId="55" applyNumberFormat="0" applyProtection="0">
      <alignment horizontal="left" vertical="center" indent="1"/>
    </xf>
    <xf numFmtId="41" fontId="25" fillId="0" borderId="0" applyFont="0" applyFill="0" applyBorder="0" applyAlignment="0" applyProtection="0"/>
    <xf numFmtId="41" fontId="25" fillId="0" borderId="0" applyFont="0" applyFill="0" applyBorder="0" applyAlignment="0" applyProtection="0"/>
    <xf numFmtId="43" fontId="99" fillId="0" borderId="0" applyFont="0" applyFill="0" applyBorder="0" applyAlignment="0" applyProtection="0"/>
    <xf numFmtId="0" fontId="11" fillId="8" borderId="43" applyNumberFormat="0" applyProtection="0">
      <alignment horizontal="left" vertical="top" indent="1"/>
    </xf>
    <xf numFmtId="43" fontId="43" fillId="0" borderId="0" applyFont="0" applyFill="0" applyBorder="0" applyAlignment="0" applyProtection="0"/>
    <xf numFmtId="43" fontId="43" fillId="0" borderId="0" applyFont="0" applyFill="0" applyBorder="0" applyAlignment="0" applyProtection="0"/>
    <xf numFmtId="43" fontId="99" fillId="0" borderId="0" applyFont="0" applyFill="0" applyBorder="0" applyAlignment="0" applyProtection="0"/>
    <xf numFmtId="43" fontId="99" fillId="0" borderId="0" applyFont="0" applyFill="0" applyBorder="0" applyProtection="0"/>
    <xf numFmtId="0" fontId="10" fillId="36" borderId="55" applyNumberFormat="0" applyProtection="0">
      <alignment horizontal="left" vertical="center" indent="1"/>
    </xf>
    <xf numFmtId="0" fontId="10" fillId="36" borderId="48" applyNumberFormat="0" applyProtection="0">
      <alignment horizontal="left" vertical="top" indent="1"/>
    </xf>
    <xf numFmtId="0" fontId="21" fillId="25" borderId="48" applyNumberFormat="0" applyProtection="0">
      <alignment vertical="center"/>
    </xf>
    <xf numFmtId="43" fontId="10" fillId="0" borderId="0" applyFont="0" applyFill="0" applyBorder="0" applyAlignment="0" applyProtection="0"/>
    <xf numFmtId="0" fontId="11" fillId="29" borderId="48" applyNumberFormat="0" applyProtection="0">
      <alignment horizontal="right" vertical="center"/>
    </xf>
    <xf numFmtId="43" fontId="99"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54" fillId="0" borderId="0" applyFont="0" applyFill="0" applyBorder="0" applyAlignment="0" applyProtection="0"/>
    <xf numFmtId="43" fontId="99" fillId="0" borderId="0" applyFont="0" applyFill="0" applyBorder="0" applyAlignment="0" applyProtection="0"/>
    <xf numFmtId="4" fontId="7" fillId="0" borderId="56">
      <alignment horizontal="right" vertical="center"/>
    </xf>
    <xf numFmtId="0" fontId="21" fillId="25" borderId="48" applyNumberFormat="0" applyProtection="0">
      <alignment horizontal="left" vertical="center" indent="1"/>
    </xf>
    <xf numFmtId="41" fontId="25" fillId="0" borderId="0" applyFont="0" applyFill="0" applyBorder="0" applyAlignment="0" applyProtection="0"/>
    <xf numFmtId="43" fontId="23" fillId="0" borderId="0" applyFont="0" applyAlignment="0" applyProtection="0"/>
    <xf numFmtId="41" fontId="25" fillId="0" borderId="0" applyFont="0" applyFill="0" applyBorder="0" applyAlignment="0" applyProtection="0"/>
    <xf numFmtId="43" fontId="43" fillId="0" borderId="0" applyFont="0" applyFill="0" applyBorder="0" applyProtection="0"/>
    <xf numFmtId="41" fontId="99" fillId="0" borderId="0" applyFont="0" applyFill="0" applyBorder="0" applyAlignment="0" applyProtection="0"/>
    <xf numFmtId="0" fontId="93" fillId="0" borderId="0">
      <alignment vertical="center"/>
    </xf>
    <xf numFmtId="43" fontId="99" fillId="0" borderId="0" applyFont="0" applyFill="0" applyBorder="0" applyProtection="0"/>
    <xf numFmtId="0" fontId="1" fillId="0" borderId="0"/>
    <xf numFmtId="43" fontId="1" fillId="0" borderId="0" applyFont="0" applyFill="0" applyBorder="0" applyProtection="0"/>
    <xf numFmtId="0" fontId="93" fillId="0" borderId="0">
      <alignment vertical="center"/>
    </xf>
    <xf numFmtId="0" fontId="1" fillId="0" borderId="0"/>
    <xf numFmtId="43" fontId="99" fillId="0" borderId="0" applyFont="0" applyFill="0" applyBorder="0" applyProtection="0"/>
    <xf numFmtId="0" fontId="93" fillId="0" borderId="0">
      <alignment vertical="center"/>
    </xf>
    <xf numFmtId="0" fontId="93" fillId="0" borderId="0">
      <alignment vertical="center"/>
    </xf>
    <xf numFmtId="0" fontId="99" fillId="0" borderId="0"/>
    <xf numFmtId="43" fontId="43" fillId="0" borderId="0" applyFont="0" applyFill="0" applyBorder="0" applyAlignment="0" applyProtection="0"/>
    <xf numFmtId="43" fontId="99"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99" fillId="0" borderId="0" applyFont="0" applyFill="0" applyBorder="0" applyAlignment="0" applyProtection="0"/>
    <xf numFmtId="41" fontId="99" fillId="0" borderId="0" applyFont="0" applyFill="0" applyBorder="0" applyAlignment="0" applyProtection="0"/>
    <xf numFmtId="0" fontId="21" fillId="35" borderId="44" applyNumberFormat="0" applyProtection="0">
      <alignment horizontal="left" vertical="center" indent="1"/>
    </xf>
    <xf numFmtId="0" fontId="21" fillId="35" borderId="37" applyNumberFormat="0" applyProtection="0">
      <alignment horizontal="left" vertical="center" indent="1"/>
    </xf>
    <xf numFmtId="0" fontId="62" fillId="36" borderId="48" applyNumberFormat="0" applyProtection="0">
      <alignment horizontal="right" vertical="center"/>
    </xf>
    <xf numFmtId="43" fontId="99" fillId="0" borderId="0" applyFont="0" applyFill="0" applyBorder="0" applyAlignment="0" applyProtection="0"/>
    <xf numFmtId="0" fontId="11" fillId="8" borderId="43" applyNumberFormat="0" applyProtection="0">
      <alignment horizontal="left" vertical="center" indent="1"/>
    </xf>
    <xf numFmtId="41" fontId="99" fillId="0" borderId="0" applyFont="0" applyFill="0" applyBorder="0" applyAlignment="0" applyProtection="0"/>
    <xf numFmtId="41" fontId="99" fillId="0" borderId="0" applyFont="0" applyFill="0" applyBorder="0" applyAlignment="0" applyProtection="0"/>
    <xf numFmtId="41" fontId="99" fillId="0" borderId="0" applyFont="0" applyFill="0" applyBorder="0" applyAlignment="0" applyProtection="0"/>
    <xf numFmtId="41" fontId="99" fillId="0" borderId="0" applyFont="0" applyFill="0" applyBorder="0" applyAlignment="0" applyProtection="0"/>
    <xf numFmtId="41" fontId="37" fillId="0" borderId="0" applyFont="0" applyFill="0" applyBorder="0" applyAlignment="0" applyProtection="0"/>
    <xf numFmtId="0" fontId="62" fillId="8" borderId="55" applyNumberFormat="0" applyProtection="0">
      <alignment vertical="center"/>
    </xf>
    <xf numFmtId="43" fontId="99" fillId="0" borderId="0" applyFont="0" applyFill="0" applyBorder="0" applyAlignment="0" applyProtection="0"/>
    <xf numFmtId="0" fontId="10" fillId="26" borderId="48" applyNumberFormat="0" applyProtection="0">
      <alignment horizontal="left" vertical="top" indent="1"/>
    </xf>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43" fontId="25" fillId="0" borderId="0" applyFont="0" applyFill="0" applyBorder="0" applyAlignment="0" applyProtection="0"/>
    <xf numFmtId="4" fontId="99" fillId="0" borderId="52">
      <alignment horizontal="right"/>
    </xf>
    <xf numFmtId="43" fontId="99" fillId="0" borderId="0" applyFont="0" applyFill="0" applyBorder="0" applyAlignment="0" applyProtection="0"/>
    <xf numFmtId="43" fontId="99" fillId="0" borderId="0" applyFont="0" applyFill="0" applyBorder="0" applyAlignment="0" applyProtection="0"/>
    <xf numFmtId="43" fontId="43" fillId="0" borderId="0" applyFont="0" applyFill="0" applyBorder="0" applyAlignment="0" applyProtection="0"/>
    <xf numFmtId="43" fontId="43" fillId="0" borderId="0" applyFont="0" applyFill="0" applyBorder="0" applyAlignment="0" applyProtection="0"/>
    <xf numFmtId="0" fontId="11" fillId="28" borderId="55" applyNumberFormat="0" applyProtection="0">
      <alignment horizontal="right" vertical="center"/>
    </xf>
    <xf numFmtId="43" fontId="43" fillId="0" borderId="0" applyFont="0" applyFill="0" applyBorder="0" applyAlignment="0" applyProtection="0"/>
    <xf numFmtId="43" fontId="43" fillId="0" borderId="0" applyFont="0" applyFill="0" applyBorder="0" applyAlignment="0" applyProtection="0"/>
    <xf numFmtId="43" fontId="43"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0" fontId="93" fillId="0" borderId="45" applyAlignment="0"/>
    <xf numFmtId="0" fontId="21" fillId="25" borderId="43" applyNumberFormat="0" applyProtection="0">
      <alignment vertical="center"/>
    </xf>
    <xf numFmtId="0" fontId="47" fillId="0" borderId="30" applyNumberForma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99" fillId="0" borderId="0" applyFont="0" applyFill="0" applyBorder="0" applyAlignment="0" applyProtection="0"/>
    <xf numFmtId="0" fontId="21" fillId="35" borderId="37" applyNumberFormat="0" applyProtection="0">
      <alignment horizontal="left" vertical="center" indent="1"/>
    </xf>
    <xf numFmtId="0" fontId="21" fillId="35" borderId="38" applyNumberFormat="0" applyProtection="0">
      <alignment horizontal="left" vertical="center" indent="1"/>
    </xf>
    <xf numFmtId="43" fontId="99" fillId="0" borderId="0" applyFont="0" applyFill="0" applyBorder="0" applyAlignment="0" applyProtection="0"/>
    <xf numFmtId="43" fontId="43" fillId="0" borderId="0" applyFont="0" applyFill="0" applyBorder="0" applyAlignment="0" applyProtection="0"/>
    <xf numFmtId="43" fontId="42" fillId="0" borderId="10"/>
    <xf numFmtId="43" fontId="42" fillId="0" borderId="10"/>
    <xf numFmtId="43" fontId="42" fillId="0" borderId="10"/>
    <xf numFmtId="43" fontId="42" fillId="0" borderId="10"/>
    <xf numFmtId="43" fontId="25" fillId="0" borderId="0" applyFont="0" applyFill="0" applyBorder="0" applyAlignment="0" applyProtection="0"/>
    <xf numFmtId="43" fontId="43"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0" fontId="1" fillId="0" borderId="0"/>
    <xf numFmtId="0" fontId="93" fillId="0" borderId="0">
      <alignment vertical="center"/>
    </xf>
    <xf numFmtId="0" fontId="93" fillId="0" borderId="0"/>
    <xf numFmtId="43" fontId="93" fillId="0" borderId="0" applyFont="0" applyFill="0" applyBorder="0" applyAlignment="0" applyProtection="0"/>
    <xf numFmtId="43" fontId="93" fillId="0" borderId="0" applyFont="0" applyFill="0" applyBorder="0" applyAlignment="0" applyProtection="0"/>
    <xf numFmtId="0" fontId="21" fillId="35" borderId="37" applyNumberFormat="0" applyProtection="0">
      <alignment horizontal="left" vertical="center" indent="1"/>
    </xf>
    <xf numFmtId="0" fontId="47" fillId="0" borderId="30" applyNumberFormat="0" applyProtection="0"/>
    <xf numFmtId="0" fontId="21" fillId="35" borderId="37" applyNumberFormat="0" applyProtection="0">
      <alignment horizontal="left" vertical="center" indent="1"/>
    </xf>
    <xf numFmtId="0" fontId="93" fillId="0" borderId="0"/>
    <xf numFmtId="0" fontId="93" fillId="0" borderId="0"/>
    <xf numFmtId="0" fontId="93" fillId="0" borderId="0"/>
    <xf numFmtId="41" fontId="93" fillId="0" borderId="0" applyFont="0" applyFill="0" applyBorder="0" applyAlignment="0" applyProtection="0"/>
    <xf numFmtId="9" fontId="93" fillId="0" borderId="0" applyFont="0" applyFill="0" applyBorder="0" applyAlignment="0" applyProtection="0"/>
    <xf numFmtId="0" fontId="93" fillId="0" borderId="0">
      <alignment vertical="center"/>
    </xf>
    <xf numFmtId="0" fontId="93" fillId="0" borderId="0"/>
    <xf numFmtId="0" fontId="93" fillId="0" borderId="0">
      <alignment vertical="center"/>
      <protection locked="0"/>
    </xf>
    <xf numFmtId="0" fontId="20" fillId="36" borderId="55" applyNumberFormat="0" applyProtection="0">
      <alignment horizontal="right" vertical="center"/>
    </xf>
    <xf numFmtId="0" fontId="93" fillId="0" borderId="0" applyFont="0" applyFill="0" applyBorder="0" applyProtection="0"/>
    <xf numFmtId="43" fontId="10" fillId="0" borderId="0" applyFont="0" applyFill="0" applyBorder="0" applyAlignment="0" applyProtection="0"/>
    <xf numFmtId="4" fontId="93" fillId="0" borderId="21">
      <alignment horizontal="right"/>
    </xf>
    <xf numFmtId="4" fontId="7" fillId="0" borderId="21">
      <alignment horizontal="right" vertical="center"/>
    </xf>
    <xf numFmtId="0" fontId="21" fillId="25" borderId="55" applyNumberFormat="0" applyProtection="0">
      <alignment horizontal="left" vertical="top" indent="1"/>
    </xf>
    <xf numFmtId="0" fontId="21" fillId="35" borderId="39" applyNumberFormat="0" applyProtection="0">
      <alignment horizontal="left" vertical="center" indent="1"/>
    </xf>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0" fontId="21" fillId="25" borderId="48" applyNumberFormat="0" applyProtection="0">
      <alignment horizontal="left" vertical="center" indent="1"/>
    </xf>
    <xf numFmtId="41" fontId="93" fillId="0" borderId="0" applyFont="0" applyFill="0" applyBorder="0" applyAlignment="0" applyProtection="0"/>
    <xf numFmtId="0" fontId="7" fillId="0" borderId="40">
      <alignment horizontal="right" vertical="center"/>
    </xf>
    <xf numFmtId="41" fontId="93" fillId="0" borderId="0" applyFont="0" applyFill="0" applyBorder="0" applyAlignment="0" applyProtection="0"/>
    <xf numFmtId="41" fontId="93" fillId="0" borderId="0" applyFont="0" applyFill="0" applyBorder="0" applyAlignment="0" applyProtection="0"/>
    <xf numFmtId="4" fontId="7" fillId="0" borderId="40">
      <alignment horizontal="right" vertical="center"/>
    </xf>
    <xf numFmtId="41" fontId="93" fillId="0" borderId="0" applyFont="0" applyFill="0" applyBorder="0" applyAlignment="0" applyProtection="0"/>
    <xf numFmtId="41" fontId="93" fillId="0" borderId="0" applyFont="0" applyFill="0" applyBorder="0" applyAlignment="0" applyProtection="0"/>
    <xf numFmtId="41" fontId="93" fillId="0" borderId="0" applyFont="0" applyFill="0" applyBorder="0" applyAlignment="0" applyProtection="0"/>
    <xf numFmtId="0" fontId="11" fillId="36" borderId="48" applyNumberFormat="0" applyProtection="0">
      <alignment horizontal="right" vertical="center"/>
    </xf>
    <xf numFmtId="41" fontId="93" fillId="0" borderId="0" applyFont="0" applyFill="0" applyBorder="0" applyAlignment="0" applyProtection="0"/>
    <xf numFmtId="0" fontId="10" fillId="6" borderId="55" applyNumberFormat="0" applyProtection="0">
      <alignment horizontal="left" vertical="center" indent="1"/>
    </xf>
    <xf numFmtId="41" fontId="37" fillId="0" borderId="0" applyFont="0" applyFill="0" applyBorder="0" applyAlignment="0" applyProtection="0"/>
    <xf numFmtId="41"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0" fontId="10" fillId="4" borderId="43" applyNumberFormat="0" applyProtection="0">
      <alignment horizontal="left" vertical="top" indent="1"/>
    </xf>
    <xf numFmtId="43" fontId="93" fillId="0" borderId="0" applyFont="0" applyFill="0" applyBorder="0" applyAlignment="0" applyProtection="0"/>
    <xf numFmtId="0" fontId="11" fillId="36" borderId="48" applyNumberFormat="0" applyProtection="0">
      <alignment horizontal="right" vertical="center"/>
    </xf>
    <xf numFmtId="0" fontId="11" fillId="8" borderId="55" applyNumberFormat="0" applyProtection="0">
      <alignment horizontal="left" vertical="center" indent="1"/>
    </xf>
    <xf numFmtId="0" fontId="10" fillId="36" borderId="43" applyNumberFormat="0" applyProtection="0">
      <alignment horizontal="left" vertical="top" indent="1"/>
    </xf>
    <xf numFmtId="0" fontId="60" fillId="25" borderId="48" applyNumberFormat="0" applyProtection="0">
      <alignment vertical="center"/>
    </xf>
    <xf numFmtId="0" fontId="93" fillId="0" borderId="45" applyAlignment="0"/>
    <xf numFmtId="0" fontId="60" fillId="25" borderId="48" applyNumberFormat="0" applyProtection="0">
      <alignment vertical="center"/>
    </xf>
    <xf numFmtId="0" fontId="10" fillId="26" borderId="48" applyNumberFormat="0" applyProtection="0">
      <alignment horizontal="left" vertical="center" indent="1"/>
    </xf>
    <xf numFmtId="0" fontId="21" fillId="25" borderId="43" applyNumberFormat="0" applyProtection="0">
      <alignment vertical="center"/>
    </xf>
    <xf numFmtId="0" fontId="11" fillId="8" borderId="43" applyNumberFormat="0" applyProtection="0">
      <alignment vertical="center"/>
    </xf>
    <xf numFmtId="0" fontId="62" fillId="36" borderId="43" applyNumberFormat="0" applyProtection="0">
      <alignment horizontal="right" vertical="center"/>
    </xf>
    <xf numFmtId="0" fontId="10" fillId="6" borderId="43" applyNumberFormat="0" applyProtection="0">
      <alignment horizontal="left" vertical="center" indent="1"/>
    </xf>
    <xf numFmtId="0" fontId="10" fillId="4" borderId="55" applyNumberFormat="0" applyProtection="0">
      <alignment horizontal="left" vertical="top" indent="1"/>
    </xf>
    <xf numFmtId="0" fontId="11" fillId="33" borderId="48" applyNumberFormat="0" applyProtection="0">
      <alignment horizontal="right" vertical="center"/>
    </xf>
    <xf numFmtId="0" fontId="10" fillId="36" borderId="48" applyNumberFormat="0" applyProtection="0">
      <alignment horizontal="left" vertical="top" indent="1"/>
    </xf>
    <xf numFmtId="0" fontId="10" fillId="36" borderId="55" applyNumberFormat="0" applyProtection="0">
      <alignment horizontal="left" vertical="center" indent="1"/>
    </xf>
    <xf numFmtId="0" fontId="11" fillId="33" borderId="48" applyNumberFormat="0" applyProtection="0">
      <alignment horizontal="right" vertical="center"/>
    </xf>
    <xf numFmtId="0" fontId="11" fillId="15" borderId="43" applyNumberFormat="0" applyProtection="0">
      <alignment horizontal="right" vertical="center"/>
    </xf>
    <xf numFmtId="41" fontId="93" fillId="0" borderId="0" applyFont="0" applyFill="0" applyBorder="0" applyAlignment="0" applyProtection="0"/>
    <xf numFmtId="41" fontId="93" fillId="0" borderId="0" applyFont="0" applyFill="0" applyBorder="0" applyAlignment="0" applyProtection="0"/>
    <xf numFmtId="43" fontId="93" fillId="0" borderId="0" applyFont="0" applyAlignment="0" applyProtection="0"/>
    <xf numFmtId="0" fontId="11" fillId="31" borderId="43" applyNumberFormat="0" applyProtection="0">
      <alignment horizontal="right" vertical="center"/>
    </xf>
    <xf numFmtId="43" fontId="93" fillId="0" borderId="0" applyFont="0" applyAlignment="0" applyProtection="0"/>
    <xf numFmtId="43" fontId="93" fillId="0" borderId="0" applyFont="0" applyAlignment="0" applyProtection="0"/>
    <xf numFmtId="43" fontId="10" fillId="0" borderId="0" applyFont="0" applyFill="0" applyBorder="0" applyAlignment="0" applyProtection="0"/>
    <xf numFmtId="43" fontId="93" fillId="0" borderId="0" applyFont="0" applyAlignment="0" applyProtection="0"/>
    <xf numFmtId="0" fontId="11" fillId="29" borderId="48" applyNumberFormat="0" applyProtection="0">
      <alignment horizontal="right" vertical="center"/>
    </xf>
    <xf numFmtId="43" fontId="93" fillId="0" borderId="0" applyFont="0" applyAlignment="0" applyProtection="0"/>
    <xf numFmtId="43" fontId="93" fillId="0" borderId="0" applyFont="0" applyAlignment="0" applyProtection="0"/>
    <xf numFmtId="0" fontId="11" fillId="32" borderId="48" applyNumberFormat="0" applyProtection="0">
      <alignment horizontal="right" vertical="center"/>
    </xf>
    <xf numFmtId="43" fontId="93" fillId="0" borderId="0" applyFont="0" applyAlignment="0" applyProtection="0"/>
    <xf numFmtId="43" fontId="93" fillId="0" borderId="0" applyFont="0" applyAlignment="0" applyProtection="0"/>
    <xf numFmtId="4" fontId="93" fillId="0" borderId="45">
      <alignment horizontal="right"/>
    </xf>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0" fontId="21" fillId="25" borderId="53" applyNumberFormat="0" applyProtection="0">
      <alignment horizontal="left" vertical="top" indent="1"/>
    </xf>
    <xf numFmtId="43" fontId="93" fillId="0" borderId="0" applyFont="0" applyFill="0" applyBorder="0" applyAlignment="0" applyProtection="0"/>
    <xf numFmtId="0" fontId="10" fillId="4" borderId="48" applyNumberFormat="0" applyProtection="0">
      <alignment horizontal="left" vertical="top" indent="1"/>
    </xf>
    <xf numFmtId="0" fontId="60" fillId="25" borderId="48" applyNumberFormat="0" applyProtection="0">
      <alignment vertical="center"/>
    </xf>
    <xf numFmtId="0" fontId="62" fillId="8" borderId="48" applyNumberFormat="0" applyProtection="0">
      <alignment vertical="center"/>
    </xf>
    <xf numFmtId="0" fontId="62" fillId="8" borderId="48" applyNumberFormat="0" applyProtection="0">
      <alignment vertical="center"/>
    </xf>
    <xf numFmtId="0" fontId="11" fillId="31" borderId="55" applyNumberFormat="0" applyProtection="0">
      <alignment horizontal="right" vertical="center"/>
    </xf>
    <xf numFmtId="43" fontId="93" fillId="0" borderId="0" applyFont="0" applyFill="0" applyBorder="0" applyAlignment="0" applyProtection="0"/>
    <xf numFmtId="4" fontId="93" fillId="0" borderId="45">
      <alignment horizontal="right"/>
    </xf>
    <xf numFmtId="0" fontId="11" fillId="8" borderId="55" applyNumberFormat="0" applyProtection="0">
      <alignment horizontal="left" vertical="center" indent="1"/>
    </xf>
    <xf numFmtId="0" fontId="93" fillId="0" borderId="45" applyAlignment="0"/>
    <xf numFmtId="0" fontId="10" fillId="36" borderId="53" applyNumberFormat="0" applyProtection="0">
      <alignment horizontal="left" vertical="center" indent="1"/>
    </xf>
    <xf numFmtId="0" fontId="11" fillId="27" borderId="48" applyNumberFormat="0" applyProtection="0">
      <alignment horizontal="right" vertical="center"/>
    </xf>
    <xf numFmtId="41" fontId="93" fillId="0" borderId="0" applyFont="0" applyFill="0" applyBorder="0" applyAlignment="0" applyProtection="0"/>
    <xf numFmtId="41" fontId="93" fillId="0" borderId="0" applyFont="0" applyFill="0" applyBorder="0" applyAlignment="0" applyProtection="0"/>
    <xf numFmtId="43" fontId="93" fillId="0" borderId="0" applyAlignment="0"/>
    <xf numFmtId="43" fontId="93" fillId="0" borderId="0" applyAlignment="0"/>
    <xf numFmtId="0" fontId="11" fillId="32" borderId="48" applyNumberFormat="0" applyProtection="0">
      <alignment horizontal="right" vertical="center"/>
    </xf>
    <xf numFmtId="41" fontId="37" fillId="0" borderId="0" applyFont="0" applyFill="0" applyBorder="0" applyAlignment="0" applyProtection="0"/>
    <xf numFmtId="0" fontId="11" fillId="28" borderId="43" applyNumberFormat="0" applyProtection="0">
      <alignment horizontal="right" vertical="center"/>
    </xf>
    <xf numFmtId="43" fontId="10" fillId="0" borderId="0" applyFont="0" applyFill="0" applyBorder="0" applyAlignment="0" applyProtection="0"/>
    <xf numFmtId="43" fontId="10" fillId="0" borderId="0" applyFont="0" applyFill="0" applyBorder="0" applyAlignment="0" applyProtection="0"/>
    <xf numFmtId="0" fontId="11" fillId="15" borderId="55" applyNumberFormat="0" applyProtection="0">
      <alignment horizontal="right" vertical="center"/>
    </xf>
    <xf numFmtId="41" fontId="93" fillId="0" borderId="0" applyFont="0" applyFill="0" applyBorder="0" applyAlignment="0" applyProtection="0"/>
    <xf numFmtId="0" fontId="10" fillId="26" borderId="55" applyNumberFormat="0" applyProtection="0">
      <alignment horizontal="left" vertical="center" indent="1"/>
    </xf>
    <xf numFmtId="0" fontId="10" fillId="36" borderId="55" applyNumberFormat="0" applyProtection="0">
      <alignment horizontal="left" vertical="center" indent="1"/>
    </xf>
    <xf numFmtId="0" fontId="62" fillId="36" borderId="53" applyNumberFormat="0" applyProtection="0">
      <alignment horizontal="right" vertical="center"/>
    </xf>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3" fontId="93" fillId="0" borderId="0" applyFont="0" applyFill="0" applyBorder="0" applyProtection="0"/>
    <xf numFmtId="41" fontId="10" fillId="0" borderId="0" applyFont="0" applyFill="0" applyBorder="0" applyAlignment="0" applyProtection="0"/>
    <xf numFmtId="41" fontId="10" fillId="0" borderId="0" applyFont="0" applyFill="0" applyBorder="0" applyAlignment="0" applyProtection="0"/>
    <xf numFmtId="0" fontId="60" fillId="25" borderId="55" applyNumberFormat="0" applyProtection="0">
      <alignment vertical="center"/>
    </xf>
    <xf numFmtId="41" fontId="10" fillId="0" borderId="0" applyFont="0" applyFill="0" applyBorder="0" applyAlignment="0" applyProtection="0"/>
    <xf numFmtId="41" fontId="10" fillId="0" borderId="0" applyFont="0" applyFill="0" applyBorder="0" applyAlignment="0" applyProtection="0"/>
    <xf numFmtId="43" fontId="93" fillId="0" borderId="0" applyFont="0" applyFill="0" applyBorder="0" applyAlignment="0" applyProtection="0"/>
    <xf numFmtId="41" fontId="10" fillId="0" borderId="0" applyFont="0" applyFill="0" applyBorder="0" applyAlignment="0" applyProtection="0"/>
    <xf numFmtId="0" fontId="11" fillId="26" borderId="55" applyNumberFormat="0" applyProtection="0">
      <alignment horizontal="left" vertical="top" indent="1"/>
    </xf>
    <xf numFmtId="0" fontId="10" fillId="26" borderId="55" applyNumberFormat="0" applyProtection="0">
      <alignment horizontal="left" vertical="top" indent="1"/>
    </xf>
    <xf numFmtId="0" fontId="21" fillId="35" borderId="49" applyNumberFormat="0" applyProtection="0">
      <alignment horizontal="left" vertical="center" indent="1"/>
    </xf>
    <xf numFmtId="0" fontId="11" fillId="29" borderId="57" applyNumberFormat="0" applyProtection="0">
      <alignment horizontal="right" vertical="center"/>
    </xf>
    <xf numFmtId="0" fontId="11" fillId="8" borderId="43" applyNumberFormat="0" applyProtection="0">
      <alignment vertical="center"/>
    </xf>
    <xf numFmtId="43" fontId="93" fillId="0" borderId="0" applyFont="0" applyFill="0" applyBorder="0" applyAlignment="0" applyProtection="0"/>
    <xf numFmtId="43" fontId="93" fillId="0" borderId="0" applyFont="0" applyFill="0" applyBorder="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0" fontId="62" fillId="36" borderId="43" applyNumberFormat="0" applyProtection="0">
      <alignment horizontal="right" vertical="center"/>
    </xf>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Protection="0"/>
    <xf numFmtId="0" fontId="11" fillId="26" borderId="43" applyNumberFormat="0" applyProtection="0">
      <alignment horizontal="left" vertical="top" indent="1"/>
    </xf>
    <xf numFmtId="0" fontId="42" fillId="9" borderId="40"/>
    <xf numFmtId="0" fontId="21" fillId="25" borderId="48" applyNumberFormat="0" applyProtection="0">
      <alignment vertical="center"/>
    </xf>
    <xf numFmtId="0" fontId="11" fillId="36" borderId="55" applyNumberFormat="0" applyProtection="0">
      <alignment horizontal="right" vertical="center"/>
    </xf>
    <xf numFmtId="43" fontId="93" fillId="0" borderId="0" applyFont="0" applyFill="0" applyBorder="0" applyAlignment="0" applyProtection="0"/>
    <xf numFmtId="43" fontId="93" fillId="0" borderId="0" applyFont="0" applyFill="0" applyBorder="0" applyAlignment="0" applyProtection="0"/>
    <xf numFmtId="0" fontId="62" fillId="36" borderId="55" applyNumberFormat="0" applyProtection="0">
      <alignment horizontal="right" vertical="center"/>
    </xf>
    <xf numFmtId="0" fontId="10" fillId="6" borderId="55" applyNumberFormat="0" applyProtection="0">
      <alignment horizontal="left" vertical="top" indent="1"/>
    </xf>
    <xf numFmtId="0" fontId="93" fillId="0" borderId="21" applyAlignment="0"/>
    <xf numFmtId="0" fontId="93" fillId="0" borderId="21" applyAlignment="0"/>
    <xf numFmtId="0" fontId="93" fillId="0" borderId="21" applyAlignment="0"/>
    <xf numFmtId="0" fontId="93" fillId="0" borderId="21" applyAlignment="0"/>
    <xf numFmtId="0" fontId="42" fillId="20" borderId="21"/>
    <xf numFmtId="0" fontId="42" fillId="20" borderId="21"/>
    <xf numFmtId="0" fontId="47" fillId="0" borderId="30" applyNumberFormat="0" applyProtection="0"/>
    <xf numFmtId="0" fontId="42" fillId="8" borderId="21" applyNumberFormat="0" applyBorder="0" applyAlignment="0" applyProtection="0"/>
    <xf numFmtId="0" fontId="42" fillId="8" borderId="21" applyNumberFormat="0" applyBorder="0" applyAlignment="0" applyProtection="0"/>
    <xf numFmtId="0" fontId="93" fillId="0" borderId="0"/>
    <xf numFmtId="0" fontId="93" fillId="0" borderId="0" applyAlignment="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applyAlignment="0"/>
    <xf numFmtId="0" fontId="93" fillId="0" borderId="0"/>
    <xf numFmtId="0" fontId="93" fillId="0" borderId="0"/>
    <xf numFmtId="0" fontId="93" fillId="0" borderId="0"/>
    <xf numFmtId="0" fontId="93" fillId="0" borderId="0"/>
    <xf numFmtId="0" fontId="93" fillId="0" borderId="0"/>
    <xf numFmtId="0" fontId="93" fillId="0" borderId="0" applyAlignment="0"/>
    <xf numFmtId="0" fontId="93" fillId="0" borderId="0" applyAlignment="0"/>
    <xf numFmtId="0" fontId="93" fillId="0" borderId="0" applyAlignment="0"/>
    <xf numFmtId="0" fontId="93" fillId="0" borderId="0"/>
    <xf numFmtId="0" fontId="93" fillId="0" borderId="0" applyAlignment="0"/>
    <xf numFmtId="0" fontId="93" fillId="0" borderId="0"/>
    <xf numFmtId="0" fontId="93" fillId="0" borderId="0"/>
    <xf numFmtId="0" fontId="93" fillId="0" borderId="0"/>
    <xf numFmtId="0" fontId="93" fillId="0" borderId="0"/>
    <xf numFmtId="0" fontId="93" fillId="0" borderId="0"/>
    <xf numFmtId="9" fontId="93" fillId="0" borderId="0" applyAlignment="0"/>
    <xf numFmtId="0" fontId="93" fillId="0" borderId="0"/>
    <xf numFmtId="0" fontId="93" fillId="0" borderId="0"/>
    <xf numFmtId="0" fontId="93" fillId="0" borderId="0"/>
    <xf numFmtId="0" fontId="93" fillId="0" borderId="0"/>
    <xf numFmtId="0" fontId="11" fillId="27" borderId="55" applyNumberFormat="0" applyProtection="0">
      <alignment horizontal="right" vertical="center"/>
    </xf>
    <xf numFmtId="0" fontId="93" fillId="0" borderId="0"/>
    <xf numFmtId="0" fontId="93" fillId="0" borderId="0"/>
    <xf numFmtId="0" fontId="93" fillId="0" borderId="0">
      <alignment vertical="center"/>
    </xf>
    <xf numFmtId="9" fontId="93" fillId="0" borderId="0" applyFont="0" applyFill="0" applyBorder="0" applyProtection="0"/>
    <xf numFmtId="9" fontId="93" fillId="0" borderId="0" applyFont="0" applyFill="0" applyBorder="0" applyAlignment="0" applyProtection="0"/>
    <xf numFmtId="9" fontId="93" fillId="0" borderId="0" applyFont="0" applyFill="0" applyBorder="0" applyAlignment="0" applyProtection="0"/>
    <xf numFmtId="9" fontId="93" fillId="0" borderId="0" applyFont="0" applyFill="0" applyBorder="0" applyProtection="0"/>
    <xf numFmtId="0" fontId="42" fillId="9" borderId="21"/>
    <xf numFmtId="0" fontId="42" fillId="9" borderId="21"/>
    <xf numFmtId="0" fontId="21" fillId="25" borderId="28" applyNumberFormat="0" applyProtection="0">
      <alignment vertical="center"/>
    </xf>
    <xf numFmtId="0" fontId="21" fillId="25" borderId="28" applyNumberFormat="0" applyProtection="0">
      <alignment vertical="center"/>
    </xf>
    <xf numFmtId="0" fontId="21" fillId="25" borderId="28" applyNumberFormat="0" applyProtection="0">
      <alignment vertical="center"/>
    </xf>
    <xf numFmtId="0" fontId="21" fillId="25" borderId="28" applyNumberFormat="0" applyProtection="0">
      <alignment vertical="center"/>
    </xf>
    <xf numFmtId="0" fontId="60" fillId="25" borderId="28" applyNumberFormat="0" applyProtection="0">
      <alignment vertical="center"/>
    </xf>
    <xf numFmtId="0" fontId="60" fillId="25" borderId="28" applyNumberFormat="0" applyProtection="0">
      <alignment vertical="center"/>
    </xf>
    <xf numFmtId="0" fontId="60" fillId="25" borderId="28" applyNumberFormat="0" applyProtection="0">
      <alignment vertical="center"/>
    </xf>
    <xf numFmtId="0" fontId="60" fillId="25" borderId="28" applyNumberFormat="0" applyProtection="0">
      <alignment vertical="center"/>
    </xf>
    <xf numFmtId="0" fontId="21" fillId="25" borderId="28" applyNumberFormat="0" applyProtection="0">
      <alignment horizontal="left" vertical="center" indent="1"/>
    </xf>
    <xf numFmtId="0" fontId="21" fillId="25" borderId="28" applyNumberFormat="0" applyProtection="0">
      <alignment horizontal="left" vertical="center" indent="1"/>
    </xf>
    <xf numFmtId="0" fontId="21" fillId="25" borderId="28" applyNumberFormat="0" applyProtection="0">
      <alignment horizontal="left" vertical="center" indent="1"/>
    </xf>
    <xf numFmtId="0" fontId="21" fillId="25" borderId="28" applyNumberFormat="0" applyProtection="0">
      <alignment horizontal="left" vertical="center" indent="1"/>
    </xf>
    <xf numFmtId="0" fontId="21" fillId="25" borderId="28" applyNumberFormat="0" applyProtection="0">
      <alignment horizontal="left" vertical="top" indent="1"/>
    </xf>
    <xf numFmtId="0" fontId="21" fillId="25" borderId="28" applyNumberFormat="0" applyProtection="0">
      <alignment horizontal="left" vertical="top" indent="1"/>
    </xf>
    <xf numFmtId="0" fontId="21" fillId="25" borderId="28" applyNumberFormat="0" applyProtection="0">
      <alignment horizontal="left" vertical="top" indent="1"/>
    </xf>
    <xf numFmtId="0" fontId="21" fillId="25" borderId="28" applyNumberFormat="0" applyProtection="0">
      <alignment horizontal="left" vertical="top" indent="1"/>
    </xf>
    <xf numFmtId="0" fontId="11" fillId="27" borderId="28" applyNumberFormat="0" applyProtection="0">
      <alignment horizontal="right" vertical="center"/>
    </xf>
    <xf numFmtId="0" fontId="11" fillId="27" borderId="28" applyNumberFormat="0" applyProtection="0">
      <alignment horizontal="right" vertical="center"/>
    </xf>
    <xf numFmtId="0" fontId="11" fillId="27" borderId="28" applyNumberFormat="0" applyProtection="0">
      <alignment horizontal="right" vertical="center"/>
    </xf>
    <xf numFmtId="0" fontId="11" fillId="27" borderId="28" applyNumberFormat="0" applyProtection="0">
      <alignment horizontal="right" vertical="center"/>
    </xf>
    <xf numFmtId="0" fontId="11" fillId="28" borderId="28" applyNumberFormat="0" applyProtection="0">
      <alignment horizontal="right" vertical="center"/>
    </xf>
    <xf numFmtId="0" fontId="11" fillId="28" borderId="28" applyNumberFormat="0" applyProtection="0">
      <alignment horizontal="right" vertical="center"/>
    </xf>
    <xf numFmtId="0" fontId="11" fillId="28" borderId="28" applyNumberFormat="0" applyProtection="0">
      <alignment horizontal="right" vertical="center"/>
    </xf>
    <xf numFmtId="0" fontId="11" fillId="28" borderId="28" applyNumberFormat="0" applyProtection="0">
      <alignment horizontal="right" vertical="center"/>
    </xf>
    <xf numFmtId="0" fontId="11" fillId="29" borderId="28" applyNumberFormat="0" applyProtection="0">
      <alignment horizontal="right" vertical="center"/>
    </xf>
    <xf numFmtId="0" fontId="11" fillId="29" borderId="28" applyNumberFormat="0" applyProtection="0">
      <alignment horizontal="right" vertical="center"/>
    </xf>
    <xf numFmtId="0" fontId="11" fillId="29" borderId="28" applyNumberFormat="0" applyProtection="0">
      <alignment horizontal="right" vertical="center"/>
    </xf>
    <xf numFmtId="0" fontId="11" fillId="29" borderId="28" applyNumberFormat="0" applyProtection="0">
      <alignment horizontal="right" vertical="center"/>
    </xf>
    <xf numFmtId="0" fontId="11" fillId="30" borderId="28" applyNumberFormat="0" applyProtection="0">
      <alignment horizontal="right" vertical="center"/>
    </xf>
    <xf numFmtId="0" fontId="11" fillId="30" borderId="28" applyNumberFormat="0" applyProtection="0">
      <alignment horizontal="right" vertical="center"/>
    </xf>
    <xf numFmtId="0" fontId="11" fillId="30" borderId="28" applyNumberFormat="0" applyProtection="0">
      <alignment horizontal="right" vertical="center"/>
    </xf>
    <xf numFmtId="0" fontId="11" fillId="30" borderId="28" applyNumberFormat="0" applyProtection="0">
      <alignment horizontal="right" vertical="center"/>
    </xf>
    <xf numFmtId="0" fontId="11" fillId="15" borderId="28" applyNumberFormat="0" applyProtection="0">
      <alignment horizontal="right" vertical="center"/>
    </xf>
    <xf numFmtId="0" fontId="11" fillId="15" borderId="28" applyNumberFormat="0" applyProtection="0">
      <alignment horizontal="right" vertical="center"/>
    </xf>
    <xf numFmtId="0" fontId="11" fillId="15" borderId="28" applyNumberFormat="0" applyProtection="0">
      <alignment horizontal="right" vertical="center"/>
    </xf>
    <xf numFmtId="0" fontId="11" fillId="15" borderId="28" applyNumberFormat="0" applyProtection="0">
      <alignment horizontal="right" vertical="center"/>
    </xf>
    <xf numFmtId="0" fontId="11" fillId="31" borderId="28" applyNumberFormat="0" applyProtection="0">
      <alignment horizontal="right" vertical="center"/>
    </xf>
    <xf numFmtId="0" fontId="11" fillId="31" borderId="28" applyNumberFormat="0" applyProtection="0">
      <alignment horizontal="right" vertical="center"/>
    </xf>
    <xf numFmtId="0" fontId="11" fillId="31" borderId="28" applyNumberFormat="0" applyProtection="0">
      <alignment horizontal="right" vertical="center"/>
    </xf>
    <xf numFmtId="0" fontId="11" fillId="31" borderId="28" applyNumberFormat="0" applyProtection="0">
      <alignment horizontal="right" vertical="center"/>
    </xf>
    <xf numFmtId="0" fontId="11" fillId="32" borderId="28" applyNumberFormat="0" applyProtection="0">
      <alignment horizontal="right" vertical="center"/>
    </xf>
    <xf numFmtId="0" fontId="11" fillId="32" borderId="28" applyNumberFormat="0" applyProtection="0">
      <alignment horizontal="right" vertical="center"/>
    </xf>
    <xf numFmtId="0" fontId="11" fillId="32" borderId="28" applyNumberFormat="0" applyProtection="0">
      <alignment horizontal="right" vertical="center"/>
    </xf>
    <xf numFmtId="0" fontId="11" fillId="32" borderId="28" applyNumberFormat="0" applyProtection="0">
      <alignment horizontal="right" vertical="center"/>
    </xf>
    <xf numFmtId="0" fontId="11" fillId="33" borderId="28" applyNumberFormat="0" applyProtection="0">
      <alignment horizontal="right" vertical="center"/>
    </xf>
    <xf numFmtId="0" fontId="11" fillId="33" borderId="28" applyNumberFormat="0" applyProtection="0">
      <alignment horizontal="right" vertical="center"/>
    </xf>
    <xf numFmtId="0" fontId="11" fillId="33" borderId="28" applyNumberFormat="0" applyProtection="0">
      <alignment horizontal="right" vertical="center"/>
    </xf>
    <xf numFmtId="0" fontId="11" fillId="33" borderId="28" applyNumberFormat="0" applyProtection="0">
      <alignment horizontal="right" vertical="center"/>
    </xf>
    <xf numFmtId="0" fontId="11" fillId="34" borderId="28" applyNumberFormat="0" applyProtection="0">
      <alignment horizontal="right" vertical="center"/>
    </xf>
    <xf numFmtId="0" fontId="11" fillId="34" borderId="28" applyNumberFormat="0" applyProtection="0">
      <alignment horizontal="right" vertical="center"/>
    </xf>
    <xf numFmtId="0" fontId="11" fillId="34" borderId="28" applyNumberFormat="0" applyProtection="0">
      <alignment horizontal="right" vertical="center"/>
    </xf>
    <xf numFmtId="0" fontId="11" fillId="34" borderId="28" applyNumberFormat="0" applyProtection="0">
      <alignment horizontal="right" vertical="center"/>
    </xf>
    <xf numFmtId="0" fontId="21" fillId="35" borderId="37" applyNumberFormat="0" applyProtection="0">
      <alignment horizontal="left" vertical="center" indent="1"/>
    </xf>
    <xf numFmtId="0" fontId="11" fillId="26" borderId="28" applyNumberFormat="0" applyProtection="0">
      <alignment horizontal="right" vertical="center"/>
    </xf>
    <xf numFmtId="0" fontId="11" fillId="26" borderId="28" applyNumberFormat="0" applyProtection="0">
      <alignment horizontal="right" vertical="center"/>
    </xf>
    <xf numFmtId="0" fontId="11" fillId="26" borderId="28" applyNumberFormat="0" applyProtection="0">
      <alignment horizontal="right" vertical="center"/>
    </xf>
    <xf numFmtId="0" fontId="11" fillId="26" borderId="28" applyNumberFormat="0" applyProtection="0">
      <alignment horizontal="right" vertical="center"/>
    </xf>
    <xf numFmtId="0" fontId="10" fillId="4" borderId="28" applyNumberFormat="0" applyProtection="0">
      <alignment horizontal="left" vertical="center" indent="1"/>
    </xf>
    <xf numFmtId="0" fontId="10" fillId="4" borderId="28" applyNumberFormat="0" applyProtection="0">
      <alignment horizontal="left" vertical="center" indent="1"/>
    </xf>
    <xf numFmtId="0" fontId="10" fillId="4" borderId="28" applyNumberFormat="0" applyProtection="0">
      <alignment horizontal="left" vertical="center" indent="1"/>
    </xf>
    <xf numFmtId="0" fontId="10" fillId="4" borderId="28" applyNumberFormat="0" applyProtection="0">
      <alignment horizontal="left" vertical="center" indent="1"/>
    </xf>
    <xf numFmtId="0" fontId="10" fillId="4" borderId="28" applyNumberFormat="0" applyProtection="0">
      <alignment horizontal="left" vertical="top" indent="1"/>
    </xf>
    <xf numFmtId="0" fontId="10" fillId="4" borderId="28" applyNumberFormat="0" applyProtection="0">
      <alignment horizontal="left" vertical="top" indent="1"/>
    </xf>
    <xf numFmtId="0" fontId="10" fillId="4" borderId="28" applyNumberFormat="0" applyProtection="0">
      <alignment horizontal="left" vertical="top" indent="1"/>
    </xf>
    <xf numFmtId="0" fontId="10" fillId="4" borderId="28" applyNumberFormat="0" applyProtection="0">
      <alignment horizontal="left" vertical="top" indent="1"/>
    </xf>
    <xf numFmtId="0" fontId="10" fillId="26" borderId="28" applyNumberFormat="0" applyProtection="0">
      <alignment horizontal="left" vertical="center" indent="1"/>
    </xf>
    <xf numFmtId="0" fontId="10" fillId="26" borderId="28" applyNumberFormat="0" applyProtection="0">
      <alignment horizontal="left" vertical="center" indent="1"/>
    </xf>
    <xf numFmtId="0" fontId="10" fillId="26" borderId="28" applyNumberFormat="0" applyProtection="0">
      <alignment horizontal="left" vertical="center" indent="1"/>
    </xf>
    <xf numFmtId="0" fontId="10" fillId="26" borderId="28" applyNumberFormat="0" applyProtection="0">
      <alignment horizontal="left" vertical="center" indent="1"/>
    </xf>
    <xf numFmtId="0" fontId="10" fillId="26" borderId="28" applyNumberFormat="0" applyProtection="0">
      <alignment horizontal="left" vertical="top" indent="1"/>
    </xf>
    <xf numFmtId="0" fontId="10" fillId="26" borderId="28" applyNumberFormat="0" applyProtection="0">
      <alignment horizontal="left" vertical="top" indent="1"/>
    </xf>
    <xf numFmtId="0" fontId="10" fillId="26" borderId="28" applyNumberFormat="0" applyProtection="0">
      <alignment horizontal="left" vertical="top" indent="1"/>
    </xf>
    <xf numFmtId="0" fontId="10" fillId="26" borderId="28" applyNumberFormat="0" applyProtection="0">
      <alignment horizontal="left" vertical="top" indent="1"/>
    </xf>
    <xf numFmtId="0" fontId="10" fillId="6" borderId="28" applyNumberFormat="0" applyProtection="0">
      <alignment horizontal="left" vertical="center" indent="1"/>
    </xf>
    <xf numFmtId="0" fontId="10" fillId="6" borderId="28" applyNumberFormat="0" applyProtection="0">
      <alignment horizontal="left" vertical="center" indent="1"/>
    </xf>
    <xf numFmtId="0" fontId="10" fillId="6" borderId="28" applyNumberFormat="0" applyProtection="0">
      <alignment horizontal="left" vertical="center" indent="1"/>
    </xf>
    <xf numFmtId="0" fontId="10" fillId="6" borderId="28" applyNumberFormat="0" applyProtection="0">
      <alignment horizontal="left" vertical="center" indent="1"/>
    </xf>
    <xf numFmtId="0" fontId="10" fillId="6" borderId="28" applyNumberFormat="0" applyProtection="0">
      <alignment horizontal="left" vertical="top" indent="1"/>
    </xf>
    <xf numFmtId="0" fontId="10" fillId="6" borderId="28" applyNumberFormat="0" applyProtection="0">
      <alignment horizontal="left" vertical="top" indent="1"/>
    </xf>
    <xf numFmtId="0" fontId="10" fillId="6" borderId="28" applyNumberFormat="0" applyProtection="0">
      <alignment horizontal="left" vertical="top" indent="1"/>
    </xf>
    <xf numFmtId="0" fontId="10" fillId="6" borderId="28" applyNumberFormat="0" applyProtection="0">
      <alignment horizontal="left" vertical="top" indent="1"/>
    </xf>
    <xf numFmtId="0" fontId="10" fillId="36" borderId="28" applyNumberFormat="0" applyProtection="0">
      <alignment horizontal="left" vertical="center" indent="1"/>
    </xf>
    <xf numFmtId="0" fontId="10" fillId="36" borderId="28" applyNumberFormat="0" applyProtection="0">
      <alignment horizontal="left" vertical="center" indent="1"/>
    </xf>
    <xf numFmtId="0" fontId="10" fillId="36" borderId="28" applyNumberFormat="0" applyProtection="0">
      <alignment horizontal="left" vertical="center" indent="1"/>
    </xf>
    <xf numFmtId="0" fontId="10" fillId="36" borderId="28" applyNumberFormat="0" applyProtection="0">
      <alignment horizontal="left" vertical="center" indent="1"/>
    </xf>
    <xf numFmtId="0" fontId="10" fillId="36" borderId="28" applyNumberFormat="0" applyProtection="0">
      <alignment horizontal="left" vertical="top" indent="1"/>
    </xf>
    <xf numFmtId="0" fontId="10" fillId="36" borderId="28" applyNumberFormat="0" applyProtection="0">
      <alignment horizontal="left" vertical="top" indent="1"/>
    </xf>
    <xf numFmtId="0" fontId="10" fillId="36" borderId="28" applyNumberFormat="0" applyProtection="0">
      <alignment horizontal="left" vertical="top" indent="1"/>
    </xf>
    <xf numFmtId="0" fontId="10" fillId="36" borderId="28" applyNumberFormat="0" applyProtection="0">
      <alignment horizontal="left" vertical="top" indent="1"/>
    </xf>
    <xf numFmtId="0" fontId="11" fillId="8" borderId="28" applyNumberFormat="0" applyProtection="0">
      <alignment vertical="center"/>
    </xf>
    <xf numFmtId="0" fontId="11" fillId="8" borderId="28" applyNumberFormat="0" applyProtection="0">
      <alignment vertical="center"/>
    </xf>
    <xf numFmtId="0" fontId="11" fillId="8" borderId="28" applyNumberFormat="0" applyProtection="0">
      <alignment vertical="center"/>
    </xf>
    <xf numFmtId="0" fontId="11" fillId="8" borderId="28" applyNumberFormat="0" applyProtection="0">
      <alignment vertical="center"/>
    </xf>
    <xf numFmtId="0" fontId="62" fillId="8" borderId="28" applyNumberFormat="0" applyProtection="0">
      <alignment vertical="center"/>
    </xf>
    <xf numFmtId="0" fontId="62" fillId="8" borderId="28" applyNumberFormat="0" applyProtection="0">
      <alignment vertical="center"/>
    </xf>
    <xf numFmtId="0" fontId="62" fillId="8" borderId="28" applyNumberFormat="0" applyProtection="0">
      <alignment vertical="center"/>
    </xf>
    <xf numFmtId="0" fontId="62" fillId="8" borderId="28" applyNumberFormat="0" applyProtection="0">
      <alignment vertical="center"/>
    </xf>
    <xf numFmtId="0" fontId="11" fillId="8" borderId="28" applyNumberFormat="0" applyProtection="0">
      <alignment horizontal="left" vertical="center" indent="1"/>
    </xf>
    <xf numFmtId="0" fontId="11" fillId="8" borderId="28" applyNumberFormat="0" applyProtection="0">
      <alignment horizontal="left" vertical="center" indent="1"/>
    </xf>
    <xf numFmtId="0" fontId="11" fillId="8" borderId="28" applyNumberFormat="0" applyProtection="0">
      <alignment horizontal="left" vertical="center" indent="1"/>
    </xf>
    <xf numFmtId="0" fontId="11" fillId="8" borderId="28" applyNumberFormat="0" applyProtection="0">
      <alignment horizontal="left" vertical="center" indent="1"/>
    </xf>
    <xf numFmtId="0" fontId="11" fillId="8" borderId="28" applyNumberFormat="0" applyProtection="0">
      <alignment horizontal="left" vertical="top" indent="1"/>
    </xf>
    <xf numFmtId="0" fontId="11" fillId="8" borderId="28" applyNumberFormat="0" applyProtection="0">
      <alignment horizontal="left" vertical="top" indent="1"/>
    </xf>
    <xf numFmtId="0" fontId="11" fillId="8" borderId="28" applyNumberFormat="0" applyProtection="0">
      <alignment horizontal="left" vertical="top" indent="1"/>
    </xf>
    <xf numFmtId="0" fontId="11" fillId="8" borderId="28" applyNumberFormat="0" applyProtection="0">
      <alignment horizontal="left" vertical="top" indent="1"/>
    </xf>
    <xf numFmtId="0" fontId="11" fillId="36" borderId="28" applyNumberFormat="0" applyProtection="0">
      <alignment horizontal="right" vertical="center"/>
    </xf>
    <xf numFmtId="0" fontId="11" fillId="36" borderId="28" applyNumberFormat="0" applyProtection="0">
      <alignment horizontal="right" vertical="center"/>
    </xf>
    <xf numFmtId="0" fontId="11" fillId="36" borderId="28" applyNumberFormat="0" applyProtection="0">
      <alignment horizontal="right" vertical="center"/>
    </xf>
    <xf numFmtId="0" fontId="11" fillId="36" borderId="28" applyNumberFormat="0" applyProtection="0">
      <alignment horizontal="right" vertical="center"/>
    </xf>
    <xf numFmtId="0" fontId="62" fillId="36" borderId="28" applyNumberFormat="0" applyProtection="0">
      <alignment horizontal="right" vertical="center"/>
    </xf>
    <xf numFmtId="0" fontId="62" fillId="36" borderId="28" applyNumberFormat="0" applyProtection="0">
      <alignment horizontal="right" vertical="center"/>
    </xf>
    <xf numFmtId="0" fontId="62" fillId="36" borderId="28" applyNumberFormat="0" applyProtection="0">
      <alignment horizontal="right" vertical="center"/>
    </xf>
    <xf numFmtId="0" fontId="62" fillId="36" borderId="28" applyNumberFormat="0" applyProtection="0">
      <alignment horizontal="right" vertical="center"/>
    </xf>
    <xf numFmtId="0" fontId="11" fillId="26" borderId="28" applyNumberFormat="0" applyProtection="0">
      <alignment horizontal="left" vertical="center" indent="1"/>
    </xf>
    <xf numFmtId="0" fontId="11" fillId="26" borderId="28" applyNumberFormat="0" applyProtection="0">
      <alignment horizontal="left" vertical="center" indent="1"/>
    </xf>
    <xf numFmtId="0" fontId="11" fillId="26" borderId="28" applyNumberFormat="0" applyProtection="0">
      <alignment horizontal="left" vertical="center" indent="1"/>
    </xf>
    <xf numFmtId="0" fontId="11" fillId="26" borderId="28" applyNumberFormat="0" applyProtection="0">
      <alignment horizontal="left" vertical="center" indent="1"/>
    </xf>
    <xf numFmtId="0" fontId="11" fillId="26" borderId="28" applyNumberFormat="0" applyProtection="0">
      <alignment horizontal="left" vertical="top" indent="1"/>
    </xf>
    <xf numFmtId="0" fontId="11" fillId="26" borderId="28" applyNumberFormat="0" applyProtection="0">
      <alignment horizontal="left" vertical="top" indent="1"/>
    </xf>
    <xf numFmtId="0" fontId="11" fillId="26" borderId="28" applyNumberFormat="0" applyProtection="0">
      <alignment horizontal="left" vertical="top" indent="1"/>
    </xf>
    <xf numFmtId="0" fontId="11" fillId="26" borderId="28" applyNumberFormat="0" applyProtection="0">
      <alignment horizontal="left" vertical="top" indent="1"/>
    </xf>
    <xf numFmtId="0" fontId="20" fillId="36" borderId="28" applyNumberFormat="0" applyProtection="0">
      <alignment horizontal="right" vertical="center"/>
    </xf>
    <xf numFmtId="0" fontId="20" fillId="36" borderId="28" applyNumberFormat="0" applyProtection="0">
      <alignment horizontal="right" vertical="center"/>
    </xf>
    <xf numFmtId="0" fontId="20" fillId="36" borderId="28" applyNumberFormat="0" applyProtection="0">
      <alignment horizontal="right" vertical="center"/>
    </xf>
    <xf numFmtId="0" fontId="20" fillId="36" borderId="28" applyNumberFormat="0" applyProtection="0">
      <alignment horizontal="right" vertical="center"/>
    </xf>
    <xf numFmtId="9" fontId="93"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applyAlignment="0"/>
    <xf numFmtId="0" fontId="93" fillId="0" borderId="0"/>
    <xf numFmtId="0" fontId="93" fillId="0" borderId="0"/>
    <xf numFmtId="0" fontId="93" fillId="0" borderId="0"/>
    <xf numFmtId="0" fontId="93" fillId="0" borderId="0"/>
    <xf numFmtId="0" fontId="93" fillId="0" borderId="0"/>
    <xf numFmtId="0" fontId="93" fillId="0" borderId="0">
      <alignment vertical="center"/>
      <protection locked="0"/>
    </xf>
    <xf numFmtId="43" fontId="93" fillId="0" borderId="0" applyFont="0" applyProtection="0"/>
    <xf numFmtId="43" fontId="93" fillId="0" borderId="0" applyFont="0" applyFill="0" applyBorder="0" applyProtection="0"/>
    <xf numFmtId="43" fontId="93" fillId="0" borderId="0" applyFont="0" applyProtection="0"/>
    <xf numFmtId="43" fontId="10" fillId="0" borderId="0" applyFont="0" applyFill="0" applyBorder="0" applyAlignment="0" applyProtection="0"/>
    <xf numFmtId="43" fontId="93" fillId="0" borderId="0" applyFont="0" applyFill="0" applyBorder="0" applyProtection="0"/>
    <xf numFmtId="43" fontId="93" fillId="0" borderId="0" applyFont="0" applyProtection="0"/>
    <xf numFmtId="43" fontId="93" fillId="0" borderId="0" applyFont="0" applyProtection="0"/>
    <xf numFmtId="43" fontId="23" fillId="0" borderId="0" applyAlignment="0"/>
    <xf numFmtId="43" fontId="23" fillId="0" borderId="0" applyAlignment="0"/>
    <xf numFmtId="43" fontId="93" fillId="0" borderId="0" applyFont="0" applyProtection="0"/>
    <xf numFmtId="43" fontId="93" fillId="0" borderId="0" applyFont="0" applyProtection="0"/>
    <xf numFmtId="43" fontId="93" fillId="0" borderId="0" applyFont="0" applyFill="0" applyBorder="0" applyProtection="0"/>
    <xf numFmtId="43" fontId="93" fillId="0" borderId="0" applyFont="0" applyProtection="0"/>
    <xf numFmtId="43" fontId="93" fillId="0" borderId="0" applyFont="0" applyProtection="0"/>
    <xf numFmtId="43" fontId="93" fillId="0" borderId="0" applyFont="0" applyProtection="0"/>
    <xf numFmtId="43" fontId="93" fillId="0" borderId="0" applyFont="0" applyProtection="0"/>
    <xf numFmtId="43" fontId="93" fillId="0" borderId="0" applyFont="0" applyProtection="0"/>
    <xf numFmtId="43" fontId="93" fillId="0" borderId="0" applyFont="0" applyProtection="0"/>
    <xf numFmtId="43" fontId="93" fillId="0" borderId="0" applyFont="0" applyProtection="0"/>
    <xf numFmtId="43" fontId="93" fillId="0" borderId="0" applyFont="0" applyProtection="0"/>
    <xf numFmtId="43" fontId="93" fillId="0" borderId="0" applyFont="0" applyProtection="0"/>
    <xf numFmtId="43" fontId="93" fillId="0" borderId="0" applyFo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43" fontId="93" fillId="0" borderId="0" applyFont="0" applyFill="0" applyBorder="0" applyAlignment="0" applyProtection="0"/>
    <xf numFmtId="0" fontId="10" fillId="0" borderId="21" applyNumberFormat="0"/>
    <xf numFmtId="0" fontId="10" fillId="0" borderId="21" applyNumberFormat="0"/>
    <xf numFmtId="0" fontId="93" fillId="0" borderId="0"/>
    <xf numFmtId="43" fontId="93" fillId="0" borderId="0" applyFont="0" applyFill="0" applyBorder="0" applyAlignment="0" applyProtection="0"/>
    <xf numFmtId="9" fontId="93" fillId="0" borderId="0" applyFont="0" applyFill="0" applyBorder="0" applyAlignment="0" applyProtection="0"/>
    <xf numFmtId="0" fontId="1" fillId="0" borderId="0"/>
    <xf numFmtId="43" fontId="93" fillId="0" borderId="0" applyFont="0" applyFill="0" applyBorder="0" applyAlignment="0" applyProtection="0"/>
    <xf numFmtId="0" fontId="93" fillId="0" borderId="0"/>
    <xf numFmtId="0" fontId="93" fillId="0" borderId="0"/>
    <xf numFmtId="43" fontId="93" fillId="0" borderId="0" applyFont="0" applyFill="0" applyBorder="0" applyAlignment="0" applyProtection="0"/>
    <xf numFmtId="0" fontId="1" fillId="0" borderId="0"/>
    <xf numFmtId="0" fontId="1" fillId="0" borderId="0"/>
    <xf numFmtId="0" fontId="21" fillId="25" borderId="28" applyNumberFormat="0" applyProtection="0">
      <alignment vertical="center"/>
    </xf>
    <xf numFmtId="0" fontId="21" fillId="25" borderId="28" applyNumberFormat="0" applyProtection="0">
      <alignment vertical="center"/>
    </xf>
    <xf numFmtId="0" fontId="21" fillId="25" borderId="28" applyNumberFormat="0" applyProtection="0">
      <alignment vertical="center"/>
    </xf>
    <xf numFmtId="0" fontId="21" fillId="25" borderId="28" applyNumberFormat="0" applyProtection="0">
      <alignment vertical="center"/>
    </xf>
    <xf numFmtId="0" fontId="60" fillId="25" borderId="28" applyNumberFormat="0" applyProtection="0">
      <alignment vertical="center"/>
    </xf>
    <xf numFmtId="0" fontId="60" fillId="25" borderId="28" applyNumberFormat="0" applyProtection="0">
      <alignment vertical="center"/>
    </xf>
    <xf numFmtId="0" fontId="60" fillId="25" borderId="28" applyNumberFormat="0" applyProtection="0">
      <alignment vertical="center"/>
    </xf>
    <xf numFmtId="0" fontId="60" fillId="25" borderId="28" applyNumberFormat="0" applyProtection="0">
      <alignment vertical="center"/>
    </xf>
    <xf numFmtId="0" fontId="21" fillId="25" borderId="28" applyNumberFormat="0" applyProtection="0">
      <alignment horizontal="left" vertical="center" indent="1"/>
    </xf>
    <xf numFmtId="0" fontId="21" fillId="25" borderId="28" applyNumberFormat="0" applyProtection="0">
      <alignment horizontal="left" vertical="center" indent="1"/>
    </xf>
    <xf numFmtId="0" fontId="21" fillId="25" borderId="28" applyNumberFormat="0" applyProtection="0">
      <alignment horizontal="left" vertical="center" indent="1"/>
    </xf>
    <xf numFmtId="0" fontId="21" fillId="25" borderId="28" applyNumberFormat="0" applyProtection="0">
      <alignment horizontal="left" vertical="center" indent="1"/>
    </xf>
    <xf numFmtId="0" fontId="21" fillId="25" borderId="28" applyNumberFormat="0" applyProtection="0">
      <alignment horizontal="left" vertical="top" indent="1"/>
    </xf>
    <xf numFmtId="0" fontId="21" fillId="25" borderId="28" applyNumberFormat="0" applyProtection="0">
      <alignment horizontal="left" vertical="top" indent="1"/>
    </xf>
    <xf numFmtId="0" fontId="21" fillId="25" borderId="28" applyNumberFormat="0" applyProtection="0">
      <alignment horizontal="left" vertical="top" indent="1"/>
    </xf>
    <xf numFmtId="0" fontId="21" fillId="25" borderId="28" applyNumberFormat="0" applyProtection="0">
      <alignment horizontal="left" vertical="top" indent="1"/>
    </xf>
    <xf numFmtId="0" fontId="11" fillId="27" borderId="28" applyNumberFormat="0" applyProtection="0">
      <alignment horizontal="right" vertical="center"/>
    </xf>
    <xf numFmtId="0" fontId="11" fillId="27" borderId="28" applyNumberFormat="0" applyProtection="0">
      <alignment horizontal="right" vertical="center"/>
    </xf>
    <xf numFmtId="0" fontId="11" fillId="27" borderId="28" applyNumberFormat="0" applyProtection="0">
      <alignment horizontal="right" vertical="center"/>
    </xf>
    <xf numFmtId="0" fontId="11" fillId="27" borderId="28" applyNumberFormat="0" applyProtection="0">
      <alignment horizontal="right" vertical="center"/>
    </xf>
    <xf numFmtId="0" fontId="11" fillId="28" borderId="28" applyNumberFormat="0" applyProtection="0">
      <alignment horizontal="right" vertical="center"/>
    </xf>
    <xf numFmtId="0" fontId="11" fillId="28" borderId="28" applyNumberFormat="0" applyProtection="0">
      <alignment horizontal="right" vertical="center"/>
    </xf>
    <xf numFmtId="0" fontId="11" fillId="28" borderId="28" applyNumberFormat="0" applyProtection="0">
      <alignment horizontal="right" vertical="center"/>
    </xf>
    <xf numFmtId="0" fontId="11" fillId="28" borderId="28" applyNumberFormat="0" applyProtection="0">
      <alignment horizontal="right" vertical="center"/>
    </xf>
    <xf numFmtId="0" fontId="11" fillId="29" borderId="28" applyNumberFormat="0" applyProtection="0">
      <alignment horizontal="right" vertical="center"/>
    </xf>
    <xf numFmtId="0" fontId="11" fillId="29" borderId="28" applyNumberFormat="0" applyProtection="0">
      <alignment horizontal="right" vertical="center"/>
    </xf>
    <xf numFmtId="0" fontId="11" fillId="29" borderId="28" applyNumberFormat="0" applyProtection="0">
      <alignment horizontal="right" vertical="center"/>
    </xf>
    <xf numFmtId="0" fontId="11" fillId="29" borderId="28" applyNumberFormat="0" applyProtection="0">
      <alignment horizontal="right" vertical="center"/>
    </xf>
    <xf numFmtId="0" fontId="11" fillId="30" borderId="28" applyNumberFormat="0" applyProtection="0">
      <alignment horizontal="right" vertical="center"/>
    </xf>
    <xf numFmtId="0" fontId="11" fillId="30" borderId="28" applyNumberFormat="0" applyProtection="0">
      <alignment horizontal="right" vertical="center"/>
    </xf>
    <xf numFmtId="0" fontId="11" fillId="30" borderId="28" applyNumberFormat="0" applyProtection="0">
      <alignment horizontal="right" vertical="center"/>
    </xf>
    <xf numFmtId="0" fontId="11" fillId="30" borderId="28" applyNumberFormat="0" applyProtection="0">
      <alignment horizontal="right" vertical="center"/>
    </xf>
    <xf numFmtId="0" fontId="11" fillId="15" borderId="28" applyNumberFormat="0" applyProtection="0">
      <alignment horizontal="right" vertical="center"/>
    </xf>
    <xf numFmtId="0" fontId="11" fillId="15" borderId="28" applyNumberFormat="0" applyProtection="0">
      <alignment horizontal="right" vertical="center"/>
    </xf>
    <xf numFmtId="0" fontId="11" fillId="15" borderId="28" applyNumberFormat="0" applyProtection="0">
      <alignment horizontal="right" vertical="center"/>
    </xf>
    <xf numFmtId="0" fontId="11" fillId="15" borderId="28" applyNumberFormat="0" applyProtection="0">
      <alignment horizontal="right" vertical="center"/>
    </xf>
    <xf numFmtId="0" fontId="11" fillId="31" borderId="28" applyNumberFormat="0" applyProtection="0">
      <alignment horizontal="right" vertical="center"/>
    </xf>
    <xf numFmtId="0" fontId="11" fillId="31" borderId="28" applyNumberFormat="0" applyProtection="0">
      <alignment horizontal="right" vertical="center"/>
    </xf>
    <xf numFmtId="0" fontId="11" fillId="31" borderId="28" applyNumberFormat="0" applyProtection="0">
      <alignment horizontal="right" vertical="center"/>
    </xf>
    <xf numFmtId="0" fontId="11" fillId="31" borderId="28" applyNumberFormat="0" applyProtection="0">
      <alignment horizontal="right" vertical="center"/>
    </xf>
    <xf numFmtId="0" fontId="11" fillId="32" borderId="28" applyNumberFormat="0" applyProtection="0">
      <alignment horizontal="right" vertical="center"/>
    </xf>
    <xf numFmtId="0" fontId="11" fillId="32" borderId="28" applyNumberFormat="0" applyProtection="0">
      <alignment horizontal="right" vertical="center"/>
    </xf>
    <xf numFmtId="0" fontId="11" fillId="32" borderId="28" applyNumberFormat="0" applyProtection="0">
      <alignment horizontal="right" vertical="center"/>
    </xf>
    <xf numFmtId="0" fontId="11" fillId="32" borderId="28" applyNumberFormat="0" applyProtection="0">
      <alignment horizontal="right" vertical="center"/>
    </xf>
    <xf numFmtId="0" fontId="11" fillId="33" borderId="28" applyNumberFormat="0" applyProtection="0">
      <alignment horizontal="right" vertical="center"/>
    </xf>
    <xf numFmtId="0" fontId="11" fillId="33" borderId="28" applyNumberFormat="0" applyProtection="0">
      <alignment horizontal="right" vertical="center"/>
    </xf>
    <xf numFmtId="0" fontId="11" fillId="33" borderId="28" applyNumberFormat="0" applyProtection="0">
      <alignment horizontal="right" vertical="center"/>
    </xf>
    <xf numFmtId="0" fontId="11" fillId="33" borderId="28" applyNumberFormat="0" applyProtection="0">
      <alignment horizontal="right" vertical="center"/>
    </xf>
    <xf numFmtId="0" fontId="11" fillId="34" borderId="28" applyNumberFormat="0" applyProtection="0">
      <alignment horizontal="right" vertical="center"/>
    </xf>
    <xf numFmtId="0" fontId="11" fillId="34" borderId="28" applyNumberFormat="0" applyProtection="0">
      <alignment horizontal="right" vertical="center"/>
    </xf>
    <xf numFmtId="0" fontId="11" fillId="34" borderId="28" applyNumberFormat="0" applyProtection="0">
      <alignment horizontal="right" vertical="center"/>
    </xf>
    <xf numFmtId="0" fontId="11" fillId="34" borderId="28" applyNumberFormat="0" applyProtection="0">
      <alignment horizontal="right" vertical="center"/>
    </xf>
    <xf numFmtId="0" fontId="11" fillId="26" borderId="28" applyNumberFormat="0" applyProtection="0">
      <alignment horizontal="right" vertical="center"/>
    </xf>
    <xf numFmtId="0" fontId="11" fillId="26" borderId="28" applyNumberFormat="0" applyProtection="0">
      <alignment horizontal="right" vertical="center"/>
    </xf>
    <xf numFmtId="0" fontId="11" fillId="26" borderId="28" applyNumberFormat="0" applyProtection="0">
      <alignment horizontal="right" vertical="center"/>
    </xf>
    <xf numFmtId="0" fontId="11" fillId="26" borderId="28" applyNumberFormat="0" applyProtection="0">
      <alignment horizontal="right" vertical="center"/>
    </xf>
    <xf numFmtId="0" fontId="10" fillId="4" borderId="28" applyNumberFormat="0" applyProtection="0">
      <alignment horizontal="left" vertical="center" indent="1"/>
    </xf>
    <xf numFmtId="0" fontId="10" fillId="4" borderId="28" applyNumberFormat="0" applyProtection="0">
      <alignment horizontal="left" vertical="center" indent="1"/>
    </xf>
    <xf numFmtId="0" fontId="10" fillId="4" borderId="28" applyNumberFormat="0" applyProtection="0">
      <alignment horizontal="left" vertical="center" indent="1"/>
    </xf>
    <xf numFmtId="0" fontId="10" fillId="4" borderId="28" applyNumberFormat="0" applyProtection="0">
      <alignment horizontal="left" vertical="center" indent="1"/>
    </xf>
    <xf numFmtId="0" fontId="10" fillId="4" borderId="28" applyNumberFormat="0" applyProtection="0">
      <alignment horizontal="left" vertical="top" indent="1"/>
    </xf>
    <xf numFmtId="0" fontId="10" fillId="4" borderId="28" applyNumberFormat="0" applyProtection="0">
      <alignment horizontal="left" vertical="top" indent="1"/>
    </xf>
    <xf numFmtId="0" fontId="10" fillId="4" borderId="28" applyNumberFormat="0" applyProtection="0">
      <alignment horizontal="left" vertical="top" indent="1"/>
    </xf>
    <xf numFmtId="0" fontId="10" fillId="4" borderId="28" applyNumberFormat="0" applyProtection="0">
      <alignment horizontal="left" vertical="top" indent="1"/>
    </xf>
    <xf numFmtId="0" fontId="10" fillId="26" borderId="28" applyNumberFormat="0" applyProtection="0">
      <alignment horizontal="left" vertical="center" indent="1"/>
    </xf>
    <xf numFmtId="0" fontId="10" fillId="26" borderId="28" applyNumberFormat="0" applyProtection="0">
      <alignment horizontal="left" vertical="center" indent="1"/>
    </xf>
    <xf numFmtId="0" fontId="10" fillId="26" borderId="28" applyNumberFormat="0" applyProtection="0">
      <alignment horizontal="left" vertical="center" indent="1"/>
    </xf>
    <xf numFmtId="0" fontId="10" fillId="26" borderId="28" applyNumberFormat="0" applyProtection="0">
      <alignment horizontal="left" vertical="center" indent="1"/>
    </xf>
    <xf numFmtId="0" fontId="10" fillId="26" borderId="28" applyNumberFormat="0" applyProtection="0">
      <alignment horizontal="left" vertical="top" indent="1"/>
    </xf>
    <xf numFmtId="0" fontId="10" fillId="26" borderId="28" applyNumberFormat="0" applyProtection="0">
      <alignment horizontal="left" vertical="top" indent="1"/>
    </xf>
    <xf numFmtId="0" fontId="10" fillId="26" borderId="28" applyNumberFormat="0" applyProtection="0">
      <alignment horizontal="left" vertical="top" indent="1"/>
    </xf>
    <xf numFmtId="0" fontId="10" fillId="26" borderId="28" applyNumberFormat="0" applyProtection="0">
      <alignment horizontal="left" vertical="top" indent="1"/>
    </xf>
    <xf numFmtId="0" fontId="10" fillId="6" borderId="28" applyNumberFormat="0" applyProtection="0">
      <alignment horizontal="left" vertical="center" indent="1"/>
    </xf>
    <xf numFmtId="0" fontId="10" fillId="6" borderId="28" applyNumberFormat="0" applyProtection="0">
      <alignment horizontal="left" vertical="center" indent="1"/>
    </xf>
    <xf numFmtId="0" fontId="10" fillId="6" borderId="28" applyNumberFormat="0" applyProtection="0">
      <alignment horizontal="left" vertical="center" indent="1"/>
    </xf>
    <xf numFmtId="0" fontId="10" fillId="6" borderId="28" applyNumberFormat="0" applyProtection="0">
      <alignment horizontal="left" vertical="center" indent="1"/>
    </xf>
    <xf numFmtId="0" fontId="10" fillId="6" borderId="28" applyNumberFormat="0" applyProtection="0">
      <alignment horizontal="left" vertical="top" indent="1"/>
    </xf>
    <xf numFmtId="0" fontId="10" fillId="6" borderId="28" applyNumberFormat="0" applyProtection="0">
      <alignment horizontal="left" vertical="top" indent="1"/>
    </xf>
    <xf numFmtId="0" fontId="10" fillId="6" borderId="28" applyNumberFormat="0" applyProtection="0">
      <alignment horizontal="left" vertical="top" indent="1"/>
    </xf>
    <xf numFmtId="0" fontId="10" fillId="6" borderId="28" applyNumberFormat="0" applyProtection="0">
      <alignment horizontal="left" vertical="top" indent="1"/>
    </xf>
    <xf numFmtId="0" fontId="10" fillId="36" borderId="28" applyNumberFormat="0" applyProtection="0">
      <alignment horizontal="left" vertical="center" indent="1"/>
    </xf>
    <xf numFmtId="0" fontId="10" fillId="36" borderId="28" applyNumberFormat="0" applyProtection="0">
      <alignment horizontal="left" vertical="center" indent="1"/>
    </xf>
    <xf numFmtId="0" fontId="10" fillId="36" borderId="28" applyNumberFormat="0" applyProtection="0">
      <alignment horizontal="left" vertical="center" indent="1"/>
    </xf>
    <xf numFmtId="0" fontId="10" fillId="36" borderId="28" applyNumberFormat="0" applyProtection="0">
      <alignment horizontal="left" vertical="center" indent="1"/>
    </xf>
    <xf numFmtId="0" fontId="10" fillId="36" borderId="28" applyNumberFormat="0" applyProtection="0">
      <alignment horizontal="left" vertical="top" indent="1"/>
    </xf>
    <xf numFmtId="0" fontId="10" fillId="36" borderId="28" applyNumberFormat="0" applyProtection="0">
      <alignment horizontal="left" vertical="top" indent="1"/>
    </xf>
    <xf numFmtId="0" fontId="10" fillId="36" borderId="28" applyNumberFormat="0" applyProtection="0">
      <alignment horizontal="left" vertical="top" indent="1"/>
    </xf>
    <xf numFmtId="0" fontId="10" fillId="36" borderId="28" applyNumberFormat="0" applyProtection="0">
      <alignment horizontal="left" vertical="top" indent="1"/>
    </xf>
    <xf numFmtId="0" fontId="11" fillId="8" borderId="28" applyNumberFormat="0" applyProtection="0">
      <alignment vertical="center"/>
    </xf>
    <xf numFmtId="0" fontId="11" fillId="8" borderId="28" applyNumberFormat="0" applyProtection="0">
      <alignment vertical="center"/>
    </xf>
    <xf numFmtId="0" fontId="11" fillId="8" borderId="28" applyNumberFormat="0" applyProtection="0">
      <alignment vertical="center"/>
    </xf>
    <xf numFmtId="0" fontId="11" fillId="8" borderId="28" applyNumberFormat="0" applyProtection="0">
      <alignment vertical="center"/>
    </xf>
    <xf numFmtId="0" fontId="62" fillId="8" borderId="28" applyNumberFormat="0" applyProtection="0">
      <alignment vertical="center"/>
    </xf>
    <xf numFmtId="0" fontId="62" fillId="8" borderId="28" applyNumberFormat="0" applyProtection="0">
      <alignment vertical="center"/>
    </xf>
    <xf numFmtId="0" fontId="62" fillId="8" borderId="28" applyNumberFormat="0" applyProtection="0">
      <alignment vertical="center"/>
    </xf>
    <xf numFmtId="0" fontId="62" fillId="8" borderId="28" applyNumberFormat="0" applyProtection="0">
      <alignment vertical="center"/>
    </xf>
    <xf numFmtId="0" fontId="11" fillId="8" borderId="28" applyNumberFormat="0" applyProtection="0">
      <alignment horizontal="left" vertical="center" indent="1"/>
    </xf>
    <xf numFmtId="0" fontId="11" fillId="8" borderId="28" applyNumberFormat="0" applyProtection="0">
      <alignment horizontal="left" vertical="center" indent="1"/>
    </xf>
    <xf numFmtId="0" fontId="11" fillId="8" borderId="28" applyNumberFormat="0" applyProtection="0">
      <alignment horizontal="left" vertical="center" indent="1"/>
    </xf>
    <xf numFmtId="0" fontId="11" fillId="8" borderId="28" applyNumberFormat="0" applyProtection="0">
      <alignment horizontal="left" vertical="center" indent="1"/>
    </xf>
    <xf numFmtId="0" fontId="11" fillId="8" borderId="28" applyNumberFormat="0" applyProtection="0">
      <alignment horizontal="left" vertical="top" indent="1"/>
    </xf>
    <xf numFmtId="0" fontId="11" fillId="8" borderId="28" applyNumberFormat="0" applyProtection="0">
      <alignment horizontal="left" vertical="top" indent="1"/>
    </xf>
    <xf numFmtId="0" fontId="11" fillId="8" borderId="28" applyNumberFormat="0" applyProtection="0">
      <alignment horizontal="left" vertical="top" indent="1"/>
    </xf>
    <xf numFmtId="0" fontId="11" fillId="8" borderId="28" applyNumberFormat="0" applyProtection="0">
      <alignment horizontal="left" vertical="top" indent="1"/>
    </xf>
    <xf numFmtId="0" fontId="11" fillId="36" borderId="28" applyNumberFormat="0" applyProtection="0">
      <alignment horizontal="right" vertical="center"/>
    </xf>
    <xf numFmtId="0" fontId="11" fillId="36" borderId="28" applyNumberFormat="0" applyProtection="0">
      <alignment horizontal="right" vertical="center"/>
    </xf>
    <xf numFmtId="0" fontId="11" fillId="36" borderId="28" applyNumberFormat="0" applyProtection="0">
      <alignment horizontal="right" vertical="center"/>
    </xf>
    <xf numFmtId="0" fontId="11" fillId="36" borderId="28" applyNumberFormat="0" applyProtection="0">
      <alignment horizontal="right" vertical="center"/>
    </xf>
    <xf numFmtId="0" fontId="62" fillId="36" borderId="28" applyNumberFormat="0" applyProtection="0">
      <alignment horizontal="right" vertical="center"/>
    </xf>
    <xf numFmtId="0" fontId="62" fillId="36" borderId="28" applyNumberFormat="0" applyProtection="0">
      <alignment horizontal="right" vertical="center"/>
    </xf>
    <xf numFmtId="0" fontId="62" fillId="36" borderId="28" applyNumberFormat="0" applyProtection="0">
      <alignment horizontal="right" vertical="center"/>
    </xf>
    <xf numFmtId="0" fontId="62" fillId="36" borderId="28" applyNumberFormat="0" applyProtection="0">
      <alignment horizontal="right" vertical="center"/>
    </xf>
    <xf numFmtId="0" fontId="11" fillId="26" borderId="28" applyNumberFormat="0" applyProtection="0">
      <alignment horizontal="left" vertical="center" indent="1"/>
    </xf>
    <xf numFmtId="0" fontId="11" fillId="26" borderId="28" applyNumberFormat="0" applyProtection="0">
      <alignment horizontal="left" vertical="center" indent="1"/>
    </xf>
    <xf numFmtId="0" fontId="11" fillId="26" borderId="28" applyNumberFormat="0" applyProtection="0">
      <alignment horizontal="left" vertical="center" indent="1"/>
    </xf>
    <xf numFmtId="0" fontId="11" fillId="26" borderId="28" applyNumberFormat="0" applyProtection="0">
      <alignment horizontal="left" vertical="center" indent="1"/>
    </xf>
    <xf numFmtId="0" fontId="11" fillId="26" borderId="28" applyNumberFormat="0" applyProtection="0">
      <alignment horizontal="left" vertical="top" indent="1"/>
    </xf>
    <xf numFmtId="0" fontId="11" fillId="26" borderId="28" applyNumberFormat="0" applyProtection="0">
      <alignment horizontal="left" vertical="top" indent="1"/>
    </xf>
    <xf numFmtId="0" fontId="11" fillId="26" borderId="28" applyNumberFormat="0" applyProtection="0">
      <alignment horizontal="left" vertical="top" indent="1"/>
    </xf>
    <xf numFmtId="0" fontId="11" fillId="26" borderId="28" applyNumberFormat="0" applyProtection="0">
      <alignment horizontal="left" vertical="top" indent="1"/>
    </xf>
    <xf numFmtId="0" fontId="20" fillId="36" borderId="28" applyNumberFormat="0" applyProtection="0">
      <alignment horizontal="right" vertical="center"/>
    </xf>
    <xf numFmtId="0" fontId="20" fillId="36" borderId="28" applyNumberFormat="0" applyProtection="0">
      <alignment horizontal="right" vertical="center"/>
    </xf>
    <xf numFmtId="0" fontId="20" fillId="36" borderId="28" applyNumberFormat="0" applyProtection="0">
      <alignment horizontal="right" vertical="center"/>
    </xf>
    <xf numFmtId="0" fontId="20" fillId="36" borderId="28" applyNumberFormat="0" applyProtection="0">
      <alignment horizontal="right" vertical="center"/>
    </xf>
    <xf numFmtId="0" fontId="93" fillId="0" borderId="0"/>
    <xf numFmtId="43" fontId="93" fillId="0" borderId="0" applyFont="0" applyFill="0" applyBorder="0" applyAlignment="0" applyProtection="0"/>
    <xf numFmtId="0" fontId="93" fillId="0" borderId="0"/>
    <xf numFmtId="0" fontId="93" fillId="0" borderId="0"/>
    <xf numFmtId="0" fontId="93" fillId="0" borderId="0"/>
    <xf numFmtId="43" fontId="93" fillId="0" borderId="0" applyFont="0" applyFill="0" applyBorder="0" applyAlignment="0" applyProtection="0"/>
    <xf numFmtId="0" fontId="93" fillId="0" borderId="0" applyAlignment="0"/>
    <xf numFmtId="9" fontId="93"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0" fillId="0" borderId="0" applyFont="0" applyFill="0" applyBorder="0" applyAlignment="0" applyProtection="0"/>
    <xf numFmtId="43" fontId="112" fillId="0" borderId="0" applyFont="0" applyFill="0" applyBorder="0" applyAlignment="0" applyProtection="0"/>
    <xf numFmtId="0" fontId="21" fillId="35" borderId="38" applyNumberFormat="0" applyProtection="0">
      <alignment horizontal="left" vertical="center" indent="1"/>
    </xf>
    <xf numFmtId="0" fontId="21" fillId="35" borderId="38" applyNumberFormat="0" applyProtection="0">
      <alignment horizontal="left" vertical="center" indent="1"/>
    </xf>
    <xf numFmtId="0" fontId="11" fillId="15" borderId="55" applyNumberFormat="0" applyProtection="0">
      <alignment horizontal="right" vertical="center"/>
    </xf>
    <xf numFmtId="0" fontId="21" fillId="35" borderId="38" applyNumberFormat="0" applyProtection="0">
      <alignment horizontal="left" vertical="center" indent="1"/>
    </xf>
    <xf numFmtId="0" fontId="21" fillId="35" borderId="38" applyNumberFormat="0" applyProtection="0">
      <alignment horizontal="left" vertical="center" indent="1"/>
    </xf>
    <xf numFmtId="0" fontId="21" fillId="35" borderId="38" applyNumberFormat="0" applyProtection="0">
      <alignment horizontal="left" vertical="center" indent="1"/>
    </xf>
    <xf numFmtId="0" fontId="21" fillId="35" borderId="38" applyNumberFormat="0" applyProtection="0">
      <alignment horizontal="left" vertical="center" indent="1"/>
    </xf>
    <xf numFmtId="0" fontId="21" fillId="35" borderId="38" applyNumberFormat="0" applyProtection="0">
      <alignment horizontal="left" vertical="center" indent="1"/>
    </xf>
    <xf numFmtId="0" fontId="21" fillId="35" borderId="38" applyNumberFormat="0" applyProtection="0">
      <alignment horizontal="left" vertical="center" indent="1"/>
    </xf>
    <xf numFmtId="0" fontId="21" fillId="35" borderId="38" applyNumberFormat="0" applyProtection="0">
      <alignment horizontal="left" vertical="center" indent="1"/>
    </xf>
    <xf numFmtId="0" fontId="21" fillId="35" borderId="38" applyNumberFormat="0" applyProtection="0">
      <alignment horizontal="left" vertical="center" indent="1"/>
    </xf>
    <xf numFmtId="0" fontId="47" fillId="0" borderId="30" applyNumberFormat="0" applyProtection="0"/>
    <xf numFmtId="0" fontId="21" fillId="35" borderId="38" applyNumberFormat="0" applyProtection="0">
      <alignment horizontal="left" vertical="center" indent="1"/>
    </xf>
    <xf numFmtId="0" fontId="21" fillId="35" borderId="38" applyNumberFormat="0" applyProtection="0">
      <alignment horizontal="left" vertical="center" indent="1"/>
    </xf>
    <xf numFmtId="0" fontId="11" fillId="33" borderId="55" applyNumberFormat="0" applyProtection="0">
      <alignment horizontal="right" vertical="center"/>
    </xf>
    <xf numFmtId="0" fontId="11" fillId="15" borderId="55" applyNumberFormat="0" applyProtection="0">
      <alignment horizontal="right" vertical="center"/>
    </xf>
    <xf numFmtId="4" fontId="93" fillId="0" borderId="45">
      <alignment horizontal="right"/>
    </xf>
    <xf numFmtId="0" fontId="21" fillId="35" borderId="51" applyNumberFormat="0" applyProtection="0">
      <alignment horizontal="left" vertical="center" indent="1"/>
    </xf>
    <xf numFmtId="0" fontId="11" fillId="8" borderId="55" applyNumberFormat="0" applyProtection="0">
      <alignment horizontal="left" vertical="center" indent="1"/>
    </xf>
    <xf numFmtId="4" fontId="93" fillId="0" borderId="45">
      <alignment horizontal="right"/>
    </xf>
    <xf numFmtId="0" fontId="10" fillId="6" borderId="57" applyNumberFormat="0" applyProtection="0">
      <alignment horizontal="left" vertical="center" indent="1"/>
    </xf>
    <xf numFmtId="0" fontId="21" fillId="25" borderId="55" applyNumberFormat="0" applyProtection="0">
      <alignment vertical="center"/>
    </xf>
    <xf numFmtId="0" fontId="10" fillId="26" borderId="55" applyNumberFormat="0" applyProtection="0">
      <alignment horizontal="left" vertical="center" indent="1"/>
    </xf>
    <xf numFmtId="0" fontId="7" fillId="0" borderId="45">
      <alignment horizontal="right" vertical="center"/>
    </xf>
    <xf numFmtId="0" fontId="11" fillId="36" borderId="48" applyNumberFormat="0" applyProtection="0">
      <alignment horizontal="right" vertical="center"/>
    </xf>
    <xf numFmtId="0" fontId="11" fillId="26" borderId="48" applyNumberFormat="0" applyProtection="0">
      <alignment horizontal="left" vertical="top" indent="1"/>
    </xf>
    <xf numFmtId="0" fontId="10" fillId="6" borderId="48" applyNumberFormat="0" applyProtection="0">
      <alignment horizontal="left" vertical="center" indent="1"/>
    </xf>
    <xf numFmtId="0" fontId="11" fillId="28" borderId="55" applyNumberFormat="0" applyProtection="0">
      <alignment horizontal="right" vertical="center"/>
    </xf>
    <xf numFmtId="0" fontId="11" fillId="26" borderId="57" applyNumberFormat="0" applyProtection="0">
      <alignment horizontal="left" vertical="top" indent="1"/>
    </xf>
    <xf numFmtId="0" fontId="20" fillId="36" borderId="48" applyNumberFormat="0" applyProtection="0">
      <alignment horizontal="right" vertical="center"/>
    </xf>
    <xf numFmtId="0" fontId="11" fillId="29" borderId="55" applyNumberFormat="0" applyProtection="0">
      <alignment horizontal="right" vertical="center"/>
    </xf>
    <xf numFmtId="0" fontId="11" fillId="28" borderId="55" applyNumberFormat="0" applyProtection="0">
      <alignment horizontal="right" vertical="center"/>
    </xf>
    <xf numFmtId="0" fontId="62" fillId="36" borderId="53" applyNumberFormat="0" applyProtection="0">
      <alignment horizontal="right" vertical="center"/>
    </xf>
    <xf numFmtId="0" fontId="93" fillId="0" borderId="52" applyAlignment="0"/>
    <xf numFmtId="0" fontId="62" fillId="36" borderId="48" applyNumberFormat="0" applyProtection="0">
      <alignment horizontal="right" vertical="center"/>
    </xf>
    <xf numFmtId="0" fontId="11" fillId="34" borderId="48" applyNumberFormat="0" applyProtection="0">
      <alignment horizontal="right" vertical="center"/>
    </xf>
    <xf numFmtId="0" fontId="11" fillId="32" borderId="48" applyNumberFormat="0" applyProtection="0">
      <alignment horizontal="right" vertical="center"/>
    </xf>
    <xf numFmtId="0" fontId="10" fillId="26" borderId="48" applyNumberFormat="0" applyProtection="0">
      <alignment horizontal="left" vertical="center" indent="1"/>
    </xf>
    <xf numFmtId="0" fontId="10" fillId="6" borderId="48" applyNumberFormat="0" applyProtection="0">
      <alignment horizontal="left" vertical="top" indent="1"/>
    </xf>
    <xf numFmtId="0" fontId="10" fillId="6" borderId="48" applyNumberFormat="0" applyProtection="0">
      <alignment horizontal="left" vertical="center" indent="1"/>
    </xf>
    <xf numFmtId="0" fontId="10" fillId="4" borderId="48" applyNumberFormat="0" applyProtection="0">
      <alignment horizontal="left" vertical="top" indent="1"/>
    </xf>
    <xf numFmtId="4" fontId="99" fillId="0" borderId="56">
      <alignment horizontal="right"/>
    </xf>
    <xf numFmtId="0" fontId="11" fillId="8" borderId="55" applyNumberFormat="0" applyProtection="0">
      <alignment vertical="center"/>
    </xf>
    <xf numFmtId="0" fontId="11" fillId="34" borderId="55" applyNumberFormat="0" applyProtection="0">
      <alignment horizontal="right" vertical="center"/>
    </xf>
    <xf numFmtId="0" fontId="11" fillId="27" borderId="48" applyNumberFormat="0" applyProtection="0">
      <alignment horizontal="right" vertical="center"/>
    </xf>
    <xf numFmtId="0" fontId="11" fillId="29" borderId="48" applyNumberFormat="0" applyProtection="0">
      <alignment horizontal="right" vertical="center"/>
    </xf>
    <xf numFmtId="0" fontId="21" fillId="25" borderId="55" applyNumberFormat="0" applyProtection="0">
      <alignment vertical="center"/>
    </xf>
    <xf numFmtId="0" fontId="42" fillId="20" borderId="52"/>
    <xf numFmtId="0" fontId="11" fillId="15" borderId="48" applyNumberFormat="0" applyProtection="0">
      <alignment horizontal="right" vertical="center"/>
    </xf>
    <xf numFmtId="0" fontId="10" fillId="4" borderId="55" applyNumberFormat="0" applyProtection="0">
      <alignment horizontal="left" vertical="center" indent="1"/>
    </xf>
    <xf numFmtId="0" fontId="11" fillId="29" borderId="48" applyNumberFormat="0" applyProtection="0">
      <alignment horizontal="right" vertical="center"/>
    </xf>
    <xf numFmtId="0" fontId="11" fillId="26" borderId="55" applyNumberFormat="0" applyProtection="0">
      <alignment horizontal="left" vertical="center" indent="1"/>
    </xf>
    <xf numFmtId="0" fontId="11" fillId="29" borderId="55" applyNumberFormat="0" applyProtection="0">
      <alignment horizontal="right" vertical="center"/>
    </xf>
    <xf numFmtId="0" fontId="11" fillId="8" borderId="48" applyNumberFormat="0" applyProtection="0">
      <alignment horizontal="left" vertical="center" indent="1"/>
    </xf>
    <xf numFmtId="0" fontId="11" fillId="31" borderId="48" applyNumberFormat="0" applyProtection="0">
      <alignment horizontal="right" vertical="center"/>
    </xf>
    <xf numFmtId="0" fontId="11" fillId="26" borderId="55" applyNumberFormat="0" applyProtection="0">
      <alignment horizontal="left" vertical="center" indent="1"/>
    </xf>
    <xf numFmtId="0" fontId="11" fillId="8" borderId="48" applyNumberFormat="0" applyProtection="0">
      <alignment horizontal="left" vertical="top" indent="1"/>
    </xf>
    <xf numFmtId="0" fontId="10" fillId="26" borderId="55" applyNumberFormat="0" applyProtection="0">
      <alignment horizontal="left" vertical="center" indent="1"/>
    </xf>
    <xf numFmtId="0" fontId="42" fillId="9" borderId="45"/>
    <xf numFmtId="0" fontId="21" fillId="25" borderId="55" applyNumberFormat="0" applyProtection="0">
      <alignment horizontal="left" vertical="center" indent="1"/>
    </xf>
    <xf numFmtId="0" fontId="11" fillId="8" borderId="55" applyNumberFormat="0" applyProtection="0">
      <alignment vertical="center"/>
    </xf>
    <xf numFmtId="10" fontId="93" fillId="0" borderId="56" applyAlignment="0"/>
    <xf numFmtId="0" fontId="42" fillId="9" borderId="52"/>
    <xf numFmtId="0" fontId="10" fillId="6" borderId="55" applyNumberFormat="0" applyProtection="0">
      <alignment horizontal="left" vertical="top" indent="1"/>
    </xf>
    <xf numFmtId="0" fontId="20" fillId="36" borderId="55" applyNumberFormat="0" applyProtection="0">
      <alignment horizontal="right" vertical="center"/>
    </xf>
    <xf numFmtId="0" fontId="10" fillId="26" borderId="48" applyNumberFormat="0" applyProtection="0">
      <alignment horizontal="left" vertical="center" indent="1"/>
    </xf>
    <xf numFmtId="0" fontId="93" fillId="0" borderId="45" applyAlignment="0"/>
    <xf numFmtId="0" fontId="11" fillId="27" borderId="48" applyNumberFormat="0" applyProtection="0">
      <alignment horizontal="right" vertical="center"/>
    </xf>
    <xf numFmtId="0" fontId="11" fillId="26" borderId="48" applyNumberFormat="0" applyProtection="0">
      <alignment horizontal="right" vertical="center"/>
    </xf>
    <xf numFmtId="0" fontId="10" fillId="4" borderId="48" applyNumberFormat="0" applyProtection="0">
      <alignment horizontal="left" vertical="top" indent="1"/>
    </xf>
    <xf numFmtId="0" fontId="11" fillId="8" borderId="48" applyNumberFormat="0" applyProtection="0">
      <alignment horizontal="left" vertical="center" indent="1"/>
    </xf>
    <xf numFmtId="0" fontId="11" fillId="15" borderId="53" applyNumberFormat="0" applyProtection="0">
      <alignment horizontal="right" vertical="center"/>
    </xf>
    <xf numFmtId="0" fontId="11" fillId="29" borderId="55" applyNumberFormat="0" applyProtection="0">
      <alignment horizontal="right" vertical="center"/>
    </xf>
    <xf numFmtId="0" fontId="11" fillId="36" borderId="55" applyNumberFormat="0" applyProtection="0">
      <alignment horizontal="right" vertical="center"/>
    </xf>
    <xf numFmtId="0" fontId="48" fillId="23" borderId="52">
      <alignment horizontal="center" vertical="center"/>
    </xf>
    <xf numFmtId="0" fontId="20" fillId="36" borderId="55" applyNumberFormat="0" applyProtection="0">
      <alignment horizontal="right" vertical="center"/>
    </xf>
    <xf numFmtId="0" fontId="11" fillId="26" borderId="55" applyNumberFormat="0" applyProtection="0">
      <alignment horizontal="left" vertical="top" indent="1"/>
    </xf>
    <xf numFmtId="0" fontId="20" fillId="36" borderId="48" applyNumberFormat="0" applyProtection="0">
      <alignment horizontal="right" vertical="center"/>
    </xf>
    <xf numFmtId="0" fontId="11" fillId="32" borderId="48" applyNumberFormat="0" applyProtection="0">
      <alignment horizontal="right" vertical="center"/>
    </xf>
    <xf numFmtId="0" fontId="11" fillId="29" borderId="48" applyNumberFormat="0" applyProtection="0">
      <alignment horizontal="right" vertical="center"/>
    </xf>
    <xf numFmtId="0" fontId="10" fillId="4" borderId="48" applyNumberFormat="0" applyProtection="0">
      <alignment horizontal="left" vertical="top" indent="1"/>
    </xf>
    <xf numFmtId="0" fontId="10" fillId="6" borderId="48" applyNumberFormat="0" applyProtection="0">
      <alignment horizontal="left" vertical="center" indent="1"/>
    </xf>
    <xf numFmtId="0" fontId="62" fillId="36" borderId="48" applyNumberFormat="0" applyProtection="0">
      <alignment horizontal="right" vertical="center"/>
    </xf>
    <xf numFmtId="0" fontId="93" fillId="0" borderId="40" applyAlignment="0"/>
    <xf numFmtId="0" fontId="93" fillId="0" borderId="40" applyAlignment="0"/>
    <xf numFmtId="0" fontId="93" fillId="0" borderId="40" applyAlignment="0"/>
    <xf numFmtId="0" fontId="93" fillId="0" borderId="40" applyAlignment="0"/>
    <xf numFmtId="0" fontId="93" fillId="0" borderId="40" applyAlignment="0"/>
    <xf numFmtId="0" fontId="93" fillId="0" borderId="40" applyAlignment="0"/>
    <xf numFmtId="0" fontId="93" fillId="0" borderId="40" applyAlignment="0"/>
    <xf numFmtId="0" fontId="93" fillId="0" borderId="40" applyAlignment="0"/>
    <xf numFmtId="0" fontId="42" fillId="20" borderId="40"/>
    <xf numFmtId="0" fontId="42" fillId="20" borderId="40"/>
    <xf numFmtId="0" fontId="7" fillId="0" borderId="40" applyAlignment="0"/>
    <xf numFmtId="0" fontId="7" fillId="0" borderId="40" applyAlignment="0"/>
    <xf numFmtId="0" fontId="11" fillId="26" borderId="55" applyNumberFormat="0" applyProtection="0">
      <alignment horizontal="right" vertical="center"/>
    </xf>
    <xf numFmtId="0" fontId="48" fillId="23" borderId="40">
      <alignment horizontal="center" vertical="center"/>
    </xf>
    <xf numFmtId="0" fontId="48" fillId="23" borderId="40">
      <alignment horizontal="center" vertical="center"/>
    </xf>
    <xf numFmtId="0" fontId="11" fillId="15" borderId="55" applyNumberFormat="0" applyProtection="0">
      <alignment horizontal="right" vertical="center"/>
    </xf>
    <xf numFmtId="0" fontId="11" fillId="30" borderId="48" applyNumberFormat="0" applyProtection="0">
      <alignment horizontal="right" vertical="center"/>
    </xf>
    <xf numFmtId="0" fontId="42" fillId="8" borderId="40" applyNumberFormat="0" applyBorder="0" applyAlignment="0" applyProtection="0"/>
    <xf numFmtId="0" fontId="42" fillId="8" borderId="40" applyNumberFormat="0" applyBorder="0" applyAlignment="0" applyProtection="0"/>
    <xf numFmtId="0" fontId="7" fillId="0" borderId="45">
      <alignment horizontal="right" vertical="center"/>
    </xf>
    <xf numFmtId="0" fontId="11" fillId="26" borderId="55" applyNumberFormat="0" applyProtection="0">
      <alignment horizontal="right" vertical="center"/>
    </xf>
    <xf numFmtId="10" fontId="93" fillId="0" borderId="45" applyAlignment="0"/>
    <xf numFmtId="0" fontId="7" fillId="0" borderId="45">
      <alignment horizontal="right" vertical="center"/>
    </xf>
    <xf numFmtId="4" fontId="93" fillId="0" borderId="45">
      <alignment horizontal="right"/>
    </xf>
    <xf numFmtId="0" fontId="62" fillId="36" borderId="48" applyNumberFormat="0" applyProtection="0">
      <alignment horizontal="right" vertical="center"/>
    </xf>
    <xf numFmtId="0" fontId="11" fillId="8" borderId="55" applyNumberFormat="0" applyProtection="0">
      <alignment horizontal="left" vertical="top" indent="1"/>
    </xf>
    <xf numFmtId="0" fontId="21" fillId="25" borderId="48" applyNumberFormat="0" applyProtection="0">
      <alignment horizontal="left" vertical="top" indent="1"/>
    </xf>
    <xf numFmtId="0" fontId="11" fillId="26" borderId="48" applyNumberFormat="0" applyProtection="0">
      <alignment horizontal="right" vertical="center"/>
    </xf>
    <xf numFmtId="0" fontId="11" fillId="8" borderId="48" applyNumberFormat="0" applyProtection="0">
      <alignment horizontal="left" vertical="center" indent="1"/>
    </xf>
    <xf numFmtId="0" fontId="10" fillId="36" borderId="48" applyNumberFormat="0" applyProtection="0">
      <alignment horizontal="left" vertical="top" indent="1"/>
    </xf>
    <xf numFmtId="0" fontId="11" fillId="28" borderId="48" applyNumberFormat="0" applyProtection="0">
      <alignment horizontal="right" vertical="center"/>
    </xf>
    <xf numFmtId="0" fontId="10" fillId="6" borderId="55" applyNumberFormat="0" applyProtection="0">
      <alignment horizontal="left" vertical="top" indent="1"/>
    </xf>
    <xf numFmtId="0" fontId="11" fillId="30" borderId="48" applyNumberFormat="0" applyProtection="0">
      <alignment horizontal="right" vertical="center"/>
    </xf>
    <xf numFmtId="0" fontId="10" fillId="6" borderId="48" applyNumberFormat="0" applyProtection="0">
      <alignment horizontal="left" vertical="top" indent="1"/>
    </xf>
    <xf numFmtId="0" fontId="10" fillId="36" borderId="55" applyNumberFormat="0" applyProtection="0">
      <alignment horizontal="left" vertical="center" indent="1"/>
    </xf>
    <xf numFmtId="0" fontId="11" fillId="26" borderId="48" applyNumberFormat="0" applyProtection="0">
      <alignment horizontal="left" vertical="top" indent="1"/>
    </xf>
    <xf numFmtId="0" fontId="21" fillId="25" borderId="55" applyNumberFormat="0" applyProtection="0">
      <alignment horizontal="left" vertical="center" indent="1"/>
    </xf>
    <xf numFmtId="0" fontId="10" fillId="26" borderId="48" applyNumberFormat="0" applyProtection="0">
      <alignment horizontal="left" vertical="center" indent="1"/>
    </xf>
    <xf numFmtId="0" fontId="10" fillId="6" borderId="48" applyNumberFormat="0" applyProtection="0">
      <alignment horizontal="left" vertical="top" indent="1"/>
    </xf>
    <xf numFmtId="0" fontId="21" fillId="25" borderId="48" applyNumberFormat="0" applyProtection="0">
      <alignment horizontal="left" vertical="center" indent="1"/>
    </xf>
    <xf numFmtId="0" fontId="20" fillId="36" borderId="55" applyNumberFormat="0" applyProtection="0">
      <alignment horizontal="right" vertical="center"/>
    </xf>
    <xf numFmtId="0" fontId="10" fillId="26" borderId="48" applyNumberFormat="0" applyProtection="0">
      <alignment horizontal="left" vertical="top" indent="1"/>
    </xf>
    <xf numFmtId="0" fontId="11" fillId="28" borderId="53" applyNumberFormat="0" applyProtection="0">
      <alignment horizontal="right" vertical="center"/>
    </xf>
    <xf numFmtId="0" fontId="11" fillId="26" borderId="48" applyNumberFormat="0" applyProtection="0">
      <alignment horizontal="left" vertical="center" indent="1"/>
    </xf>
    <xf numFmtId="0" fontId="11" fillId="8" borderId="48" applyNumberFormat="0" applyProtection="0">
      <alignment horizontal="left" vertical="center" indent="1"/>
    </xf>
    <xf numFmtId="0" fontId="21" fillId="25" borderId="55" applyNumberFormat="0" applyProtection="0">
      <alignment horizontal="left" vertical="center" indent="1"/>
    </xf>
    <xf numFmtId="0" fontId="11" fillId="34" borderId="48" applyNumberFormat="0" applyProtection="0">
      <alignment horizontal="right" vertical="center"/>
    </xf>
    <xf numFmtId="0" fontId="10" fillId="36" borderId="55" applyNumberFormat="0" applyProtection="0">
      <alignment horizontal="left" vertical="top" indent="1"/>
    </xf>
    <xf numFmtId="0" fontId="99" fillId="0" borderId="40" applyAlignment="0"/>
    <xf numFmtId="0" fontId="11" fillId="27" borderId="48" applyNumberFormat="0" applyProtection="0">
      <alignment horizontal="right" vertical="center"/>
    </xf>
    <xf numFmtId="0" fontId="10" fillId="6" borderId="48" applyNumberFormat="0" applyProtection="0">
      <alignment horizontal="left" vertical="top" indent="1"/>
    </xf>
    <xf numFmtId="0" fontId="21" fillId="25" borderId="48" applyNumberFormat="0" applyProtection="0">
      <alignment horizontal="left" vertical="center" indent="1"/>
    </xf>
    <xf numFmtId="0" fontId="21" fillId="25" borderId="55" applyNumberFormat="0" applyProtection="0">
      <alignment horizontal="left" vertical="top" indent="1"/>
    </xf>
    <xf numFmtId="4" fontId="99" fillId="0" borderId="40">
      <alignment horizontal="right"/>
    </xf>
    <xf numFmtId="0" fontId="11" fillId="31" borderId="55" applyNumberFormat="0" applyProtection="0">
      <alignment horizontal="right" vertical="center"/>
    </xf>
    <xf numFmtId="0" fontId="62" fillId="8" borderId="48" applyNumberFormat="0" applyProtection="0">
      <alignment vertical="center"/>
    </xf>
    <xf numFmtId="0" fontId="10" fillId="26" borderId="55" applyNumberFormat="0" applyProtection="0">
      <alignment horizontal="left" vertical="top" indent="1"/>
    </xf>
    <xf numFmtId="0" fontId="10" fillId="4" borderId="55" applyNumberFormat="0" applyProtection="0">
      <alignment horizontal="left" vertical="top" indent="1"/>
    </xf>
    <xf numFmtId="0" fontId="10" fillId="36" borderId="55" applyNumberFormat="0" applyProtection="0">
      <alignment horizontal="left" vertical="center" indent="1"/>
    </xf>
    <xf numFmtId="0" fontId="11" fillId="8" borderId="53" applyNumberFormat="0" applyProtection="0">
      <alignment horizontal="left" vertical="top" indent="1"/>
    </xf>
    <xf numFmtId="4" fontId="99" fillId="0" borderId="45">
      <alignment horizontal="right"/>
    </xf>
    <xf numFmtId="0" fontId="10" fillId="4" borderId="55" applyNumberFormat="0" applyProtection="0">
      <alignment horizontal="left" vertical="center" indent="1"/>
    </xf>
    <xf numFmtId="0" fontId="11" fillId="32" borderId="48" applyNumberFormat="0" applyProtection="0">
      <alignment horizontal="right" vertical="center"/>
    </xf>
    <xf numFmtId="0" fontId="10" fillId="6" borderId="48" applyNumberFormat="0" applyProtection="0">
      <alignment horizontal="left" vertical="top" indent="1"/>
    </xf>
    <xf numFmtId="0" fontId="42" fillId="9" borderId="40"/>
    <xf numFmtId="0" fontId="42" fillId="9" borderId="40"/>
    <xf numFmtId="0" fontId="11" fillId="26" borderId="55" applyNumberFormat="0" applyProtection="0">
      <alignment horizontal="left" vertical="top" indent="1"/>
    </xf>
    <xf numFmtId="0" fontId="21" fillId="35" borderId="51" applyNumberFormat="0" applyProtection="0">
      <alignment horizontal="left" vertical="center" indent="1"/>
    </xf>
    <xf numFmtId="0" fontId="11" fillId="26" borderId="55" applyNumberFormat="0" applyProtection="0">
      <alignment horizontal="left" vertical="center" indent="1"/>
    </xf>
    <xf numFmtId="0" fontId="11" fillId="8" borderId="43" applyNumberFormat="0" applyProtection="0">
      <alignment horizontal="left" vertical="top" indent="1"/>
    </xf>
    <xf numFmtId="0" fontId="10" fillId="36" borderId="48" applyNumberFormat="0" applyProtection="0">
      <alignment horizontal="left" vertical="center" indent="1"/>
    </xf>
    <xf numFmtId="0" fontId="10" fillId="26" borderId="43" applyNumberFormat="0" applyProtection="0">
      <alignment horizontal="left" vertical="top" indent="1"/>
    </xf>
    <xf numFmtId="0" fontId="10" fillId="36" borderId="43" applyNumberFormat="0" applyProtection="0">
      <alignment horizontal="left" vertical="center" indent="1"/>
    </xf>
    <xf numFmtId="0" fontId="21" fillId="25" borderId="43" applyNumberFormat="0" applyProtection="0">
      <alignment horizontal="left" vertical="top" indent="1"/>
    </xf>
    <xf numFmtId="0" fontId="11" fillId="8" borderId="55" applyNumberFormat="0" applyProtection="0">
      <alignment vertical="center"/>
    </xf>
    <xf numFmtId="0" fontId="11" fillId="27" borderId="55" applyNumberFormat="0" applyProtection="0">
      <alignment horizontal="right" vertical="center"/>
    </xf>
    <xf numFmtId="4" fontId="99" fillId="0" borderId="52">
      <alignment horizontal="right"/>
    </xf>
    <xf numFmtId="0" fontId="21" fillId="25" borderId="57" applyNumberFormat="0" applyProtection="0">
      <alignment vertical="center"/>
    </xf>
    <xf numFmtId="0" fontId="62" fillId="36" borderId="43" applyNumberFormat="0" applyProtection="0">
      <alignment horizontal="right" vertical="center"/>
    </xf>
    <xf numFmtId="0" fontId="21" fillId="25" borderId="55" applyNumberFormat="0" applyProtection="0">
      <alignment vertical="center"/>
    </xf>
    <xf numFmtId="0" fontId="21" fillId="25" borderId="43" applyNumberFormat="0" applyProtection="0">
      <alignment horizontal="left" vertical="top" indent="1"/>
    </xf>
    <xf numFmtId="0" fontId="21" fillId="25" borderId="48" applyNumberFormat="0" applyProtection="0">
      <alignment horizontal="left" vertical="top" indent="1"/>
    </xf>
    <xf numFmtId="0" fontId="11" fillId="8" borderId="48" applyNumberFormat="0" applyProtection="0">
      <alignment horizontal="left" vertical="top" indent="1"/>
    </xf>
    <xf numFmtId="0" fontId="11" fillId="28" borderId="48" applyNumberFormat="0" applyProtection="0">
      <alignment horizontal="right" vertical="center"/>
    </xf>
    <xf numFmtId="0" fontId="11" fillId="33" borderId="48" applyNumberFormat="0" applyProtection="0">
      <alignment horizontal="right" vertical="center"/>
    </xf>
    <xf numFmtId="0" fontId="11" fillId="30" borderId="48" applyNumberFormat="0" applyProtection="0">
      <alignment horizontal="right" vertical="center"/>
    </xf>
    <xf numFmtId="0" fontId="21" fillId="25" borderId="48" applyNumberFormat="0" applyProtection="0">
      <alignment horizontal="left" vertical="center" indent="1"/>
    </xf>
    <xf numFmtId="0" fontId="21" fillId="35" borderId="49" applyNumberFormat="0" applyProtection="0">
      <alignment horizontal="left" vertical="center" indent="1"/>
    </xf>
    <xf numFmtId="0" fontId="21" fillId="25" borderId="43" applyNumberFormat="0" applyProtection="0">
      <alignment vertical="center"/>
    </xf>
    <xf numFmtId="0" fontId="21" fillId="35" borderId="39" applyNumberFormat="0" applyProtection="0">
      <alignment horizontal="left" vertical="center" indent="1"/>
    </xf>
    <xf numFmtId="0" fontId="10" fillId="6" borderId="43" applyNumberFormat="0" applyProtection="0">
      <alignment horizontal="left" vertical="center" indent="1"/>
    </xf>
    <xf numFmtId="0" fontId="11" fillId="31" borderId="43" applyNumberFormat="0" applyProtection="0">
      <alignment horizontal="right" vertical="center"/>
    </xf>
    <xf numFmtId="0" fontId="10" fillId="36" borderId="43" applyNumberFormat="0" applyProtection="0">
      <alignment horizontal="left" vertical="top" indent="1"/>
    </xf>
    <xf numFmtId="0" fontId="11" fillId="33" borderId="55" applyNumberFormat="0" applyProtection="0">
      <alignment horizontal="right" vertical="center"/>
    </xf>
    <xf numFmtId="0" fontId="11" fillId="8" borderId="55" applyNumberFormat="0" applyProtection="0">
      <alignment horizontal="left" vertical="center" indent="1"/>
    </xf>
    <xf numFmtId="0" fontId="11" fillId="8" borderId="43" applyNumberFormat="0" applyProtection="0">
      <alignment horizontal="left" vertical="center" indent="1"/>
    </xf>
    <xf numFmtId="4" fontId="93" fillId="0" borderId="52">
      <alignment horizontal="right"/>
    </xf>
    <xf numFmtId="0" fontId="10" fillId="0" borderId="40" applyNumberFormat="0"/>
    <xf numFmtId="0" fontId="10" fillId="0" borderId="40" applyNumberFormat="0"/>
    <xf numFmtId="0" fontId="11" fillId="29" borderId="55" applyNumberFormat="0" applyProtection="0">
      <alignment horizontal="right" vertical="center"/>
    </xf>
    <xf numFmtId="0" fontId="10" fillId="4" borderId="43" applyNumberFormat="0" applyProtection="0">
      <alignment horizontal="left" vertical="center" indent="1"/>
    </xf>
    <xf numFmtId="0" fontId="10" fillId="6" borderId="55" applyNumberFormat="0" applyProtection="0">
      <alignment horizontal="left" vertical="top" indent="1"/>
    </xf>
    <xf numFmtId="0" fontId="62" fillId="36" borderId="48" applyNumberFormat="0" applyProtection="0">
      <alignment horizontal="right" vertical="center"/>
    </xf>
    <xf numFmtId="4" fontId="99" fillId="0" borderId="45">
      <alignment horizontal="right"/>
    </xf>
    <xf numFmtId="0" fontId="11" fillId="31" borderId="53" applyNumberFormat="0" applyProtection="0">
      <alignment horizontal="right" vertical="center"/>
    </xf>
    <xf numFmtId="0" fontId="11" fillId="33" borderId="55" applyNumberFormat="0" applyProtection="0">
      <alignment horizontal="right" vertical="center"/>
    </xf>
    <xf numFmtId="4" fontId="93" fillId="0" borderId="52">
      <alignment horizontal="right"/>
    </xf>
    <xf numFmtId="0" fontId="99" fillId="0" borderId="45" applyAlignment="0"/>
    <xf numFmtId="0" fontId="62" fillId="8" borderId="43" applyNumberFormat="0" applyProtection="0">
      <alignment vertical="center"/>
    </xf>
    <xf numFmtId="0" fontId="62" fillId="8" borderId="57" applyNumberFormat="0" applyProtection="0">
      <alignment vertical="center"/>
    </xf>
    <xf numFmtId="0" fontId="20" fillId="36" borderId="43" applyNumberFormat="0" applyProtection="0">
      <alignment horizontal="right" vertical="center"/>
    </xf>
    <xf numFmtId="0" fontId="11" fillId="26" borderId="43" applyNumberFormat="0" applyProtection="0">
      <alignment horizontal="right" vertical="center"/>
    </xf>
    <xf numFmtId="0" fontId="10" fillId="26" borderId="43" applyNumberFormat="0" applyProtection="0">
      <alignment horizontal="left" vertical="center" indent="1"/>
    </xf>
    <xf numFmtId="0" fontId="10" fillId="6" borderId="43" applyNumberFormat="0" applyProtection="0">
      <alignment horizontal="left" vertical="top" indent="1"/>
    </xf>
    <xf numFmtId="0" fontId="10" fillId="4" borderId="43" applyNumberFormat="0" applyProtection="0">
      <alignment horizontal="left" vertical="center" indent="1"/>
    </xf>
    <xf numFmtId="0" fontId="21" fillId="25" borderId="43" applyNumberFormat="0" applyProtection="0">
      <alignment horizontal="left" vertical="center" indent="1"/>
    </xf>
    <xf numFmtId="0" fontId="11" fillId="32" borderId="43" applyNumberFormat="0" applyProtection="0">
      <alignment horizontal="right" vertical="center"/>
    </xf>
    <xf numFmtId="0" fontId="11" fillId="28" borderId="43" applyNumberFormat="0" applyProtection="0">
      <alignment horizontal="right" vertical="center"/>
    </xf>
    <xf numFmtId="0" fontId="21" fillId="25" borderId="48" applyNumberFormat="0" applyProtection="0">
      <alignment vertical="center"/>
    </xf>
    <xf numFmtId="0" fontId="11" fillId="36" borderId="55" applyNumberFormat="0" applyProtection="0">
      <alignment horizontal="right" vertical="center"/>
    </xf>
    <xf numFmtId="0" fontId="21" fillId="25" borderId="48" applyNumberFormat="0" applyProtection="0">
      <alignment horizontal="left" vertical="top" indent="1"/>
    </xf>
    <xf numFmtId="0" fontId="11" fillId="30" borderId="48" applyNumberFormat="0" applyProtection="0">
      <alignment horizontal="right" vertical="center"/>
    </xf>
    <xf numFmtId="0" fontId="11" fillId="33" borderId="48" applyNumberFormat="0" applyProtection="0">
      <alignment horizontal="right" vertical="center"/>
    </xf>
    <xf numFmtId="0" fontId="11" fillId="15" borderId="48" applyNumberFormat="0" applyProtection="0">
      <alignment horizontal="right" vertical="center"/>
    </xf>
    <xf numFmtId="0" fontId="42" fillId="20" borderId="45"/>
    <xf numFmtId="0" fontId="99" fillId="0" borderId="52" applyAlignment="0"/>
    <xf numFmtId="0" fontId="11" fillId="29" borderId="55" applyNumberFormat="0" applyProtection="0">
      <alignment horizontal="right" vertical="center"/>
    </xf>
    <xf numFmtId="0" fontId="11" fillId="26" borderId="48" applyNumberFormat="0" applyProtection="0">
      <alignment horizontal="left" vertical="top" indent="1"/>
    </xf>
    <xf numFmtId="0" fontId="11" fillId="15" borderId="55" applyNumberFormat="0" applyProtection="0">
      <alignment horizontal="right" vertical="center"/>
    </xf>
    <xf numFmtId="0" fontId="10" fillId="26" borderId="55" applyNumberFormat="0" applyProtection="0">
      <alignment horizontal="left" vertical="center" indent="1"/>
    </xf>
    <xf numFmtId="0" fontId="10" fillId="36" borderId="48" applyNumberFormat="0" applyProtection="0">
      <alignment horizontal="left" vertical="center" indent="1"/>
    </xf>
    <xf numFmtId="0" fontId="10" fillId="4" borderId="48" applyNumberFormat="0" applyProtection="0">
      <alignment horizontal="left" vertical="center" indent="1"/>
    </xf>
    <xf numFmtId="0" fontId="11" fillId="36" borderId="55" applyNumberFormat="0" applyProtection="0">
      <alignment horizontal="right" vertical="center"/>
    </xf>
    <xf numFmtId="0" fontId="11" fillId="27" borderId="43" applyNumberFormat="0" applyProtection="0">
      <alignment horizontal="right" vertical="center"/>
    </xf>
    <xf numFmtId="0" fontId="21" fillId="25" borderId="57" applyNumberFormat="0" applyProtection="0">
      <alignment horizontal="left" vertical="top" indent="1"/>
    </xf>
    <xf numFmtId="0" fontId="11" fillId="29" borderId="55" applyNumberFormat="0" applyProtection="0">
      <alignment horizontal="right" vertical="center"/>
    </xf>
    <xf numFmtId="0" fontId="10" fillId="6" borderId="55" applyNumberFormat="0" applyProtection="0">
      <alignment horizontal="left" vertical="center" indent="1"/>
    </xf>
    <xf numFmtId="0" fontId="10" fillId="26" borderId="55" applyNumberFormat="0" applyProtection="0">
      <alignment horizontal="left" vertical="center" indent="1"/>
    </xf>
    <xf numFmtId="0" fontId="21" fillId="35" borderId="49" applyNumberFormat="0" applyProtection="0">
      <alignment horizontal="left" vertical="center" indent="1"/>
    </xf>
    <xf numFmtId="0" fontId="11" fillId="15" borderId="48" applyNumberFormat="0" applyProtection="0">
      <alignment horizontal="right" vertical="center"/>
    </xf>
    <xf numFmtId="0" fontId="11" fillId="26" borderId="48" applyNumberFormat="0" applyProtection="0">
      <alignment horizontal="left" vertical="top" indent="1"/>
    </xf>
    <xf numFmtId="0" fontId="11" fillId="32" borderId="55" applyNumberFormat="0" applyProtection="0">
      <alignment horizontal="right" vertical="center"/>
    </xf>
    <xf numFmtId="0" fontId="11" fillId="8" borderId="55" applyNumberFormat="0" applyProtection="0">
      <alignment vertical="center"/>
    </xf>
    <xf numFmtId="0" fontId="21" fillId="35" borderId="51" applyNumberFormat="0" applyProtection="0">
      <alignment horizontal="left" vertical="center" indent="1"/>
    </xf>
    <xf numFmtId="0" fontId="60" fillId="25" borderId="55" applyNumberFormat="0" applyProtection="0">
      <alignment vertical="center"/>
    </xf>
    <xf numFmtId="0" fontId="11" fillId="31" borderId="55" applyNumberFormat="0" applyProtection="0">
      <alignment horizontal="right" vertical="center"/>
    </xf>
    <xf numFmtId="0" fontId="20" fillId="36" borderId="43" applyNumberFormat="0" applyProtection="0">
      <alignment horizontal="right" vertical="center"/>
    </xf>
    <xf numFmtId="0" fontId="10" fillId="4" borderId="55" applyNumberFormat="0" applyProtection="0">
      <alignment horizontal="left" vertical="center" indent="1"/>
    </xf>
    <xf numFmtId="0" fontId="11" fillId="31" borderId="55" applyNumberFormat="0" applyProtection="0">
      <alignment horizontal="right" vertical="center"/>
    </xf>
    <xf numFmtId="4" fontId="93" fillId="0" borderId="40">
      <alignment horizontal="right"/>
    </xf>
    <xf numFmtId="4" fontId="93" fillId="0" borderId="40">
      <alignment horizontal="right"/>
    </xf>
    <xf numFmtId="4" fontId="7" fillId="0" borderId="40">
      <alignment horizontal="right" vertical="center"/>
    </xf>
    <xf numFmtId="4" fontId="7" fillId="0" borderId="40">
      <alignment horizontal="right" vertical="center"/>
    </xf>
    <xf numFmtId="4" fontId="93" fillId="0" borderId="40">
      <alignment horizontal="right"/>
    </xf>
    <xf numFmtId="4" fontId="93" fillId="0" borderId="40">
      <alignment horizontal="right"/>
    </xf>
    <xf numFmtId="10" fontId="93" fillId="0" borderId="40" applyAlignment="0"/>
    <xf numFmtId="0" fontId="7" fillId="0" borderId="40">
      <alignment horizontal="right" vertical="center"/>
    </xf>
    <xf numFmtId="0" fontId="7" fillId="0" borderId="40">
      <alignment horizontal="right" vertical="center"/>
    </xf>
    <xf numFmtId="10" fontId="93" fillId="0" borderId="40" applyAlignment="0"/>
    <xf numFmtId="0" fontId="11" fillId="8" borderId="48" applyNumberFormat="0" applyProtection="0">
      <alignment horizontal="left" vertical="center" indent="1"/>
    </xf>
    <xf numFmtId="0" fontId="47" fillId="0" borderId="46" applyNumberFormat="0" applyProtection="0"/>
    <xf numFmtId="0" fontId="10" fillId="6" borderId="55" applyNumberFormat="0" applyProtection="0">
      <alignment horizontal="left" vertical="center" indent="1"/>
    </xf>
    <xf numFmtId="0" fontId="11" fillId="8" borderId="55" applyNumberFormat="0" applyProtection="0">
      <alignment vertical="center"/>
    </xf>
    <xf numFmtId="0" fontId="11" fillId="26" borderId="55" applyNumberFormat="0" applyProtection="0">
      <alignment horizontal="left" vertical="top" indent="1"/>
    </xf>
    <xf numFmtId="0" fontId="60" fillId="25" borderId="55" applyNumberFormat="0" applyProtection="0">
      <alignment vertical="center"/>
    </xf>
    <xf numFmtId="0" fontId="62" fillId="36" borderId="48" applyNumberFormat="0" applyProtection="0">
      <alignment horizontal="right" vertical="center"/>
    </xf>
    <xf numFmtId="0" fontId="11" fillId="8" borderId="55" applyNumberFormat="0" applyProtection="0">
      <alignment horizontal="left" vertical="center" indent="1"/>
    </xf>
    <xf numFmtId="0" fontId="21" fillId="25" borderId="55" applyNumberFormat="0" applyProtection="0">
      <alignment horizontal="left" vertical="top" indent="1"/>
    </xf>
    <xf numFmtId="0" fontId="11" fillId="26" borderId="48" applyNumberFormat="0" applyProtection="0">
      <alignment horizontal="left" vertical="top" indent="1"/>
    </xf>
    <xf numFmtId="0" fontId="21" fillId="25" borderId="48" applyNumberFormat="0" applyProtection="0">
      <alignment vertical="center"/>
    </xf>
    <xf numFmtId="0" fontId="11" fillId="31" borderId="48" applyNumberFormat="0" applyProtection="0">
      <alignment horizontal="right" vertical="center"/>
    </xf>
    <xf numFmtId="0" fontId="11" fillId="32" borderId="48" applyNumberFormat="0" applyProtection="0">
      <alignment horizontal="right" vertical="center"/>
    </xf>
    <xf numFmtId="0" fontId="11" fillId="31" borderId="48" applyNumberFormat="0" applyProtection="0">
      <alignment horizontal="right" vertical="center"/>
    </xf>
    <xf numFmtId="0" fontId="11" fillId="36" borderId="53" applyNumberFormat="0" applyProtection="0">
      <alignment horizontal="right" vertical="center"/>
    </xf>
    <xf numFmtId="0" fontId="10" fillId="6" borderId="55" applyNumberFormat="0" applyProtection="0">
      <alignment horizontal="left" vertical="center" indent="1"/>
    </xf>
    <xf numFmtId="0" fontId="11" fillId="31" borderId="48" applyNumberFormat="0" applyProtection="0">
      <alignment horizontal="right" vertical="center"/>
    </xf>
    <xf numFmtId="0" fontId="10" fillId="4" borderId="57" applyNumberFormat="0" applyProtection="0">
      <alignment horizontal="left" vertical="top" indent="1"/>
    </xf>
    <xf numFmtId="0" fontId="60" fillId="25" borderId="43" applyNumberFormat="0" applyProtection="0">
      <alignment vertical="center"/>
    </xf>
    <xf numFmtId="0" fontId="11" fillId="26" borderId="43" applyNumberFormat="0" applyProtection="0">
      <alignment horizontal="left" vertical="center" indent="1"/>
    </xf>
    <xf numFmtId="0" fontId="62" fillId="8" borderId="43" applyNumberFormat="0" applyProtection="0">
      <alignment vertical="center"/>
    </xf>
    <xf numFmtId="0" fontId="10" fillId="6" borderId="43" applyNumberFormat="0" applyProtection="0">
      <alignment horizontal="left" vertical="top" indent="1"/>
    </xf>
    <xf numFmtId="0" fontId="10" fillId="26" borderId="43" applyNumberFormat="0" applyProtection="0">
      <alignment horizontal="left" vertical="center" indent="1"/>
    </xf>
    <xf numFmtId="0" fontId="11" fillId="28" borderId="43" applyNumberFormat="0" applyProtection="0">
      <alignment horizontal="right" vertical="center"/>
    </xf>
    <xf numFmtId="0" fontId="11" fillId="30" borderId="43" applyNumberFormat="0" applyProtection="0">
      <alignment horizontal="right" vertical="center"/>
    </xf>
    <xf numFmtId="0" fontId="21" fillId="25" borderId="43" applyNumberFormat="0" applyProtection="0">
      <alignment horizontal="left" vertical="top" indent="1"/>
    </xf>
    <xf numFmtId="0" fontId="11" fillId="26" borderId="55" applyNumberFormat="0" applyProtection="0">
      <alignment horizontal="right" vertical="center"/>
    </xf>
    <xf numFmtId="0" fontId="11" fillId="26" borderId="55" applyNumberFormat="0" applyProtection="0">
      <alignment horizontal="left" vertical="top" indent="1"/>
    </xf>
    <xf numFmtId="0" fontId="11" fillId="15" borderId="48" applyNumberFormat="0" applyProtection="0">
      <alignment horizontal="right" vertical="center"/>
    </xf>
    <xf numFmtId="0" fontId="10" fillId="6" borderId="53" applyNumberFormat="0" applyProtection="0">
      <alignment horizontal="left" vertical="top" indent="1"/>
    </xf>
    <xf numFmtId="0" fontId="11" fillId="26" borderId="48" applyNumberFormat="0" applyProtection="0">
      <alignment horizontal="right" vertical="center"/>
    </xf>
    <xf numFmtId="0" fontId="11" fillId="26" borderId="48" applyNumberFormat="0" applyProtection="0">
      <alignment horizontal="right" vertical="center"/>
    </xf>
    <xf numFmtId="0" fontId="10" fillId="36" borderId="48" applyNumberFormat="0" applyProtection="0">
      <alignment horizontal="left" vertical="center" indent="1"/>
    </xf>
    <xf numFmtId="0" fontId="10" fillId="6" borderId="48" applyNumberFormat="0" applyProtection="0">
      <alignment horizontal="left" vertical="top" indent="1"/>
    </xf>
    <xf numFmtId="0" fontId="62" fillId="8" borderId="48" applyNumberFormat="0" applyProtection="0">
      <alignment vertical="center"/>
    </xf>
    <xf numFmtId="0" fontId="93" fillId="0" borderId="45" applyAlignment="0"/>
    <xf numFmtId="0" fontId="42" fillId="8" borderId="45" applyNumberFormat="0" applyBorder="0" applyAlignment="0" applyProtection="0"/>
    <xf numFmtId="0" fontId="42" fillId="20" borderId="45"/>
    <xf numFmtId="0" fontId="7" fillId="0" borderId="45" applyAlignment="0"/>
    <xf numFmtId="0" fontId="93" fillId="0" borderId="45" applyAlignment="0"/>
    <xf numFmtId="0" fontId="10" fillId="26" borderId="48" applyNumberFormat="0" applyProtection="0">
      <alignment horizontal="left" vertical="top" indent="1"/>
    </xf>
    <xf numFmtId="0" fontId="10" fillId="4" borderId="48" applyNumberFormat="0" applyProtection="0">
      <alignment horizontal="left" vertical="top" indent="1"/>
    </xf>
    <xf numFmtId="0" fontId="10" fillId="4" borderId="48" applyNumberFormat="0" applyProtection="0">
      <alignment horizontal="left" vertical="center" indent="1"/>
    </xf>
    <xf numFmtId="0" fontId="11" fillId="8" borderId="48" applyNumberFormat="0" applyProtection="0">
      <alignment vertical="center"/>
    </xf>
    <xf numFmtId="0" fontId="10" fillId="6" borderId="48" applyNumberFormat="0" applyProtection="0">
      <alignment horizontal="left" vertical="top" indent="1"/>
    </xf>
    <xf numFmtId="0" fontId="62" fillId="8" borderId="48" applyNumberFormat="0" applyProtection="0">
      <alignment vertical="center"/>
    </xf>
    <xf numFmtId="0" fontId="11" fillId="8" borderId="48" applyNumberFormat="0" applyProtection="0">
      <alignment horizontal="left" vertical="top" indent="1"/>
    </xf>
    <xf numFmtId="0" fontId="11" fillId="8" borderId="57" applyNumberFormat="0" applyProtection="0">
      <alignment vertical="center"/>
    </xf>
    <xf numFmtId="0" fontId="11" fillId="32" borderId="55" applyNumberFormat="0" applyProtection="0">
      <alignment horizontal="right" vertical="center"/>
    </xf>
    <xf numFmtId="0" fontId="11" fillId="8" borderId="55" applyNumberFormat="0" applyProtection="0">
      <alignment horizontal="left" vertical="top" indent="1"/>
    </xf>
    <xf numFmtId="0" fontId="42" fillId="9" borderId="56"/>
    <xf numFmtId="0" fontId="11" fillId="30" borderId="55" applyNumberFormat="0" applyProtection="0">
      <alignment horizontal="right" vertical="center"/>
    </xf>
    <xf numFmtId="0" fontId="11" fillId="33" borderId="55" applyNumberFormat="0" applyProtection="0">
      <alignment horizontal="right" vertical="center"/>
    </xf>
    <xf numFmtId="0" fontId="11" fillId="36" borderId="48" applyNumberFormat="0" applyProtection="0">
      <alignment horizontal="right" vertical="center"/>
    </xf>
    <xf numFmtId="0" fontId="11" fillId="8" borderId="55" applyNumberFormat="0" applyProtection="0">
      <alignment horizontal="left" vertical="center" indent="1"/>
    </xf>
    <xf numFmtId="0" fontId="11" fillId="27" borderId="48" applyNumberFormat="0" applyProtection="0">
      <alignment horizontal="right" vertical="center"/>
    </xf>
    <xf numFmtId="0" fontId="60" fillId="25" borderId="48" applyNumberFormat="0" applyProtection="0">
      <alignment vertical="center"/>
    </xf>
    <xf numFmtId="0" fontId="20" fillId="36" borderId="48" applyNumberFormat="0" applyProtection="0">
      <alignment horizontal="right" vertical="center"/>
    </xf>
    <xf numFmtId="0" fontId="11" fillId="36" borderId="55" applyNumberFormat="0" applyProtection="0">
      <alignment horizontal="right" vertical="center"/>
    </xf>
    <xf numFmtId="0" fontId="10" fillId="26" borderId="57" applyNumberFormat="0" applyProtection="0">
      <alignment horizontal="left" vertical="top" indent="1"/>
    </xf>
    <xf numFmtId="0" fontId="11" fillId="28" borderId="55" applyNumberFormat="0" applyProtection="0">
      <alignment horizontal="right" vertical="center"/>
    </xf>
    <xf numFmtId="0" fontId="11" fillId="28" borderId="48" applyNumberFormat="0" applyProtection="0">
      <alignment horizontal="right" vertical="center"/>
    </xf>
    <xf numFmtId="0" fontId="11" fillId="33" borderId="48" applyNumberFormat="0" applyProtection="0">
      <alignment horizontal="right" vertical="center"/>
    </xf>
    <xf numFmtId="0" fontId="11" fillId="8" borderId="55" applyNumberFormat="0" applyProtection="0">
      <alignment horizontal="left" vertical="center" indent="1"/>
    </xf>
    <xf numFmtId="0" fontId="99" fillId="0" borderId="45" applyAlignment="0"/>
    <xf numFmtId="0" fontId="47" fillId="0" borderId="50" applyNumberFormat="0" applyProtection="0"/>
    <xf numFmtId="0" fontId="10" fillId="26" borderId="55" applyNumberFormat="0" applyProtection="0">
      <alignment horizontal="left" vertical="center" indent="1"/>
    </xf>
    <xf numFmtId="10" fontId="93" fillId="0" borderId="45" applyAlignment="0"/>
    <xf numFmtId="0" fontId="11" fillId="26" borderId="55" applyNumberFormat="0" applyProtection="0">
      <alignment horizontal="right" vertical="center"/>
    </xf>
    <xf numFmtId="4" fontId="93" fillId="0" borderId="45">
      <alignment horizontal="right"/>
    </xf>
    <xf numFmtId="0" fontId="11" fillId="26" borderId="55" applyNumberFormat="0" applyProtection="0">
      <alignment horizontal="left" vertical="top" indent="1"/>
    </xf>
    <xf numFmtId="0" fontId="7" fillId="0" borderId="45">
      <alignment horizontal="right" vertical="center"/>
    </xf>
    <xf numFmtId="4" fontId="93" fillId="0" borderId="45">
      <alignment horizontal="right"/>
    </xf>
    <xf numFmtId="0" fontId="10" fillId="36" borderId="53" applyNumberFormat="0" applyProtection="0">
      <alignment horizontal="left" vertical="center" indent="1"/>
    </xf>
    <xf numFmtId="0" fontId="10" fillId="4" borderId="55" applyNumberFormat="0" applyProtection="0">
      <alignment horizontal="left" vertical="center" indent="1"/>
    </xf>
    <xf numFmtId="0" fontId="10" fillId="6" borderId="55" applyNumberFormat="0" applyProtection="0">
      <alignment horizontal="left" vertical="top" indent="1"/>
    </xf>
    <xf numFmtId="0" fontId="21" fillId="35" borderId="49" applyNumberFormat="0" applyProtection="0">
      <alignment horizontal="left" vertical="center" indent="1"/>
    </xf>
    <xf numFmtId="0" fontId="11" fillId="36" borderId="55" applyNumberFormat="0" applyProtection="0">
      <alignment horizontal="right" vertical="center"/>
    </xf>
    <xf numFmtId="0" fontId="11" fillId="26" borderId="57" applyNumberFormat="0" applyProtection="0">
      <alignment horizontal="left" vertical="center" indent="1"/>
    </xf>
    <xf numFmtId="0" fontId="11" fillId="27" borderId="57" applyNumberFormat="0" applyProtection="0">
      <alignment horizontal="right" vertical="center"/>
    </xf>
    <xf numFmtId="0" fontId="11" fillId="33" borderId="48" applyNumberFormat="0" applyProtection="0">
      <alignment horizontal="right" vertical="center"/>
    </xf>
    <xf numFmtId="0" fontId="11" fillId="26" borderId="48" applyNumberFormat="0" applyProtection="0">
      <alignment horizontal="left" vertical="top" indent="1"/>
    </xf>
    <xf numFmtId="0" fontId="11" fillId="8" borderId="48" applyNumberFormat="0" applyProtection="0">
      <alignment vertical="center"/>
    </xf>
    <xf numFmtId="0" fontId="11" fillId="34" borderId="55" applyNumberFormat="0" applyProtection="0">
      <alignment horizontal="right" vertical="center"/>
    </xf>
    <xf numFmtId="0" fontId="11" fillId="36" borderId="55" applyNumberFormat="0" applyProtection="0">
      <alignment horizontal="right" vertical="center"/>
    </xf>
    <xf numFmtId="0" fontId="11" fillId="32" borderId="57" applyNumberFormat="0" applyProtection="0">
      <alignment horizontal="right" vertical="center"/>
    </xf>
    <xf numFmtId="0" fontId="47" fillId="0" borderId="54" applyNumberFormat="0" applyProtection="0"/>
    <xf numFmtId="0" fontId="21" fillId="25" borderId="48" applyNumberFormat="0" applyProtection="0">
      <alignment vertical="center"/>
    </xf>
    <xf numFmtId="0" fontId="10" fillId="0" borderId="45" applyNumberFormat="0"/>
    <xf numFmtId="0" fontId="11" fillId="36" borderId="55" applyNumberFormat="0" applyProtection="0">
      <alignment horizontal="right" vertical="center"/>
    </xf>
    <xf numFmtId="0" fontId="10" fillId="26" borderId="55" applyNumberFormat="0" applyProtection="0">
      <alignment horizontal="left" vertical="center" indent="1"/>
    </xf>
    <xf numFmtId="0" fontId="60" fillId="25" borderId="48" applyNumberFormat="0" applyProtection="0">
      <alignment vertical="center"/>
    </xf>
    <xf numFmtId="0" fontId="11" fillId="26" borderId="55" applyNumberFormat="0" applyProtection="0">
      <alignment horizontal="right" vertical="center"/>
    </xf>
    <xf numFmtId="0" fontId="21" fillId="25" borderId="48" applyNumberFormat="0" applyProtection="0">
      <alignment horizontal="left" vertical="center" indent="1"/>
    </xf>
    <xf numFmtId="0" fontId="11" fillId="30" borderId="48" applyNumberFormat="0" applyProtection="0">
      <alignment horizontal="right" vertical="center"/>
    </xf>
    <xf numFmtId="0" fontId="10" fillId="36" borderId="48" applyNumberFormat="0" applyProtection="0">
      <alignment horizontal="left" vertical="center" indent="1"/>
    </xf>
    <xf numFmtId="0" fontId="11" fillId="30" borderId="48" applyNumberFormat="0" applyProtection="0">
      <alignment horizontal="right" vertical="center"/>
    </xf>
    <xf numFmtId="0" fontId="7" fillId="0" borderId="56">
      <alignment horizontal="right" vertical="center"/>
    </xf>
    <xf numFmtId="0" fontId="11" fillId="26" borderId="57" applyNumberFormat="0" applyProtection="0">
      <alignment horizontal="right" vertical="center"/>
    </xf>
    <xf numFmtId="0" fontId="62" fillId="8" borderId="55" applyNumberFormat="0" applyProtection="0">
      <alignment vertical="center"/>
    </xf>
    <xf numFmtId="0" fontId="62" fillId="36" borderId="55" applyNumberFormat="0" applyProtection="0">
      <alignment horizontal="right" vertical="center"/>
    </xf>
    <xf numFmtId="0" fontId="20" fillId="36" borderId="55" applyNumberFormat="0" applyProtection="0">
      <alignment horizontal="right" vertical="center"/>
    </xf>
    <xf numFmtId="0" fontId="20" fillId="36" borderId="48" applyNumberFormat="0" applyProtection="0">
      <alignment horizontal="right" vertical="center"/>
    </xf>
    <xf numFmtId="0" fontId="10" fillId="4" borderId="55" applyNumberFormat="0" applyProtection="0">
      <alignment horizontal="left" vertical="center" indent="1"/>
    </xf>
    <xf numFmtId="0" fontId="11" fillId="33" borderId="48" applyNumberFormat="0" applyProtection="0">
      <alignment horizontal="right" vertical="center"/>
    </xf>
    <xf numFmtId="0" fontId="42" fillId="20" borderId="52"/>
    <xf numFmtId="0" fontId="10" fillId="26" borderId="48" applyNumberFormat="0" applyProtection="0">
      <alignment horizontal="left" vertical="center" indent="1"/>
    </xf>
    <xf numFmtId="0" fontId="10" fillId="36" borderId="48" applyNumberFormat="0" applyProtection="0">
      <alignment horizontal="left" vertical="top" indent="1"/>
    </xf>
    <xf numFmtId="0" fontId="93" fillId="0" borderId="45" applyAlignment="0"/>
    <xf numFmtId="0" fontId="7" fillId="0" borderId="45" applyAlignment="0"/>
    <xf numFmtId="0" fontId="10" fillId="36" borderId="48" applyNumberFormat="0" applyProtection="0">
      <alignment horizontal="left" vertical="center" indent="1"/>
    </xf>
    <xf numFmtId="0" fontId="10" fillId="26" borderId="48" applyNumberFormat="0" applyProtection="0">
      <alignment horizontal="left" vertical="center" indent="1"/>
    </xf>
    <xf numFmtId="0" fontId="11" fillId="8" borderId="48" applyNumberFormat="0" applyProtection="0">
      <alignment horizontal="left" vertical="top" indent="1"/>
    </xf>
    <xf numFmtId="0" fontId="10" fillId="26" borderId="55" applyNumberFormat="0" applyProtection="0">
      <alignment horizontal="left" vertical="top" indent="1"/>
    </xf>
    <xf numFmtId="0" fontId="21" fillId="25" borderId="55" applyNumberFormat="0" applyProtection="0">
      <alignment vertical="center"/>
    </xf>
    <xf numFmtId="0" fontId="10" fillId="4" borderId="55" applyNumberFormat="0" applyProtection="0">
      <alignment horizontal="left" vertical="top" indent="1"/>
    </xf>
    <xf numFmtId="0" fontId="11" fillId="26" borderId="55" applyNumberFormat="0" applyProtection="0">
      <alignment horizontal="left" vertical="top" indent="1"/>
    </xf>
    <xf numFmtId="0" fontId="60" fillId="25" borderId="48" applyNumberFormat="0" applyProtection="0">
      <alignment vertical="center"/>
    </xf>
    <xf numFmtId="0" fontId="21" fillId="25" borderId="55" applyNumberFormat="0" applyProtection="0">
      <alignment vertical="center"/>
    </xf>
    <xf numFmtId="0" fontId="11" fillId="32" borderId="53" applyNumberFormat="0" applyProtection="0">
      <alignment horizontal="right" vertical="center"/>
    </xf>
    <xf numFmtId="0" fontId="11" fillId="26" borderId="55" applyNumberFormat="0" applyProtection="0">
      <alignment horizontal="left" vertical="top" indent="1"/>
    </xf>
    <xf numFmtId="0" fontId="11" fillId="31" borderId="53" applyNumberFormat="0" applyProtection="0">
      <alignment horizontal="right" vertical="center"/>
    </xf>
    <xf numFmtId="0" fontId="21" fillId="25" borderId="48" applyNumberFormat="0" applyProtection="0">
      <alignment vertical="center"/>
    </xf>
    <xf numFmtId="0" fontId="11" fillId="34" borderId="48" applyNumberFormat="0" applyProtection="0">
      <alignment horizontal="right" vertical="center"/>
    </xf>
    <xf numFmtId="0" fontId="11" fillId="31" borderId="48" applyNumberFormat="0" applyProtection="0">
      <alignment horizontal="right" vertical="center"/>
    </xf>
    <xf numFmtId="0" fontId="11" fillId="36" borderId="48" applyNumberFormat="0" applyProtection="0">
      <alignment horizontal="right" vertical="center"/>
    </xf>
    <xf numFmtId="0" fontId="10" fillId="36" borderId="48" applyNumberFormat="0" applyProtection="0">
      <alignment horizontal="left" vertical="top" indent="1"/>
    </xf>
    <xf numFmtId="0" fontId="62" fillId="8" borderId="48" applyNumberFormat="0" applyProtection="0">
      <alignment vertical="center"/>
    </xf>
    <xf numFmtId="0" fontId="93" fillId="0" borderId="40" applyAlignment="0"/>
    <xf numFmtId="0" fontId="93" fillId="0" borderId="40" applyAlignment="0"/>
    <xf numFmtId="0" fontId="93" fillId="0" borderId="40" applyAlignment="0"/>
    <xf numFmtId="0" fontId="93" fillId="0" borderId="40" applyAlignment="0"/>
    <xf numFmtId="0" fontId="93" fillId="0" borderId="40" applyAlignment="0"/>
    <xf numFmtId="0" fontId="93" fillId="0" borderId="40" applyAlignment="0"/>
    <xf numFmtId="0" fontId="93" fillId="0" borderId="40" applyAlignment="0"/>
    <xf numFmtId="0" fontId="93" fillId="0" borderId="40" applyAlignment="0"/>
    <xf numFmtId="0" fontId="42" fillId="20" borderId="40"/>
    <xf numFmtId="0" fontId="42" fillId="20" borderId="40"/>
    <xf numFmtId="0" fontId="7" fillId="0" borderId="40" applyAlignment="0"/>
    <xf numFmtId="0" fontId="7" fillId="0" borderId="40" applyAlignment="0"/>
    <xf numFmtId="0" fontId="48" fillId="23" borderId="40">
      <alignment horizontal="center" vertical="center"/>
    </xf>
    <xf numFmtId="0" fontId="48" fillId="23" borderId="40">
      <alignment horizontal="center" vertical="center"/>
    </xf>
    <xf numFmtId="0" fontId="42" fillId="8" borderId="40" applyNumberFormat="0" applyBorder="0" applyAlignment="0" applyProtection="0"/>
    <xf numFmtId="0" fontId="42" fillId="8" borderId="40" applyNumberFormat="0" applyBorder="0" applyAlignment="0" applyProtection="0"/>
    <xf numFmtId="0" fontId="11" fillId="28" borderId="55" applyNumberFormat="0" applyProtection="0">
      <alignment horizontal="right" vertical="center"/>
    </xf>
    <xf numFmtId="0" fontId="11" fillId="26" borderId="55" applyNumberFormat="0" applyProtection="0">
      <alignment horizontal="right" vertical="center"/>
    </xf>
    <xf numFmtId="4" fontId="7" fillId="0" borderId="45">
      <alignment horizontal="right" vertical="center"/>
    </xf>
    <xf numFmtId="0" fontId="11" fillId="33" borderId="55" applyNumberFormat="0" applyProtection="0">
      <alignment horizontal="right" vertical="center"/>
    </xf>
    <xf numFmtId="0" fontId="11" fillId="33" borderId="55" applyNumberFormat="0" applyProtection="0">
      <alignment horizontal="right" vertical="center"/>
    </xf>
    <xf numFmtId="4" fontId="7" fillId="0" borderId="45">
      <alignment horizontal="right" vertical="center"/>
    </xf>
    <xf numFmtId="0" fontId="7" fillId="0" borderId="45">
      <alignment horizontal="right" vertical="center"/>
    </xf>
    <xf numFmtId="0" fontId="10" fillId="4" borderId="55" applyNumberFormat="0" applyProtection="0">
      <alignment horizontal="left" vertical="top" indent="1"/>
    </xf>
    <xf numFmtId="0" fontId="21" fillId="35" borderId="44" applyNumberFormat="0" applyProtection="0">
      <alignment horizontal="left" vertical="center" indent="1"/>
    </xf>
    <xf numFmtId="0" fontId="10" fillId="36" borderId="55" applyNumberFormat="0" applyProtection="0">
      <alignment horizontal="left" vertical="center" indent="1"/>
    </xf>
    <xf numFmtId="0" fontId="21" fillId="35" borderId="44" applyNumberFormat="0" applyProtection="0">
      <alignment horizontal="left" vertical="center" indent="1"/>
    </xf>
    <xf numFmtId="0" fontId="60" fillId="25" borderId="55" applyNumberFormat="0" applyProtection="0">
      <alignment vertical="center"/>
    </xf>
    <xf numFmtId="0" fontId="48" fillId="23" borderId="56">
      <alignment horizontal="center" vertical="center"/>
    </xf>
    <xf numFmtId="0" fontId="11" fillId="26" borderId="55" applyNumberFormat="0" applyProtection="0">
      <alignment horizontal="right" vertical="center"/>
    </xf>
    <xf numFmtId="0" fontId="11" fillId="29" borderId="48" applyNumberFormat="0" applyProtection="0">
      <alignment horizontal="right" vertical="center"/>
    </xf>
    <xf numFmtId="0" fontId="11" fillId="8" borderId="48" applyNumberFormat="0" applyProtection="0">
      <alignment horizontal="left" vertical="top" indent="1"/>
    </xf>
    <xf numFmtId="0" fontId="11" fillId="29" borderId="48" applyNumberFormat="0" applyProtection="0">
      <alignment horizontal="right" vertical="center"/>
    </xf>
    <xf numFmtId="0" fontId="20" fillId="36" borderId="48" applyNumberFormat="0" applyProtection="0">
      <alignment horizontal="right" vertical="center"/>
    </xf>
    <xf numFmtId="0" fontId="10" fillId="36" borderId="48" applyNumberFormat="0" applyProtection="0">
      <alignment horizontal="left" vertical="center" indent="1"/>
    </xf>
    <xf numFmtId="0" fontId="62" fillId="8" borderId="53" applyNumberFormat="0" applyProtection="0">
      <alignment vertical="center"/>
    </xf>
    <xf numFmtId="0" fontId="60" fillId="25" borderId="48" applyNumberFormat="0" applyProtection="0">
      <alignment vertical="center"/>
    </xf>
    <xf numFmtId="0" fontId="21" fillId="25" borderId="48" applyNumberFormat="0" applyProtection="0">
      <alignment horizontal="left" vertical="top" indent="1"/>
    </xf>
    <xf numFmtId="0" fontId="21" fillId="25" borderId="48" applyNumberFormat="0" applyProtection="0">
      <alignment horizontal="left" vertical="top" indent="1"/>
    </xf>
    <xf numFmtId="0" fontId="21" fillId="25" borderId="55" applyNumberFormat="0" applyProtection="0">
      <alignment vertical="center"/>
    </xf>
    <xf numFmtId="0" fontId="21" fillId="25" borderId="53" applyNumberFormat="0" applyProtection="0">
      <alignment vertical="center"/>
    </xf>
    <xf numFmtId="0" fontId="10" fillId="26" borderId="48" applyNumberFormat="0" applyProtection="0">
      <alignment horizontal="left" vertical="top" indent="1"/>
    </xf>
    <xf numFmtId="0" fontId="11" fillId="8" borderId="48" applyNumberFormat="0" applyProtection="0">
      <alignment vertical="center"/>
    </xf>
    <xf numFmtId="0" fontId="93" fillId="0" borderId="52" applyAlignment="0"/>
    <xf numFmtId="0" fontId="11" fillId="30" borderId="48" applyNumberFormat="0" applyProtection="0">
      <alignment horizontal="right" vertical="center"/>
    </xf>
    <xf numFmtId="0" fontId="11" fillId="26" borderId="48" applyNumberFormat="0" applyProtection="0">
      <alignment horizontal="left" vertical="top" indent="1"/>
    </xf>
    <xf numFmtId="0" fontId="11" fillId="36" borderId="55" applyNumberFormat="0" applyProtection="0">
      <alignment horizontal="right" vertical="center"/>
    </xf>
    <xf numFmtId="0" fontId="11" fillId="29" borderId="53" applyNumberFormat="0" applyProtection="0">
      <alignment horizontal="right" vertical="center"/>
    </xf>
    <xf numFmtId="0" fontId="11" fillId="26" borderId="48" applyNumberFormat="0" applyProtection="0">
      <alignment horizontal="left" vertical="center" indent="1"/>
    </xf>
    <xf numFmtId="0" fontId="11" fillId="15" borderId="55" applyNumberFormat="0" applyProtection="0">
      <alignment horizontal="right" vertical="center"/>
    </xf>
    <xf numFmtId="0" fontId="11" fillId="26" borderId="55" applyNumberFormat="0" applyProtection="0">
      <alignment horizontal="left" vertical="top" indent="1"/>
    </xf>
    <xf numFmtId="0" fontId="10" fillId="6" borderId="48" applyNumberFormat="0" applyProtection="0">
      <alignment horizontal="left" vertical="center" indent="1"/>
    </xf>
    <xf numFmtId="0" fontId="11" fillId="8" borderId="48" applyNumberFormat="0" applyProtection="0">
      <alignment vertical="center"/>
    </xf>
    <xf numFmtId="0" fontId="42" fillId="9" borderId="40"/>
    <xf numFmtId="0" fontId="42" fillId="9" borderId="40"/>
    <xf numFmtId="0" fontId="10" fillId="4" borderId="55" applyNumberFormat="0" applyProtection="0">
      <alignment horizontal="left" vertical="top" indent="1"/>
    </xf>
    <xf numFmtId="0" fontId="11" fillId="26" borderId="53" applyNumberFormat="0" applyProtection="0">
      <alignment horizontal="right" vertical="center"/>
    </xf>
    <xf numFmtId="0" fontId="42" fillId="8" borderId="52" applyNumberFormat="0" applyBorder="0" applyAlignment="0" applyProtection="0"/>
    <xf numFmtId="0" fontId="10" fillId="6" borderId="43" applyNumberFormat="0" applyProtection="0">
      <alignment horizontal="left" vertical="center" indent="1"/>
    </xf>
    <xf numFmtId="0" fontId="11" fillId="33" borderId="43" applyNumberFormat="0" applyProtection="0">
      <alignment horizontal="right" vertical="center"/>
    </xf>
    <xf numFmtId="0" fontId="10" fillId="6" borderId="55" applyNumberFormat="0" applyProtection="0">
      <alignment horizontal="left" vertical="center" indent="1"/>
    </xf>
    <xf numFmtId="4" fontId="93" fillId="0" borderId="52">
      <alignment horizontal="right"/>
    </xf>
    <xf numFmtId="0" fontId="11" fillId="36" borderId="48" applyNumberFormat="0" applyProtection="0">
      <alignment horizontal="right" vertical="center"/>
    </xf>
    <xf numFmtId="0" fontId="11" fillId="15" borderId="48" applyNumberFormat="0" applyProtection="0">
      <alignment horizontal="right" vertical="center"/>
    </xf>
    <xf numFmtId="0" fontId="11" fillId="26" borderId="55" applyNumberFormat="0" applyProtection="0">
      <alignment horizontal="left" vertical="center" indent="1"/>
    </xf>
    <xf numFmtId="0" fontId="21" fillId="25" borderId="48" applyNumberFormat="0" applyProtection="0">
      <alignment horizontal="left" vertical="top" indent="1"/>
    </xf>
    <xf numFmtId="0" fontId="10" fillId="36" borderId="57" applyNumberFormat="0" applyProtection="0">
      <alignment horizontal="left" vertical="top" indent="1"/>
    </xf>
    <xf numFmtId="0" fontId="11" fillId="34" borderId="55" applyNumberFormat="0" applyProtection="0">
      <alignment horizontal="right" vertical="center"/>
    </xf>
    <xf numFmtId="0" fontId="62" fillId="8" borderId="48" applyNumberFormat="0" applyProtection="0">
      <alignment vertical="center"/>
    </xf>
    <xf numFmtId="0" fontId="10" fillId="36" borderId="43" applyNumberFormat="0" applyProtection="0">
      <alignment horizontal="left" vertical="center" indent="1"/>
    </xf>
    <xf numFmtId="0" fontId="21" fillId="35" borderId="39" applyNumberFormat="0" applyProtection="0">
      <alignment horizontal="left" vertical="center" indent="1"/>
    </xf>
    <xf numFmtId="0" fontId="10" fillId="6" borderId="55" applyNumberFormat="0" applyProtection="0">
      <alignment horizontal="left" vertical="center" indent="1"/>
    </xf>
    <xf numFmtId="0" fontId="21" fillId="25" borderId="53" applyNumberFormat="0" applyProtection="0">
      <alignment horizontal="left" vertical="top" indent="1"/>
    </xf>
    <xf numFmtId="0" fontId="11" fillId="15" borderId="55" applyNumberFormat="0" applyProtection="0">
      <alignment horizontal="right" vertical="center"/>
    </xf>
    <xf numFmtId="0" fontId="10" fillId="0" borderId="40" applyNumberFormat="0"/>
    <xf numFmtId="0" fontId="10" fillId="0" borderId="40" applyNumberFormat="0"/>
    <xf numFmtId="0" fontId="10" fillId="4" borderId="55" applyNumberFormat="0" applyProtection="0">
      <alignment horizontal="left" vertical="top" indent="1"/>
    </xf>
    <xf numFmtId="0" fontId="21" fillId="35" borderId="44" applyNumberFormat="0" applyProtection="0">
      <alignment horizontal="left" vertical="center" indent="1"/>
    </xf>
    <xf numFmtId="0" fontId="11" fillId="8" borderId="53" applyNumberFormat="0" applyProtection="0">
      <alignment vertical="center"/>
    </xf>
    <xf numFmtId="0" fontId="10" fillId="4" borderId="48" applyNumberFormat="0" applyProtection="0">
      <alignment horizontal="left" vertical="center" indent="1"/>
    </xf>
    <xf numFmtId="0" fontId="11" fillId="33" borderId="55" applyNumberFormat="0" applyProtection="0">
      <alignment horizontal="right" vertical="center"/>
    </xf>
    <xf numFmtId="0" fontId="21" fillId="25" borderId="55" applyNumberFormat="0" applyProtection="0">
      <alignment horizontal="left" vertical="top" indent="1"/>
    </xf>
    <xf numFmtId="0" fontId="11" fillId="8" borderId="55" applyNumberFormat="0" applyProtection="0">
      <alignment horizontal="left" vertical="top" indent="1"/>
    </xf>
    <xf numFmtId="0" fontId="11" fillId="27" borderId="55" applyNumberFormat="0" applyProtection="0">
      <alignment horizontal="right" vertical="center"/>
    </xf>
    <xf numFmtId="0" fontId="21" fillId="25" borderId="48" applyNumberFormat="0" applyProtection="0">
      <alignment horizontal="left" vertical="top" indent="1"/>
    </xf>
    <xf numFmtId="0" fontId="11" fillId="28" borderId="48" applyNumberFormat="0" applyProtection="0">
      <alignment horizontal="right" vertical="center"/>
    </xf>
    <xf numFmtId="0" fontId="11" fillId="8" borderId="48" applyNumberFormat="0" applyProtection="0">
      <alignment horizontal="left" vertical="center" indent="1"/>
    </xf>
    <xf numFmtId="0" fontId="93" fillId="0" borderId="52" applyAlignment="0"/>
    <xf numFmtId="0" fontId="11" fillId="26" borderId="48" applyNumberFormat="0" applyProtection="0">
      <alignment horizontal="left" vertical="top" indent="1"/>
    </xf>
    <xf numFmtId="4" fontId="99" fillId="0" borderId="45">
      <alignment horizontal="right"/>
    </xf>
    <xf numFmtId="0" fontId="11" fillId="8" borderId="55" applyNumberFormat="0" applyProtection="0">
      <alignment horizontal="left" vertical="top" indent="1"/>
    </xf>
    <xf numFmtId="0" fontId="10" fillId="4" borderId="48" applyNumberFormat="0" applyProtection="0">
      <alignment horizontal="left" vertical="center" indent="1"/>
    </xf>
    <xf numFmtId="0" fontId="62" fillId="36" borderId="48" applyNumberFormat="0" applyProtection="0">
      <alignment horizontal="right" vertical="center"/>
    </xf>
    <xf numFmtId="0" fontId="10" fillId="6" borderId="55" applyNumberFormat="0" applyProtection="0">
      <alignment horizontal="left" vertical="top" indent="1"/>
    </xf>
    <xf numFmtId="0" fontId="11" fillId="34" borderId="48" applyNumberFormat="0" applyProtection="0">
      <alignment horizontal="right" vertical="center"/>
    </xf>
    <xf numFmtId="0" fontId="11" fillId="26" borderId="55" applyNumberFormat="0" applyProtection="0">
      <alignment horizontal="left" vertical="top" indent="1"/>
    </xf>
    <xf numFmtId="0" fontId="10" fillId="36" borderId="55" applyNumberFormat="0" applyProtection="0">
      <alignment horizontal="left" vertical="top" indent="1"/>
    </xf>
    <xf numFmtId="0" fontId="11" fillId="34" borderId="55" applyNumberFormat="0" applyProtection="0">
      <alignment horizontal="right" vertical="center"/>
    </xf>
    <xf numFmtId="0" fontId="20" fillId="36" borderId="43" applyNumberFormat="0" applyProtection="0">
      <alignment horizontal="right" vertical="center"/>
    </xf>
    <xf numFmtId="0" fontId="11" fillId="26" borderId="55" applyNumberFormat="0" applyProtection="0">
      <alignment horizontal="left" vertical="top" indent="1"/>
    </xf>
    <xf numFmtId="0" fontId="60" fillId="25" borderId="43" applyNumberFormat="0" applyProtection="0">
      <alignment vertical="center"/>
    </xf>
    <xf numFmtId="0" fontId="11" fillId="8" borderId="43" applyNumberFormat="0" applyProtection="0">
      <alignment horizontal="left" vertical="center" indent="1"/>
    </xf>
    <xf numFmtId="0" fontId="11" fillId="8" borderId="43" applyNumberFormat="0" applyProtection="0">
      <alignment vertical="center"/>
    </xf>
    <xf numFmtId="0" fontId="20" fillId="36" borderId="48" applyNumberFormat="0" applyProtection="0">
      <alignment horizontal="right" vertical="center"/>
    </xf>
    <xf numFmtId="0" fontId="10" fillId="36" borderId="48" applyNumberFormat="0" applyProtection="0">
      <alignment horizontal="left" vertical="center" indent="1"/>
    </xf>
    <xf numFmtId="0" fontId="62" fillId="8" borderId="55" applyNumberFormat="0" applyProtection="0">
      <alignment vertical="center"/>
    </xf>
    <xf numFmtId="0" fontId="21" fillId="35" borderId="39" applyNumberFormat="0" applyProtection="0">
      <alignment horizontal="left" vertical="center" indent="1"/>
    </xf>
    <xf numFmtId="0" fontId="47" fillId="0" borderId="47">
      <alignment horizontal="left" vertical="center"/>
    </xf>
    <xf numFmtId="0" fontId="21" fillId="35" borderId="39" applyNumberFormat="0" applyProtection="0">
      <alignment horizontal="left" vertical="center" indent="1"/>
    </xf>
    <xf numFmtId="0" fontId="11" fillId="31" borderId="43" applyNumberFormat="0" applyProtection="0">
      <alignment horizontal="right" vertical="center"/>
    </xf>
    <xf numFmtId="0" fontId="11" fillId="15" borderId="55" applyNumberFormat="0" applyProtection="0">
      <alignment horizontal="right" vertical="center"/>
    </xf>
    <xf numFmtId="0" fontId="10" fillId="6" borderId="55" applyNumberFormat="0" applyProtection="0">
      <alignment horizontal="left" vertical="center" indent="1"/>
    </xf>
    <xf numFmtId="4" fontId="93" fillId="0" borderId="45">
      <alignment horizontal="right"/>
    </xf>
    <xf numFmtId="0" fontId="11" fillId="8" borderId="55" applyNumberFormat="0" applyProtection="0">
      <alignment vertical="center"/>
    </xf>
    <xf numFmtId="0" fontId="60" fillId="25" borderId="53" applyNumberFormat="0" applyProtection="0">
      <alignment vertical="center"/>
    </xf>
    <xf numFmtId="0" fontId="11" fillId="31" borderId="48" applyNumberFormat="0" applyProtection="0">
      <alignment horizontal="right" vertical="center"/>
    </xf>
    <xf numFmtId="0" fontId="10" fillId="26" borderId="43" applyNumberFormat="0" applyProtection="0">
      <alignment horizontal="left" vertical="center" indent="1"/>
    </xf>
    <xf numFmtId="0" fontId="11" fillId="34" borderId="48" applyNumberFormat="0" applyProtection="0">
      <alignment horizontal="right" vertical="center"/>
    </xf>
    <xf numFmtId="4" fontId="93" fillId="0" borderId="56">
      <alignment horizontal="right"/>
    </xf>
    <xf numFmtId="0" fontId="11" fillId="27" borderId="55" applyNumberFormat="0" applyProtection="0">
      <alignment horizontal="right" vertical="center"/>
    </xf>
    <xf numFmtId="0" fontId="62" fillId="8" borderId="43" applyNumberFormat="0" applyProtection="0">
      <alignment vertical="center"/>
    </xf>
    <xf numFmtId="0" fontId="11" fillId="36" borderId="43" applyNumberFormat="0" applyProtection="0">
      <alignment horizontal="right" vertical="center"/>
    </xf>
    <xf numFmtId="0" fontId="11" fillId="29" borderId="48" applyNumberFormat="0" applyProtection="0">
      <alignment horizontal="right" vertical="center"/>
    </xf>
    <xf numFmtId="0" fontId="10" fillId="36" borderId="43" applyNumberFormat="0" applyProtection="0">
      <alignment horizontal="left" vertical="center" indent="1"/>
    </xf>
    <xf numFmtId="0" fontId="11" fillId="26" borderId="43" applyNumberFormat="0" applyProtection="0">
      <alignment horizontal="right" vertical="center"/>
    </xf>
    <xf numFmtId="0" fontId="10" fillId="26" borderId="53" applyNumberFormat="0" applyProtection="0">
      <alignment horizontal="left" vertical="top" indent="1"/>
    </xf>
    <xf numFmtId="0" fontId="11" fillId="8" borderId="48" applyNumberFormat="0" applyProtection="0">
      <alignment horizontal="left" vertical="top" indent="1"/>
    </xf>
    <xf numFmtId="0" fontId="10" fillId="36" borderId="48" applyNumberFormat="0" applyProtection="0">
      <alignment horizontal="left" vertical="center" indent="1"/>
    </xf>
    <xf numFmtId="0" fontId="10" fillId="26" borderId="48" applyNumberFormat="0" applyProtection="0">
      <alignment horizontal="left" vertical="top" indent="1"/>
    </xf>
    <xf numFmtId="0" fontId="11" fillId="26" borderId="48" applyNumberFormat="0" applyProtection="0">
      <alignment horizontal="left" vertical="top" indent="1"/>
    </xf>
    <xf numFmtId="0" fontId="93" fillId="0" borderId="45" applyAlignment="0"/>
    <xf numFmtId="0" fontId="48" fillId="23" borderId="45">
      <alignment horizontal="center" vertical="center"/>
    </xf>
    <xf numFmtId="0" fontId="21" fillId="25" borderId="48" applyNumberFormat="0" applyProtection="0">
      <alignment vertical="center"/>
    </xf>
    <xf numFmtId="0" fontId="7" fillId="0" borderId="45" applyAlignment="0"/>
    <xf numFmtId="0" fontId="10" fillId="36" borderId="48" applyNumberFormat="0" applyProtection="0">
      <alignment horizontal="left" vertical="center" indent="1"/>
    </xf>
    <xf numFmtId="0" fontId="60" fillId="25" borderId="55" applyNumberFormat="0" applyProtection="0">
      <alignment vertical="center"/>
    </xf>
    <xf numFmtId="0" fontId="10" fillId="6" borderId="48" applyNumberFormat="0" applyProtection="0">
      <alignment horizontal="left" vertical="center" indent="1"/>
    </xf>
    <xf numFmtId="0" fontId="47" fillId="0" borderId="41" applyNumberFormat="0" applyProtection="0"/>
    <xf numFmtId="0" fontId="42" fillId="8" borderId="45" applyNumberFormat="0" applyBorder="0" applyAlignment="0" applyProtection="0"/>
    <xf numFmtId="0" fontId="60" fillId="25" borderId="55" applyNumberFormat="0" applyProtection="0">
      <alignment vertical="center"/>
    </xf>
    <xf numFmtId="0" fontId="10" fillId="36" borderId="55" applyNumberFormat="0" applyProtection="0">
      <alignment horizontal="left" vertical="top" indent="1"/>
    </xf>
    <xf numFmtId="0" fontId="60" fillId="25" borderId="55" applyNumberFormat="0" applyProtection="0">
      <alignment vertical="center"/>
    </xf>
    <xf numFmtId="0" fontId="11" fillId="33" borderId="48" applyNumberFormat="0" applyProtection="0">
      <alignment horizontal="right" vertical="center"/>
    </xf>
    <xf numFmtId="4" fontId="93" fillId="0" borderId="45">
      <alignment horizontal="right"/>
    </xf>
    <xf numFmtId="0" fontId="11" fillId="34" borderId="48" applyNumberFormat="0" applyProtection="0">
      <alignment horizontal="right" vertical="center"/>
    </xf>
    <xf numFmtId="0" fontId="11" fillId="26" borderId="48" applyNumberFormat="0" applyProtection="0">
      <alignment horizontal="left" vertical="center" indent="1"/>
    </xf>
    <xf numFmtId="0" fontId="11" fillId="32" borderId="55" applyNumberFormat="0" applyProtection="0">
      <alignment horizontal="right" vertical="center"/>
    </xf>
    <xf numFmtId="0" fontId="21" fillId="25" borderId="48" applyNumberFormat="0" applyProtection="0">
      <alignment horizontal="left" vertical="center" indent="1"/>
    </xf>
    <xf numFmtId="0" fontId="10" fillId="4" borderId="48" applyNumberFormat="0" applyProtection="0">
      <alignment horizontal="left" vertical="top" indent="1"/>
    </xf>
    <xf numFmtId="0" fontId="60" fillId="25" borderId="43" applyNumberFormat="0" applyProtection="0">
      <alignment vertical="center"/>
    </xf>
    <xf numFmtId="0" fontId="11" fillId="30" borderId="48" applyNumberFormat="0" applyProtection="0">
      <alignment horizontal="right" vertical="center"/>
    </xf>
    <xf numFmtId="0" fontId="11" fillId="27" borderId="48" applyNumberFormat="0" applyProtection="0">
      <alignment horizontal="right" vertical="center"/>
    </xf>
    <xf numFmtId="0" fontId="47" fillId="0" borderId="50" applyNumberFormat="0" applyProtection="0"/>
    <xf numFmtId="0" fontId="11" fillId="8" borderId="48" applyNumberFormat="0" applyProtection="0">
      <alignment horizontal="left" vertical="top" indent="1"/>
    </xf>
    <xf numFmtId="0" fontId="21" fillId="35" borderId="39" applyNumberFormat="0" applyProtection="0">
      <alignment horizontal="left" vertical="center" indent="1"/>
    </xf>
    <xf numFmtId="0" fontId="11" fillId="26" borderId="48" applyNumberFormat="0" applyProtection="0">
      <alignment horizontal="left" vertical="center" indent="1"/>
    </xf>
    <xf numFmtId="0" fontId="11" fillId="26" borderId="43" applyNumberFormat="0" applyProtection="0">
      <alignment horizontal="left" vertical="center" indent="1"/>
    </xf>
    <xf numFmtId="0" fontId="10" fillId="6" borderId="53" applyNumberFormat="0" applyProtection="0">
      <alignment horizontal="left" vertical="top" indent="1"/>
    </xf>
    <xf numFmtId="0" fontId="11" fillId="30" borderId="55" applyNumberFormat="0" applyProtection="0">
      <alignment horizontal="right" vertical="center"/>
    </xf>
    <xf numFmtId="0" fontId="11" fillId="32" borderId="53" applyNumberFormat="0" applyProtection="0">
      <alignment horizontal="right" vertical="center"/>
    </xf>
    <xf numFmtId="0" fontId="99" fillId="0" borderId="45" applyAlignment="0"/>
    <xf numFmtId="0" fontId="11" fillId="26" borderId="48" applyNumberFormat="0" applyProtection="0">
      <alignment horizontal="right" vertical="center"/>
    </xf>
    <xf numFmtId="0" fontId="21" fillId="35" borderId="51" applyNumberFormat="0" applyProtection="0">
      <alignment horizontal="left" vertical="center" indent="1"/>
    </xf>
    <xf numFmtId="0" fontId="10" fillId="0" borderId="45" applyNumberFormat="0"/>
    <xf numFmtId="0" fontId="11" fillId="26" borderId="48" applyNumberFormat="0" applyProtection="0">
      <alignment horizontal="right" vertical="center"/>
    </xf>
    <xf numFmtId="0" fontId="10" fillId="36" borderId="55" applyNumberFormat="0" applyProtection="0">
      <alignment horizontal="left" vertical="center" indent="1"/>
    </xf>
    <xf numFmtId="0" fontId="11" fillId="32" borderId="55" applyNumberFormat="0" applyProtection="0">
      <alignment horizontal="right" vertical="center"/>
    </xf>
    <xf numFmtId="0" fontId="21" fillId="25" borderId="43" applyNumberFormat="0" applyProtection="0">
      <alignment horizontal="left" vertical="top" indent="1"/>
    </xf>
    <xf numFmtId="0" fontId="20" fillId="36" borderId="48" applyNumberFormat="0" applyProtection="0">
      <alignment horizontal="right" vertical="center"/>
    </xf>
    <xf numFmtId="0" fontId="21" fillId="35" borderId="51" applyNumberFormat="0" applyProtection="0">
      <alignment horizontal="left" vertical="center" indent="1"/>
    </xf>
    <xf numFmtId="0" fontId="10" fillId="4" borderId="55" applyNumberFormat="0" applyProtection="0">
      <alignment horizontal="left" vertical="top" indent="1"/>
    </xf>
    <xf numFmtId="0" fontId="21" fillId="35" borderId="49" applyNumberFormat="0" applyProtection="0">
      <alignment horizontal="left" vertical="center" indent="1"/>
    </xf>
    <xf numFmtId="0" fontId="21" fillId="35" borderId="49" applyNumberFormat="0" applyProtection="0">
      <alignment horizontal="left" vertical="center" indent="1"/>
    </xf>
    <xf numFmtId="0" fontId="42" fillId="8" borderId="40" applyNumberFormat="0" applyBorder="0" applyAlignment="0" applyProtection="0"/>
    <xf numFmtId="0" fontId="21" fillId="25" borderId="55" applyNumberFormat="0" applyProtection="0">
      <alignment vertical="center"/>
    </xf>
    <xf numFmtId="0" fontId="11" fillId="33" borderId="43" applyNumberFormat="0" applyProtection="0">
      <alignment horizontal="right" vertical="center"/>
    </xf>
    <xf numFmtId="0" fontId="11" fillId="29" borderId="48" applyNumberFormat="0" applyProtection="0">
      <alignment horizontal="right" vertical="center"/>
    </xf>
    <xf numFmtId="0" fontId="11" fillId="15" borderId="48" applyNumberFormat="0" applyProtection="0">
      <alignment horizontal="right" vertical="center"/>
    </xf>
    <xf numFmtId="0" fontId="10" fillId="26" borderId="53" applyNumberFormat="0" applyProtection="0">
      <alignment horizontal="left" vertical="top" indent="1"/>
    </xf>
    <xf numFmtId="0" fontId="11" fillId="26" borderId="48" applyNumberFormat="0" applyProtection="0">
      <alignment horizontal="left" vertical="top" indent="1"/>
    </xf>
    <xf numFmtId="0" fontId="11" fillId="8" borderId="48" applyNumberFormat="0" applyProtection="0">
      <alignment vertical="center"/>
    </xf>
    <xf numFmtId="0" fontId="11" fillId="15" borderId="48" applyNumberFormat="0" applyProtection="0">
      <alignment horizontal="right" vertical="center"/>
    </xf>
    <xf numFmtId="0" fontId="10" fillId="26" borderId="55" applyNumberFormat="0" applyProtection="0">
      <alignment horizontal="left" vertical="center" indent="1"/>
    </xf>
    <xf numFmtId="0" fontId="11" fillId="26" borderId="48" applyNumberFormat="0" applyProtection="0">
      <alignment horizontal="right" vertical="center"/>
    </xf>
    <xf numFmtId="0" fontId="21" fillId="35" borderId="44" applyNumberFormat="0" applyProtection="0">
      <alignment horizontal="left" vertical="center" indent="1"/>
    </xf>
    <xf numFmtId="0" fontId="11" fillId="8" borderId="48" applyNumberFormat="0" applyProtection="0">
      <alignment horizontal="left" vertical="top" indent="1"/>
    </xf>
    <xf numFmtId="0" fontId="21" fillId="25" borderId="55" applyNumberFormat="0" applyProtection="0">
      <alignment horizontal="left" vertical="center" indent="1"/>
    </xf>
    <xf numFmtId="0" fontId="11" fillId="32" borderId="48" applyNumberFormat="0" applyProtection="0">
      <alignment horizontal="right" vertical="center"/>
    </xf>
    <xf numFmtId="0" fontId="10" fillId="4" borderId="48" applyNumberFormat="0" applyProtection="0">
      <alignment horizontal="left" vertical="center" indent="1"/>
    </xf>
    <xf numFmtId="0" fontId="11" fillId="8" borderId="48" applyNumberFormat="0" applyProtection="0">
      <alignment horizontal="left" vertical="center" indent="1"/>
    </xf>
    <xf numFmtId="0" fontId="93" fillId="0" borderId="45" applyAlignment="0"/>
    <xf numFmtId="0" fontId="48" fillId="23" borderId="45">
      <alignment horizontal="center" vertical="center"/>
    </xf>
    <xf numFmtId="0" fontId="10" fillId="26" borderId="48" applyNumberFormat="0" applyProtection="0">
      <alignment horizontal="left" vertical="top" indent="1"/>
    </xf>
    <xf numFmtId="0" fontId="11" fillId="36" borderId="48" applyNumberFormat="0" applyProtection="0">
      <alignment horizontal="right" vertical="center"/>
    </xf>
    <xf numFmtId="0" fontId="21" fillId="25" borderId="48" applyNumberFormat="0" applyProtection="0">
      <alignment horizontal="left" vertical="top" indent="1"/>
    </xf>
    <xf numFmtId="0" fontId="10" fillId="6" borderId="55" applyNumberFormat="0" applyProtection="0">
      <alignment horizontal="left" vertical="top" indent="1"/>
    </xf>
    <xf numFmtId="0" fontId="10" fillId="36" borderId="53" applyNumberFormat="0" applyProtection="0">
      <alignment horizontal="left" vertical="top" indent="1"/>
    </xf>
    <xf numFmtId="10" fontId="93" fillId="0" borderId="52" applyAlignment="0"/>
    <xf numFmtId="0" fontId="11" fillId="27" borderId="55" applyNumberFormat="0" applyProtection="0">
      <alignment horizontal="right" vertical="center"/>
    </xf>
    <xf numFmtId="0" fontId="21" fillId="25" borderId="48" applyNumberFormat="0" applyProtection="0">
      <alignment horizontal="left" vertical="center" indent="1"/>
    </xf>
    <xf numFmtId="0" fontId="21" fillId="25" borderId="55" applyNumberFormat="0" applyProtection="0">
      <alignment horizontal="left" vertical="center" indent="1"/>
    </xf>
    <xf numFmtId="0" fontId="11" fillId="33" borderId="55" applyNumberFormat="0" applyProtection="0">
      <alignment horizontal="right" vertical="center"/>
    </xf>
    <xf numFmtId="0" fontId="11" fillId="32" borderId="48" applyNumberFormat="0" applyProtection="0">
      <alignment horizontal="right" vertical="center"/>
    </xf>
    <xf numFmtId="0" fontId="11" fillId="26" borderId="55" applyNumberFormat="0" applyProtection="0">
      <alignment horizontal="left" vertical="top" indent="1"/>
    </xf>
    <xf numFmtId="0" fontId="11" fillId="32" borderId="55" applyNumberFormat="0" applyProtection="0">
      <alignment horizontal="right" vertical="center"/>
    </xf>
    <xf numFmtId="0" fontId="11" fillId="36" borderId="55" applyNumberFormat="0" applyProtection="0">
      <alignment horizontal="right" vertical="center"/>
    </xf>
    <xf numFmtId="0" fontId="11" fillId="27" borderId="55" applyNumberFormat="0" applyProtection="0">
      <alignment horizontal="right" vertical="center"/>
    </xf>
    <xf numFmtId="0" fontId="10" fillId="6" borderId="55" applyNumberFormat="0" applyProtection="0">
      <alignment horizontal="left" vertical="top" indent="1"/>
    </xf>
    <xf numFmtId="0" fontId="10" fillId="26" borderId="48" applyNumberFormat="0" applyProtection="0">
      <alignment horizontal="left" vertical="top" indent="1"/>
    </xf>
    <xf numFmtId="0" fontId="10" fillId="26" borderId="55" applyNumberFormat="0" applyProtection="0">
      <alignment horizontal="left" vertical="top" indent="1"/>
    </xf>
    <xf numFmtId="0" fontId="60" fillId="25" borderId="48" applyNumberFormat="0" applyProtection="0">
      <alignment vertical="center"/>
    </xf>
    <xf numFmtId="0" fontId="60" fillId="25" borderId="48" applyNumberFormat="0" applyProtection="0">
      <alignment vertical="center"/>
    </xf>
    <xf numFmtId="0" fontId="11" fillId="26" borderId="48" applyNumberFormat="0" applyProtection="0">
      <alignment horizontal="right" vertical="center"/>
    </xf>
    <xf numFmtId="0" fontId="10" fillId="6" borderId="55" applyNumberFormat="0" applyProtection="0">
      <alignment horizontal="left" vertical="top" indent="1"/>
    </xf>
    <xf numFmtId="0" fontId="11" fillId="27" borderId="55" applyNumberFormat="0" applyProtection="0">
      <alignment horizontal="right" vertical="center"/>
    </xf>
    <xf numFmtId="0" fontId="48" fillId="23" borderId="56">
      <alignment horizontal="center" vertical="center"/>
    </xf>
    <xf numFmtId="0" fontId="11" fillId="8" borderId="48" applyNumberFormat="0" applyProtection="0">
      <alignment horizontal="left" vertical="center" indent="1"/>
    </xf>
    <xf numFmtId="0" fontId="11" fillId="30" borderId="53" applyNumberFormat="0" applyProtection="0">
      <alignment horizontal="right" vertical="center"/>
    </xf>
    <xf numFmtId="0" fontId="10" fillId="6" borderId="55" applyNumberFormat="0" applyProtection="0">
      <alignment horizontal="left" vertical="center" indent="1"/>
    </xf>
    <xf numFmtId="0" fontId="11" fillId="29" borderId="43" applyNumberFormat="0" applyProtection="0">
      <alignment horizontal="right" vertical="center"/>
    </xf>
    <xf numFmtId="0" fontId="11" fillId="28" borderId="48" applyNumberFormat="0" applyProtection="0">
      <alignment horizontal="right" vertical="center"/>
    </xf>
    <xf numFmtId="0" fontId="10" fillId="26" borderId="48" applyNumberFormat="0" applyProtection="0">
      <alignment horizontal="left" vertical="top" indent="1"/>
    </xf>
    <xf numFmtId="0" fontId="11" fillId="36" borderId="55" applyNumberFormat="0" applyProtection="0">
      <alignment horizontal="right" vertical="center"/>
    </xf>
    <xf numFmtId="0" fontId="21" fillId="35" borderId="39" applyNumberFormat="0" applyProtection="0">
      <alignment horizontal="left" vertical="center" indent="1"/>
    </xf>
    <xf numFmtId="0" fontId="11" fillId="34" borderId="43" applyNumberFormat="0" applyProtection="0">
      <alignment horizontal="right" vertical="center"/>
    </xf>
    <xf numFmtId="0" fontId="10" fillId="4" borderId="55" applyNumberFormat="0" applyProtection="0">
      <alignment horizontal="left" vertical="top" indent="1"/>
    </xf>
    <xf numFmtId="0" fontId="10" fillId="26" borderId="55" applyNumberFormat="0" applyProtection="0">
      <alignment horizontal="left" vertical="top" indent="1"/>
    </xf>
    <xf numFmtId="0" fontId="10" fillId="6" borderId="43" applyNumberFormat="0" applyProtection="0">
      <alignment horizontal="left" vertical="center" indent="1"/>
    </xf>
    <xf numFmtId="4" fontId="7" fillId="0" borderId="52">
      <alignment horizontal="right" vertical="center"/>
    </xf>
    <xf numFmtId="4" fontId="7" fillId="0" borderId="45">
      <alignment horizontal="right" vertical="center"/>
    </xf>
    <xf numFmtId="0" fontId="11" fillId="8" borderId="43" applyNumberFormat="0" applyProtection="0">
      <alignment horizontal="left" vertical="top" indent="1"/>
    </xf>
    <xf numFmtId="0" fontId="11" fillId="36" borderId="43" applyNumberFormat="0" applyProtection="0">
      <alignment horizontal="right" vertical="center"/>
    </xf>
    <xf numFmtId="0" fontId="10" fillId="36" borderId="43" applyNumberFormat="0" applyProtection="0">
      <alignment horizontal="left" vertical="top" indent="1"/>
    </xf>
    <xf numFmtId="0" fontId="10" fillId="4" borderId="43" applyNumberFormat="0" applyProtection="0">
      <alignment horizontal="left" vertical="center" indent="1"/>
    </xf>
    <xf numFmtId="0" fontId="10" fillId="4" borderId="55" applyNumberFormat="0" applyProtection="0">
      <alignment horizontal="left" vertical="top" indent="1"/>
    </xf>
    <xf numFmtId="0" fontId="11" fillId="8" borderId="55" applyNumberFormat="0" applyProtection="0">
      <alignment vertical="center"/>
    </xf>
    <xf numFmtId="0" fontId="11" fillId="32" borderId="48" applyNumberFormat="0" applyProtection="0">
      <alignment horizontal="right" vertical="center"/>
    </xf>
    <xf numFmtId="0" fontId="10" fillId="36" borderId="48" applyNumberFormat="0" applyProtection="0">
      <alignment horizontal="left" vertical="top" indent="1"/>
    </xf>
    <xf numFmtId="0" fontId="11" fillId="8" borderId="48" applyNumberFormat="0" applyProtection="0">
      <alignment vertical="center"/>
    </xf>
    <xf numFmtId="0" fontId="42" fillId="20" borderId="45"/>
    <xf numFmtId="0" fontId="21" fillId="25" borderId="48" applyNumberFormat="0" applyProtection="0">
      <alignment horizontal="left" vertical="center" indent="1"/>
    </xf>
    <xf numFmtId="0" fontId="11" fillId="26" borderId="55" applyNumberFormat="0" applyProtection="0">
      <alignment horizontal="left" vertical="center" indent="1"/>
    </xf>
    <xf numFmtId="0" fontId="11" fillId="27" borderId="48" applyNumberFormat="0" applyProtection="0">
      <alignment horizontal="right" vertical="center"/>
    </xf>
    <xf numFmtId="0" fontId="11" fillId="32" borderId="48" applyNumberFormat="0" applyProtection="0">
      <alignment horizontal="right" vertical="center"/>
    </xf>
    <xf numFmtId="0" fontId="11" fillId="33" borderId="55" applyNumberFormat="0" applyProtection="0">
      <alignment horizontal="right" vertical="center"/>
    </xf>
    <xf numFmtId="0" fontId="47" fillId="0" borderId="41" applyNumberFormat="0" applyProtection="0"/>
    <xf numFmtId="0" fontId="10" fillId="36" borderId="57" applyNumberFormat="0" applyProtection="0">
      <alignment horizontal="left" vertical="top" indent="1"/>
    </xf>
    <xf numFmtId="0" fontId="21" fillId="35" borderId="49" applyNumberFormat="0" applyProtection="0">
      <alignment horizontal="left" vertical="center" indent="1"/>
    </xf>
    <xf numFmtId="0" fontId="99" fillId="0" borderId="40" applyAlignment="0"/>
    <xf numFmtId="0" fontId="21" fillId="35" borderId="39" applyNumberFormat="0" applyProtection="0">
      <alignment horizontal="left" vertical="center" indent="1"/>
    </xf>
    <xf numFmtId="0" fontId="21" fillId="35" borderId="39" applyNumberFormat="0" applyProtection="0">
      <alignment horizontal="left" vertical="center" indent="1"/>
    </xf>
    <xf numFmtId="0" fontId="10" fillId="6" borderId="55" applyNumberFormat="0" applyProtection="0">
      <alignment horizontal="left" vertical="center" indent="1"/>
    </xf>
    <xf numFmtId="0" fontId="20" fillId="36" borderId="48" applyNumberFormat="0" applyProtection="0">
      <alignment horizontal="right" vertical="center"/>
    </xf>
    <xf numFmtId="0" fontId="21" fillId="35" borderId="51" applyNumberFormat="0" applyProtection="0">
      <alignment horizontal="left" vertical="center" indent="1"/>
    </xf>
    <xf numFmtId="0" fontId="11" fillId="8" borderId="55" applyNumberFormat="0" applyProtection="0">
      <alignment vertical="center"/>
    </xf>
    <xf numFmtId="0" fontId="11" fillId="26" borderId="48" applyNumberFormat="0" applyProtection="0">
      <alignment horizontal="right" vertical="center"/>
    </xf>
    <xf numFmtId="0" fontId="21" fillId="35" borderId="39" applyNumberFormat="0" applyProtection="0">
      <alignment horizontal="left" vertical="center" indent="1"/>
    </xf>
    <xf numFmtId="0" fontId="47" fillId="0" borderId="41" applyNumberFormat="0" applyProtection="0"/>
    <xf numFmtId="0" fontId="21" fillId="35" borderId="39" applyNumberFormat="0" applyProtection="0">
      <alignment horizontal="left" vertical="center" indent="1"/>
    </xf>
    <xf numFmtId="0" fontId="11" fillId="26" borderId="55" applyNumberFormat="0" applyProtection="0">
      <alignment horizontal="right" vertical="center"/>
    </xf>
    <xf numFmtId="0" fontId="10" fillId="4" borderId="53" applyNumberFormat="0" applyProtection="0">
      <alignment horizontal="left" vertical="center" indent="1"/>
    </xf>
    <xf numFmtId="0" fontId="62" fillId="36" borderId="48" applyNumberFormat="0" applyProtection="0">
      <alignment horizontal="right" vertical="center"/>
    </xf>
    <xf numFmtId="0" fontId="11" fillId="26" borderId="53" applyNumberFormat="0" applyProtection="0">
      <alignment horizontal="right" vertical="center"/>
    </xf>
    <xf numFmtId="0" fontId="21" fillId="35" borderId="44" applyNumberFormat="0" applyProtection="0">
      <alignment horizontal="left" vertical="center" indent="1"/>
    </xf>
    <xf numFmtId="0" fontId="11" fillId="27" borderId="55" applyNumberFormat="0" applyProtection="0">
      <alignment horizontal="right" vertical="center"/>
    </xf>
    <xf numFmtId="0" fontId="11" fillId="30" borderId="55" applyNumberFormat="0" applyProtection="0">
      <alignment horizontal="right" vertical="center"/>
    </xf>
    <xf numFmtId="0" fontId="11" fillId="33" borderId="55" applyNumberFormat="0" applyProtection="0">
      <alignment horizontal="right" vertical="center"/>
    </xf>
    <xf numFmtId="0" fontId="11" fillId="33" borderId="55" applyNumberFormat="0" applyProtection="0">
      <alignment horizontal="right" vertical="center"/>
    </xf>
    <xf numFmtId="0" fontId="11" fillId="31" borderId="48" applyNumberFormat="0" applyProtection="0">
      <alignment horizontal="right" vertical="center"/>
    </xf>
    <xf numFmtId="0" fontId="11" fillId="28" borderId="48" applyNumberFormat="0" applyProtection="0">
      <alignment horizontal="right" vertical="center"/>
    </xf>
    <xf numFmtId="0" fontId="47" fillId="0" borderId="42">
      <alignment horizontal="left" vertical="center"/>
    </xf>
    <xf numFmtId="0" fontId="11" fillId="8" borderId="48" applyNumberFormat="0" applyProtection="0">
      <alignment horizontal="left" vertical="top" indent="1"/>
    </xf>
    <xf numFmtId="0" fontId="10" fillId="36" borderId="55" applyNumberFormat="0" applyProtection="0">
      <alignment horizontal="left" vertical="top" indent="1"/>
    </xf>
    <xf numFmtId="0" fontId="10" fillId="6" borderId="48" applyNumberFormat="0" applyProtection="0">
      <alignment horizontal="left" vertical="top" indent="1"/>
    </xf>
    <xf numFmtId="0" fontId="10" fillId="6" borderId="48" applyNumberFormat="0" applyProtection="0">
      <alignment horizontal="left" vertical="center" indent="1"/>
    </xf>
    <xf numFmtId="0" fontId="21" fillId="25" borderId="48" applyNumberFormat="0" applyProtection="0">
      <alignment vertical="center"/>
    </xf>
    <xf numFmtId="0" fontId="11" fillId="33" borderId="55" applyNumberFormat="0" applyProtection="0">
      <alignment horizontal="right" vertical="center"/>
    </xf>
    <xf numFmtId="0" fontId="62" fillId="8" borderId="48" applyNumberFormat="0" applyProtection="0">
      <alignment vertical="center"/>
    </xf>
    <xf numFmtId="0" fontId="11" fillId="31" borderId="48" applyNumberFormat="0" applyProtection="0">
      <alignment horizontal="right" vertical="center"/>
    </xf>
    <xf numFmtId="0" fontId="21" fillId="25" borderId="55" applyNumberFormat="0" applyProtection="0">
      <alignment horizontal="left" vertical="center" indent="1"/>
    </xf>
    <xf numFmtId="0" fontId="11" fillId="32" borderId="48" applyNumberFormat="0" applyProtection="0">
      <alignment horizontal="right" vertical="center"/>
    </xf>
    <xf numFmtId="0" fontId="11" fillId="32" borderId="48" applyNumberFormat="0" applyProtection="0">
      <alignment horizontal="right" vertical="center"/>
    </xf>
    <xf numFmtId="0" fontId="11" fillId="27" borderId="48" applyNumberFormat="0" applyProtection="0">
      <alignment horizontal="right" vertical="center"/>
    </xf>
    <xf numFmtId="0" fontId="10" fillId="0" borderId="45" applyNumberFormat="0"/>
    <xf numFmtId="0" fontId="21" fillId="25" borderId="43" applyNumberFormat="0" applyProtection="0">
      <alignment horizontal="left" vertical="center" indent="1"/>
    </xf>
    <xf numFmtId="0" fontId="11" fillId="32" borderId="43" applyNumberFormat="0" applyProtection="0">
      <alignment horizontal="right" vertical="center"/>
    </xf>
    <xf numFmtId="0" fontId="11" fillId="8" borderId="43" applyNumberFormat="0" applyProtection="0">
      <alignment horizontal="left" vertical="center" indent="1"/>
    </xf>
    <xf numFmtId="0" fontId="10" fillId="36" borderId="43" applyNumberFormat="0" applyProtection="0">
      <alignment horizontal="left" vertical="center" indent="1"/>
    </xf>
    <xf numFmtId="0" fontId="10" fillId="26" borderId="43" applyNumberFormat="0" applyProtection="0">
      <alignment horizontal="left" vertical="top" indent="1"/>
    </xf>
    <xf numFmtId="0" fontId="11" fillId="29" borderId="43" applyNumberFormat="0" applyProtection="0">
      <alignment horizontal="right" vertical="center"/>
    </xf>
    <xf numFmtId="0" fontId="11" fillId="15" borderId="43" applyNumberFormat="0" applyProtection="0">
      <alignment horizontal="right" vertical="center"/>
    </xf>
    <xf numFmtId="0" fontId="11" fillId="27" borderId="43" applyNumberFormat="0" applyProtection="0">
      <alignment horizontal="right" vertical="center"/>
    </xf>
    <xf numFmtId="0" fontId="11" fillId="15" borderId="55" applyNumberFormat="0" applyProtection="0">
      <alignment horizontal="right" vertical="center"/>
    </xf>
    <xf numFmtId="0" fontId="42" fillId="9" borderId="45"/>
    <xf numFmtId="0" fontId="11" fillId="34" borderId="55" applyNumberFormat="0" applyProtection="0">
      <alignment horizontal="right" vertical="center"/>
    </xf>
    <xf numFmtId="0" fontId="60" fillId="25" borderId="55" applyNumberFormat="0" applyProtection="0">
      <alignment vertical="center"/>
    </xf>
    <xf numFmtId="0" fontId="11" fillId="26" borderId="55" applyNumberFormat="0" applyProtection="0">
      <alignment horizontal="left" vertical="center" indent="1"/>
    </xf>
    <xf numFmtId="0" fontId="20" fillId="36" borderId="48" applyNumberFormat="0" applyProtection="0">
      <alignment horizontal="right" vertical="center"/>
    </xf>
    <xf numFmtId="0" fontId="10" fillId="4" borderId="48" applyNumberFormat="0" applyProtection="0">
      <alignment horizontal="left" vertical="center" indent="1"/>
    </xf>
    <xf numFmtId="0" fontId="11" fillId="31" borderId="48" applyNumberFormat="0" applyProtection="0">
      <alignment horizontal="right" vertical="center"/>
    </xf>
    <xf numFmtId="0" fontId="10" fillId="36" borderId="48" applyNumberFormat="0" applyProtection="0">
      <alignment horizontal="left" vertical="top" indent="1"/>
    </xf>
    <xf numFmtId="0" fontId="10" fillId="4" borderId="48" applyNumberFormat="0" applyProtection="0">
      <alignment horizontal="left" vertical="top" indent="1"/>
    </xf>
    <xf numFmtId="0" fontId="11" fillId="8" borderId="48" applyNumberFormat="0" applyProtection="0">
      <alignment horizontal="left" vertical="center" indent="1"/>
    </xf>
    <xf numFmtId="0" fontId="93" fillId="0" borderId="45" applyAlignment="0"/>
    <xf numFmtId="0" fontId="42" fillId="8" borderId="45" applyNumberFormat="0" applyBorder="0" applyAlignment="0" applyProtection="0"/>
    <xf numFmtId="0" fontId="10" fillId="6" borderId="55" applyNumberFormat="0" applyProtection="0">
      <alignment horizontal="left" vertical="center" indent="1"/>
    </xf>
    <xf numFmtId="0" fontId="42" fillId="20" borderId="45"/>
    <xf numFmtId="0" fontId="7" fillId="0" borderId="45" applyAlignment="0"/>
    <xf numFmtId="0" fontId="93" fillId="0" borderId="45" applyAlignment="0"/>
    <xf numFmtId="0" fontId="10" fillId="36" borderId="48" applyNumberFormat="0" applyProtection="0">
      <alignment horizontal="left" vertical="center" indent="1"/>
    </xf>
    <xf numFmtId="0" fontId="10" fillId="26" borderId="48" applyNumberFormat="0" applyProtection="0">
      <alignment horizontal="left" vertical="center" indent="1"/>
    </xf>
    <xf numFmtId="0" fontId="10" fillId="4" borderId="48" applyNumberFormat="0" applyProtection="0">
      <alignment horizontal="left" vertical="center" indent="1"/>
    </xf>
    <xf numFmtId="0" fontId="10" fillId="36" borderId="48" applyNumberFormat="0" applyProtection="0">
      <alignment horizontal="left" vertical="top" indent="1"/>
    </xf>
    <xf numFmtId="0" fontId="10" fillId="6" borderId="48" applyNumberFormat="0" applyProtection="0">
      <alignment horizontal="left" vertical="top" indent="1"/>
    </xf>
    <xf numFmtId="0" fontId="62" fillId="8" borderId="48" applyNumberFormat="0" applyProtection="0">
      <alignment vertical="center"/>
    </xf>
    <xf numFmtId="0" fontId="20" fillId="36" borderId="48" applyNumberFormat="0" applyProtection="0">
      <alignment horizontal="right" vertical="center"/>
    </xf>
    <xf numFmtId="0" fontId="11" fillId="26" borderId="48" applyNumberFormat="0" applyProtection="0">
      <alignment horizontal="left" vertical="center" indent="1"/>
    </xf>
    <xf numFmtId="0" fontId="11" fillId="33" borderId="55" applyNumberFormat="0" applyProtection="0">
      <alignment horizontal="right" vertical="center"/>
    </xf>
    <xf numFmtId="0" fontId="11" fillId="29" borderId="55" applyNumberFormat="0" applyProtection="0">
      <alignment horizontal="right" vertical="center"/>
    </xf>
    <xf numFmtId="0" fontId="11" fillId="28" borderId="55" applyNumberFormat="0" applyProtection="0">
      <alignment horizontal="right" vertical="center"/>
    </xf>
    <xf numFmtId="0" fontId="7" fillId="0" borderId="52" applyAlignment="0"/>
    <xf numFmtId="0" fontId="11" fillId="33" borderId="48" applyNumberFormat="0" applyProtection="0">
      <alignment horizontal="right" vertical="center"/>
    </xf>
    <xf numFmtId="0" fontId="11" fillId="28" borderId="48" applyNumberFormat="0" applyProtection="0">
      <alignment horizontal="right" vertical="center"/>
    </xf>
    <xf numFmtId="0" fontId="11" fillId="30" borderId="48" applyNumberFormat="0" applyProtection="0">
      <alignment horizontal="right" vertical="center"/>
    </xf>
    <xf numFmtId="0" fontId="99" fillId="0" borderId="56" applyAlignment="0"/>
    <xf numFmtId="0" fontId="62" fillId="8" borderId="55" applyNumberFormat="0" applyProtection="0">
      <alignment vertical="center"/>
    </xf>
    <xf numFmtId="0" fontId="11" fillId="8" borderId="55" applyNumberFormat="0" applyProtection="0">
      <alignment horizontal="left" vertical="top" indent="1"/>
    </xf>
    <xf numFmtId="0" fontId="11" fillId="29" borderId="48" applyNumberFormat="0" applyProtection="0">
      <alignment horizontal="right" vertical="center"/>
    </xf>
    <xf numFmtId="0" fontId="11" fillId="29" borderId="48" applyNumberFormat="0" applyProtection="0">
      <alignment horizontal="right" vertical="center"/>
    </xf>
    <xf numFmtId="0" fontId="42" fillId="9" borderId="45"/>
    <xf numFmtId="0" fontId="10" fillId="36" borderId="48" applyNumberFormat="0" applyProtection="0">
      <alignment horizontal="left" vertical="top" indent="1"/>
    </xf>
    <xf numFmtId="0" fontId="21" fillId="25" borderId="55" applyNumberFormat="0" applyProtection="0">
      <alignment vertical="center"/>
    </xf>
    <xf numFmtId="0" fontId="99" fillId="0" borderId="56" applyAlignment="0"/>
    <xf numFmtId="0" fontId="11" fillId="33" borderId="48" applyNumberFormat="0" applyProtection="0">
      <alignment horizontal="right" vertical="center"/>
    </xf>
    <xf numFmtId="0" fontId="10" fillId="36" borderId="55" applyNumberFormat="0" applyProtection="0">
      <alignment horizontal="left" vertical="top" indent="1"/>
    </xf>
    <xf numFmtId="4" fontId="93" fillId="0" borderId="45">
      <alignment horizontal="right"/>
    </xf>
    <xf numFmtId="4" fontId="7" fillId="0" borderId="45">
      <alignment horizontal="right" vertical="center"/>
    </xf>
    <xf numFmtId="10" fontId="93" fillId="0" borderId="45" applyAlignment="0"/>
    <xf numFmtId="10" fontId="93" fillId="0" borderId="45" applyAlignment="0"/>
    <xf numFmtId="0" fontId="10" fillId="4" borderId="55" applyNumberFormat="0" applyProtection="0">
      <alignment horizontal="left" vertical="top" indent="1"/>
    </xf>
    <xf numFmtId="0" fontId="11" fillId="26" borderId="55" applyNumberFormat="0" applyProtection="0">
      <alignment horizontal="right" vertical="center"/>
    </xf>
    <xf numFmtId="0" fontId="11" fillId="8" borderId="55" applyNumberFormat="0" applyProtection="0">
      <alignment vertical="center"/>
    </xf>
    <xf numFmtId="0" fontId="60" fillId="25" borderId="48" applyNumberFormat="0" applyProtection="0">
      <alignment vertical="center"/>
    </xf>
    <xf numFmtId="0" fontId="10" fillId="0" borderId="56" applyNumberFormat="0"/>
    <xf numFmtId="0" fontId="21" fillId="25" borderId="55" applyNumberFormat="0" applyProtection="0">
      <alignment horizontal="left" vertical="center" indent="1"/>
    </xf>
    <xf numFmtId="0" fontId="11" fillId="26" borderId="48" applyNumberFormat="0" applyProtection="0">
      <alignment horizontal="left" vertical="center" indent="1"/>
    </xf>
    <xf numFmtId="0" fontId="10" fillId="36" borderId="48" applyNumberFormat="0" applyProtection="0">
      <alignment horizontal="left" vertical="top" indent="1"/>
    </xf>
    <xf numFmtId="0" fontId="10" fillId="36" borderId="55" applyNumberFormat="0" applyProtection="0">
      <alignment horizontal="left" vertical="top" indent="1"/>
    </xf>
    <xf numFmtId="0" fontId="11" fillId="32" borderId="55" applyNumberFormat="0" applyProtection="0">
      <alignment horizontal="right" vertical="center"/>
    </xf>
    <xf numFmtId="0" fontId="93" fillId="0" borderId="52" applyAlignment="0"/>
    <xf numFmtId="0" fontId="10" fillId="4" borderId="53" applyNumberFormat="0" applyProtection="0">
      <alignment horizontal="left" vertical="center" indent="1"/>
    </xf>
    <xf numFmtId="0" fontId="62" fillId="36" borderId="48" applyNumberFormat="0" applyProtection="0">
      <alignment horizontal="right" vertical="center"/>
    </xf>
    <xf numFmtId="0" fontId="11" fillId="8" borderId="48" applyNumberFormat="0" applyProtection="0">
      <alignment horizontal="left" vertical="center" indent="1"/>
    </xf>
    <xf numFmtId="0" fontId="20" fillId="36" borderId="48" applyNumberFormat="0" applyProtection="0">
      <alignment horizontal="right" vertical="center"/>
    </xf>
    <xf numFmtId="0" fontId="62" fillId="8" borderId="48" applyNumberFormat="0" applyProtection="0">
      <alignment vertical="center"/>
    </xf>
    <xf numFmtId="0" fontId="11" fillId="32" borderId="55" applyNumberFormat="0" applyProtection="0">
      <alignment horizontal="right" vertical="center"/>
    </xf>
    <xf numFmtId="0" fontId="11" fillId="8" borderId="55" applyNumberFormat="0" applyProtection="0">
      <alignment horizontal="left" vertical="top" indent="1"/>
    </xf>
    <xf numFmtId="0" fontId="62" fillId="36" borderId="55" applyNumberFormat="0" applyProtection="0">
      <alignment horizontal="right" vertical="center"/>
    </xf>
    <xf numFmtId="0" fontId="11" fillId="28" borderId="55" applyNumberFormat="0" applyProtection="0">
      <alignment horizontal="right" vertical="center"/>
    </xf>
    <xf numFmtId="0" fontId="11" fillId="30" borderId="48" applyNumberFormat="0" applyProtection="0">
      <alignment horizontal="right" vertical="center"/>
    </xf>
    <xf numFmtId="0" fontId="10" fillId="0" borderId="45" applyNumberFormat="0"/>
    <xf numFmtId="0" fontId="11" fillId="26" borderId="48" applyNumberFormat="0" applyProtection="0">
      <alignment horizontal="left" vertical="center" indent="1"/>
    </xf>
    <xf numFmtId="0" fontId="20" fillId="36" borderId="55" applyNumberFormat="0" applyProtection="0">
      <alignment horizontal="right" vertical="center"/>
    </xf>
    <xf numFmtId="0" fontId="21" fillId="25" borderId="48" applyNumberFormat="0" applyProtection="0">
      <alignment vertical="center"/>
    </xf>
    <xf numFmtId="0" fontId="11" fillId="15" borderId="55" applyNumberFormat="0" applyProtection="0">
      <alignment horizontal="right" vertical="center"/>
    </xf>
    <xf numFmtId="0" fontId="11" fillId="8" borderId="48" applyNumberFormat="0" applyProtection="0">
      <alignment horizontal="left" vertical="top" indent="1"/>
    </xf>
    <xf numFmtId="0" fontId="21" fillId="25" borderId="55" applyNumberFormat="0" applyProtection="0">
      <alignment vertical="center"/>
    </xf>
    <xf numFmtId="0" fontId="10" fillId="4" borderId="55" applyNumberFormat="0" applyProtection="0">
      <alignment horizontal="left" vertical="top" indent="1"/>
    </xf>
    <xf numFmtId="0" fontId="11" fillId="8" borderId="53" applyNumberFormat="0" applyProtection="0">
      <alignment horizontal="left" vertical="center" indent="1"/>
    </xf>
    <xf numFmtId="0" fontId="21" fillId="25" borderId="55" applyNumberFormat="0" applyProtection="0">
      <alignment vertical="center"/>
    </xf>
    <xf numFmtId="0" fontId="11" fillId="31" borderId="48" applyNumberFormat="0" applyProtection="0">
      <alignment horizontal="right" vertical="center"/>
    </xf>
    <xf numFmtId="0" fontId="10" fillId="26" borderId="48" applyNumberFormat="0" applyProtection="0">
      <alignment horizontal="left" vertical="center" indent="1"/>
    </xf>
    <xf numFmtId="0" fontId="47" fillId="0" borderId="50" applyNumberFormat="0" applyProtection="0"/>
    <xf numFmtId="0" fontId="21" fillId="25" borderId="55" applyNumberFormat="0" applyProtection="0">
      <alignment horizontal="left" vertical="top" indent="1"/>
    </xf>
    <xf numFmtId="0" fontId="11" fillId="36" borderId="48" applyNumberFormat="0" applyProtection="0">
      <alignment horizontal="right" vertical="center"/>
    </xf>
    <xf numFmtId="0" fontId="10" fillId="4" borderId="48" applyNumberFormat="0" applyProtection="0">
      <alignment horizontal="left" vertical="center" indent="1"/>
    </xf>
    <xf numFmtId="0" fontId="11" fillId="27" borderId="55" applyNumberFormat="0" applyProtection="0">
      <alignment horizontal="right" vertical="center"/>
    </xf>
    <xf numFmtId="0" fontId="60" fillId="25" borderId="55" applyNumberFormat="0" applyProtection="0">
      <alignment vertical="center"/>
    </xf>
    <xf numFmtId="0" fontId="11" fillId="30" borderId="55" applyNumberFormat="0" applyProtection="0">
      <alignment horizontal="right" vertical="center"/>
    </xf>
    <xf numFmtId="0" fontId="21" fillId="25" borderId="55" applyNumberFormat="0" applyProtection="0">
      <alignment vertical="center"/>
    </xf>
    <xf numFmtId="0" fontId="42" fillId="9" borderId="45"/>
    <xf numFmtId="0" fontId="60" fillId="25" borderId="55" applyNumberFormat="0" applyProtection="0">
      <alignment vertical="center"/>
    </xf>
    <xf numFmtId="0" fontId="21" fillId="25" borderId="55" applyNumberFormat="0" applyProtection="0">
      <alignment horizontal="left" vertical="center" indent="1"/>
    </xf>
    <xf numFmtId="0" fontId="10" fillId="26" borderId="57" applyNumberFormat="0" applyProtection="0">
      <alignment horizontal="left" vertical="center" indent="1"/>
    </xf>
    <xf numFmtId="0" fontId="11" fillId="8" borderId="55" applyNumberFormat="0" applyProtection="0">
      <alignment horizontal="left" vertical="center" indent="1"/>
    </xf>
    <xf numFmtId="0" fontId="21" fillId="25" borderId="48" applyNumberFormat="0" applyProtection="0">
      <alignment vertical="center"/>
    </xf>
    <xf numFmtId="0" fontId="11" fillId="33" borderId="53" applyNumberFormat="0" applyProtection="0">
      <alignment horizontal="right" vertical="center"/>
    </xf>
    <xf numFmtId="0" fontId="10" fillId="36" borderId="53" applyNumberFormat="0" applyProtection="0">
      <alignment horizontal="left" vertical="top" indent="1"/>
    </xf>
    <xf numFmtId="0" fontId="10" fillId="6" borderId="48" applyNumberFormat="0" applyProtection="0">
      <alignment horizontal="left" vertical="top" indent="1"/>
    </xf>
    <xf numFmtId="0" fontId="93" fillId="0" borderId="45" applyAlignment="0"/>
    <xf numFmtId="0" fontId="11" fillId="28" borderId="48" applyNumberFormat="0" applyProtection="0">
      <alignment horizontal="right" vertical="center"/>
    </xf>
    <xf numFmtId="0" fontId="10" fillId="6" borderId="48" applyNumberFormat="0" applyProtection="0">
      <alignment horizontal="left" vertical="center" indent="1"/>
    </xf>
    <xf numFmtId="0" fontId="10" fillId="4" borderId="48" applyNumberFormat="0" applyProtection="0">
      <alignment horizontal="left" vertical="top" indent="1"/>
    </xf>
    <xf numFmtId="0" fontId="11" fillId="8" borderId="48" applyNumberFormat="0" applyProtection="0">
      <alignment horizontal="left" vertical="center" indent="1"/>
    </xf>
    <xf numFmtId="0" fontId="11" fillId="15" borderId="57" applyNumberFormat="0" applyProtection="0">
      <alignment horizontal="right" vertical="center"/>
    </xf>
    <xf numFmtId="0" fontId="11" fillId="26" borderId="55" applyNumberFormat="0" applyProtection="0">
      <alignment horizontal="left" vertical="center" indent="1"/>
    </xf>
    <xf numFmtId="0" fontId="11" fillId="8" borderId="55" applyNumberFormat="0" applyProtection="0">
      <alignment vertical="center"/>
    </xf>
    <xf numFmtId="0" fontId="62" fillId="8" borderId="55" applyNumberFormat="0" applyProtection="0">
      <alignment vertical="center"/>
    </xf>
    <xf numFmtId="0" fontId="93" fillId="0" borderId="52" applyAlignment="0"/>
    <xf numFmtId="0" fontId="21" fillId="25" borderId="48" applyNumberFormat="0" applyProtection="0">
      <alignment vertical="center"/>
    </xf>
    <xf numFmtId="0" fontId="11" fillId="27" borderId="53" applyNumberFormat="0" applyProtection="0">
      <alignment horizontal="right" vertical="center"/>
    </xf>
    <xf numFmtId="0" fontId="11" fillId="31" borderId="55" applyNumberFormat="0" applyProtection="0">
      <alignment horizontal="right" vertical="center"/>
    </xf>
    <xf numFmtId="0" fontId="11" fillId="34" borderId="53" applyNumberFormat="0" applyProtection="0">
      <alignment horizontal="right" vertical="center"/>
    </xf>
    <xf numFmtId="0" fontId="11" fillId="32" borderId="48" applyNumberFormat="0" applyProtection="0">
      <alignment horizontal="right" vertical="center"/>
    </xf>
    <xf numFmtId="0" fontId="11" fillId="31" borderId="48" applyNumberFormat="0" applyProtection="0">
      <alignment horizontal="right" vertical="center"/>
    </xf>
    <xf numFmtId="0" fontId="10" fillId="36" borderId="48" applyNumberFormat="0" applyProtection="0">
      <alignment horizontal="left" vertical="center" indent="1"/>
    </xf>
    <xf numFmtId="0" fontId="10" fillId="26" borderId="48" applyNumberFormat="0" applyProtection="0">
      <alignment horizontal="left" vertical="top" indent="1"/>
    </xf>
    <xf numFmtId="0" fontId="11" fillId="26" borderId="48" applyNumberFormat="0" applyProtection="0">
      <alignment horizontal="left" vertical="top" indent="1"/>
    </xf>
    <xf numFmtId="0" fontId="21" fillId="25" borderId="55" applyNumberFormat="0" applyProtection="0">
      <alignment horizontal="left" vertical="center" indent="1"/>
    </xf>
    <xf numFmtId="0" fontId="60" fillId="25" borderId="55" applyNumberFormat="0" applyProtection="0">
      <alignment vertical="center"/>
    </xf>
    <xf numFmtId="0" fontId="11" fillId="32" borderId="55" applyNumberFormat="0" applyProtection="0">
      <alignment horizontal="right" vertical="center"/>
    </xf>
    <xf numFmtId="0" fontId="47" fillId="0" borderId="41" applyNumberFormat="0" applyProtection="0"/>
    <xf numFmtId="0" fontId="11" fillId="36" borderId="48" applyNumberFormat="0" applyProtection="0">
      <alignment horizontal="right" vertical="center"/>
    </xf>
    <xf numFmtId="0" fontId="21" fillId="25" borderId="55" applyNumberFormat="0" applyProtection="0">
      <alignment vertical="center"/>
    </xf>
    <xf numFmtId="0" fontId="11" fillId="27" borderId="55" applyNumberFormat="0" applyProtection="0">
      <alignment horizontal="right" vertical="center"/>
    </xf>
    <xf numFmtId="4" fontId="93" fillId="0" borderId="45">
      <alignment horizontal="right"/>
    </xf>
    <xf numFmtId="4" fontId="93" fillId="0" borderId="45">
      <alignment horizontal="right"/>
    </xf>
    <xf numFmtId="10" fontId="93" fillId="0" borderId="56" applyAlignment="0"/>
    <xf numFmtId="0" fontId="10" fillId="26" borderId="48" applyNumberFormat="0" applyProtection="0">
      <alignment horizontal="left" vertical="top" indent="1"/>
    </xf>
    <xf numFmtId="0" fontId="10" fillId="4" borderId="48" applyNumberFormat="0" applyProtection="0">
      <alignment horizontal="left" vertical="center" indent="1"/>
    </xf>
    <xf numFmtId="0" fontId="11" fillId="31" borderId="55" applyNumberFormat="0" applyProtection="0">
      <alignment horizontal="right" vertical="center"/>
    </xf>
    <xf numFmtId="0" fontId="21" fillId="25" borderId="48" applyNumberFormat="0" applyProtection="0">
      <alignment horizontal="left" vertical="top" indent="1"/>
    </xf>
    <xf numFmtId="0" fontId="11" fillId="15" borderId="48" applyNumberFormat="0" applyProtection="0">
      <alignment horizontal="right" vertical="center"/>
    </xf>
    <xf numFmtId="0" fontId="11" fillId="31" borderId="55" applyNumberFormat="0" applyProtection="0">
      <alignment horizontal="right" vertical="center"/>
    </xf>
    <xf numFmtId="0" fontId="21" fillId="25" borderId="48" applyNumberFormat="0" applyProtection="0">
      <alignment vertical="center"/>
    </xf>
    <xf numFmtId="0" fontId="21" fillId="25" borderId="57" applyNumberFormat="0" applyProtection="0">
      <alignment horizontal="left" vertical="center" indent="1"/>
    </xf>
    <xf numFmtId="0" fontId="11" fillId="30" borderId="55" applyNumberFormat="0" applyProtection="0">
      <alignment horizontal="right" vertical="center"/>
    </xf>
    <xf numFmtId="0" fontId="99" fillId="0" borderId="40" applyAlignment="0"/>
    <xf numFmtId="0" fontId="10" fillId="36" borderId="55" applyNumberFormat="0" applyProtection="0">
      <alignment horizontal="left" vertical="center" indent="1"/>
    </xf>
    <xf numFmtId="0" fontId="99" fillId="0" borderId="52" applyAlignment="0"/>
    <xf numFmtId="4" fontId="99" fillId="0" borderId="40">
      <alignment horizontal="right"/>
    </xf>
    <xf numFmtId="0" fontId="11" fillId="15" borderId="55" applyNumberFormat="0" applyProtection="0">
      <alignment horizontal="right" vertical="center"/>
    </xf>
    <xf numFmtId="0" fontId="10" fillId="4" borderId="48" applyNumberFormat="0" applyProtection="0">
      <alignment horizontal="left" vertical="top" indent="1"/>
    </xf>
    <xf numFmtId="0" fontId="20" fillId="36" borderId="48" applyNumberFormat="0" applyProtection="0">
      <alignment horizontal="right" vertical="center"/>
    </xf>
    <xf numFmtId="0" fontId="11" fillId="26" borderId="48" applyNumberFormat="0" applyProtection="0">
      <alignment horizontal="right" vertical="center"/>
    </xf>
    <xf numFmtId="0" fontId="42" fillId="20" borderId="52"/>
    <xf numFmtId="0" fontId="10" fillId="26" borderId="48" applyNumberFormat="0" applyProtection="0">
      <alignment horizontal="left" vertical="center" indent="1"/>
    </xf>
    <xf numFmtId="0" fontId="20" fillId="36" borderId="48" applyNumberFormat="0" applyProtection="0">
      <alignment horizontal="right" vertical="center"/>
    </xf>
    <xf numFmtId="0" fontId="11" fillId="8" borderId="48" applyNumberFormat="0" applyProtection="0">
      <alignment horizontal="left" vertical="top" indent="1"/>
    </xf>
    <xf numFmtId="0" fontId="10" fillId="4" borderId="48" applyNumberFormat="0" applyProtection="0">
      <alignment horizontal="left" vertical="top" indent="1"/>
    </xf>
    <xf numFmtId="0" fontId="10" fillId="26" borderId="53" applyNumberFormat="0" applyProtection="0">
      <alignment horizontal="left" vertical="center" indent="1"/>
    </xf>
    <xf numFmtId="0" fontId="99" fillId="0" borderId="45" applyAlignment="0"/>
    <xf numFmtId="0" fontId="11" fillId="8" borderId="43" applyNumberFormat="0" applyProtection="0">
      <alignment horizontal="left" vertical="top" indent="1"/>
    </xf>
    <xf numFmtId="0" fontId="20" fillId="36" borderId="43" applyNumberFormat="0" applyProtection="0">
      <alignment horizontal="right" vertical="center"/>
    </xf>
    <xf numFmtId="0" fontId="10" fillId="26" borderId="43" applyNumberFormat="0" applyProtection="0">
      <alignment horizontal="left" vertical="top" indent="1"/>
    </xf>
    <xf numFmtId="0" fontId="99" fillId="0" borderId="45" applyAlignment="0"/>
    <xf numFmtId="0" fontId="10" fillId="4" borderId="43" applyNumberFormat="0" applyProtection="0">
      <alignment horizontal="left" vertical="top" indent="1"/>
    </xf>
    <xf numFmtId="0" fontId="11" fillId="26" borderId="43" applyNumberFormat="0" applyProtection="0">
      <alignment horizontal="left" vertical="top" indent="1"/>
    </xf>
    <xf numFmtId="0" fontId="11" fillId="32" borderId="43" applyNumberFormat="0" applyProtection="0">
      <alignment horizontal="right" vertical="center"/>
    </xf>
    <xf numFmtId="0" fontId="11" fillId="34" borderId="43" applyNumberFormat="0" applyProtection="0">
      <alignment horizontal="right" vertical="center"/>
    </xf>
    <xf numFmtId="0" fontId="11" fillId="28" borderId="43" applyNumberFormat="0" applyProtection="0">
      <alignment horizontal="right" vertical="center"/>
    </xf>
    <xf numFmtId="0" fontId="99" fillId="0" borderId="52" applyAlignment="0"/>
    <xf numFmtId="0" fontId="21" fillId="25" borderId="43" applyNumberFormat="0" applyProtection="0">
      <alignment vertical="center"/>
    </xf>
    <xf numFmtId="0" fontId="11" fillId="26" borderId="43" applyNumberFormat="0" applyProtection="0">
      <alignment horizontal="left" vertical="top" indent="1"/>
    </xf>
    <xf numFmtId="0" fontId="47" fillId="0" borderId="47">
      <alignment horizontal="left" vertical="center"/>
    </xf>
    <xf numFmtId="0" fontId="11" fillId="30" borderId="57" applyNumberFormat="0" applyProtection="0">
      <alignment horizontal="right" vertical="center"/>
    </xf>
    <xf numFmtId="0" fontId="11" fillId="15" borderId="43" applyNumberFormat="0" applyProtection="0">
      <alignment horizontal="right" vertical="center"/>
    </xf>
    <xf numFmtId="0" fontId="10" fillId="4" borderId="48" applyNumberFormat="0" applyProtection="0">
      <alignment horizontal="left" vertical="top" indent="1"/>
    </xf>
    <xf numFmtId="0" fontId="21" fillId="25" borderId="55" applyNumberFormat="0" applyProtection="0">
      <alignment horizontal="left" vertical="center" indent="1"/>
    </xf>
    <xf numFmtId="0" fontId="11" fillId="8" borderId="48" applyNumberFormat="0" applyProtection="0">
      <alignment vertical="center"/>
    </xf>
    <xf numFmtId="0" fontId="11" fillId="26" borderId="55" applyNumberFormat="0" applyProtection="0">
      <alignment horizontal="right" vertical="center"/>
    </xf>
    <xf numFmtId="0" fontId="21" fillId="35" borderId="51" applyNumberFormat="0" applyProtection="0">
      <alignment horizontal="left" vertical="center" indent="1"/>
    </xf>
    <xf numFmtId="0" fontId="11" fillId="36" borderId="43" applyNumberFormat="0" applyProtection="0">
      <alignment horizontal="right" vertical="center"/>
    </xf>
    <xf numFmtId="0" fontId="11" fillId="8" borderId="55" applyNumberFormat="0" applyProtection="0">
      <alignment horizontal="left" vertical="top" indent="1"/>
    </xf>
    <xf numFmtId="0" fontId="21" fillId="35" borderId="39" applyNumberFormat="0" applyProtection="0">
      <alignment horizontal="left" vertical="center" indent="1"/>
    </xf>
    <xf numFmtId="0" fontId="21" fillId="25" borderId="55" applyNumberFormat="0" applyProtection="0">
      <alignment horizontal="left" vertical="center" indent="1"/>
    </xf>
    <xf numFmtId="0" fontId="62" fillId="8" borderId="55" applyNumberFormat="0" applyProtection="0">
      <alignment vertical="center"/>
    </xf>
    <xf numFmtId="0" fontId="10" fillId="36" borderId="48" applyNumberFormat="0" applyProtection="0">
      <alignment horizontal="left" vertical="top" indent="1"/>
    </xf>
    <xf numFmtId="0" fontId="11" fillId="30" borderId="48" applyNumberFormat="0" applyProtection="0">
      <alignment horizontal="right" vertical="center"/>
    </xf>
    <xf numFmtId="0" fontId="10" fillId="4" borderId="55" applyNumberFormat="0" applyProtection="0">
      <alignment horizontal="left" vertical="center" indent="1"/>
    </xf>
    <xf numFmtId="0" fontId="11" fillId="26" borderId="55" applyNumberFormat="0" applyProtection="0">
      <alignment horizontal="left" vertical="top" indent="1"/>
    </xf>
    <xf numFmtId="0" fontId="93" fillId="0" borderId="52" applyAlignment="0"/>
    <xf numFmtId="0" fontId="11" fillId="26" borderId="43" applyNumberFormat="0" applyProtection="0">
      <alignment horizontal="right" vertical="center"/>
    </xf>
    <xf numFmtId="0" fontId="62" fillId="8" borderId="55" applyNumberFormat="0" applyProtection="0">
      <alignment vertical="center"/>
    </xf>
    <xf numFmtId="0" fontId="11" fillId="27" borderId="55" applyNumberFormat="0" applyProtection="0">
      <alignment horizontal="right" vertical="center"/>
    </xf>
    <xf numFmtId="0" fontId="10" fillId="36" borderId="55" applyNumberFormat="0" applyProtection="0">
      <alignment horizontal="left" vertical="center" indent="1"/>
    </xf>
    <xf numFmtId="0" fontId="20" fillId="36" borderId="48" applyNumberFormat="0" applyProtection="0">
      <alignment horizontal="right" vertical="center"/>
    </xf>
    <xf numFmtId="0" fontId="62" fillId="8" borderId="43" applyNumberFormat="0" applyProtection="0">
      <alignment vertical="center"/>
    </xf>
    <xf numFmtId="0" fontId="11" fillId="26" borderId="43" applyNumberFormat="0" applyProtection="0">
      <alignment horizontal="right" vertical="center"/>
    </xf>
    <xf numFmtId="0" fontId="10" fillId="26" borderId="43" applyNumberFormat="0" applyProtection="0">
      <alignment horizontal="left" vertical="center" indent="1"/>
    </xf>
    <xf numFmtId="0" fontId="10" fillId="6" borderId="43" applyNumberFormat="0" applyProtection="0">
      <alignment horizontal="left" vertical="top" indent="1"/>
    </xf>
    <xf numFmtId="0" fontId="10" fillId="4" borderId="43" applyNumberFormat="0" applyProtection="0">
      <alignment horizontal="left" vertical="center" indent="1"/>
    </xf>
    <xf numFmtId="0" fontId="11" fillId="26" borderId="43" applyNumberFormat="0" applyProtection="0">
      <alignment horizontal="left" vertical="center" indent="1"/>
    </xf>
    <xf numFmtId="0" fontId="11" fillId="30" borderId="43" applyNumberFormat="0" applyProtection="0">
      <alignment horizontal="right" vertical="center"/>
    </xf>
    <xf numFmtId="0" fontId="11" fillId="33" borderId="43" applyNumberFormat="0" applyProtection="0">
      <alignment horizontal="right" vertical="center"/>
    </xf>
    <xf numFmtId="0" fontId="11" fillId="27" borderId="43" applyNumberFormat="0" applyProtection="0">
      <alignment horizontal="right" vertical="center"/>
    </xf>
    <xf numFmtId="0" fontId="11" fillId="8" borderId="55" applyNumberFormat="0" applyProtection="0">
      <alignment vertical="center"/>
    </xf>
    <xf numFmtId="0" fontId="11" fillId="36" borderId="43" applyNumberFormat="0" applyProtection="0">
      <alignment horizontal="right" vertical="center"/>
    </xf>
    <xf numFmtId="0" fontId="10" fillId="36" borderId="55" applyNumberFormat="0" applyProtection="0">
      <alignment horizontal="left" vertical="top" indent="1"/>
    </xf>
    <xf numFmtId="0" fontId="21" fillId="25" borderId="48" applyNumberFormat="0" applyProtection="0">
      <alignment vertical="center"/>
    </xf>
    <xf numFmtId="0" fontId="42" fillId="8" borderId="52" applyNumberFormat="0" applyBorder="0" applyAlignment="0" applyProtection="0"/>
    <xf numFmtId="0" fontId="10" fillId="4" borderId="48" applyNumberFormat="0" applyProtection="0">
      <alignment horizontal="left" vertical="center" indent="1"/>
    </xf>
    <xf numFmtId="0" fontId="11" fillId="8" borderId="48" applyNumberFormat="0" applyProtection="0">
      <alignment horizontal="left" vertical="top" indent="1"/>
    </xf>
    <xf numFmtId="0" fontId="47" fillId="0" borderId="42">
      <alignment horizontal="left" vertical="center"/>
    </xf>
    <xf numFmtId="0" fontId="11" fillId="27" borderId="55" applyNumberFormat="0" applyProtection="0">
      <alignment horizontal="right" vertical="center"/>
    </xf>
    <xf numFmtId="0" fontId="99" fillId="0" borderId="45" applyAlignment="0"/>
    <xf numFmtId="0" fontId="11" fillId="15" borderId="48" applyNumberFormat="0" applyProtection="0">
      <alignment horizontal="right" vertical="center"/>
    </xf>
    <xf numFmtId="0" fontId="21" fillId="25" borderId="55" applyNumberFormat="0" applyProtection="0">
      <alignment horizontal="left" vertical="top" indent="1"/>
    </xf>
    <xf numFmtId="0" fontId="20" fillId="36" borderId="55" applyNumberFormat="0" applyProtection="0">
      <alignment horizontal="right" vertical="center"/>
    </xf>
    <xf numFmtId="0" fontId="11" fillId="8" borderId="48" applyNumberFormat="0" applyProtection="0">
      <alignment horizontal="left" vertical="top" indent="1"/>
    </xf>
    <xf numFmtId="0" fontId="11" fillId="8" borderId="55" applyNumberFormat="0" applyProtection="0">
      <alignment vertical="center"/>
    </xf>
    <xf numFmtId="0" fontId="11" fillId="30" borderId="53" applyNumberFormat="0" applyProtection="0">
      <alignment horizontal="right" vertical="center"/>
    </xf>
    <xf numFmtId="0" fontId="10" fillId="26" borderId="48" applyNumberFormat="0" applyProtection="0">
      <alignment horizontal="left" vertical="center" indent="1"/>
    </xf>
    <xf numFmtId="0" fontId="11" fillId="31" borderId="43" applyNumberFormat="0" applyProtection="0">
      <alignment horizontal="right" vertical="center"/>
    </xf>
    <xf numFmtId="0" fontId="11" fillId="29" borderId="43" applyNumberFormat="0" applyProtection="0">
      <alignment horizontal="right" vertical="center"/>
    </xf>
    <xf numFmtId="0" fontId="21" fillId="25" borderId="43" applyNumberFormat="0" applyProtection="0">
      <alignment horizontal="left" vertical="center" indent="1"/>
    </xf>
    <xf numFmtId="0" fontId="21" fillId="25" borderId="55" applyNumberFormat="0" applyProtection="0">
      <alignment horizontal="left" vertical="top" indent="1"/>
    </xf>
    <xf numFmtId="0" fontId="21" fillId="25" borderId="55" applyNumberFormat="0" applyProtection="0">
      <alignment horizontal="left" vertical="top" indent="1"/>
    </xf>
    <xf numFmtId="0" fontId="60" fillId="25" borderId="55" applyNumberFormat="0" applyProtection="0">
      <alignment vertical="center"/>
    </xf>
    <xf numFmtId="0" fontId="11" fillId="34" borderId="55" applyNumberFormat="0" applyProtection="0">
      <alignment horizontal="right" vertical="center"/>
    </xf>
    <xf numFmtId="0" fontId="42" fillId="8" borderId="45" applyNumberFormat="0" applyBorder="0" applyAlignment="0" applyProtection="0"/>
    <xf numFmtId="0" fontId="11" fillId="15" borderId="48" applyNumberFormat="0" applyProtection="0">
      <alignment horizontal="right" vertical="center"/>
    </xf>
    <xf numFmtId="0" fontId="21" fillId="35" borderId="39" applyNumberFormat="0" applyProtection="0">
      <alignment horizontal="left" vertical="center" indent="1"/>
    </xf>
    <xf numFmtId="0" fontId="21" fillId="35" borderId="39" applyNumberFormat="0" applyProtection="0">
      <alignment horizontal="left" vertical="center" indent="1"/>
    </xf>
    <xf numFmtId="0" fontId="11" fillId="8" borderId="57" applyNumberFormat="0" applyProtection="0">
      <alignment horizontal="left" vertical="top" indent="1"/>
    </xf>
    <xf numFmtId="0" fontId="21" fillId="35" borderId="39" applyNumberFormat="0" applyProtection="0">
      <alignment horizontal="left" vertical="center" indent="1"/>
    </xf>
    <xf numFmtId="0" fontId="21" fillId="35" borderId="39" applyNumberFormat="0" applyProtection="0">
      <alignment horizontal="left" vertical="center" indent="1"/>
    </xf>
    <xf numFmtId="0" fontId="21" fillId="35" borderId="39" applyNumberFormat="0" applyProtection="0">
      <alignment horizontal="left" vertical="center" indent="1"/>
    </xf>
    <xf numFmtId="0" fontId="21" fillId="35" borderId="39" applyNumberFormat="0" applyProtection="0">
      <alignment horizontal="left" vertical="center" indent="1"/>
    </xf>
    <xf numFmtId="0" fontId="47" fillId="0" borderId="41" applyNumberFormat="0" applyProtection="0"/>
    <xf numFmtId="0" fontId="21" fillId="35" borderId="39" applyNumberFormat="0" applyProtection="0">
      <alignment horizontal="left" vertical="center" indent="1"/>
    </xf>
    <xf numFmtId="0" fontId="21" fillId="35" borderId="39" applyNumberFormat="0" applyProtection="0">
      <alignment horizontal="left" vertical="center" indent="1"/>
    </xf>
    <xf numFmtId="0" fontId="21" fillId="35" borderId="39" applyNumberFormat="0" applyProtection="0">
      <alignment horizontal="left" vertical="center" indent="1"/>
    </xf>
    <xf numFmtId="0" fontId="21" fillId="35" borderId="39" applyNumberFormat="0" applyProtection="0">
      <alignment horizontal="left" vertical="center" indent="1"/>
    </xf>
    <xf numFmtId="0" fontId="47" fillId="0" borderId="41" applyNumberFormat="0" applyProtection="0"/>
    <xf numFmtId="0" fontId="21" fillId="35" borderId="39" applyNumberFormat="0" applyProtection="0">
      <alignment horizontal="left" vertical="center" indent="1"/>
    </xf>
    <xf numFmtId="0" fontId="21" fillId="35" borderId="39" applyNumberFormat="0" applyProtection="0">
      <alignment horizontal="left" vertical="center" indent="1"/>
    </xf>
    <xf numFmtId="0" fontId="21" fillId="35" borderId="49" applyNumberFormat="0" applyProtection="0">
      <alignment horizontal="left" vertical="center" indent="1"/>
    </xf>
    <xf numFmtId="0" fontId="20" fillId="36" borderId="53" applyNumberFormat="0" applyProtection="0">
      <alignment horizontal="right" vertical="center"/>
    </xf>
    <xf numFmtId="0" fontId="62" fillId="8" borderId="55" applyNumberFormat="0" applyProtection="0">
      <alignment vertical="center"/>
    </xf>
    <xf numFmtId="0" fontId="11" fillId="28" borderId="55" applyNumberFormat="0" applyProtection="0">
      <alignment horizontal="right" vertical="center"/>
    </xf>
    <xf numFmtId="0" fontId="11" fillId="33" borderId="48" applyNumberFormat="0" applyProtection="0">
      <alignment horizontal="right" vertical="center"/>
    </xf>
    <xf numFmtId="0" fontId="11" fillId="36" borderId="48" applyNumberFormat="0" applyProtection="0">
      <alignment horizontal="right" vertical="center"/>
    </xf>
    <xf numFmtId="0" fontId="62" fillId="36" borderId="55" applyNumberFormat="0" applyProtection="0">
      <alignment horizontal="right" vertical="center"/>
    </xf>
    <xf numFmtId="0" fontId="11" fillId="34" borderId="55" applyNumberFormat="0" applyProtection="0">
      <alignment horizontal="right" vertical="center"/>
    </xf>
    <xf numFmtId="0" fontId="11" fillId="33" borderId="48" applyNumberFormat="0" applyProtection="0">
      <alignment horizontal="right" vertical="center"/>
    </xf>
    <xf numFmtId="0" fontId="10" fillId="36" borderId="55" applyNumberFormat="0" applyProtection="0">
      <alignment horizontal="left" vertical="top" indent="1"/>
    </xf>
    <xf numFmtId="0" fontId="42" fillId="20" borderId="56"/>
    <xf numFmtId="0" fontId="11" fillId="34" borderId="48" applyNumberFormat="0" applyProtection="0">
      <alignment horizontal="right" vertical="center"/>
    </xf>
    <xf numFmtId="0" fontId="11" fillId="32" borderId="55" applyNumberFormat="0" applyProtection="0">
      <alignment horizontal="right" vertical="center"/>
    </xf>
    <xf numFmtId="0" fontId="11" fillId="30" borderId="55" applyNumberFormat="0" applyProtection="0">
      <alignment horizontal="right" vertical="center"/>
    </xf>
    <xf numFmtId="0" fontId="11" fillId="26" borderId="55" applyNumberFormat="0" applyProtection="0">
      <alignment horizontal="left" vertical="center" indent="1"/>
    </xf>
    <xf numFmtId="4" fontId="99" fillId="0" borderId="40">
      <alignment horizontal="right"/>
    </xf>
    <xf numFmtId="4" fontId="99" fillId="0" borderId="40">
      <alignment horizontal="right"/>
    </xf>
    <xf numFmtId="0" fontId="11" fillId="8" borderId="48" applyNumberFormat="0" applyProtection="0">
      <alignment vertical="center"/>
    </xf>
    <xf numFmtId="10" fontId="93" fillId="0" borderId="45" applyAlignment="0"/>
    <xf numFmtId="0" fontId="10" fillId="26" borderId="55" applyNumberFormat="0" applyProtection="0">
      <alignment horizontal="left" vertical="center" indent="1"/>
    </xf>
    <xf numFmtId="4" fontId="99" fillId="0" borderId="45">
      <alignment horizontal="right"/>
    </xf>
    <xf numFmtId="0" fontId="21" fillId="35" borderId="49" applyNumberFormat="0" applyProtection="0">
      <alignment horizontal="left" vertical="center" indent="1"/>
    </xf>
    <xf numFmtId="0" fontId="62" fillId="36" borderId="48" applyNumberFormat="0" applyProtection="0">
      <alignment horizontal="right" vertical="center"/>
    </xf>
    <xf numFmtId="0" fontId="93" fillId="0" borderId="52" applyAlignment="0"/>
    <xf numFmtId="0" fontId="10" fillId="6" borderId="48" applyNumberFormat="0" applyProtection="0">
      <alignment horizontal="left" vertical="top" indent="1"/>
    </xf>
    <xf numFmtId="0" fontId="10" fillId="26" borderId="48" applyNumberFormat="0" applyProtection="0">
      <alignment horizontal="left" vertical="center" indent="1"/>
    </xf>
    <xf numFmtId="0" fontId="93" fillId="0" borderId="56" applyAlignment="0"/>
    <xf numFmtId="0" fontId="10" fillId="6" borderId="55" applyNumberFormat="0" applyProtection="0">
      <alignment horizontal="left" vertical="center" indent="1"/>
    </xf>
    <xf numFmtId="0" fontId="11" fillId="26" borderId="55" applyNumberFormat="0" applyProtection="0">
      <alignment horizontal="left" vertical="top" indent="1"/>
    </xf>
    <xf numFmtId="0" fontId="21" fillId="25" borderId="55" applyNumberFormat="0" applyProtection="0">
      <alignment horizontal="left" vertical="top" indent="1"/>
    </xf>
    <xf numFmtId="0" fontId="11" fillId="36" borderId="57" applyNumberFormat="0" applyProtection="0">
      <alignment horizontal="right" vertical="center"/>
    </xf>
    <xf numFmtId="0" fontId="11" fillId="28" borderId="55" applyNumberFormat="0" applyProtection="0">
      <alignment horizontal="right" vertical="center"/>
    </xf>
    <xf numFmtId="0" fontId="20" fillId="36" borderId="55" applyNumberFormat="0" applyProtection="0">
      <alignment horizontal="right" vertical="center"/>
    </xf>
    <xf numFmtId="0" fontId="62" fillId="36" borderId="48" applyNumberFormat="0" applyProtection="0">
      <alignment horizontal="right" vertical="center"/>
    </xf>
    <xf numFmtId="0" fontId="11" fillId="34" borderId="48" applyNumberFormat="0" applyProtection="0">
      <alignment horizontal="right" vertical="center"/>
    </xf>
    <xf numFmtId="0" fontId="99" fillId="0" borderId="40" applyAlignment="0"/>
    <xf numFmtId="0" fontId="99" fillId="0" borderId="40" applyAlignment="0"/>
    <xf numFmtId="0" fontId="99" fillId="0" borderId="40" applyAlignment="0"/>
    <xf numFmtId="0" fontId="99" fillId="0" borderId="40" applyAlignment="0"/>
    <xf numFmtId="0" fontId="10" fillId="4" borderId="48" applyNumberFormat="0" applyProtection="0">
      <alignment horizontal="left" vertical="center" indent="1"/>
    </xf>
    <xf numFmtId="0" fontId="11" fillId="32" borderId="48" applyNumberFormat="0" applyProtection="0">
      <alignment horizontal="right" vertical="center"/>
    </xf>
    <xf numFmtId="0" fontId="62" fillId="8" borderId="55" applyNumberFormat="0" applyProtection="0">
      <alignment vertical="center"/>
    </xf>
    <xf numFmtId="0" fontId="11" fillId="30" borderId="55" applyNumberFormat="0" applyProtection="0">
      <alignment horizontal="right" vertical="center"/>
    </xf>
    <xf numFmtId="0" fontId="60" fillId="25" borderId="55" applyNumberFormat="0" applyProtection="0">
      <alignment vertical="center"/>
    </xf>
    <xf numFmtId="0" fontId="62" fillId="36" borderId="55" applyNumberFormat="0" applyProtection="0">
      <alignment horizontal="right" vertical="center"/>
    </xf>
    <xf numFmtId="0" fontId="10" fillId="36" borderId="55" applyNumberFormat="0" applyProtection="0">
      <alignment horizontal="left" vertical="center" indent="1"/>
    </xf>
    <xf numFmtId="0" fontId="11" fillId="8" borderId="55" applyNumberFormat="0" applyProtection="0">
      <alignment vertical="center"/>
    </xf>
    <xf numFmtId="0" fontId="11" fillId="28" borderId="55" applyNumberFormat="0" applyProtection="0">
      <alignment horizontal="right" vertical="center"/>
    </xf>
    <xf numFmtId="0" fontId="11" fillId="27" borderId="55" applyNumberFormat="0" applyProtection="0">
      <alignment horizontal="right" vertical="center"/>
    </xf>
    <xf numFmtId="0" fontId="11" fillId="26" borderId="48" applyNumberFormat="0" applyProtection="0">
      <alignment horizontal="left" vertical="top" indent="1"/>
    </xf>
    <xf numFmtId="0" fontId="11" fillId="28" borderId="48" applyNumberFormat="0" applyProtection="0">
      <alignment horizontal="right" vertical="center"/>
    </xf>
    <xf numFmtId="0" fontId="10" fillId="4" borderId="48" applyNumberFormat="0" applyProtection="0">
      <alignment horizontal="left" vertical="top" indent="1"/>
    </xf>
    <xf numFmtId="0" fontId="11" fillId="8" borderId="48" applyNumberFormat="0" applyProtection="0">
      <alignment horizontal="left" vertical="center" indent="1"/>
    </xf>
    <xf numFmtId="0" fontId="11" fillId="27" borderId="48" applyNumberFormat="0" applyProtection="0">
      <alignment horizontal="right" vertical="center"/>
    </xf>
    <xf numFmtId="0" fontId="21" fillId="25" borderId="48" applyNumberFormat="0" applyProtection="0">
      <alignment horizontal="left" vertical="center" indent="1"/>
    </xf>
    <xf numFmtId="0" fontId="60" fillId="25" borderId="48" applyNumberFormat="0" applyProtection="0">
      <alignment vertical="center"/>
    </xf>
    <xf numFmtId="0" fontId="21" fillId="25" borderId="48" applyNumberFormat="0" applyProtection="0">
      <alignment horizontal="left" vertical="top" indent="1"/>
    </xf>
    <xf numFmtId="0" fontId="11" fillId="26" borderId="55" applyNumberFormat="0" applyProtection="0">
      <alignment horizontal="right" vertical="center"/>
    </xf>
    <xf numFmtId="0" fontId="21" fillId="25" borderId="48" applyNumberFormat="0" applyProtection="0">
      <alignment horizontal="left" vertical="center" indent="1"/>
    </xf>
    <xf numFmtId="0" fontId="21" fillId="25" borderId="55" applyNumberFormat="0" applyProtection="0">
      <alignment vertical="center"/>
    </xf>
    <xf numFmtId="0" fontId="11" fillId="34" borderId="48" applyNumberFormat="0" applyProtection="0">
      <alignment horizontal="right" vertical="center"/>
    </xf>
    <xf numFmtId="0" fontId="10" fillId="4" borderId="48" applyNumberFormat="0" applyProtection="0">
      <alignment horizontal="left" vertical="center" indent="1"/>
    </xf>
    <xf numFmtId="0" fontId="10" fillId="26" borderId="55" applyNumberFormat="0" applyProtection="0">
      <alignment horizontal="left" vertical="top" indent="1"/>
    </xf>
    <xf numFmtId="0" fontId="21" fillId="25" borderId="48" applyNumberFormat="0" applyProtection="0">
      <alignment horizontal="left" vertical="center" indent="1"/>
    </xf>
    <xf numFmtId="0" fontId="21" fillId="25" borderId="48" applyNumberFormat="0" applyProtection="0">
      <alignment vertical="center"/>
    </xf>
    <xf numFmtId="0" fontId="11" fillId="26" borderId="55" applyNumberFormat="0" applyProtection="0">
      <alignment horizontal="left" vertical="top" indent="1"/>
    </xf>
    <xf numFmtId="0" fontId="21" fillId="35" borderId="44" applyNumberFormat="0" applyProtection="0">
      <alignment horizontal="left" vertical="center" indent="1"/>
    </xf>
    <xf numFmtId="0" fontId="11" fillId="15" borderId="55" applyNumberFormat="0" applyProtection="0">
      <alignment horizontal="right" vertical="center"/>
    </xf>
    <xf numFmtId="0" fontId="10" fillId="36" borderId="55" applyNumberFormat="0" applyProtection="0">
      <alignment horizontal="left" vertical="top" indent="1"/>
    </xf>
    <xf numFmtId="0" fontId="21" fillId="25" borderId="55" applyNumberFormat="0" applyProtection="0">
      <alignment vertical="center"/>
    </xf>
    <xf numFmtId="0" fontId="21" fillId="25" borderId="55" applyNumberFormat="0" applyProtection="0">
      <alignment vertical="center"/>
    </xf>
    <xf numFmtId="0" fontId="11" fillId="31" borderId="55" applyNumberFormat="0" applyProtection="0">
      <alignment horizontal="right" vertical="center"/>
    </xf>
    <xf numFmtId="0" fontId="21" fillId="25" borderId="55" applyNumberFormat="0" applyProtection="0">
      <alignment horizontal="left" vertical="top" indent="1"/>
    </xf>
    <xf numFmtId="0" fontId="21" fillId="35" borderId="49" applyNumberFormat="0" applyProtection="0">
      <alignment horizontal="left" vertical="center" indent="1"/>
    </xf>
    <xf numFmtId="0" fontId="11" fillId="36" borderId="55" applyNumberFormat="0" applyProtection="0">
      <alignment horizontal="right" vertical="center"/>
    </xf>
    <xf numFmtId="0" fontId="42" fillId="8" borderId="56" applyNumberFormat="0" applyBorder="0" applyAlignment="0" applyProtection="0"/>
    <xf numFmtId="0" fontId="62" fillId="36" borderId="55" applyNumberFormat="0" applyProtection="0">
      <alignment horizontal="right" vertical="center"/>
    </xf>
    <xf numFmtId="0" fontId="11" fillId="31" borderId="48" applyNumberFormat="0" applyProtection="0">
      <alignment horizontal="right" vertical="center"/>
    </xf>
    <xf numFmtId="0" fontId="21" fillId="25" borderId="48" applyNumberFormat="0" applyProtection="0">
      <alignment horizontal="left" vertical="top" indent="1"/>
    </xf>
    <xf numFmtId="0" fontId="10" fillId="26" borderId="55" applyNumberFormat="0" applyProtection="0">
      <alignment horizontal="left" vertical="top" indent="1"/>
    </xf>
    <xf numFmtId="0" fontId="10" fillId="26" borderId="48" applyNumberFormat="0" applyProtection="0">
      <alignment horizontal="left" vertical="center" indent="1"/>
    </xf>
    <xf numFmtId="0" fontId="42" fillId="20" borderId="45"/>
    <xf numFmtId="0" fontId="11" fillId="30" borderId="55" applyNumberFormat="0" applyProtection="0">
      <alignment horizontal="right" vertical="center"/>
    </xf>
    <xf numFmtId="0" fontId="11" fillId="8" borderId="55" applyNumberFormat="0" applyProtection="0">
      <alignment horizontal="left" vertical="top" indent="1"/>
    </xf>
    <xf numFmtId="0" fontId="10" fillId="4" borderId="55" applyNumberFormat="0" applyProtection="0">
      <alignment horizontal="left" vertical="center" indent="1"/>
    </xf>
    <xf numFmtId="0" fontId="10" fillId="6" borderId="55" applyNumberFormat="0" applyProtection="0">
      <alignment horizontal="left" vertical="center" indent="1"/>
    </xf>
    <xf numFmtId="0" fontId="10" fillId="6" borderId="55" applyNumberFormat="0" applyProtection="0">
      <alignment horizontal="left" vertical="top" indent="1"/>
    </xf>
    <xf numFmtId="0" fontId="11" fillId="28" borderId="48" applyNumberFormat="0" applyProtection="0">
      <alignment horizontal="right" vertical="center"/>
    </xf>
    <xf numFmtId="0" fontId="11" fillId="26" borderId="48" applyNumberFormat="0" applyProtection="0">
      <alignment horizontal="left" vertical="center" indent="1"/>
    </xf>
    <xf numFmtId="0" fontId="42" fillId="20" borderId="40"/>
    <xf numFmtId="0" fontId="47" fillId="0" borderId="46" applyNumberFormat="0" applyProtection="0"/>
    <xf numFmtId="0" fontId="42" fillId="8" borderId="40" applyNumberFormat="0" applyBorder="0" applyAlignment="0" applyProtection="0"/>
    <xf numFmtId="0" fontId="11" fillId="29" borderId="48" applyNumberFormat="0" applyProtection="0">
      <alignment horizontal="right" vertical="center"/>
    </xf>
    <xf numFmtId="0" fontId="21" fillId="35" borderId="51" applyNumberFormat="0" applyProtection="0">
      <alignment horizontal="left" vertical="center" indent="1"/>
    </xf>
    <xf numFmtId="0" fontId="11" fillId="29" borderId="55" applyNumberFormat="0" applyProtection="0">
      <alignment horizontal="right" vertical="center"/>
    </xf>
    <xf numFmtId="0" fontId="21" fillId="25" borderId="55" applyNumberFormat="0" applyProtection="0">
      <alignment horizontal="left" vertical="top" indent="1"/>
    </xf>
    <xf numFmtId="0" fontId="42" fillId="9" borderId="40"/>
    <xf numFmtId="0" fontId="21" fillId="35" borderId="44" applyNumberFormat="0" applyProtection="0">
      <alignment horizontal="left" vertical="center" indent="1"/>
    </xf>
    <xf numFmtId="0" fontId="21" fillId="35" borderId="44" applyNumberFormat="0" applyProtection="0">
      <alignment horizontal="left" vertical="center" indent="1"/>
    </xf>
    <xf numFmtId="0" fontId="10" fillId="4" borderId="55" applyNumberFormat="0" applyProtection="0">
      <alignment horizontal="left" vertical="center" indent="1"/>
    </xf>
    <xf numFmtId="0" fontId="11" fillId="36" borderId="48" applyNumberFormat="0" applyProtection="0">
      <alignment horizontal="right" vertical="center"/>
    </xf>
    <xf numFmtId="0" fontId="11" fillId="29" borderId="53" applyNumberFormat="0" applyProtection="0">
      <alignment horizontal="right" vertical="center"/>
    </xf>
    <xf numFmtId="0" fontId="11" fillId="30" borderId="55" applyNumberFormat="0" applyProtection="0">
      <alignment horizontal="right" vertical="center"/>
    </xf>
    <xf numFmtId="0" fontId="21" fillId="25" borderId="55" applyNumberFormat="0" applyProtection="0">
      <alignment vertical="center"/>
    </xf>
    <xf numFmtId="0" fontId="10" fillId="36" borderId="48" applyNumberFormat="0" applyProtection="0">
      <alignment horizontal="left" vertical="top" indent="1"/>
    </xf>
    <xf numFmtId="0" fontId="10" fillId="0" borderId="40" applyNumberFormat="0"/>
    <xf numFmtId="0" fontId="11" fillId="29" borderId="55" applyNumberFormat="0" applyProtection="0">
      <alignment horizontal="right" vertical="center"/>
    </xf>
    <xf numFmtId="0" fontId="10" fillId="26" borderId="55" applyNumberFormat="0" applyProtection="0">
      <alignment horizontal="left" vertical="top" indent="1"/>
    </xf>
    <xf numFmtId="0" fontId="11" fillId="32" borderId="55" applyNumberFormat="0" applyProtection="0">
      <alignment horizontal="right" vertical="center"/>
    </xf>
    <xf numFmtId="0" fontId="21" fillId="35" borderId="44" applyNumberFormat="0" applyProtection="0">
      <alignment horizontal="left" vertical="center" indent="1"/>
    </xf>
    <xf numFmtId="0" fontId="47" fillId="0" borderId="46" applyNumberFormat="0" applyProtection="0"/>
    <xf numFmtId="0" fontId="21" fillId="35" borderId="44" applyNumberFormat="0" applyProtection="0">
      <alignment horizontal="left" vertical="center" indent="1"/>
    </xf>
    <xf numFmtId="0" fontId="62" fillId="36" borderId="55" applyNumberFormat="0" applyProtection="0">
      <alignment horizontal="right" vertical="center"/>
    </xf>
    <xf numFmtId="0" fontId="10" fillId="6" borderId="48" applyNumberFormat="0" applyProtection="0">
      <alignment horizontal="left" vertical="center" indent="1"/>
    </xf>
    <xf numFmtId="0" fontId="11" fillId="8" borderId="48" applyNumberFormat="0" applyProtection="0">
      <alignment vertical="center"/>
    </xf>
    <xf numFmtId="0" fontId="62" fillId="36" borderId="48" applyNumberFormat="0" applyProtection="0">
      <alignment horizontal="right" vertical="center"/>
    </xf>
    <xf numFmtId="0" fontId="10" fillId="4" borderId="55" applyNumberFormat="0" applyProtection="0">
      <alignment horizontal="left" vertical="center" indent="1"/>
    </xf>
    <xf numFmtId="0" fontId="10" fillId="26" borderId="55" applyNumberFormat="0" applyProtection="0">
      <alignment horizontal="left" vertical="center" indent="1"/>
    </xf>
    <xf numFmtId="4" fontId="93" fillId="0" borderId="40">
      <alignment horizontal="right"/>
    </xf>
    <xf numFmtId="4" fontId="93" fillId="0" borderId="40">
      <alignment horizontal="right"/>
    </xf>
    <xf numFmtId="4" fontId="7" fillId="0" borderId="40">
      <alignment horizontal="right" vertical="center"/>
    </xf>
    <xf numFmtId="4" fontId="7" fillId="0" borderId="40">
      <alignment horizontal="right" vertical="center"/>
    </xf>
    <xf numFmtId="4" fontId="93" fillId="0" borderId="40">
      <alignment horizontal="right"/>
    </xf>
    <xf numFmtId="4" fontId="93" fillId="0" borderId="40">
      <alignment horizontal="right"/>
    </xf>
    <xf numFmtId="10" fontId="93" fillId="0" borderId="40" applyAlignment="0"/>
    <xf numFmtId="0" fontId="7" fillId="0" borderId="40">
      <alignment horizontal="right" vertical="center"/>
    </xf>
    <xf numFmtId="0" fontId="7" fillId="0" borderId="40">
      <alignment horizontal="right" vertical="center"/>
    </xf>
    <xf numFmtId="10" fontId="93" fillId="0" borderId="40" applyAlignment="0"/>
    <xf numFmtId="0" fontId="11" fillId="28" borderId="55" applyNumberFormat="0" applyProtection="0">
      <alignment horizontal="right" vertical="center"/>
    </xf>
    <xf numFmtId="0" fontId="10" fillId="6" borderId="55" applyNumberFormat="0" applyProtection="0">
      <alignment horizontal="left" vertical="center" indent="1"/>
    </xf>
    <xf numFmtId="0" fontId="21" fillId="25" borderId="55" applyNumberFormat="0" applyProtection="0">
      <alignment vertical="center"/>
    </xf>
    <xf numFmtId="0" fontId="11" fillId="29" borderId="55" applyNumberFormat="0" applyProtection="0">
      <alignment horizontal="right" vertical="center"/>
    </xf>
    <xf numFmtId="4" fontId="93" fillId="0" borderId="56">
      <alignment horizontal="right"/>
    </xf>
    <xf numFmtId="0" fontId="11" fillId="32" borderId="55" applyNumberFormat="0" applyProtection="0">
      <alignment horizontal="right" vertical="center"/>
    </xf>
    <xf numFmtId="0" fontId="11" fillId="27" borderId="55" applyNumberFormat="0" applyProtection="0">
      <alignment horizontal="right" vertical="center"/>
    </xf>
    <xf numFmtId="0" fontId="10" fillId="4" borderId="55" applyNumberFormat="0" applyProtection="0">
      <alignment horizontal="left" vertical="top" indent="1"/>
    </xf>
    <xf numFmtId="0" fontId="11" fillId="29" borderId="55" applyNumberFormat="0" applyProtection="0">
      <alignment horizontal="right" vertical="center"/>
    </xf>
    <xf numFmtId="0" fontId="21" fillId="25" borderId="55" applyNumberFormat="0" applyProtection="0">
      <alignment horizontal="left" vertical="top" indent="1"/>
    </xf>
    <xf numFmtId="0" fontId="7" fillId="0" borderId="45">
      <alignment horizontal="right" vertical="center"/>
    </xf>
    <xf numFmtId="4" fontId="7" fillId="0" borderId="45">
      <alignment horizontal="right" vertical="center"/>
    </xf>
    <xf numFmtId="0" fontId="11" fillId="32" borderId="55" applyNumberFormat="0" applyProtection="0">
      <alignment horizontal="right" vertical="center"/>
    </xf>
    <xf numFmtId="0" fontId="10" fillId="6" borderId="55" applyNumberFormat="0" applyProtection="0">
      <alignment horizontal="left" vertical="center" indent="1"/>
    </xf>
    <xf numFmtId="0" fontId="42" fillId="9" borderId="45"/>
    <xf numFmtId="0" fontId="42" fillId="8" borderId="45" applyNumberFormat="0" applyBorder="0" applyAlignment="0" applyProtection="0"/>
    <xf numFmtId="0" fontId="11" fillId="27" borderId="55" applyNumberFormat="0" applyProtection="0">
      <alignment horizontal="right" vertical="center"/>
    </xf>
    <xf numFmtId="0" fontId="11" fillId="26" borderId="55" applyNumberFormat="0" applyProtection="0">
      <alignment horizontal="left" vertical="top" indent="1"/>
    </xf>
    <xf numFmtId="0" fontId="21" fillId="25" borderId="55" applyNumberFormat="0" applyProtection="0">
      <alignment horizontal="left" vertical="top" indent="1"/>
    </xf>
    <xf numFmtId="0" fontId="10" fillId="6" borderId="55" applyNumberFormat="0" applyProtection="0">
      <alignment horizontal="left" vertical="center" indent="1"/>
    </xf>
    <xf numFmtId="0" fontId="21" fillId="35" borderId="49" applyNumberFormat="0" applyProtection="0">
      <alignment horizontal="left" vertical="center" indent="1"/>
    </xf>
    <xf numFmtId="0" fontId="99" fillId="0" borderId="56" applyAlignment="0"/>
    <xf numFmtId="0" fontId="62" fillId="36" borderId="55" applyNumberFormat="0" applyProtection="0">
      <alignment horizontal="right" vertical="center"/>
    </xf>
    <xf numFmtId="0" fontId="11" fillId="32" borderId="55" applyNumberFormat="0" applyProtection="0">
      <alignment horizontal="right" vertical="center"/>
    </xf>
    <xf numFmtId="0" fontId="11" fillId="28" borderId="53" applyNumberFormat="0" applyProtection="0">
      <alignment horizontal="right" vertical="center"/>
    </xf>
    <xf numFmtId="0" fontId="21" fillId="25" borderId="55" applyNumberFormat="0" applyProtection="0">
      <alignment horizontal="left" vertical="center" indent="1"/>
    </xf>
    <xf numFmtId="0" fontId="99" fillId="0" borderId="45" applyAlignment="0"/>
    <xf numFmtId="0" fontId="99" fillId="0" borderId="45" applyAlignment="0"/>
    <xf numFmtId="0" fontId="11" fillId="8" borderId="55" applyNumberFormat="0" applyProtection="0">
      <alignment horizontal="left" vertical="center" indent="1"/>
    </xf>
    <xf numFmtId="0" fontId="20" fillId="36" borderId="57" applyNumberFormat="0" applyProtection="0">
      <alignment horizontal="right" vertical="center"/>
    </xf>
    <xf numFmtId="0" fontId="10" fillId="36" borderId="55" applyNumberFormat="0" applyProtection="0">
      <alignment horizontal="left" vertical="top" indent="1"/>
    </xf>
    <xf numFmtId="0" fontId="10" fillId="6" borderId="55" applyNumberFormat="0" applyProtection="0">
      <alignment horizontal="left" vertical="top" indent="1"/>
    </xf>
    <xf numFmtId="4" fontId="93" fillId="0" borderId="52">
      <alignment horizontal="right"/>
    </xf>
    <xf numFmtId="0" fontId="10" fillId="4" borderId="55" applyNumberFormat="0" applyProtection="0">
      <alignment horizontal="left" vertical="center" indent="1"/>
    </xf>
    <xf numFmtId="0" fontId="10" fillId="6" borderId="57" applyNumberFormat="0" applyProtection="0">
      <alignment horizontal="left" vertical="center" indent="1"/>
    </xf>
    <xf numFmtId="0" fontId="20" fillId="36" borderId="48" applyNumberFormat="0" applyProtection="0">
      <alignment horizontal="right" vertical="center"/>
    </xf>
    <xf numFmtId="0" fontId="7" fillId="0" borderId="52">
      <alignment horizontal="right" vertical="center"/>
    </xf>
    <xf numFmtId="0" fontId="99" fillId="0" borderId="52" applyAlignment="0"/>
    <xf numFmtId="0" fontId="10" fillId="26" borderId="48" applyNumberFormat="0" applyProtection="0">
      <alignment horizontal="left" vertical="center" indent="1"/>
    </xf>
    <xf numFmtId="0" fontId="10" fillId="6" borderId="48" applyNumberFormat="0" applyProtection="0">
      <alignment horizontal="left" vertical="center" indent="1"/>
    </xf>
    <xf numFmtId="0" fontId="10" fillId="4" borderId="48" applyNumberFormat="0" applyProtection="0">
      <alignment horizontal="left" vertical="top" indent="1"/>
    </xf>
    <xf numFmtId="0" fontId="11" fillId="26" borderId="48" applyNumberFormat="0" applyProtection="0">
      <alignment horizontal="right" vertical="center"/>
    </xf>
    <xf numFmtId="0" fontId="11" fillId="34" borderId="48" applyNumberFormat="0" applyProtection="0">
      <alignment horizontal="right" vertical="center"/>
    </xf>
    <xf numFmtId="0" fontId="11" fillId="27" borderId="48" applyNumberFormat="0" applyProtection="0">
      <alignment horizontal="right" vertical="center"/>
    </xf>
    <xf numFmtId="0" fontId="11" fillId="8" borderId="48" applyNumberFormat="0" applyProtection="0">
      <alignment horizontal="left" vertical="center" indent="1"/>
    </xf>
    <xf numFmtId="0" fontId="60" fillId="25" borderId="48" applyNumberFormat="0" applyProtection="0">
      <alignment vertical="center"/>
    </xf>
    <xf numFmtId="0" fontId="21" fillId="25" borderId="48" applyNumberFormat="0" applyProtection="0">
      <alignment vertical="center"/>
    </xf>
    <xf numFmtId="0" fontId="11" fillId="8" borderId="55" applyNumberFormat="0" applyProtection="0">
      <alignment horizontal="left" vertical="top" indent="1"/>
    </xf>
    <xf numFmtId="0" fontId="60" fillId="25" borderId="53" applyNumberFormat="0" applyProtection="0">
      <alignment vertical="center"/>
    </xf>
    <xf numFmtId="0" fontId="47" fillId="0" borderId="50" applyNumberFormat="0" applyProtection="0"/>
    <xf numFmtId="0" fontId="11" fillId="15" borderId="48" applyNumberFormat="0" applyProtection="0">
      <alignment horizontal="right" vertical="center"/>
    </xf>
    <xf numFmtId="0" fontId="11" fillId="26" borderId="48" applyNumberFormat="0" applyProtection="0">
      <alignment horizontal="left" vertical="top" indent="1"/>
    </xf>
    <xf numFmtId="0" fontId="62" fillId="8" borderId="55" applyNumberFormat="0" applyProtection="0">
      <alignment vertical="center"/>
    </xf>
    <xf numFmtId="0" fontId="11" fillId="36" borderId="48" applyNumberFormat="0" applyProtection="0">
      <alignment horizontal="right" vertical="center"/>
    </xf>
    <xf numFmtId="0" fontId="21" fillId="35" borderId="49" applyNumberFormat="0" applyProtection="0">
      <alignment horizontal="left" vertical="center" indent="1"/>
    </xf>
    <xf numFmtId="0" fontId="21" fillId="25" borderId="55" applyNumberFormat="0" applyProtection="0">
      <alignment horizontal="left" vertical="top" indent="1"/>
    </xf>
    <xf numFmtId="0" fontId="11" fillId="31" borderId="48" applyNumberFormat="0" applyProtection="0">
      <alignment horizontal="right" vertical="center"/>
    </xf>
    <xf numFmtId="0" fontId="10" fillId="26" borderId="55" applyNumberFormat="0" applyProtection="0">
      <alignment horizontal="left" vertical="center" indent="1"/>
    </xf>
    <xf numFmtId="0" fontId="21" fillId="25" borderId="55" applyNumberFormat="0" applyProtection="0">
      <alignment horizontal="left" vertical="top" indent="1"/>
    </xf>
    <xf numFmtId="0" fontId="11" fillId="8" borderId="48" applyNumberFormat="0" applyProtection="0">
      <alignment horizontal="left" vertical="center" indent="1"/>
    </xf>
    <xf numFmtId="0" fontId="11" fillId="27" borderId="48" applyNumberFormat="0" applyProtection="0">
      <alignment horizontal="right" vertical="center"/>
    </xf>
    <xf numFmtId="0" fontId="11" fillId="26" borderId="53" applyNumberFormat="0" applyProtection="0">
      <alignment horizontal="left" vertical="center" indent="1"/>
    </xf>
    <xf numFmtId="0" fontId="11" fillId="36" borderId="53" applyNumberFormat="0" applyProtection="0">
      <alignment horizontal="right" vertical="center"/>
    </xf>
    <xf numFmtId="0" fontId="60" fillId="25" borderId="57" applyNumberFormat="0" applyProtection="0">
      <alignment vertical="center"/>
    </xf>
    <xf numFmtId="0" fontId="11" fillId="27" borderId="55" applyNumberFormat="0" applyProtection="0">
      <alignment horizontal="right" vertical="center"/>
    </xf>
    <xf numFmtId="0" fontId="11" fillId="8" borderId="55" applyNumberFormat="0" applyProtection="0">
      <alignment horizontal="left" vertical="top" indent="1"/>
    </xf>
    <xf numFmtId="0" fontId="10" fillId="26" borderId="55" applyNumberFormat="0" applyProtection="0">
      <alignment horizontal="left" vertical="center" indent="1"/>
    </xf>
    <xf numFmtId="0" fontId="20" fillId="36" borderId="55" applyNumberFormat="0" applyProtection="0">
      <alignment horizontal="right" vertical="center"/>
    </xf>
    <xf numFmtId="0" fontId="62" fillId="8" borderId="48" applyNumberFormat="0" applyProtection="0">
      <alignment vertical="center"/>
    </xf>
    <xf numFmtId="0" fontId="11" fillId="26" borderId="48" applyNumberFormat="0" applyProtection="0">
      <alignment horizontal="left" vertical="center" indent="1"/>
    </xf>
    <xf numFmtId="0" fontId="62" fillId="36" borderId="48" applyNumberFormat="0" applyProtection="0">
      <alignment horizontal="right" vertical="center"/>
    </xf>
    <xf numFmtId="0" fontId="11" fillId="8" borderId="48" applyNumberFormat="0" applyProtection="0">
      <alignment horizontal="left" vertical="top" indent="1"/>
    </xf>
    <xf numFmtId="0" fontId="10" fillId="36" borderId="48" applyNumberFormat="0" applyProtection="0">
      <alignment horizontal="left" vertical="center" indent="1"/>
    </xf>
    <xf numFmtId="0" fontId="10" fillId="36" borderId="48" applyNumberFormat="0" applyProtection="0">
      <alignment horizontal="left" vertical="top" indent="1"/>
    </xf>
    <xf numFmtId="0" fontId="10" fillId="26" borderId="48" applyNumberFormat="0" applyProtection="0">
      <alignment horizontal="left" vertical="top" indent="1"/>
    </xf>
    <xf numFmtId="0" fontId="10" fillId="6" borderId="48" applyNumberFormat="0" applyProtection="0">
      <alignment horizontal="left" vertical="center" indent="1"/>
    </xf>
    <xf numFmtId="0" fontId="10" fillId="4" borderId="48" applyNumberFormat="0" applyProtection="0">
      <alignment horizontal="left" vertical="top" indent="1"/>
    </xf>
    <xf numFmtId="0" fontId="11" fillId="34" borderId="48" applyNumberFormat="0" applyProtection="0">
      <alignment horizontal="right" vertical="center"/>
    </xf>
    <xf numFmtId="0" fontId="11" fillId="26" borderId="48" applyNumberFormat="0" applyProtection="0">
      <alignment horizontal="right" vertical="center"/>
    </xf>
    <xf numFmtId="0" fontId="21" fillId="25" borderId="48" applyNumberFormat="0" applyProtection="0">
      <alignment horizontal="left" vertical="center" indent="1"/>
    </xf>
    <xf numFmtId="0" fontId="11" fillId="30" borderId="48" applyNumberFormat="0" applyProtection="0">
      <alignment horizontal="right" vertical="center"/>
    </xf>
    <xf numFmtId="0" fontId="11" fillId="15" borderId="48" applyNumberFormat="0" applyProtection="0">
      <alignment horizontal="right" vertical="center"/>
    </xf>
    <xf numFmtId="0" fontId="11" fillId="27" borderId="48" applyNumberFormat="0" applyProtection="0">
      <alignment horizontal="right" vertical="center"/>
    </xf>
    <xf numFmtId="0" fontId="11" fillId="28" borderId="48" applyNumberFormat="0" applyProtection="0">
      <alignment horizontal="right" vertical="center"/>
    </xf>
    <xf numFmtId="0" fontId="21" fillId="25" borderId="48" applyNumberFormat="0" applyProtection="0">
      <alignment horizontal="left" vertical="top" indent="1"/>
    </xf>
    <xf numFmtId="0" fontId="60" fillId="25" borderId="55" applyNumberFormat="0" applyProtection="0">
      <alignment vertical="center"/>
    </xf>
    <xf numFmtId="0" fontId="11" fillId="15" borderId="53" applyNumberFormat="0" applyProtection="0">
      <alignment horizontal="right" vertical="center"/>
    </xf>
    <xf numFmtId="0" fontId="10" fillId="4" borderId="55" applyNumberFormat="0" applyProtection="0">
      <alignment horizontal="left" vertical="top" indent="1"/>
    </xf>
    <xf numFmtId="0" fontId="7" fillId="0" borderId="52">
      <alignment horizontal="right" vertical="center"/>
    </xf>
    <xf numFmtId="0" fontId="62" fillId="8" borderId="53" applyNumberFormat="0" applyProtection="0">
      <alignment vertical="center"/>
    </xf>
    <xf numFmtId="0" fontId="10" fillId="4" borderId="53" applyNumberFormat="0" applyProtection="0">
      <alignment horizontal="left" vertical="top" indent="1"/>
    </xf>
    <xf numFmtId="0" fontId="10" fillId="0" borderId="52" applyNumberFormat="0"/>
    <xf numFmtId="0" fontId="21" fillId="25" borderId="55" applyNumberFormat="0" applyProtection="0">
      <alignment horizontal="left" vertical="top" indent="1"/>
    </xf>
    <xf numFmtId="0" fontId="11" fillId="15" borderId="55" applyNumberFormat="0" applyProtection="0">
      <alignment horizontal="right" vertical="center"/>
    </xf>
    <xf numFmtId="0" fontId="11" fillId="31" borderId="55" applyNumberFormat="0" applyProtection="0">
      <alignment horizontal="right" vertical="center"/>
    </xf>
    <xf numFmtId="0" fontId="21" fillId="25" borderId="55" applyNumberFormat="0" applyProtection="0">
      <alignment vertical="center"/>
    </xf>
    <xf numFmtId="0" fontId="11" fillId="34" borderId="55" applyNumberFormat="0" applyProtection="0">
      <alignment horizontal="right" vertical="center"/>
    </xf>
    <xf numFmtId="0" fontId="10" fillId="26" borderId="55" applyNumberFormat="0" applyProtection="0">
      <alignment horizontal="left" vertical="top" indent="1"/>
    </xf>
    <xf numFmtId="0" fontId="21" fillId="25" borderId="57" applyNumberFormat="0" applyProtection="0">
      <alignment vertical="center"/>
    </xf>
    <xf numFmtId="0" fontId="11" fillId="29" borderId="55" applyNumberFormat="0" applyProtection="0">
      <alignment horizontal="right" vertical="center"/>
    </xf>
    <xf numFmtId="0" fontId="11" fillId="27" borderId="55" applyNumberFormat="0" applyProtection="0">
      <alignment horizontal="right" vertical="center"/>
    </xf>
    <xf numFmtId="0" fontId="11" fillId="31" borderId="57" applyNumberFormat="0" applyProtection="0">
      <alignment horizontal="right" vertical="center"/>
    </xf>
    <xf numFmtId="0" fontId="11" fillId="8" borderId="55" applyNumberFormat="0" applyProtection="0">
      <alignment horizontal="left" vertical="center" indent="1"/>
    </xf>
    <xf numFmtId="0" fontId="11" fillId="27" borderId="55" applyNumberFormat="0" applyProtection="0">
      <alignment horizontal="right" vertical="center"/>
    </xf>
    <xf numFmtId="0" fontId="20" fillId="36" borderId="55" applyNumberFormat="0" applyProtection="0">
      <alignment horizontal="right" vertical="center"/>
    </xf>
    <xf numFmtId="0" fontId="11" fillId="28" borderId="55" applyNumberFormat="0" applyProtection="0">
      <alignment horizontal="right" vertical="center"/>
    </xf>
    <xf numFmtId="0" fontId="11" fillId="8" borderId="57" applyNumberFormat="0" applyProtection="0">
      <alignment horizontal="left" vertical="top" indent="1"/>
    </xf>
    <xf numFmtId="0" fontId="21" fillId="35" borderId="51" applyNumberFormat="0" applyProtection="0">
      <alignment horizontal="left" vertical="center" indent="1"/>
    </xf>
    <xf numFmtId="0" fontId="11" fillId="28" borderId="55" applyNumberFormat="0" applyProtection="0">
      <alignment horizontal="right" vertical="center"/>
    </xf>
    <xf numFmtId="0" fontId="62" fillId="8" borderId="55" applyNumberFormat="0" applyProtection="0">
      <alignment vertical="center"/>
    </xf>
    <xf numFmtId="0" fontId="42" fillId="20" borderId="56"/>
    <xf numFmtId="0" fontId="11" fillId="8" borderId="48" applyNumberFormat="0" applyProtection="0">
      <alignment horizontal="left" vertical="top" indent="1"/>
    </xf>
    <xf numFmtId="0" fontId="20" fillId="36" borderId="48" applyNumberFormat="0" applyProtection="0">
      <alignment horizontal="right" vertical="center"/>
    </xf>
    <xf numFmtId="0" fontId="11" fillId="26" borderId="48" applyNumberFormat="0" applyProtection="0">
      <alignment horizontal="left" vertical="center" indent="1"/>
    </xf>
    <xf numFmtId="0" fontId="11" fillId="26" borderId="48" applyNumberFormat="0" applyProtection="0">
      <alignment horizontal="left" vertical="top" indent="1"/>
    </xf>
    <xf numFmtId="0" fontId="62" fillId="36" borderId="48" applyNumberFormat="0" applyProtection="0">
      <alignment horizontal="right" vertical="center"/>
    </xf>
    <xf numFmtId="0" fontId="11" fillId="36" borderId="48" applyNumberFormat="0" applyProtection="0">
      <alignment horizontal="right" vertical="center"/>
    </xf>
    <xf numFmtId="0" fontId="10" fillId="6" borderId="48" applyNumberFormat="0" applyProtection="0">
      <alignment horizontal="left" vertical="center" indent="1"/>
    </xf>
    <xf numFmtId="0" fontId="10" fillId="36" borderId="48" applyNumberFormat="0" applyProtection="0">
      <alignment horizontal="left" vertical="center" indent="1"/>
    </xf>
    <xf numFmtId="0" fontId="62" fillId="8" borderId="48" applyNumberFormat="0" applyProtection="0">
      <alignment vertical="center"/>
    </xf>
    <xf numFmtId="0" fontId="11" fillId="8" borderId="48" applyNumberFormat="0" applyProtection="0">
      <alignment horizontal="left" vertical="center" indent="1"/>
    </xf>
    <xf numFmtId="0" fontId="11" fillId="8" borderId="48" applyNumberFormat="0" applyProtection="0">
      <alignment vertical="center"/>
    </xf>
    <xf numFmtId="0" fontId="11" fillId="8" borderId="48" applyNumberFormat="0" applyProtection="0">
      <alignment vertical="center"/>
    </xf>
    <xf numFmtId="0" fontId="10" fillId="36" borderId="48" applyNumberFormat="0" applyProtection="0">
      <alignment horizontal="left" vertical="top" indent="1"/>
    </xf>
    <xf numFmtId="0" fontId="10" fillId="6" borderId="48" applyNumberFormat="0" applyProtection="0">
      <alignment horizontal="left" vertical="top" indent="1"/>
    </xf>
    <xf numFmtId="0" fontId="10" fillId="6" borderId="48" applyNumberFormat="0" applyProtection="0">
      <alignment horizontal="left" vertical="top" indent="1"/>
    </xf>
    <xf numFmtId="0" fontId="10" fillId="6" borderId="48" applyNumberFormat="0" applyProtection="0">
      <alignment horizontal="left" vertical="center" indent="1"/>
    </xf>
    <xf numFmtId="0" fontId="11" fillId="34" borderId="48" applyNumberFormat="0" applyProtection="0">
      <alignment horizontal="right" vertical="center"/>
    </xf>
    <xf numFmtId="0" fontId="10" fillId="26" borderId="48" applyNumberFormat="0" applyProtection="0">
      <alignment horizontal="left" vertical="center" indent="1"/>
    </xf>
    <xf numFmtId="0" fontId="10" fillId="26" borderId="48" applyNumberFormat="0" applyProtection="0">
      <alignment horizontal="left" vertical="center" indent="1"/>
    </xf>
    <xf numFmtId="0" fontId="10" fillId="4" borderId="48" applyNumberFormat="0" applyProtection="0">
      <alignment horizontal="left" vertical="center" indent="1"/>
    </xf>
    <xf numFmtId="0" fontId="10" fillId="4" borderId="48" applyNumberFormat="0" applyProtection="0">
      <alignment horizontal="left" vertical="center" indent="1"/>
    </xf>
    <xf numFmtId="0" fontId="11" fillId="26" borderId="48" applyNumberFormat="0" applyProtection="0">
      <alignment horizontal="right" vertical="center"/>
    </xf>
    <xf numFmtId="0" fontId="93" fillId="0" borderId="40" applyAlignment="0"/>
    <xf numFmtId="0" fontId="93" fillId="0" borderId="40" applyAlignment="0"/>
    <xf numFmtId="0" fontId="93" fillId="0" borderId="40" applyAlignment="0"/>
    <xf numFmtId="0" fontId="93" fillId="0" borderId="40" applyAlignment="0"/>
    <xf numFmtId="0" fontId="93" fillId="0" borderId="40" applyAlignment="0"/>
    <xf numFmtId="0" fontId="93" fillId="0" borderId="40" applyAlignment="0"/>
    <xf numFmtId="0" fontId="93" fillId="0" borderId="40" applyAlignment="0"/>
    <xf numFmtId="0" fontId="93" fillId="0" borderId="40" applyAlignment="0"/>
    <xf numFmtId="0" fontId="42" fillId="20" borderId="40"/>
    <xf numFmtId="0" fontId="42" fillId="20" borderId="40"/>
    <xf numFmtId="0" fontId="7" fillId="0" borderId="40" applyAlignment="0"/>
    <xf numFmtId="0" fontId="7" fillId="0" borderId="40" applyAlignment="0"/>
    <xf numFmtId="0" fontId="47" fillId="0" borderId="46" applyNumberFormat="0" applyProtection="0"/>
    <xf numFmtId="0" fontId="47" fillId="0" borderId="42">
      <alignment horizontal="left" vertical="center"/>
    </xf>
    <xf numFmtId="0" fontId="48" fillId="23" borderId="40">
      <alignment horizontal="center" vertical="center"/>
    </xf>
    <xf numFmtId="0" fontId="48" fillId="23" borderId="40">
      <alignment horizontal="center" vertical="center"/>
    </xf>
    <xf numFmtId="0" fontId="60" fillId="25" borderId="48" applyNumberFormat="0" applyProtection="0">
      <alignment vertical="center"/>
    </xf>
    <xf numFmtId="0" fontId="42" fillId="8" borderId="40" applyNumberFormat="0" applyBorder="0" applyAlignment="0" applyProtection="0"/>
    <xf numFmtId="0" fontId="42" fillId="8" borderId="40" applyNumberFormat="0" applyBorder="0" applyAlignment="0" applyProtection="0"/>
    <xf numFmtId="0" fontId="10" fillId="26" borderId="48" applyNumberFormat="0" applyProtection="0">
      <alignment horizontal="left" vertical="top" indent="1"/>
    </xf>
    <xf numFmtId="0" fontId="62" fillId="8" borderId="48" applyNumberFormat="0" applyProtection="0">
      <alignment vertical="center"/>
    </xf>
    <xf numFmtId="0" fontId="11" fillId="8" borderId="48" applyNumberFormat="0" applyProtection="0">
      <alignment horizontal="left" vertical="center" indent="1"/>
    </xf>
    <xf numFmtId="0" fontId="10" fillId="36" borderId="48" applyNumberFormat="0" applyProtection="0">
      <alignment horizontal="left" vertical="center" indent="1"/>
    </xf>
    <xf numFmtId="0" fontId="10" fillId="6" borderId="48" applyNumberFormat="0" applyProtection="0">
      <alignment horizontal="left" vertical="top" indent="1"/>
    </xf>
    <xf numFmtId="0" fontId="21" fillId="35" borderId="49" applyNumberFormat="0" applyProtection="0">
      <alignment horizontal="left" vertical="center" indent="1"/>
    </xf>
    <xf numFmtId="0" fontId="10" fillId="4" borderId="48" applyNumberFormat="0" applyProtection="0">
      <alignment horizontal="left" vertical="center" indent="1"/>
    </xf>
    <xf numFmtId="0" fontId="11" fillId="31" borderId="48" applyNumberFormat="0" applyProtection="0">
      <alignment horizontal="right" vertical="center"/>
    </xf>
    <xf numFmtId="0" fontId="11" fillId="33" borderId="48" applyNumberFormat="0" applyProtection="0">
      <alignment horizontal="right" vertical="center"/>
    </xf>
    <xf numFmtId="0" fontId="21" fillId="25" borderId="48" applyNumberFormat="0" applyProtection="0">
      <alignment vertical="center"/>
    </xf>
    <xf numFmtId="0" fontId="21" fillId="35" borderId="51" applyNumberFormat="0" applyProtection="0">
      <alignment horizontal="left" vertical="center" indent="1"/>
    </xf>
    <xf numFmtId="0" fontId="11" fillId="15" borderId="55" applyNumberFormat="0" applyProtection="0">
      <alignment horizontal="right" vertical="center"/>
    </xf>
    <xf numFmtId="0" fontId="48" fillId="23" borderId="52">
      <alignment horizontal="center" vertical="center"/>
    </xf>
    <xf numFmtId="0" fontId="10" fillId="26" borderId="55" applyNumberFormat="0" applyProtection="0">
      <alignment horizontal="left" vertical="top" indent="1"/>
    </xf>
    <xf numFmtId="0" fontId="10" fillId="4" borderId="55" applyNumberFormat="0" applyProtection="0">
      <alignment horizontal="left" vertical="center" indent="1"/>
    </xf>
    <xf numFmtId="0" fontId="93" fillId="0" borderId="56" applyAlignment="0"/>
    <xf numFmtId="0" fontId="11" fillId="33" borderId="55" applyNumberFormat="0" applyProtection="0">
      <alignment horizontal="right" vertical="center"/>
    </xf>
    <xf numFmtId="0" fontId="62" fillId="8" borderId="55" applyNumberFormat="0" applyProtection="0">
      <alignment vertical="center"/>
    </xf>
    <xf numFmtId="0" fontId="11" fillId="30" borderId="55" applyNumberFormat="0" applyProtection="0">
      <alignment horizontal="right" vertical="center"/>
    </xf>
    <xf numFmtId="0" fontId="42" fillId="9" borderId="40"/>
    <xf numFmtId="0" fontId="42" fillId="9" borderId="40"/>
    <xf numFmtId="0" fontId="21" fillId="25" borderId="43" applyNumberFormat="0" applyProtection="0">
      <alignment vertical="center"/>
    </xf>
    <xf numFmtId="0" fontId="21" fillId="25" borderId="43" applyNumberFormat="0" applyProtection="0">
      <alignment vertical="center"/>
    </xf>
    <xf numFmtId="0" fontId="21" fillId="25" borderId="43" applyNumberFormat="0" applyProtection="0">
      <alignment vertical="center"/>
    </xf>
    <xf numFmtId="0" fontId="21" fillId="25" borderId="43" applyNumberFormat="0" applyProtection="0">
      <alignment vertical="center"/>
    </xf>
    <xf numFmtId="0" fontId="60" fillId="25" borderId="43" applyNumberFormat="0" applyProtection="0">
      <alignment vertical="center"/>
    </xf>
    <xf numFmtId="0" fontId="60" fillId="25" borderId="43" applyNumberFormat="0" applyProtection="0">
      <alignment vertical="center"/>
    </xf>
    <xf numFmtId="0" fontId="60" fillId="25" borderId="43" applyNumberFormat="0" applyProtection="0">
      <alignment vertical="center"/>
    </xf>
    <xf numFmtId="0" fontId="60" fillId="25" borderId="43" applyNumberFormat="0" applyProtection="0">
      <alignment vertical="center"/>
    </xf>
    <xf numFmtId="0" fontId="21" fillId="25" borderId="43" applyNumberFormat="0" applyProtection="0">
      <alignment horizontal="left" vertical="center" indent="1"/>
    </xf>
    <xf numFmtId="0" fontId="21" fillId="25" borderId="43" applyNumberFormat="0" applyProtection="0">
      <alignment horizontal="left" vertical="center" indent="1"/>
    </xf>
    <xf numFmtId="0" fontId="21" fillId="25" borderId="43" applyNumberFormat="0" applyProtection="0">
      <alignment horizontal="left" vertical="center" indent="1"/>
    </xf>
    <xf numFmtId="0" fontId="21" fillId="25" borderId="43" applyNumberFormat="0" applyProtection="0">
      <alignment horizontal="left" vertical="center" indent="1"/>
    </xf>
    <xf numFmtId="0" fontId="21" fillId="25" borderId="43" applyNumberFormat="0" applyProtection="0">
      <alignment horizontal="left" vertical="top" indent="1"/>
    </xf>
    <xf numFmtId="0" fontId="21" fillId="25" borderId="43" applyNumberFormat="0" applyProtection="0">
      <alignment horizontal="left" vertical="top" indent="1"/>
    </xf>
    <xf numFmtId="0" fontId="21" fillId="25" borderId="43" applyNumberFormat="0" applyProtection="0">
      <alignment horizontal="left" vertical="top" indent="1"/>
    </xf>
    <xf numFmtId="0" fontId="21" fillId="25" borderId="43" applyNumberFormat="0" applyProtection="0">
      <alignment horizontal="left" vertical="top" indent="1"/>
    </xf>
    <xf numFmtId="0" fontId="11" fillId="27" borderId="43" applyNumberFormat="0" applyProtection="0">
      <alignment horizontal="right" vertical="center"/>
    </xf>
    <xf numFmtId="0" fontId="11" fillId="27" borderId="43" applyNumberFormat="0" applyProtection="0">
      <alignment horizontal="right" vertical="center"/>
    </xf>
    <xf numFmtId="0" fontId="11" fillId="27" borderId="43" applyNumberFormat="0" applyProtection="0">
      <alignment horizontal="right" vertical="center"/>
    </xf>
    <xf numFmtId="0" fontId="11" fillId="27" borderId="43" applyNumberFormat="0" applyProtection="0">
      <alignment horizontal="right" vertical="center"/>
    </xf>
    <xf numFmtId="0" fontId="11" fillId="28" borderId="43" applyNumberFormat="0" applyProtection="0">
      <alignment horizontal="right" vertical="center"/>
    </xf>
    <xf numFmtId="0" fontId="11" fillId="28" borderId="43" applyNumberFormat="0" applyProtection="0">
      <alignment horizontal="right" vertical="center"/>
    </xf>
    <xf numFmtId="0" fontId="11" fillId="28" borderId="43" applyNumberFormat="0" applyProtection="0">
      <alignment horizontal="right" vertical="center"/>
    </xf>
    <xf numFmtId="0" fontId="11" fillId="28" borderId="43" applyNumberFormat="0" applyProtection="0">
      <alignment horizontal="right" vertical="center"/>
    </xf>
    <xf numFmtId="0" fontId="11" fillId="29" borderId="43" applyNumberFormat="0" applyProtection="0">
      <alignment horizontal="right" vertical="center"/>
    </xf>
    <xf numFmtId="0" fontId="11" fillId="29" borderId="43" applyNumberFormat="0" applyProtection="0">
      <alignment horizontal="right" vertical="center"/>
    </xf>
    <xf numFmtId="0" fontId="11" fillId="29" borderId="43" applyNumberFormat="0" applyProtection="0">
      <alignment horizontal="right" vertical="center"/>
    </xf>
    <xf numFmtId="0" fontId="11" fillId="29" borderId="43" applyNumberFormat="0" applyProtection="0">
      <alignment horizontal="right" vertical="center"/>
    </xf>
    <xf numFmtId="0" fontId="11" fillId="30" borderId="43" applyNumberFormat="0" applyProtection="0">
      <alignment horizontal="right" vertical="center"/>
    </xf>
    <xf numFmtId="0" fontId="11" fillId="30" borderId="43" applyNumberFormat="0" applyProtection="0">
      <alignment horizontal="right" vertical="center"/>
    </xf>
    <xf numFmtId="0" fontId="11" fillId="30" borderId="43" applyNumberFormat="0" applyProtection="0">
      <alignment horizontal="right" vertical="center"/>
    </xf>
    <xf numFmtId="0" fontId="11" fillId="30" borderId="43" applyNumberFormat="0" applyProtection="0">
      <alignment horizontal="right" vertical="center"/>
    </xf>
    <xf numFmtId="0" fontId="11" fillId="15" borderId="43" applyNumberFormat="0" applyProtection="0">
      <alignment horizontal="right" vertical="center"/>
    </xf>
    <xf numFmtId="0" fontId="11" fillId="15" borderId="43" applyNumberFormat="0" applyProtection="0">
      <alignment horizontal="right" vertical="center"/>
    </xf>
    <xf numFmtId="0" fontId="11" fillId="15" borderId="43" applyNumberFormat="0" applyProtection="0">
      <alignment horizontal="right" vertical="center"/>
    </xf>
    <xf numFmtId="0" fontId="11" fillId="15" borderId="43" applyNumberFormat="0" applyProtection="0">
      <alignment horizontal="right" vertical="center"/>
    </xf>
    <xf numFmtId="0" fontId="11" fillId="31" borderId="43" applyNumberFormat="0" applyProtection="0">
      <alignment horizontal="right" vertical="center"/>
    </xf>
    <xf numFmtId="0" fontId="11" fillId="31" borderId="43" applyNumberFormat="0" applyProtection="0">
      <alignment horizontal="right" vertical="center"/>
    </xf>
    <xf numFmtId="0" fontId="11" fillId="31" borderId="43" applyNumberFormat="0" applyProtection="0">
      <alignment horizontal="right" vertical="center"/>
    </xf>
    <xf numFmtId="0" fontId="11" fillId="31" borderId="43" applyNumberFormat="0" applyProtection="0">
      <alignment horizontal="right" vertical="center"/>
    </xf>
    <xf numFmtId="0" fontId="11" fillId="32" borderId="43" applyNumberFormat="0" applyProtection="0">
      <alignment horizontal="right" vertical="center"/>
    </xf>
    <xf numFmtId="0" fontId="11" fillId="32" borderId="43" applyNumberFormat="0" applyProtection="0">
      <alignment horizontal="right" vertical="center"/>
    </xf>
    <xf numFmtId="0" fontId="11" fillId="32" borderId="43" applyNumberFormat="0" applyProtection="0">
      <alignment horizontal="right" vertical="center"/>
    </xf>
    <xf numFmtId="0" fontId="11" fillId="32" borderId="43" applyNumberFormat="0" applyProtection="0">
      <alignment horizontal="right" vertical="center"/>
    </xf>
    <xf numFmtId="0" fontId="11" fillId="33" borderId="43" applyNumberFormat="0" applyProtection="0">
      <alignment horizontal="right" vertical="center"/>
    </xf>
    <xf numFmtId="0" fontId="11" fillId="33" borderId="43" applyNumberFormat="0" applyProtection="0">
      <alignment horizontal="right" vertical="center"/>
    </xf>
    <xf numFmtId="0" fontId="11" fillId="33" borderId="43" applyNumberFormat="0" applyProtection="0">
      <alignment horizontal="right" vertical="center"/>
    </xf>
    <xf numFmtId="0" fontId="11" fillId="33" borderId="43" applyNumberFormat="0" applyProtection="0">
      <alignment horizontal="right" vertical="center"/>
    </xf>
    <xf numFmtId="0" fontId="11" fillId="34" borderId="43" applyNumberFormat="0" applyProtection="0">
      <alignment horizontal="right" vertical="center"/>
    </xf>
    <xf numFmtId="0" fontId="11" fillId="34" borderId="43" applyNumberFormat="0" applyProtection="0">
      <alignment horizontal="right" vertical="center"/>
    </xf>
    <xf numFmtId="0" fontId="11" fillId="34" borderId="43" applyNumberFormat="0" applyProtection="0">
      <alignment horizontal="right" vertical="center"/>
    </xf>
    <xf numFmtId="0" fontId="11" fillId="34" borderId="43" applyNumberFormat="0" applyProtection="0">
      <alignment horizontal="right" vertical="center"/>
    </xf>
    <xf numFmtId="0" fontId="21" fillId="35" borderId="44" applyNumberFormat="0" applyProtection="0">
      <alignment horizontal="left" vertical="center" indent="1"/>
    </xf>
    <xf numFmtId="0" fontId="11" fillId="26" borderId="43" applyNumberFormat="0" applyProtection="0">
      <alignment horizontal="right" vertical="center"/>
    </xf>
    <xf numFmtId="0" fontId="11" fillId="26" borderId="43" applyNumberFormat="0" applyProtection="0">
      <alignment horizontal="right" vertical="center"/>
    </xf>
    <xf numFmtId="0" fontId="11" fillId="26" borderId="43" applyNumberFormat="0" applyProtection="0">
      <alignment horizontal="right" vertical="center"/>
    </xf>
    <xf numFmtId="0" fontId="11" fillId="26" borderId="43" applyNumberFormat="0" applyProtection="0">
      <alignment horizontal="right" vertical="center"/>
    </xf>
    <xf numFmtId="0" fontId="10" fillId="4" borderId="43" applyNumberFormat="0" applyProtection="0">
      <alignment horizontal="left" vertical="center" indent="1"/>
    </xf>
    <xf numFmtId="0" fontId="10" fillId="4" borderId="43" applyNumberFormat="0" applyProtection="0">
      <alignment horizontal="left" vertical="center" indent="1"/>
    </xf>
    <xf numFmtId="0" fontId="10" fillId="4" borderId="43" applyNumberFormat="0" applyProtection="0">
      <alignment horizontal="left" vertical="center" indent="1"/>
    </xf>
    <xf numFmtId="0" fontId="10" fillId="4" borderId="43" applyNumberFormat="0" applyProtection="0">
      <alignment horizontal="left" vertical="center" indent="1"/>
    </xf>
    <xf numFmtId="0" fontId="10" fillId="4" borderId="43" applyNumberFormat="0" applyProtection="0">
      <alignment horizontal="left" vertical="top" indent="1"/>
    </xf>
    <xf numFmtId="0" fontId="10" fillId="4" borderId="43" applyNumberFormat="0" applyProtection="0">
      <alignment horizontal="left" vertical="top" indent="1"/>
    </xf>
    <xf numFmtId="0" fontId="10" fillId="4" borderId="43" applyNumberFormat="0" applyProtection="0">
      <alignment horizontal="left" vertical="top" indent="1"/>
    </xf>
    <xf numFmtId="0" fontId="10" fillId="4" borderId="43" applyNumberFormat="0" applyProtection="0">
      <alignment horizontal="left" vertical="top" indent="1"/>
    </xf>
    <xf numFmtId="0" fontId="10" fillId="26" borderId="43" applyNumberFormat="0" applyProtection="0">
      <alignment horizontal="left" vertical="center" indent="1"/>
    </xf>
    <xf numFmtId="0" fontId="10" fillId="26" borderId="43" applyNumberFormat="0" applyProtection="0">
      <alignment horizontal="left" vertical="center" indent="1"/>
    </xf>
    <xf numFmtId="0" fontId="10" fillId="26" borderId="43" applyNumberFormat="0" applyProtection="0">
      <alignment horizontal="left" vertical="center" indent="1"/>
    </xf>
    <xf numFmtId="0" fontId="10" fillId="26" borderId="43" applyNumberFormat="0" applyProtection="0">
      <alignment horizontal="left" vertical="center" indent="1"/>
    </xf>
    <xf numFmtId="0" fontId="10" fillId="26" borderId="43" applyNumberFormat="0" applyProtection="0">
      <alignment horizontal="left" vertical="top" indent="1"/>
    </xf>
    <xf numFmtId="0" fontId="10" fillId="26" borderId="43" applyNumberFormat="0" applyProtection="0">
      <alignment horizontal="left" vertical="top" indent="1"/>
    </xf>
    <xf numFmtId="0" fontId="10" fillId="26" borderId="43" applyNumberFormat="0" applyProtection="0">
      <alignment horizontal="left" vertical="top" indent="1"/>
    </xf>
    <xf numFmtId="0" fontId="10" fillId="26" borderId="43" applyNumberFormat="0" applyProtection="0">
      <alignment horizontal="left" vertical="top" indent="1"/>
    </xf>
    <xf numFmtId="0" fontId="10" fillId="6" borderId="43" applyNumberFormat="0" applyProtection="0">
      <alignment horizontal="left" vertical="center" indent="1"/>
    </xf>
    <xf numFmtId="0" fontId="10" fillId="6" borderId="43" applyNumberFormat="0" applyProtection="0">
      <alignment horizontal="left" vertical="center" indent="1"/>
    </xf>
    <xf numFmtId="0" fontId="10" fillId="6" borderId="43" applyNumberFormat="0" applyProtection="0">
      <alignment horizontal="left" vertical="center" indent="1"/>
    </xf>
    <xf numFmtId="0" fontId="10" fillId="6" borderId="43" applyNumberFormat="0" applyProtection="0">
      <alignment horizontal="left" vertical="center" indent="1"/>
    </xf>
    <xf numFmtId="0" fontId="10" fillId="6" borderId="43" applyNumberFormat="0" applyProtection="0">
      <alignment horizontal="left" vertical="top" indent="1"/>
    </xf>
    <xf numFmtId="0" fontId="10" fillId="6" borderId="43" applyNumberFormat="0" applyProtection="0">
      <alignment horizontal="left" vertical="top" indent="1"/>
    </xf>
    <xf numFmtId="0" fontId="10" fillId="6" borderId="43" applyNumberFormat="0" applyProtection="0">
      <alignment horizontal="left" vertical="top" indent="1"/>
    </xf>
    <xf numFmtId="0" fontId="10" fillId="6" borderId="43" applyNumberFormat="0" applyProtection="0">
      <alignment horizontal="left" vertical="top" indent="1"/>
    </xf>
    <xf numFmtId="0" fontId="10" fillId="36" borderId="43" applyNumberFormat="0" applyProtection="0">
      <alignment horizontal="left" vertical="center" indent="1"/>
    </xf>
    <xf numFmtId="0" fontId="10" fillId="36" borderId="43" applyNumberFormat="0" applyProtection="0">
      <alignment horizontal="left" vertical="center" indent="1"/>
    </xf>
    <xf numFmtId="0" fontId="10" fillId="36" borderId="43" applyNumberFormat="0" applyProtection="0">
      <alignment horizontal="left" vertical="center" indent="1"/>
    </xf>
    <xf numFmtId="0" fontId="10" fillId="36" borderId="43" applyNumberFormat="0" applyProtection="0">
      <alignment horizontal="left" vertical="center" indent="1"/>
    </xf>
    <xf numFmtId="0" fontId="10" fillId="36" borderId="43" applyNumberFormat="0" applyProtection="0">
      <alignment horizontal="left" vertical="top" indent="1"/>
    </xf>
    <xf numFmtId="0" fontId="10" fillId="36" borderId="43" applyNumberFormat="0" applyProtection="0">
      <alignment horizontal="left" vertical="top" indent="1"/>
    </xf>
    <xf numFmtId="0" fontId="10" fillId="36" borderId="43" applyNumberFormat="0" applyProtection="0">
      <alignment horizontal="left" vertical="top" indent="1"/>
    </xf>
    <xf numFmtId="0" fontId="10" fillId="36" borderId="43" applyNumberFormat="0" applyProtection="0">
      <alignment horizontal="left" vertical="top" indent="1"/>
    </xf>
    <xf numFmtId="0" fontId="11" fillId="8" borderId="43" applyNumberFormat="0" applyProtection="0">
      <alignment vertical="center"/>
    </xf>
    <xf numFmtId="0" fontId="11" fillId="8" borderId="43" applyNumberFormat="0" applyProtection="0">
      <alignment vertical="center"/>
    </xf>
    <xf numFmtId="0" fontId="11" fillId="8" borderId="43" applyNumberFormat="0" applyProtection="0">
      <alignment vertical="center"/>
    </xf>
    <xf numFmtId="0" fontId="11" fillId="8" borderId="43" applyNumberFormat="0" applyProtection="0">
      <alignment vertical="center"/>
    </xf>
    <xf numFmtId="0" fontId="62" fillId="8" borderId="43" applyNumberFormat="0" applyProtection="0">
      <alignment vertical="center"/>
    </xf>
    <xf numFmtId="0" fontId="62" fillId="8" borderId="43" applyNumberFormat="0" applyProtection="0">
      <alignment vertical="center"/>
    </xf>
    <xf numFmtId="0" fontId="62" fillId="8" borderId="43" applyNumberFormat="0" applyProtection="0">
      <alignment vertical="center"/>
    </xf>
    <xf numFmtId="0" fontId="62" fillId="8" borderId="43" applyNumberFormat="0" applyProtection="0">
      <alignment vertical="center"/>
    </xf>
    <xf numFmtId="0" fontId="11" fillId="8" borderId="43" applyNumberFormat="0" applyProtection="0">
      <alignment horizontal="left" vertical="center" indent="1"/>
    </xf>
    <xf numFmtId="0" fontId="11" fillId="8" borderId="43" applyNumberFormat="0" applyProtection="0">
      <alignment horizontal="left" vertical="center" indent="1"/>
    </xf>
    <xf numFmtId="0" fontId="11" fillId="8" borderId="43" applyNumberFormat="0" applyProtection="0">
      <alignment horizontal="left" vertical="center" indent="1"/>
    </xf>
    <xf numFmtId="0" fontId="11" fillId="8" borderId="43" applyNumberFormat="0" applyProtection="0">
      <alignment horizontal="left" vertical="center" indent="1"/>
    </xf>
    <xf numFmtId="0" fontId="11" fillId="8" borderId="43" applyNumberFormat="0" applyProtection="0">
      <alignment horizontal="left" vertical="top" indent="1"/>
    </xf>
    <xf numFmtId="0" fontId="11" fillId="8" borderId="43" applyNumberFormat="0" applyProtection="0">
      <alignment horizontal="left" vertical="top" indent="1"/>
    </xf>
    <xf numFmtId="0" fontId="11" fillId="8" borderId="43" applyNumberFormat="0" applyProtection="0">
      <alignment horizontal="left" vertical="top" indent="1"/>
    </xf>
    <xf numFmtId="0" fontId="11" fillId="8" borderId="43" applyNumberFormat="0" applyProtection="0">
      <alignment horizontal="left" vertical="top" indent="1"/>
    </xf>
    <xf numFmtId="0" fontId="11" fillId="36" borderId="43" applyNumberFormat="0" applyProtection="0">
      <alignment horizontal="right" vertical="center"/>
    </xf>
    <xf numFmtId="0" fontId="11" fillId="36" borderId="43" applyNumberFormat="0" applyProtection="0">
      <alignment horizontal="right" vertical="center"/>
    </xf>
    <xf numFmtId="0" fontId="11" fillId="36" borderId="43" applyNumberFormat="0" applyProtection="0">
      <alignment horizontal="right" vertical="center"/>
    </xf>
    <xf numFmtId="0" fontId="11" fillId="36" borderId="43" applyNumberFormat="0" applyProtection="0">
      <alignment horizontal="right" vertical="center"/>
    </xf>
    <xf numFmtId="0" fontId="62" fillId="36" borderId="43" applyNumberFormat="0" applyProtection="0">
      <alignment horizontal="right" vertical="center"/>
    </xf>
    <xf numFmtId="0" fontId="62" fillId="36" borderId="43" applyNumberFormat="0" applyProtection="0">
      <alignment horizontal="right" vertical="center"/>
    </xf>
    <xf numFmtId="0" fontId="62" fillId="36" borderId="43" applyNumberFormat="0" applyProtection="0">
      <alignment horizontal="right" vertical="center"/>
    </xf>
    <xf numFmtId="0" fontId="62" fillId="36" borderId="43" applyNumberFormat="0" applyProtection="0">
      <alignment horizontal="right" vertical="center"/>
    </xf>
    <xf numFmtId="0" fontId="11" fillId="26" borderId="43" applyNumberFormat="0" applyProtection="0">
      <alignment horizontal="left" vertical="center" indent="1"/>
    </xf>
    <xf numFmtId="0" fontId="11" fillId="26" borderId="43" applyNumberFormat="0" applyProtection="0">
      <alignment horizontal="left" vertical="center" indent="1"/>
    </xf>
    <xf numFmtId="0" fontId="11" fillId="26" borderId="43" applyNumberFormat="0" applyProtection="0">
      <alignment horizontal="left" vertical="center" indent="1"/>
    </xf>
    <xf numFmtId="0" fontId="11" fillId="26" borderId="43" applyNumberFormat="0" applyProtection="0">
      <alignment horizontal="left" vertical="center" indent="1"/>
    </xf>
    <xf numFmtId="0" fontId="11" fillId="26" borderId="43" applyNumberFormat="0" applyProtection="0">
      <alignment horizontal="left" vertical="top" indent="1"/>
    </xf>
    <xf numFmtId="0" fontId="11" fillId="26" borderId="43" applyNumberFormat="0" applyProtection="0">
      <alignment horizontal="left" vertical="top" indent="1"/>
    </xf>
    <xf numFmtId="0" fontId="11" fillId="26" borderId="43" applyNumberFormat="0" applyProtection="0">
      <alignment horizontal="left" vertical="top" indent="1"/>
    </xf>
    <xf numFmtId="0" fontId="11" fillId="26" borderId="43" applyNumberFormat="0" applyProtection="0">
      <alignment horizontal="left" vertical="top" indent="1"/>
    </xf>
    <xf numFmtId="0" fontId="20" fillId="36" borderId="43" applyNumberFormat="0" applyProtection="0">
      <alignment horizontal="right" vertical="center"/>
    </xf>
    <xf numFmtId="0" fontId="20" fillId="36" borderId="43" applyNumberFormat="0" applyProtection="0">
      <alignment horizontal="right" vertical="center"/>
    </xf>
    <xf numFmtId="0" fontId="20" fillId="36" borderId="43" applyNumberFormat="0" applyProtection="0">
      <alignment horizontal="right" vertical="center"/>
    </xf>
    <xf numFmtId="0" fontId="20" fillId="36" borderId="43" applyNumberFormat="0" applyProtection="0">
      <alignment horizontal="right" vertical="center"/>
    </xf>
    <xf numFmtId="0" fontId="11" fillId="26" borderId="55" applyNumberFormat="0" applyProtection="0">
      <alignment horizontal="right" vertical="center"/>
    </xf>
    <xf numFmtId="0" fontId="10" fillId="26" borderId="55" applyNumberFormat="0" applyProtection="0">
      <alignment horizontal="left" vertical="center" indent="1"/>
    </xf>
    <xf numFmtId="0" fontId="11" fillId="26" borderId="55" applyNumberFormat="0" applyProtection="0">
      <alignment horizontal="right" vertical="center"/>
    </xf>
    <xf numFmtId="0" fontId="62" fillId="8" borderId="48" applyNumberFormat="0" applyProtection="0">
      <alignment vertical="center"/>
    </xf>
    <xf numFmtId="0" fontId="11" fillId="31" borderId="55" applyNumberFormat="0" applyProtection="0">
      <alignment horizontal="right" vertical="center"/>
    </xf>
    <xf numFmtId="0" fontId="62" fillId="36" borderId="48" applyNumberFormat="0" applyProtection="0">
      <alignment horizontal="right" vertical="center"/>
    </xf>
    <xf numFmtId="0" fontId="11" fillId="28" borderId="48" applyNumberFormat="0" applyProtection="0">
      <alignment horizontal="right" vertical="center"/>
    </xf>
    <xf numFmtId="10" fontId="93" fillId="0" borderId="52" applyAlignment="0"/>
    <xf numFmtId="0" fontId="11" fillId="26" borderId="53" applyNumberFormat="0" applyProtection="0">
      <alignment horizontal="left" vertical="top" indent="1"/>
    </xf>
    <xf numFmtId="0" fontId="7" fillId="0" borderId="52" applyAlignment="0"/>
    <xf numFmtId="0" fontId="10" fillId="4" borderId="57" applyNumberFormat="0" applyProtection="0">
      <alignment horizontal="left" vertical="center" indent="1"/>
    </xf>
    <xf numFmtId="0" fontId="10" fillId="6" borderId="55" applyNumberFormat="0" applyProtection="0">
      <alignment horizontal="left" vertical="top" indent="1"/>
    </xf>
    <xf numFmtId="0" fontId="20" fillId="36" borderId="55" applyNumberFormat="0" applyProtection="0">
      <alignment horizontal="right" vertical="center"/>
    </xf>
    <xf numFmtId="0" fontId="11" fillId="31" borderId="55" applyNumberFormat="0" applyProtection="0">
      <alignment horizontal="right" vertical="center"/>
    </xf>
    <xf numFmtId="0" fontId="11" fillId="27" borderId="55" applyNumberFormat="0" applyProtection="0">
      <alignment horizontal="right" vertical="center"/>
    </xf>
    <xf numFmtId="0" fontId="11" fillId="8" borderId="55" applyNumberFormat="0" applyProtection="0">
      <alignment horizontal="left" vertical="center" indent="1"/>
    </xf>
    <xf numFmtId="0" fontId="10" fillId="0" borderId="40" applyNumberFormat="0"/>
    <xf numFmtId="0" fontId="10" fillId="0" borderId="40" applyNumberFormat="0"/>
    <xf numFmtId="0" fontId="11" fillId="26" borderId="48" applyNumberFormat="0" applyProtection="0">
      <alignment horizontal="left" vertical="center" indent="1"/>
    </xf>
    <xf numFmtId="0" fontId="10" fillId="4" borderId="55" applyNumberFormat="0" applyProtection="0">
      <alignment horizontal="left" vertical="center" indent="1"/>
    </xf>
    <xf numFmtId="0" fontId="11" fillId="36" borderId="48" applyNumberFormat="0" applyProtection="0">
      <alignment horizontal="right" vertical="center"/>
    </xf>
    <xf numFmtId="0" fontId="11" fillId="8" borderId="53" applyNumberFormat="0" applyProtection="0">
      <alignment vertical="center"/>
    </xf>
    <xf numFmtId="0" fontId="10" fillId="4" borderId="57" applyNumberFormat="0" applyProtection="0">
      <alignment horizontal="left" vertical="top" indent="1"/>
    </xf>
    <xf numFmtId="0" fontId="11" fillId="27" borderId="48" applyNumberFormat="0" applyProtection="0">
      <alignment horizontal="right" vertical="center"/>
    </xf>
    <xf numFmtId="0" fontId="11" fillId="30" borderId="48" applyNumberFormat="0" applyProtection="0">
      <alignment horizontal="right" vertical="center"/>
    </xf>
    <xf numFmtId="0" fontId="11" fillId="26" borderId="55" applyNumberFormat="0" applyProtection="0">
      <alignment horizontal="right" vertical="center"/>
    </xf>
    <xf numFmtId="0" fontId="21" fillId="25" borderId="43" applyNumberFormat="0" applyProtection="0">
      <alignment vertical="center"/>
    </xf>
    <xf numFmtId="0" fontId="21" fillId="25" borderId="43" applyNumberFormat="0" applyProtection="0">
      <alignment vertical="center"/>
    </xf>
    <xf numFmtId="0" fontId="21" fillId="25" borderId="43" applyNumberFormat="0" applyProtection="0">
      <alignment vertical="center"/>
    </xf>
    <xf numFmtId="0" fontId="21" fillId="25" borderId="43" applyNumberFormat="0" applyProtection="0">
      <alignment vertical="center"/>
    </xf>
    <xf numFmtId="0" fontId="60" fillId="25" borderId="43" applyNumberFormat="0" applyProtection="0">
      <alignment vertical="center"/>
    </xf>
    <xf numFmtId="0" fontId="60" fillId="25" borderId="43" applyNumberFormat="0" applyProtection="0">
      <alignment vertical="center"/>
    </xf>
    <xf numFmtId="0" fontId="60" fillId="25" borderId="43" applyNumberFormat="0" applyProtection="0">
      <alignment vertical="center"/>
    </xf>
    <xf numFmtId="0" fontId="60" fillId="25" borderId="43" applyNumberFormat="0" applyProtection="0">
      <alignment vertical="center"/>
    </xf>
    <xf numFmtId="0" fontId="21" fillId="25" borderId="43" applyNumberFormat="0" applyProtection="0">
      <alignment horizontal="left" vertical="center" indent="1"/>
    </xf>
    <xf numFmtId="0" fontId="21" fillId="25" borderId="43" applyNumberFormat="0" applyProtection="0">
      <alignment horizontal="left" vertical="center" indent="1"/>
    </xf>
    <xf numFmtId="0" fontId="21" fillId="25" borderId="43" applyNumberFormat="0" applyProtection="0">
      <alignment horizontal="left" vertical="center" indent="1"/>
    </xf>
    <xf numFmtId="0" fontId="21" fillId="25" borderId="43" applyNumberFormat="0" applyProtection="0">
      <alignment horizontal="left" vertical="center" indent="1"/>
    </xf>
    <xf numFmtId="0" fontId="21" fillId="25" borderId="43" applyNumberFormat="0" applyProtection="0">
      <alignment horizontal="left" vertical="top" indent="1"/>
    </xf>
    <xf numFmtId="0" fontId="21" fillId="25" borderId="43" applyNumberFormat="0" applyProtection="0">
      <alignment horizontal="left" vertical="top" indent="1"/>
    </xf>
    <xf numFmtId="0" fontId="21" fillId="25" borderId="43" applyNumberFormat="0" applyProtection="0">
      <alignment horizontal="left" vertical="top" indent="1"/>
    </xf>
    <xf numFmtId="0" fontId="21" fillId="25" borderId="43" applyNumberFormat="0" applyProtection="0">
      <alignment horizontal="left" vertical="top" indent="1"/>
    </xf>
    <xf numFmtId="0" fontId="11" fillId="27" borderId="43" applyNumberFormat="0" applyProtection="0">
      <alignment horizontal="right" vertical="center"/>
    </xf>
    <xf numFmtId="0" fontId="11" fillId="27" borderId="43" applyNumberFormat="0" applyProtection="0">
      <alignment horizontal="right" vertical="center"/>
    </xf>
    <xf numFmtId="0" fontId="11" fillId="27" borderId="43" applyNumberFormat="0" applyProtection="0">
      <alignment horizontal="right" vertical="center"/>
    </xf>
    <xf numFmtId="0" fontId="11" fillId="27" borderId="43" applyNumberFormat="0" applyProtection="0">
      <alignment horizontal="right" vertical="center"/>
    </xf>
    <xf numFmtId="0" fontId="11" fillId="28" borderId="43" applyNumberFormat="0" applyProtection="0">
      <alignment horizontal="right" vertical="center"/>
    </xf>
    <xf numFmtId="0" fontId="11" fillId="28" borderId="43" applyNumberFormat="0" applyProtection="0">
      <alignment horizontal="right" vertical="center"/>
    </xf>
    <xf numFmtId="0" fontId="11" fillId="28" borderId="43" applyNumberFormat="0" applyProtection="0">
      <alignment horizontal="right" vertical="center"/>
    </xf>
    <xf numFmtId="0" fontId="11" fillId="28" borderId="43" applyNumberFormat="0" applyProtection="0">
      <alignment horizontal="right" vertical="center"/>
    </xf>
    <xf numFmtId="0" fontId="11" fillId="29" borderId="43" applyNumberFormat="0" applyProtection="0">
      <alignment horizontal="right" vertical="center"/>
    </xf>
    <xf numFmtId="0" fontId="11" fillId="29" borderId="43" applyNumberFormat="0" applyProtection="0">
      <alignment horizontal="right" vertical="center"/>
    </xf>
    <xf numFmtId="0" fontId="11" fillId="29" borderId="43" applyNumberFormat="0" applyProtection="0">
      <alignment horizontal="right" vertical="center"/>
    </xf>
    <xf numFmtId="0" fontId="11" fillId="29" borderId="43" applyNumberFormat="0" applyProtection="0">
      <alignment horizontal="right" vertical="center"/>
    </xf>
    <xf numFmtId="0" fontId="11" fillId="30" borderId="43" applyNumberFormat="0" applyProtection="0">
      <alignment horizontal="right" vertical="center"/>
    </xf>
    <xf numFmtId="0" fontId="11" fillId="30" borderId="43" applyNumberFormat="0" applyProtection="0">
      <alignment horizontal="right" vertical="center"/>
    </xf>
    <xf numFmtId="0" fontId="11" fillId="30" borderId="43" applyNumberFormat="0" applyProtection="0">
      <alignment horizontal="right" vertical="center"/>
    </xf>
    <xf numFmtId="0" fontId="11" fillId="30" borderId="43" applyNumberFormat="0" applyProtection="0">
      <alignment horizontal="right" vertical="center"/>
    </xf>
    <xf numFmtId="0" fontId="11" fillId="15" borderId="43" applyNumberFormat="0" applyProtection="0">
      <alignment horizontal="right" vertical="center"/>
    </xf>
    <xf numFmtId="0" fontId="11" fillId="15" borderId="43" applyNumberFormat="0" applyProtection="0">
      <alignment horizontal="right" vertical="center"/>
    </xf>
    <xf numFmtId="0" fontId="11" fillId="15" borderId="43" applyNumberFormat="0" applyProtection="0">
      <alignment horizontal="right" vertical="center"/>
    </xf>
    <xf numFmtId="0" fontId="11" fillId="15" borderId="43" applyNumberFormat="0" applyProtection="0">
      <alignment horizontal="right" vertical="center"/>
    </xf>
    <xf numFmtId="0" fontId="11" fillId="31" borderId="43" applyNumberFormat="0" applyProtection="0">
      <alignment horizontal="right" vertical="center"/>
    </xf>
    <xf numFmtId="0" fontId="11" fillId="31" borderId="43" applyNumberFormat="0" applyProtection="0">
      <alignment horizontal="right" vertical="center"/>
    </xf>
    <xf numFmtId="0" fontId="11" fillId="31" borderId="43" applyNumberFormat="0" applyProtection="0">
      <alignment horizontal="right" vertical="center"/>
    </xf>
    <xf numFmtId="0" fontId="11" fillId="31" borderId="43" applyNumberFormat="0" applyProtection="0">
      <alignment horizontal="right" vertical="center"/>
    </xf>
    <xf numFmtId="0" fontId="11" fillId="32" borderId="43" applyNumberFormat="0" applyProtection="0">
      <alignment horizontal="right" vertical="center"/>
    </xf>
    <xf numFmtId="0" fontId="11" fillId="32" borderId="43" applyNumberFormat="0" applyProtection="0">
      <alignment horizontal="right" vertical="center"/>
    </xf>
    <xf numFmtId="0" fontId="11" fillId="32" borderId="43" applyNumberFormat="0" applyProtection="0">
      <alignment horizontal="right" vertical="center"/>
    </xf>
    <xf numFmtId="0" fontId="11" fillId="32" borderId="43" applyNumberFormat="0" applyProtection="0">
      <alignment horizontal="right" vertical="center"/>
    </xf>
    <xf numFmtId="0" fontId="11" fillId="33" borderId="43" applyNumberFormat="0" applyProtection="0">
      <alignment horizontal="right" vertical="center"/>
    </xf>
    <xf numFmtId="0" fontId="11" fillId="33" borderId="43" applyNumberFormat="0" applyProtection="0">
      <alignment horizontal="right" vertical="center"/>
    </xf>
    <xf numFmtId="0" fontId="11" fillId="33" borderId="43" applyNumberFormat="0" applyProtection="0">
      <alignment horizontal="right" vertical="center"/>
    </xf>
    <xf numFmtId="0" fontId="11" fillId="33" borderId="43" applyNumberFormat="0" applyProtection="0">
      <alignment horizontal="right" vertical="center"/>
    </xf>
    <xf numFmtId="0" fontId="11" fillId="34" borderId="43" applyNumberFormat="0" applyProtection="0">
      <alignment horizontal="right" vertical="center"/>
    </xf>
    <xf numFmtId="0" fontId="11" fillId="34" borderId="43" applyNumberFormat="0" applyProtection="0">
      <alignment horizontal="right" vertical="center"/>
    </xf>
    <xf numFmtId="0" fontId="11" fillId="34" borderId="43" applyNumberFormat="0" applyProtection="0">
      <alignment horizontal="right" vertical="center"/>
    </xf>
    <xf numFmtId="0" fontId="11" fillId="34" borderId="43" applyNumberFormat="0" applyProtection="0">
      <alignment horizontal="right" vertical="center"/>
    </xf>
    <xf numFmtId="0" fontId="11" fillId="26" borderId="43" applyNumberFormat="0" applyProtection="0">
      <alignment horizontal="right" vertical="center"/>
    </xf>
    <xf numFmtId="0" fontId="11" fillId="26" borderId="43" applyNumberFormat="0" applyProtection="0">
      <alignment horizontal="right" vertical="center"/>
    </xf>
    <xf numFmtId="0" fontId="11" fillId="26" borderId="43" applyNumberFormat="0" applyProtection="0">
      <alignment horizontal="right" vertical="center"/>
    </xf>
    <xf numFmtId="0" fontId="11" fillId="26" borderId="43" applyNumberFormat="0" applyProtection="0">
      <alignment horizontal="right" vertical="center"/>
    </xf>
    <xf numFmtId="0" fontId="10" fillId="4" borderId="43" applyNumberFormat="0" applyProtection="0">
      <alignment horizontal="left" vertical="center" indent="1"/>
    </xf>
    <xf numFmtId="0" fontId="10" fillId="4" borderId="43" applyNumberFormat="0" applyProtection="0">
      <alignment horizontal="left" vertical="center" indent="1"/>
    </xf>
    <xf numFmtId="0" fontId="10" fillId="4" borderId="43" applyNumberFormat="0" applyProtection="0">
      <alignment horizontal="left" vertical="center" indent="1"/>
    </xf>
    <xf numFmtId="0" fontId="10" fillId="4" borderId="43" applyNumberFormat="0" applyProtection="0">
      <alignment horizontal="left" vertical="center" indent="1"/>
    </xf>
    <xf numFmtId="0" fontId="10" fillId="4" borderId="43" applyNumberFormat="0" applyProtection="0">
      <alignment horizontal="left" vertical="top" indent="1"/>
    </xf>
    <xf numFmtId="0" fontId="10" fillId="4" borderId="43" applyNumberFormat="0" applyProtection="0">
      <alignment horizontal="left" vertical="top" indent="1"/>
    </xf>
    <xf numFmtId="0" fontId="10" fillId="4" borderId="43" applyNumberFormat="0" applyProtection="0">
      <alignment horizontal="left" vertical="top" indent="1"/>
    </xf>
    <xf numFmtId="0" fontId="10" fillId="4" borderId="43" applyNumberFormat="0" applyProtection="0">
      <alignment horizontal="left" vertical="top" indent="1"/>
    </xf>
    <xf numFmtId="0" fontId="10" fillId="26" borderId="43" applyNumberFormat="0" applyProtection="0">
      <alignment horizontal="left" vertical="center" indent="1"/>
    </xf>
    <xf numFmtId="0" fontId="10" fillId="26" borderId="43" applyNumberFormat="0" applyProtection="0">
      <alignment horizontal="left" vertical="center" indent="1"/>
    </xf>
    <xf numFmtId="0" fontId="10" fillId="26" borderId="43" applyNumberFormat="0" applyProtection="0">
      <alignment horizontal="left" vertical="center" indent="1"/>
    </xf>
    <xf numFmtId="0" fontId="10" fillId="26" borderId="43" applyNumberFormat="0" applyProtection="0">
      <alignment horizontal="left" vertical="center" indent="1"/>
    </xf>
    <xf numFmtId="0" fontId="10" fillId="26" borderId="43" applyNumberFormat="0" applyProtection="0">
      <alignment horizontal="left" vertical="top" indent="1"/>
    </xf>
    <xf numFmtId="0" fontId="10" fillId="26" borderId="43" applyNumberFormat="0" applyProtection="0">
      <alignment horizontal="left" vertical="top" indent="1"/>
    </xf>
    <xf numFmtId="0" fontId="10" fillId="26" borderId="43" applyNumberFormat="0" applyProtection="0">
      <alignment horizontal="left" vertical="top" indent="1"/>
    </xf>
    <xf numFmtId="0" fontId="10" fillId="26" borderId="43" applyNumberFormat="0" applyProtection="0">
      <alignment horizontal="left" vertical="top" indent="1"/>
    </xf>
    <xf numFmtId="0" fontId="10" fillId="6" borderId="43" applyNumberFormat="0" applyProtection="0">
      <alignment horizontal="left" vertical="center" indent="1"/>
    </xf>
    <xf numFmtId="0" fontId="10" fillId="6" borderId="43" applyNumberFormat="0" applyProtection="0">
      <alignment horizontal="left" vertical="center" indent="1"/>
    </xf>
    <xf numFmtId="0" fontId="10" fillId="6" borderId="43" applyNumberFormat="0" applyProtection="0">
      <alignment horizontal="left" vertical="center" indent="1"/>
    </xf>
    <xf numFmtId="0" fontId="10" fillId="6" borderId="43" applyNumberFormat="0" applyProtection="0">
      <alignment horizontal="left" vertical="center" indent="1"/>
    </xf>
    <xf numFmtId="0" fontId="10" fillId="6" borderId="43" applyNumberFormat="0" applyProtection="0">
      <alignment horizontal="left" vertical="top" indent="1"/>
    </xf>
    <xf numFmtId="0" fontId="10" fillId="6" borderId="43" applyNumberFormat="0" applyProtection="0">
      <alignment horizontal="left" vertical="top" indent="1"/>
    </xf>
    <xf numFmtId="0" fontId="10" fillId="6" borderId="43" applyNumberFormat="0" applyProtection="0">
      <alignment horizontal="left" vertical="top" indent="1"/>
    </xf>
    <xf numFmtId="0" fontId="10" fillId="6" borderId="43" applyNumberFormat="0" applyProtection="0">
      <alignment horizontal="left" vertical="top" indent="1"/>
    </xf>
    <xf numFmtId="0" fontId="10" fillId="36" borderId="43" applyNumberFormat="0" applyProtection="0">
      <alignment horizontal="left" vertical="center" indent="1"/>
    </xf>
    <xf numFmtId="0" fontId="10" fillId="36" borderId="43" applyNumberFormat="0" applyProtection="0">
      <alignment horizontal="left" vertical="center" indent="1"/>
    </xf>
    <xf numFmtId="0" fontId="10" fillId="36" borderId="43" applyNumberFormat="0" applyProtection="0">
      <alignment horizontal="left" vertical="center" indent="1"/>
    </xf>
    <xf numFmtId="0" fontId="10" fillId="36" borderId="43" applyNumberFormat="0" applyProtection="0">
      <alignment horizontal="left" vertical="center" indent="1"/>
    </xf>
    <xf numFmtId="0" fontId="10" fillId="36" borderId="43" applyNumberFormat="0" applyProtection="0">
      <alignment horizontal="left" vertical="top" indent="1"/>
    </xf>
    <xf numFmtId="0" fontId="10" fillId="36" borderId="43" applyNumberFormat="0" applyProtection="0">
      <alignment horizontal="left" vertical="top" indent="1"/>
    </xf>
    <xf numFmtId="0" fontId="10" fillId="36" borderId="43" applyNumberFormat="0" applyProtection="0">
      <alignment horizontal="left" vertical="top" indent="1"/>
    </xf>
    <xf numFmtId="0" fontId="10" fillId="36" borderId="43" applyNumberFormat="0" applyProtection="0">
      <alignment horizontal="left" vertical="top" indent="1"/>
    </xf>
    <xf numFmtId="0" fontId="11" fillId="8" borderId="43" applyNumberFormat="0" applyProtection="0">
      <alignment vertical="center"/>
    </xf>
    <xf numFmtId="0" fontId="11" fillId="8" borderId="43" applyNumberFormat="0" applyProtection="0">
      <alignment vertical="center"/>
    </xf>
    <xf numFmtId="0" fontId="11" fillId="8" borderId="43" applyNumberFormat="0" applyProtection="0">
      <alignment vertical="center"/>
    </xf>
    <xf numFmtId="0" fontId="11" fillId="8" borderId="43" applyNumberFormat="0" applyProtection="0">
      <alignment vertical="center"/>
    </xf>
    <xf numFmtId="0" fontId="62" fillId="8" borderId="43" applyNumberFormat="0" applyProtection="0">
      <alignment vertical="center"/>
    </xf>
    <xf numFmtId="0" fontId="62" fillId="8" borderId="43" applyNumberFormat="0" applyProtection="0">
      <alignment vertical="center"/>
    </xf>
    <xf numFmtId="0" fontId="62" fillId="8" borderId="43" applyNumberFormat="0" applyProtection="0">
      <alignment vertical="center"/>
    </xf>
    <xf numFmtId="0" fontId="62" fillId="8" borderId="43" applyNumberFormat="0" applyProtection="0">
      <alignment vertical="center"/>
    </xf>
    <xf numFmtId="0" fontId="11" fillId="8" borderId="43" applyNumberFormat="0" applyProtection="0">
      <alignment horizontal="left" vertical="center" indent="1"/>
    </xf>
    <xf numFmtId="0" fontId="11" fillId="8" borderId="43" applyNumberFormat="0" applyProtection="0">
      <alignment horizontal="left" vertical="center" indent="1"/>
    </xf>
    <xf numFmtId="0" fontId="11" fillId="8" borderId="43" applyNumberFormat="0" applyProtection="0">
      <alignment horizontal="left" vertical="center" indent="1"/>
    </xf>
    <xf numFmtId="0" fontId="11" fillId="8" borderId="43" applyNumberFormat="0" applyProtection="0">
      <alignment horizontal="left" vertical="center" indent="1"/>
    </xf>
    <xf numFmtId="0" fontId="11" fillId="8" borderId="43" applyNumberFormat="0" applyProtection="0">
      <alignment horizontal="left" vertical="top" indent="1"/>
    </xf>
    <xf numFmtId="0" fontId="11" fillId="8" borderId="43" applyNumberFormat="0" applyProtection="0">
      <alignment horizontal="left" vertical="top" indent="1"/>
    </xf>
    <xf numFmtId="0" fontId="11" fillId="8" borderId="43" applyNumberFormat="0" applyProtection="0">
      <alignment horizontal="left" vertical="top" indent="1"/>
    </xf>
    <xf numFmtId="0" fontId="11" fillId="8" borderId="43" applyNumberFormat="0" applyProtection="0">
      <alignment horizontal="left" vertical="top" indent="1"/>
    </xf>
    <xf numFmtId="0" fontId="11" fillId="36" borderId="43" applyNumberFormat="0" applyProtection="0">
      <alignment horizontal="right" vertical="center"/>
    </xf>
    <xf numFmtId="0" fontId="11" fillId="36" borderId="43" applyNumberFormat="0" applyProtection="0">
      <alignment horizontal="right" vertical="center"/>
    </xf>
    <xf numFmtId="0" fontId="11" fillId="36" borderId="43" applyNumberFormat="0" applyProtection="0">
      <alignment horizontal="right" vertical="center"/>
    </xf>
    <xf numFmtId="0" fontId="11" fillId="36" borderId="43" applyNumberFormat="0" applyProtection="0">
      <alignment horizontal="right" vertical="center"/>
    </xf>
    <xf numFmtId="0" fontId="62" fillId="36" borderId="43" applyNumberFormat="0" applyProtection="0">
      <alignment horizontal="right" vertical="center"/>
    </xf>
    <xf numFmtId="0" fontId="62" fillId="36" borderId="43" applyNumberFormat="0" applyProtection="0">
      <alignment horizontal="right" vertical="center"/>
    </xf>
    <xf numFmtId="0" fontId="62" fillId="36" borderId="43" applyNumberFormat="0" applyProtection="0">
      <alignment horizontal="right" vertical="center"/>
    </xf>
    <xf numFmtId="0" fontId="62" fillId="36" borderId="43" applyNumberFormat="0" applyProtection="0">
      <alignment horizontal="right" vertical="center"/>
    </xf>
    <xf numFmtId="0" fontId="11" fillId="26" borderId="43" applyNumberFormat="0" applyProtection="0">
      <alignment horizontal="left" vertical="center" indent="1"/>
    </xf>
    <xf numFmtId="0" fontId="11" fillId="26" borderId="43" applyNumberFormat="0" applyProtection="0">
      <alignment horizontal="left" vertical="center" indent="1"/>
    </xf>
    <xf numFmtId="0" fontId="11" fillId="26" borderId="43" applyNumberFormat="0" applyProtection="0">
      <alignment horizontal="left" vertical="center" indent="1"/>
    </xf>
    <xf numFmtId="0" fontId="11" fillId="26" borderId="43" applyNumberFormat="0" applyProtection="0">
      <alignment horizontal="left" vertical="center" indent="1"/>
    </xf>
    <xf numFmtId="0" fontId="11" fillId="26" borderId="43" applyNumberFormat="0" applyProtection="0">
      <alignment horizontal="left" vertical="top" indent="1"/>
    </xf>
    <xf numFmtId="0" fontId="11" fillId="26" borderId="43" applyNumberFormat="0" applyProtection="0">
      <alignment horizontal="left" vertical="top" indent="1"/>
    </xf>
    <xf numFmtId="0" fontId="11" fillId="26" borderId="43" applyNumberFormat="0" applyProtection="0">
      <alignment horizontal="left" vertical="top" indent="1"/>
    </xf>
    <xf numFmtId="0" fontId="11" fillId="26" borderId="43" applyNumberFormat="0" applyProtection="0">
      <alignment horizontal="left" vertical="top" indent="1"/>
    </xf>
    <xf numFmtId="0" fontId="20" fillId="36" borderId="43" applyNumberFormat="0" applyProtection="0">
      <alignment horizontal="right" vertical="center"/>
    </xf>
    <xf numFmtId="0" fontId="20" fillId="36" borderId="43" applyNumberFormat="0" applyProtection="0">
      <alignment horizontal="right" vertical="center"/>
    </xf>
    <xf numFmtId="0" fontId="20" fillId="36" borderId="43" applyNumberFormat="0" applyProtection="0">
      <alignment horizontal="right" vertical="center"/>
    </xf>
    <xf numFmtId="0" fontId="20" fillId="36" borderId="43" applyNumberFormat="0" applyProtection="0">
      <alignment horizontal="right" vertical="center"/>
    </xf>
    <xf numFmtId="0" fontId="60" fillId="25" borderId="48" applyNumberFormat="0" applyProtection="0">
      <alignment vertical="center"/>
    </xf>
    <xf numFmtId="0" fontId="11" fillId="26" borderId="48" applyNumberFormat="0" applyProtection="0">
      <alignment horizontal="left" vertical="top" indent="1"/>
    </xf>
    <xf numFmtId="0" fontId="10" fillId="6" borderId="55" applyNumberFormat="0" applyProtection="0">
      <alignment horizontal="left" vertical="center" indent="1"/>
    </xf>
    <xf numFmtId="0" fontId="62" fillId="36" borderId="57" applyNumberFormat="0" applyProtection="0">
      <alignment horizontal="right" vertical="center"/>
    </xf>
    <xf numFmtId="0" fontId="20" fillId="36" borderId="55" applyNumberFormat="0" applyProtection="0">
      <alignment horizontal="right" vertical="center"/>
    </xf>
    <xf numFmtId="0" fontId="21" fillId="35" borderId="44" applyNumberFormat="0" applyProtection="0">
      <alignment horizontal="left" vertical="center" indent="1"/>
    </xf>
    <xf numFmtId="0" fontId="21" fillId="35" borderId="44" applyNumberFormat="0" applyProtection="0">
      <alignment horizontal="left" vertical="center" indent="1"/>
    </xf>
    <xf numFmtId="0" fontId="21" fillId="35" borderId="44" applyNumberFormat="0" applyProtection="0">
      <alignment horizontal="left" vertical="center" indent="1"/>
    </xf>
    <xf numFmtId="0" fontId="21" fillId="35" borderId="44" applyNumberFormat="0" applyProtection="0">
      <alignment horizontal="left" vertical="center" indent="1"/>
    </xf>
    <xf numFmtId="0" fontId="21" fillId="35" borderId="44" applyNumberFormat="0" applyProtection="0">
      <alignment horizontal="left" vertical="center" indent="1"/>
    </xf>
    <xf numFmtId="0" fontId="21" fillId="35" borderId="44" applyNumberFormat="0" applyProtection="0">
      <alignment horizontal="left" vertical="center" indent="1"/>
    </xf>
    <xf numFmtId="0" fontId="47" fillId="0" borderId="46" applyNumberFormat="0" applyProtection="0"/>
    <xf numFmtId="0" fontId="21" fillId="35" borderId="44" applyNumberFormat="0" applyProtection="0">
      <alignment horizontal="left" vertical="center" indent="1"/>
    </xf>
    <xf numFmtId="0" fontId="21" fillId="35" borderId="44" applyNumberFormat="0" applyProtection="0">
      <alignment horizontal="left" vertical="center" indent="1"/>
    </xf>
    <xf numFmtId="0" fontId="21" fillId="35" borderId="44" applyNumberFormat="0" applyProtection="0">
      <alignment horizontal="left" vertical="center" indent="1"/>
    </xf>
    <xf numFmtId="0" fontId="21" fillId="35" borderId="44" applyNumberFormat="0" applyProtection="0">
      <alignment horizontal="left" vertical="center" indent="1"/>
    </xf>
    <xf numFmtId="0" fontId="47" fillId="0" borderId="46" applyNumberFormat="0" applyProtection="0"/>
    <xf numFmtId="0" fontId="21" fillId="35" borderId="44" applyNumberFormat="0" applyProtection="0">
      <alignment horizontal="left" vertical="center" indent="1"/>
    </xf>
    <xf numFmtId="0" fontId="11" fillId="26" borderId="55" applyNumberFormat="0" applyProtection="0">
      <alignment horizontal="left" vertical="center" indent="1"/>
    </xf>
    <xf numFmtId="0" fontId="21" fillId="35" borderId="44" applyNumberFormat="0" applyProtection="0">
      <alignment horizontal="left" vertical="center" indent="1"/>
    </xf>
    <xf numFmtId="0" fontId="10" fillId="4" borderId="55" applyNumberFormat="0" applyProtection="0">
      <alignment horizontal="left" vertical="top" indent="1"/>
    </xf>
    <xf numFmtId="0" fontId="11" fillId="26" borderId="55" applyNumberFormat="0" applyProtection="0">
      <alignment horizontal="left" vertical="center" indent="1"/>
    </xf>
    <xf numFmtId="0" fontId="10" fillId="6" borderId="57" applyNumberFormat="0" applyProtection="0">
      <alignment horizontal="left" vertical="top" indent="1"/>
    </xf>
    <xf numFmtId="0" fontId="7" fillId="0" borderId="56" applyAlignment="0"/>
    <xf numFmtId="0" fontId="11" fillId="8" borderId="55" applyNumberFormat="0" applyProtection="0">
      <alignment horizontal="left" vertical="center" indent="1"/>
    </xf>
    <xf numFmtId="0" fontId="10" fillId="0" borderId="52" applyNumberFormat="0"/>
    <xf numFmtId="0" fontId="62" fillId="36" borderId="55" applyNumberFormat="0" applyProtection="0">
      <alignment horizontal="right" vertical="center"/>
    </xf>
    <xf numFmtId="4" fontId="93" fillId="0" borderId="56">
      <alignment horizontal="right"/>
    </xf>
    <xf numFmtId="0" fontId="21" fillId="35" borderId="51" applyNumberFormat="0" applyProtection="0">
      <alignment horizontal="left" vertical="center" indent="1"/>
    </xf>
    <xf numFmtId="0" fontId="42" fillId="9" borderId="52"/>
    <xf numFmtId="0" fontId="93" fillId="0" borderId="56" applyAlignment="0"/>
    <xf numFmtId="0" fontId="11" fillId="36" borderId="55" applyNumberFormat="0" applyProtection="0">
      <alignment horizontal="right" vertical="center"/>
    </xf>
    <xf numFmtId="0" fontId="11" fillId="28" borderId="55" applyNumberFormat="0" applyProtection="0">
      <alignment horizontal="right" vertical="center"/>
    </xf>
    <xf numFmtId="0" fontId="11" fillId="27" borderId="55" applyNumberFormat="0" applyProtection="0">
      <alignment horizontal="right" vertical="center"/>
    </xf>
    <xf numFmtId="0" fontId="11" fillId="31" borderId="55" applyNumberFormat="0" applyProtection="0">
      <alignment horizontal="right" vertical="center"/>
    </xf>
    <xf numFmtId="0" fontId="10" fillId="4" borderId="55" applyNumberFormat="0" applyProtection="0">
      <alignment horizontal="left" vertical="top" indent="1"/>
    </xf>
    <xf numFmtId="0" fontId="10" fillId="36" borderId="55" applyNumberFormat="0" applyProtection="0">
      <alignment horizontal="left" vertical="top" indent="1"/>
    </xf>
    <xf numFmtId="0" fontId="11" fillId="30" borderId="55" applyNumberFormat="0" applyProtection="0">
      <alignment horizontal="right" vertical="center"/>
    </xf>
    <xf numFmtId="0" fontId="10" fillId="0" borderId="56" applyNumberFormat="0"/>
    <xf numFmtId="0" fontId="21" fillId="25" borderId="55" applyNumberFormat="0" applyProtection="0">
      <alignment vertical="center"/>
    </xf>
    <xf numFmtId="0" fontId="11" fillId="28" borderId="55" applyNumberFormat="0" applyProtection="0">
      <alignment horizontal="right" vertical="center"/>
    </xf>
    <xf numFmtId="0" fontId="11" fillId="8" borderId="55" applyNumberFormat="0" applyProtection="0">
      <alignment horizontal="left" vertical="center" indent="1"/>
    </xf>
    <xf numFmtId="0" fontId="10" fillId="36" borderId="55" applyNumberFormat="0" applyProtection="0">
      <alignment horizontal="left" vertical="top" indent="1"/>
    </xf>
    <xf numFmtId="0" fontId="93" fillId="0" borderId="45" applyAlignment="0"/>
    <xf numFmtId="0" fontId="93" fillId="0" borderId="45" applyAlignment="0"/>
    <xf numFmtId="0" fontId="93" fillId="0" borderId="45" applyAlignment="0"/>
    <xf numFmtId="0" fontId="93" fillId="0" borderId="45" applyAlignment="0"/>
    <xf numFmtId="0" fontId="93" fillId="0" borderId="45" applyAlignment="0"/>
    <xf numFmtId="0" fontId="93" fillId="0" borderId="45" applyAlignment="0"/>
    <xf numFmtId="0" fontId="93" fillId="0" borderId="45" applyAlignment="0"/>
    <xf numFmtId="0" fontId="93" fillId="0" borderId="45" applyAlignment="0"/>
    <xf numFmtId="0" fontId="42" fillId="20" borderId="45"/>
    <xf numFmtId="0" fontId="42" fillId="20" borderId="45"/>
    <xf numFmtId="0" fontId="7" fillId="0" borderId="45" applyAlignment="0"/>
    <xf numFmtId="0" fontId="7" fillId="0" borderId="45" applyAlignment="0"/>
    <xf numFmtId="0" fontId="47" fillId="0" borderId="50" applyNumberFormat="0" applyProtection="0"/>
    <xf numFmtId="0" fontId="47" fillId="0" borderId="47">
      <alignment horizontal="left" vertical="center"/>
    </xf>
    <xf numFmtId="0" fontId="48" fillId="23" borderId="45">
      <alignment horizontal="center" vertical="center"/>
    </xf>
    <xf numFmtId="0" fontId="48" fillId="23" borderId="45">
      <alignment horizontal="center" vertical="center"/>
    </xf>
    <xf numFmtId="0" fontId="42" fillId="8" borderId="45" applyNumberFormat="0" applyBorder="0" applyAlignment="0" applyProtection="0"/>
    <xf numFmtId="0" fontId="42" fillId="8" borderId="45" applyNumberFormat="0" applyBorder="0" applyAlignment="0" applyProtection="0"/>
    <xf numFmtId="0" fontId="11" fillId="8" borderId="55" applyNumberFormat="0" applyProtection="0">
      <alignment vertical="center"/>
    </xf>
    <xf numFmtId="0" fontId="21" fillId="25" borderId="55" applyNumberFormat="0" applyProtection="0">
      <alignment horizontal="left" vertical="top" indent="1"/>
    </xf>
    <xf numFmtId="0" fontId="21" fillId="25" borderId="55" applyNumberFormat="0" applyProtection="0">
      <alignment horizontal="left" vertical="center" indent="1"/>
    </xf>
    <xf numFmtId="4" fontId="7" fillId="0" borderId="52">
      <alignment horizontal="right" vertical="center"/>
    </xf>
    <xf numFmtId="0" fontId="21" fillId="25" borderId="55" applyNumberFormat="0" applyProtection="0">
      <alignment horizontal="left" vertical="center" indent="1"/>
    </xf>
    <xf numFmtId="0" fontId="11" fillId="8" borderId="53" applyNumberFormat="0" applyProtection="0">
      <alignment horizontal="left" vertical="top" indent="1"/>
    </xf>
    <xf numFmtId="0" fontId="10" fillId="6" borderId="53" applyNumberFormat="0" applyProtection="0">
      <alignment horizontal="left" vertical="center" indent="1"/>
    </xf>
    <xf numFmtId="0" fontId="11" fillId="34" borderId="53" applyNumberFormat="0" applyProtection="0">
      <alignment horizontal="right" vertical="center"/>
    </xf>
    <xf numFmtId="0" fontId="11" fillId="33" borderId="53" applyNumberFormat="0" applyProtection="0">
      <alignment horizontal="right" vertical="center"/>
    </xf>
    <xf numFmtId="0" fontId="11" fillId="26" borderId="53" applyNumberFormat="0" applyProtection="0">
      <alignment horizontal="left" vertical="top" indent="1"/>
    </xf>
    <xf numFmtId="0" fontId="11" fillId="32" borderId="55" applyNumberFormat="0" applyProtection="0">
      <alignment horizontal="right" vertical="center"/>
    </xf>
    <xf numFmtId="0" fontId="62" fillId="36" borderId="55" applyNumberFormat="0" applyProtection="0">
      <alignment horizontal="right" vertical="center"/>
    </xf>
    <xf numFmtId="0" fontId="21" fillId="25" borderId="53" applyNumberFormat="0" applyProtection="0">
      <alignment vertical="center"/>
    </xf>
    <xf numFmtId="0" fontId="21" fillId="25" borderId="53" applyNumberFormat="0" applyProtection="0">
      <alignment horizontal="left" vertical="center" indent="1"/>
    </xf>
    <xf numFmtId="0" fontId="11" fillId="30" borderId="55" applyNumberFormat="0" applyProtection="0">
      <alignment horizontal="right" vertical="center"/>
    </xf>
    <xf numFmtId="0" fontId="42" fillId="9" borderId="45"/>
    <xf numFmtId="0" fontId="42" fillId="9" borderId="45"/>
    <xf numFmtId="0" fontId="21" fillId="25" borderId="48" applyNumberFormat="0" applyProtection="0">
      <alignment vertical="center"/>
    </xf>
    <xf numFmtId="0" fontId="21" fillId="25" borderId="48" applyNumberFormat="0" applyProtection="0">
      <alignment vertical="center"/>
    </xf>
    <xf numFmtId="0" fontId="21" fillId="25" borderId="48" applyNumberFormat="0" applyProtection="0">
      <alignment vertical="center"/>
    </xf>
    <xf numFmtId="0" fontId="21" fillId="25" borderId="48" applyNumberFormat="0" applyProtection="0">
      <alignment vertical="center"/>
    </xf>
    <xf numFmtId="0" fontId="60" fillId="25" borderId="48" applyNumberFormat="0" applyProtection="0">
      <alignment vertical="center"/>
    </xf>
    <xf numFmtId="0" fontId="60" fillId="25" borderId="48" applyNumberFormat="0" applyProtection="0">
      <alignment vertical="center"/>
    </xf>
    <xf numFmtId="0" fontId="60" fillId="25" borderId="48" applyNumberFormat="0" applyProtection="0">
      <alignment vertical="center"/>
    </xf>
    <xf numFmtId="0" fontId="60" fillId="25" borderId="48" applyNumberFormat="0" applyProtection="0">
      <alignment vertical="center"/>
    </xf>
    <xf numFmtId="0" fontId="21" fillId="25" borderId="48" applyNumberFormat="0" applyProtection="0">
      <alignment horizontal="left" vertical="center" indent="1"/>
    </xf>
    <xf numFmtId="0" fontId="21" fillId="25" borderId="48" applyNumberFormat="0" applyProtection="0">
      <alignment horizontal="left" vertical="center" indent="1"/>
    </xf>
    <xf numFmtId="0" fontId="21" fillId="25" borderId="48" applyNumberFormat="0" applyProtection="0">
      <alignment horizontal="left" vertical="center" indent="1"/>
    </xf>
    <xf numFmtId="0" fontId="21" fillId="25" borderId="48" applyNumberFormat="0" applyProtection="0">
      <alignment horizontal="left" vertical="center" indent="1"/>
    </xf>
    <xf numFmtId="0" fontId="21" fillId="25" borderId="48" applyNumberFormat="0" applyProtection="0">
      <alignment horizontal="left" vertical="top" indent="1"/>
    </xf>
    <xf numFmtId="0" fontId="21" fillId="25" borderId="48" applyNumberFormat="0" applyProtection="0">
      <alignment horizontal="left" vertical="top" indent="1"/>
    </xf>
    <xf numFmtId="0" fontId="21" fillId="25" borderId="48" applyNumberFormat="0" applyProtection="0">
      <alignment horizontal="left" vertical="top" indent="1"/>
    </xf>
    <xf numFmtId="0" fontId="21" fillId="25" borderId="48" applyNumberFormat="0" applyProtection="0">
      <alignment horizontal="left" vertical="top" indent="1"/>
    </xf>
    <xf numFmtId="0" fontId="11" fillId="27" borderId="48" applyNumberFormat="0" applyProtection="0">
      <alignment horizontal="right" vertical="center"/>
    </xf>
    <xf numFmtId="0" fontId="11" fillId="27" borderId="48" applyNumberFormat="0" applyProtection="0">
      <alignment horizontal="right" vertical="center"/>
    </xf>
    <xf numFmtId="0" fontId="11" fillId="27" borderId="48" applyNumberFormat="0" applyProtection="0">
      <alignment horizontal="right" vertical="center"/>
    </xf>
    <xf numFmtId="0" fontId="11" fillId="27" borderId="48" applyNumberFormat="0" applyProtection="0">
      <alignment horizontal="right" vertical="center"/>
    </xf>
    <xf numFmtId="0" fontId="11" fillId="28" borderId="48" applyNumberFormat="0" applyProtection="0">
      <alignment horizontal="right" vertical="center"/>
    </xf>
    <xf numFmtId="0" fontId="11" fillId="28" borderId="48" applyNumberFormat="0" applyProtection="0">
      <alignment horizontal="right" vertical="center"/>
    </xf>
    <xf numFmtId="0" fontId="11" fillId="28" borderId="48" applyNumberFormat="0" applyProtection="0">
      <alignment horizontal="right" vertical="center"/>
    </xf>
    <xf numFmtId="0" fontId="11" fillId="28" borderId="48" applyNumberFormat="0" applyProtection="0">
      <alignment horizontal="right" vertical="center"/>
    </xf>
    <xf numFmtId="0" fontId="11" fillId="29" borderId="48" applyNumberFormat="0" applyProtection="0">
      <alignment horizontal="right" vertical="center"/>
    </xf>
    <xf numFmtId="0" fontId="11" fillId="29" borderId="48" applyNumberFormat="0" applyProtection="0">
      <alignment horizontal="right" vertical="center"/>
    </xf>
    <xf numFmtId="0" fontId="11" fillId="29" borderId="48" applyNumberFormat="0" applyProtection="0">
      <alignment horizontal="right" vertical="center"/>
    </xf>
    <xf numFmtId="0" fontId="11" fillId="29" borderId="48" applyNumberFormat="0" applyProtection="0">
      <alignment horizontal="right" vertical="center"/>
    </xf>
    <xf numFmtId="0" fontId="11" fillId="30" borderId="48" applyNumberFormat="0" applyProtection="0">
      <alignment horizontal="right" vertical="center"/>
    </xf>
    <xf numFmtId="0" fontId="11" fillId="30" borderId="48" applyNumberFormat="0" applyProtection="0">
      <alignment horizontal="right" vertical="center"/>
    </xf>
    <xf numFmtId="0" fontId="11" fillId="30" borderId="48" applyNumberFormat="0" applyProtection="0">
      <alignment horizontal="right" vertical="center"/>
    </xf>
    <xf numFmtId="0" fontId="11" fillId="30" borderId="48" applyNumberFormat="0" applyProtection="0">
      <alignment horizontal="right" vertical="center"/>
    </xf>
    <xf numFmtId="0" fontId="11" fillId="15" borderId="48" applyNumberFormat="0" applyProtection="0">
      <alignment horizontal="right" vertical="center"/>
    </xf>
    <xf numFmtId="0" fontId="11" fillId="15" borderId="48" applyNumberFormat="0" applyProtection="0">
      <alignment horizontal="right" vertical="center"/>
    </xf>
    <xf numFmtId="0" fontId="11" fillId="15" borderId="48" applyNumberFormat="0" applyProtection="0">
      <alignment horizontal="right" vertical="center"/>
    </xf>
    <xf numFmtId="0" fontId="11" fillId="15" borderId="48" applyNumberFormat="0" applyProtection="0">
      <alignment horizontal="right" vertical="center"/>
    </xf>
    <xf numFmtId="0" fontId="11" fillId="31" borderId="48" applyNumberFormat="0" applyProtection="0">
      <alignment horizontal="right" vertical="center"/>
    </xf>
    <xf numFmtId="0" fontId="11" fillId="31" borderId="48" applyNumberFormat="0" applyProtection="0">
      <alignment horizontal="right" vertical="center"/>
    </xf>
    <xf numFmtId="0" fontId="11" fillId="31" borderId="48" applyNumberFormat="0" applyProtection="0">
      <alignment horizontal="right" vertical="center"/>
    </xf>
    <xf numFmtId="0" fontId="11" fillId="31" borderId="48" applyNumberFormat="0" applyProtection="0">
      <alignment horizontal="right" vertical="center"/>
    </xf>
    <xf numFmtId="0" fontId="11" fillId="32" borderId="48" applyNumberFormat="0" applyProtection="0">
      <alignment horizontal="right" vertical="center"/>
    </xf>
    <xf numFmtId="0" fontId="11" fillId="32" borderId="48" applyNumberFormat="0" applyProtection="0">
      <alignment horizontal="right" vertical="center"/>
    </xf>
    <xf numFmtId="0" fontId="11" fillId="32" borderId="48" applyNumberFormat="0" applyProtection="0">
      <alignment horizontal="right" vertical="center"/>
    </xf>
    <xf numFmtId="0" fontId="11" fillId="32" borderId="48" applyNumberFormat="0" applyProtection="0">
      <alignment horizontal="right" vertical="center"/>
    </xf>
    <xf numFmtId="0" fontId="11" fillId="33" borderId="48" applyNumberFormat="0" applyProtection="0">
      <alignment horizontal="right" vertical="center"/>
    </xf>
    <xf numFmtId="0" fontId="11" fillId="33" borderId="48" applyNumberFormat="0" applyProtection="0">
      <alignment horizontal="right" vertical="center"/>
    </xf>
    <xf numFmtId="0" fontId="11" fillId="33" borderId="48" applyNumberFormat="0" applyProtection="0">
      <alignment horizontal="right" vertical="center"/>
    </xf>
    <xf numFmtId="0" fontId="11" fillId="33" borderId="48" applyNumberFormat="0" applyProtection="0">
      <alignment horizontal="right" vertical="center"/>
    </xf>
    <xf numFmtId="0" fontId="11" fillId="34" borderId="48" applyNumberFormat="0" applyProtection="0">
      <alignment horizontal="right" vertical="center"/>
    </xf>
    <xf numFmtId="0" fontId="11" fillId="34" borderId="48" applyNumberFormat="0" applyProtection="0">
      <alignment horizontal="right" vertical="center"/>
    </xf>
    <xf numFmtId="0" fontId="11" fillId="34" borderId="48" applyNumberFormat="0" applyProtection="0">
      <alignment horizontal="right" vertical="center"/>
    </xf>
    <xf numFmtId="0" fontId="11" fillId="34" borderId="48" applyNumberFormat="0" applyProtection="0">
      <alignment horizontal="right" vertical="center"/>
    </xf>
    <xf numFmtId="0" fontId="21" fillId="35" borderId="49" applyNumberFormat="0" applyProtection="0">
      <alignment horizontal="left" vertical="center" indent="1"/>
    </xf>
    <xf numFmtId="0" fontId="11" fillId="26" borderId="48" applyNumberFormat="0" applyProtection="0">
      <alignment horizontal="right" vertical="center"/>
    </xf>
    <xf numFmtId="0" fontId="11" fillId="26" borderId="48" applyNumberFormat="0" applyProtection="0">
      <alignment horizontal="right" vertical="center"/>
    </xf>
    <xf numFmtId="0" fontId="11" fillId="26" borderId="48" applyNumberFormat="0" applyProtection="0">
      <alignment horizontal="right" vertical="center"/>
    </xf>
    <xf numFmtId="0" fontId="11" fillId="26" borderId="48" applyNumberFormat="0" applyProtection="0">
      <alignment horizontal="right" vertical="center"/>
    </xf>
    <xf numFmtId="0" fontId="10" fillId="4" borderId="48" applyNumberFormat="0" applyProtection="0">
      <alignment horizontal="left" vertical="center" indent="1"/>
    </xf>
    <xf numFmtId="0" fontId="10" fillId="4" borderId="48" applyNumberFormat="0" applyProtection="0">
      <alignment horizontal="left" vertical="center" indent="1"/>
    </xf>
    <xf numFmtId="0" fontId="10" fillId="4" borderId="48" applyNumberFormat="0" applyProtection="0">
      <alignment horizontal="left" vertical="center" indent="1"/>
    </xf>
    <xf numFmtId="0" fontId="10" fillId="4" borderId="48" applyNumberFormat="0" applyProtection="0">
      <alignment horizontal="left" vertical="center" indent="1"/>
    </xf>
    <xf numFmtId="0" fontId="10" fillId="4" borderId="48" applyNumberFormat="0" applyProtection="0">
      <alignment horizontal="left" vertical="top" indent="1"/>
    </xf>
    <xf numFmtId="0" fontId="10" fillId="4" borderId="48" applyNumberFormat="0" applyProtection="0">
      <alignment horizontal="left" vertical="top" indent="1"/>
    </xf>
    <xf numFmtId="0" fontId="10" fillId="4" borderId="48" applyNumberFormat="0" applyProtection="0">
      <alignment horizontal="left" vertical="top" indent="1"/>
    </xf>
    <xf numFmtId="0" fontId="10" fillId="4" borderId="48" applyNumberFormat="0" applyProtection="0">
      <alignment horizontal="left" vertical="top" indent="1"/>
    </xf>
    <xf numFmtId="0" fontId="10" fillId="26" borderId="48" applyNumberFormat="0" applyProtection="0">
      <alignment horizontal="left" vertical="center" indent="1"/>
    </xf>
    <xf numFmtId="0" fontId="10" fillId="26" borderId="48" applyNumberFormat="0" applyProtection="0">
      <alignment horizontal="left" vertical="center" indent="1"/>
    </xf>
    <xf numFmtId="0" fontId="10" fillId="26" borderId="48" applyNumberFormat="0" applyProtection="0">
      <alignment horizontal="left" vertical="center" indent="1"/>
    </xf>
    <xf numFmtId="0" fontId="10" fillId="26" borderId="48" applyNumberFormat="0" applyProtection="0">
      <alignment horizontal="left" vertical="center" indent="1"/>
    </xf>
    <xf numFmtId="0" fontId="10" fillId="26" borderId="48" applyNumberFormat="0" applyProtection="0">
      <alignment horizontal="left" vertical="top" indent="1"/>
    </xf>
    <xf numFmtId="0" fontId="10" fillId="26" borderId="48" applyNumberFormat="0" applyProtection="0">
      <alignment horizontal="left" vertical="top" indent="1"/>
    </xf>
    <xf numFmtId="0" fontId="10" fillId="26" borderId="48" applyNumberFormat="0" applyProtection="0">
      <alignment horizontal="left" vertical="top" indent="1"/>
    </xf>
    <xf numFmtId="0" fontId="10" fillId="26" borderId="48" applyNumberFormat="0" applyProtection="0">
      <alignment horizontal="left" vertical="top" indent="1"/>
    </xf>
    <xf numFmtId="0" fontId="10" fillId="6" borderId="48" applyNumberFormat="0" applyProtection="0">
      <alignment horizontal="left" vertical="center" indent="1"/>
    </xf>
    <xf numFmtId="0" fontId="10" fillId="6" borderId="48" applyNumberFormat="0" applyProtection="0">
      <alignment horizontal="left" vertical="center" indent="1"/>
    </xf>
    <xf numFmtId="0" fontId="10" fillId="6" borderId="48" applyNumberFormat="0" applyProtection="0">
      <alignment horizontal="left" vertical="center" indent="1"/>
    </xf>
    <xf numFmtId="0" fontId="10" fillId="6" borderId="48" applyNumberFormat="0" applyProtection="0">
      <alignment horizontal="left" vertical="center" indent="1"/>
    </xf>
    <xf numFmtId="0" fontId="10" fillId="6" borderId="48" applyNumberFormat="0" applyProtection="0">
      <alignment horizontal="left" vertical="top" indent="1"/>
    </xf>
    <xf numFmtId="0" fontId="10" fillId="6" borderId="48" applyNumberFormat="0" applyProtection="0">
      <alignment horizontal="left" vertical="top" indent="1"/>
    </xf>
    <xf numFmtId="0" fontId="10" fillId="6" borderId="48" applyNumberFormat="0" applyProtection="0">
      <alignment horizontal="left" vertical="top" indent="1"/>
    </xf>
    <xf numFmtId="0" fontId="10" fillId="6" borderId="48" applyNumberFormat="0" applyProtection="0">
      <alignment horizontal="left" vertical="top" indent="1"/>
    </xf>
    <xf numFmtId="0" fontId="10" fillId="36" borderId="48" applyNumberFormat="0" applyProtection="0">
      <alignment horizontal="left" vertical="center" indent="1"/>
    </xf>
    <xf numFmtId="0" fontId="10" fillId="36" borderId="48" applyNumberFormat="0" applyProtection="0">
      <alignment horizontal="left" vertical="center" indent="1"/>
    </xf>
    <xf numFmtId="0" fontId="10" fillId="36" borderId="48" applyNumberFormat="0" applyProtection="0">
      <alignment horizontal="left" vertical="center" indent="1"/>
    </xf>
    <xf numFmtId="0" fontId="10" fillId="36" borderId="48" applyNumberFormat="0" applyProtection="0">
      <alignment horizontal="left" vertical="center" indent="1"/>
    </xf>
    <xf numFmtId="0" fontId="10" fillId="36" borderId="48" applyNumberFormat="0" applyProtection="0">
      <alignment horizontal="left" vertical="top" indent="1"/>
    </xf>
    <xf numFmtId="0" fontId="10" fillId="36" borderId="48" applyNumberFormat="0" applyProtection="0">
      <alignment horizontal="left" vertical="top" indent="1"/>
    </xf>
    <xf numFmtId="0" fontId="10" fillId="36" borderId="48" applyNumberFormat="0" applyProtection="0">
      <alignment horizontal="left" vertical="top" indent="1"/>
    </xf>
    <xf numFmtId="0" fontId="10" fillId="36" borderId="48" applyNumberFormat="0" applyProtection="0">
      <alignment horizontal="left" vertical="top" indent="1"/>
    </xf>
    <xf numFmtId="0" fontId="11" fillId="8" borderId="48" applyNumberFormat="0" applyProtection="0">
      <alignment vertical="center"/>
    </xf>
    <xf numFmtId="0" fontId="11" fillId="8" borderId="48" applyNumberFormat="0" applyProtection="0">
      <alignment vertical="center"/>
    </xf>
    <xf numFmtId="0" fontId="11" fillId="8" borderId="48" applyNumberFormat="0" applyProtection="0">
      <alignment vertical="center"/>
    </xf>
    <xf numFmtId="0" fontId="11" fillId="8" borderId="48" applyNumberFormat="0" applyProtection="0">
      <alignment vertical="center"/>
    </xf>
    <xf numFmtId="0" fontId="62" fillId="8" borderId="48" applyNumberFormat="0" applyProtection="0">
      <alignment vertical="center"/>
    </xf>
    <xf numFmtId="0" fontId="62" fillId="8" borderId="48" applyNumberFormat="0" applyProtection="0">
      <alignment vertical="center"/>
    </xf>
    <xf numFmtId="0" fontId="62" fillId="8" borderId="48" applyNumberFormat="0" applyProtection="0">
      <alignment vertical="center"/>
    </xf>
    <xf numFmtId="0" fontId="62" fillId="8" borderId="48" applyNumberFormat="0" applyProtection="0">
      <alignment vertical="center"/>
    </xf>
    <xf numFmtId="0" fontId="11" fillId="8" borderId="48" applyNumberFormat="0" applyProtection="0">
      <alignment horizontal="left" vertical="center" indent="1"/>
    </xf>
    <xf numFmtId="0" fontId="11" fillId="8" borderId="48" applyNumberFormat="0" applyProtection="0">
      <alignment horizontal="left" vertical="center" indent="1"/>
    </xf>
    <xf numFmtId="0" fontId="11" fillId="8" borderId="48" applyNumberFormat="0" applyProtection="0">
      <alignment horizontal="left" vertical="center" indent="1"/>
    </xf>
    <xf numFmtId="0" fontId="11" fillId="8" borderId="48" applyNumberFormat="0" applyProtection="0">
      <alignment horizontal="left" vertical="center" indent="1"/>
    </xf>
    <xf numFmtId="0" fontId="11" fillId="8" borderId="48" applyNumberFormat="0" applyProtection="0">
      <alignment horizontal="left" vertical="top" indent="1"/>
    </xf>
    <xf numFmtId="0" fontId="11" fillId="8" borderId="48" applyNumberFormat="0" applyProtection="0">
      <alignment horizontal="left" vertical="top" indent="1"/>
    </xf>
    <xf numFmtId="0" fontId="11" fillId="8" borderId="48" applyNumberFormat="0" applyProtection="0">
      <alignment horizontal="left" vertical="top" indent="1"/>
    </xf>
    <xf numFmtId="0" fontId="11" fillId="8" borderId="48" applyNumberFormat="0" applyProtection="0">
      <alignment horizontal="left" vertical="top" indent="1"/>
    </xf>
    <xf numFmtId="0" fontId="11" fillId="36" borderId="48" applyNumberFormat="0" applyProtection="0">
      <alignment horizontal="right" vertical="center"/>
    </xf>
    <xf numFmtId="0" fontId="11" fillId="36" borderId="48" applyNumberFormat="0" applyProtection="0">
      <alignment horizontal="right" vertical="center"/>
    </xf>
    <xf numFmtId="0" fontId="11" fillId="36" borderId="48" applyNumberFormat="0" applyProtection="0">
      <alignment horizontal="right" vertical="center"/>
    </xf>
    <xf numFmtId="0" fontId="11" fillId="36" borderId="48" applyNumberFormat="0" applyProtection="0">
      <alignment horizontal="right" vertical="center"/>
    </xf>
    <xf numFmtId="0" fontId="62" fillId="36" borderId="48" applyNumberFormat="0" applyProtection="0">
      <alignment horizontal="right" vertical="center"/>
    </xf>
    <xf numFmtId="0" fontId="62" fillId="36" borderId="48" applyNumberFormat="0" applyProtection="0">
      <alignment horizontal="right" vertical="center"/>
    </xf>
    <xf numFmtId="0" fontId="62" fillId="36" borderId="48" applyNumberFormat="0" applyProtection="0">
      <alignment horizontal="right" vertical="center"/>
    </xf>
    <xf numFmtId="0" fontId="62" fillId="36" borderId="48" applyNumberFormat="0" applyProtection="0">
      <alignment horizontal="right" vertical="center"/>
    </xf>
    <xf numFmtId="0" fontId="11" fillId="26" borderId="48" applyNumberFormat="0" applyProtection="0">
      <alignment horizontal="left" vertical="center" indent="1"/>
    </xf>
    <xf numFmtId="0" fontId="11" fillId="26" borderId="48" applyNumberFormat="0" applyProtection="0">
      <alignment horizontal="left" vertical="center" indent="1"/>
    </xf>
    <xf numFmtId="0" fontId="11" fillId="26" borderId="48" applyNumberFormat="0" applyProtection="0">
      <alignment horizontal="left" vertical="center" indent="1"/>
    </xf>
    <xf numFmtId="0" fontId="11" fillId="26" borderId="48" applyNumberFormat="0" applyProtection="0">
      <alignment horizontal="left" vertical="center" indent="1"/>
    </xf>
    <xf numFmtId="0" fontId="11" fillId="26" borderId="48" applyNumberFormat="0" applyProtection="0">
      <alignment horizontal="left" vertical="top" indent="1"/>
    </xf>
    <xf numFmtId="0" fontId="11" fillId="26" borderId="48" applyNumberFormat="0" applyProtection="0">
      <alignment horizontal="left" vertical="top" indent="1"/>
    </xf>
    <xf numFmtId="0" fontId="11" fillId="26" borderId="48" applyNumberFormat="0" applyProtection="0">
      <alignment horizontal="left" vertical="top" indent="1"/>
    </xf>
    <xf numFmtId="0" fontId="11" fillId="26" borderId="48" applyNumberFormat="0" applyProtection="0">
      <alignment horizontal="left" vertical="top" indent="1"/>
    </xf>
    <xf numFmtId="0" fontId="20" fillId="36" borderId="48" applyNumberFormat="0" applyProtection="0">
      <alignment horizontal="right" vertical="center"/>
    </xf>
    <xf numFmtId="0" fontId="20" fillId="36" borderId="48" applyNumberFormat="0" applyProtection="0">
      <alignment horizontal="right" vertical="center"/>
    </xf>
    <xf numFmtId="0" fontId="20" fillId="36" borderId="48" applyNumberFormat="0" applyProtection="0">
      <alignment horizontal="right" vertical="center"/>
    </xf>
    <xf numFmtId="0" fontId="20" fillId="36" borderId="48" applyNumberFormat="0" applyProtection="0">
      <alignment horizontal="right" vertical="center"/>
    </xf>
    <xf numFmtId="0" fontId="11" fillId="34" borderId="55" applyNumberFormat="0" applyProtection="0">
      <alignment horizontal="right" vertical="center"/>
    </xf>
    <xf numFmtId="0" fontId="10" fillId="6" borderId="55" applyNumberFormat="0" applyProtection="0">
      <alignment horizontal="left" vertical="top" indent="1"/>
    </xf>
    <xf numFmtId="0" fontId="21" fillId="25" borderId="55" applyNumberFormat="0" applyProtection="0">
      <alignment horizontal="left" vertical="top" indent="1"/>
    </xf>
    <xf numFmtId="0" fontId="10" fillId="26" borderId="55" applyNumberFormat="0" applyProtection="0">
      <alignment horizontal="left" vertical="top" indent="1"/>
    </xf>
    <xf numFmtId="0" fontId="62" fillId="8" borderId="55" applyNumberFormat="0" applyProtection="0">
      <alignment vertical="center"/>
    </xf>
    <xf numFmtId="0" fontId="10" fillId="26" borderId="55" applyNumberFormat="0" applyProtection="0">
      <alignment horizontal="left" vertical="center" indent="1"/>
    </xf>
    <xf numFmtId="0" fontId="10" fillId="4" borderId="55" applyNumberFormat="0" applyProtection="0">
      <alignment horizontal="left" vertical="top" indent="1"/>
    </xf>
    <xf numFmtId="0" fontId="11" fillId="26" borderId="55" applyNumberFormat="0" applyProtection="0">
      <alignment horizontal="left" vertical="center" indent="1"/>
    </xf>
    <xf numFmtId="0" fontId="20" fillId="36" borderId="55" applyNumberFormat="0" applyProtection="0">
      <alignment horizontal="right" vertical="center"/>
    </xf>
    <xf numFmtId="0" fontId="60" fillId="25" borderId="55" applyNumberFormat="0" applyProtection="0">
      <alignment vertical="center"/>
    </xf>
    <xf numFmtId="0" fontId="10" fillId="0" borderId="45" applyNumberFormat="0"/>
    <xf numFmtId="0" fontId="10" fillId="0" borderId="45" applyNumberFormat="0"/>
    <xf numFmtId="0" fontId="11" fillId="36" borderId="55" applyNumberFormat="0" applyProtection="0">
      <alignment horizontal="right" vertical="center"/>
    </xf>
    <xf numFmtId="0" fontId="11" fillId="33" borderId="55" applyNumberFormat="0" applyProtection="0">
      <alignment horizontal="right" vertical="center"/>
    </xf>
    <xf numFmtId="0" fontId="11" fillId="26" borderId="57" applyNumberFormat="0" applyProtection="0">
      <alignment horizontal="left" vertical="top" indent="1"/>
    </xf>
    <xf numFmtId="0" fontId="21" fillId="25" borderId="48" applyNumberFormat="0" applyProtection="0">
      <alignment vertical="center"/>
    </xf>
    <xf numFmtId="0" fontId="21" fillId="25" borderId="48" applyNumberFormat="0" applyProtection="0">
      <alignment vertical="center"/>
    </xf>
    <xf numFmtId="0" fontId="21" fillId="25" borderId="48" applyNumberFormat="0" applyProtection="0">
      <alignment vertical="center"/>
    </xf>
    <xf numFmtId="0" fontId="21" fillId="25" borderId="48" applyNumberFormat="0" applyProtection="0">
      <alignment vertical="center"/>
    </xf>
    <xf numFmtId="0" fontId="60" fillId="25" borderId="48" applyNumberFormat="0" applyProtection="0">
      <alignment vertical="center"/>
    </xf>
    <xf numFmtId="0" fontId="60" fillId="25" borderId="48" applyNumberFormat="0" applyProtection="0">
      <alignment vertical="center"/>
    </xf>
    <xf numFmtId="0" fontId="60" fillId="25" borderId="48" applyNumberFormat="0" applyProtection="0">
      <alignment vertical="center"/>
    </xf>
    <xf numFmtId="0" fontId="60" fillId="25" borderId="48" applyNumberFormat="0" applyProtection="0">
      <alignment vertical="center"/>
    </xf>
    <xf numFmtId="0" fontId="21" fillId="25" borderId="48" applyNumberFormat="0" applyProtection="0">
      <alignment horizontal="left" vertical="center" indent="1"/>
    </xf>
    <xf numFmtId="0" fontId="21" fillId="25" borderId="48" applyNumberFormat="0" applyProtection="0">
      <alignment horizontal="left" vertical="center" indent="1"/>
    </xf>
    <xf numFmtId="0" fontId="21" fillId="25" borderId="48" applyNumberFormat="0" applyProtection="0">
      <alignment horizontal="left" vertical="center" indent="1"/>
    </xf>
    <xf numFmtId="0" fontId="21" fillId="25" borderId="48" applyNumberFormat="0" applyProtection="0">
      <alignment horizontal="left" vertical="center" indent="1"/>
    </xf>
    <xf numFmtId="0" fontId="21" fillId="25" borderId="48" applyNumberFormat="0" applyProtection="0">
      <alignment horizontal="left" vertical="top" indent="1"/>
    </xf>
    <xf numFmtId="0" fontId="21" fillId="25" borderId="48" applyNumberFormat="0" applyProtection="0">
      <alignment horizontal="left" vertical="top" indent="1"/>
    </xf>
    <xf numFmtId="0" fontId="21" fillId="25" borderId="48" applyNumberFormat="0" applyProtection="0">
      <alignment horizontal="left" vertical="top" indent="1"/>
    </xf>
    <xf numFmtId="0" fontId="21" fillId="25" borderId="48" applyNumberFormat="0" applyProtection="0">
      <alignment horizontal="left" vertical="top" indent="1"/>
    </xf>
    <xf numFmtId="0" fontId="11" fillId="27" borderId="48" applyNumberFormat="0" applyProtection="0">
      <alignment horizontal="right" vertical="center"/>
    </xf>
    <xf numFmtId="0" fontId="11" fillId="27" borderId="48" applyNumberFormat="0" applyProtection="0">
      <alignment horizontal="right" vertical="center"/>
    </xf>
    <xf numFmtId="0" fontId="11" fillId="27" borderId="48" applyNumberFormat="0" applyProtection="0">
      <alignment horizontal="right" vertical="center"/>
    </xf>
    <xf numFmtId="0" fontId="11" fillId="27" borderId="48" applyNumberFormat="0" applyProtection="0">
      <alignment horizontal="right" vertical="center"/>
    </xf>
    <xf numFmtId="0" fontId="11" fillId="28" borderId="48" applyNumberFormat="0" applyProtection="0">
      <alignment horizontal="right" vertical="center"/>
    </xf>
    <xf numFmtId="0" fontId="11" fillId="28" borderId="48" applyNumberFormat="0" applyProtection="0">
      <alignment horizontal="right" vertical="center"/>
    </xf>
    <xf numFmtId="0" fontId="11" fillId="28" borderId="48" applyNumberFormat="0" applyProtection="0">
      <alignment horizontal="right" vertical="center"/>
    </xf>
    <xf numFmtId="0" fontId="11" fillId="28" borderId="48" applyNumberFormat="0" applyProtection="0">
      <alignment horizontal="right" vertical="center"/>
    </xf>
    <xf numFmtId="0" fontId="11" fillId="29" borderId="48" applyNumberFormat="0" applyProtection="0">
      <alignment horizontal="right" vertical="center"/>
    </xf>
    <xf numFmtId="0" fontId="11" fillId="29" borderId="48" applyNumberFormat="0" applyProtection="0">
      <alignment horizontal="right" vertical="center"/>
    </xf>
    <xf numFmtId="0" fontId="11" fillId="29" borderId="48" applyNumberFormat="0" applyProtection="0">
      <alignment horizontal="right" vertical="center"/>
    </xf>
    <xf numFmtId="0" fontId="11" fillId="29" borderId="48" applyNumberFormat="0" applyProtection="0">
      <alignment horizontal="right" vertical="center"/>
    </xf>
    <xf numFmtId="0" fontId="11" fillId="30" borderId="48" applyNumberFormat="0" applyProtection="0">
      <alignment horizontal="right" vertical="center"/>
    </xf>
    <xf numFmtId="0" fontId="11" fillId="30" borderId="48" applyNumberFormat="0" applyProtection="0">
      <alignment horizontal="right" vertical="center"/>
    </xf>
    <xf numFmtId="0" fontId="11" fillId="30" borderId="48" applyNumberFormat="0" applyProtection="0">
      <alignment horizontal="right" vertical="center"/>
    </xf>
    <xf numFmtId="0" fontId="11" fillId="30" borderId="48" applyNumberFormat="0" applyProtection="0">
      <alignment horizontal="right" vertical="center"/>
    </xf>
    <xf numFmtId="0" fontId="11" fillId="15" borderId="48" applyNumberFormat="0" applyProtection="0">
      <alignment horizontal="right" vertical="center"/>
    </xf>
    <xf numFmtId="0" fontId="11" fillId="15" borderId="48" applyNumberFormat="0" applyProtection="0">
      <alignment horizontal="right" vertical="center"/>
    </xf>
    <xf numFmtId="0" fontId="11" fillId="15" borderId="48" applyNumberFormat="0" applyProtection="0">
      <alignment horizontal="right" vertical="center"/>
    </xf>
    <xf numFmtId="0" fontId="11" fillId="15" borderId="48" applyNumberFormat="0" applyProtection="0">
      <alignment horizontal="right" vertical="center"/>
    </xf>
    <xf numFmtId="0" fontId="11" fillId="31" borderId="48" applyNumberFormat="0" applyProtection="0">
      <alignment horizontal="right" vertical="center"/>
    </xf>
    <xf numFmtId="0" fontId="11" fillId="31" borderId="48" applyNumberFormat="0" applyProtection="0">
      <alignment horizontal="right" vertical="center"/>
    </xf>
    <xf numFmtId="0" fontId="11" fillId="31" borderId="48" applyNumberFormat="0" applyProtection="0">
      <alignment horizontal="right" vertical="center"/>
    </xf>
    <xf numFmtId="0" fontId="11" fillId="31" borderId="48" applyNumberFormat="0" applyProtection="0">
      <alignment horizontal="right" vertical="center"/>
    </xf>
    <xf numFmtId="0" fontId="11" fillId="32" borderId="48" applyNumberFormat="0" applyProtection="0">
      <alignment horizontal="right" vertical="center"/>
    </xf>
    <xf numFmtId="0" fontId="11" fillId="32" borderId="48" applyNumberFormat="0" applyProtection="0">
      <alignment horizontal="right" vertical="center"/>
    </xf>
    <xf numFmtId="0" fontId="11" fillId="32" borderId="48" applyNumberFormat="0" applyProtection="0">
      <alignment horizontal="right" vertical="center"/>
    </xf>
    <xf numFmtId="0" fontId="11" fillId="32" borderId="48" applyNumberFormat="0" applyProtection="0">
      <alignment horizontal="right" vertical="center"/>
    </xf>
    <xf numFmtId="0" fontId="11" fillId="33" borderId="48" applyNumberFormat="0" applyProtection="0">
      <alignment horizontal="right" vertical="center"/>
    </xf>
    <xf numFmtId="0" fontId="11" fillId="33" borderId="48" applyNumberFormat="0" applyProtection="0">
      <alignment horizontal="right" vertical="center"/>
    </xf>
    <xf numFmtId="0" fontId="11" fillId="33" borderId="48" applyNumberFormat="0" applyProtection="0">
      <alignment horizontal="right" vertical="center"/>
    </xf>
    <xf numFmtId="0" fontId="11" fillId="33" borderId="48" applyNumberFormat="0" applyProtection="0">
      <alignment horizontal="right" vertical="center"/>
    </xf>
    <xf numFmtId="0" fontId="11" fillId="34" borderId="48" applyNumberFormat="0" applyProtection="0">
      <alignment horizontal="right" vertical="center"/>
    </xf>
    <xf numFmtId="0" fontId="11" fillId="34" borderId="48" applyNumberFormat="0" applyProtection="0">
      <alignment horizontal="right" vertical="center"/>
    </xf>
    <xf numFmtId="0" fontId="11" fillId="34" borderId="48" applyNumberFormat="0" applyProtection="0">
      <alignment horizontal="right" vertical="center"/>
    </xf>
    <xf numFmtId="0" fontId="11" fillId="34" borderId="48" applyNumberFormat="0" applyProtection="0">
      <alignment horizontal="right" vertical="center"/>
    </xf>
    <xf numFmtId="0" fontId="11" fillId="26" borderId="48" applyNumberFormat="0" applyProtection="0">
      <alignment horizontal="right" vertical="center"/>
    </xf>
    <xf numFmtId="0" fontId="11" fillId="26" borderId="48" applyNumberFormat="0" applyProtection="0">
      <alignment horizontal="right" vertical="center"/>
    </xf>
    <xf numFmtId="0" fontId="11" fillId="26" borderId="48" applyNumberFormat="0" applyProtection="0">
      <alignment horizontal="right" vertical="center"/>
    </xf>
    <xf numFmtId="0" fontId="11" fillId="26" borderId="48" applyNumberFormat="0" applyProtection="0">
      <alignment horizontal="right" vertical="center"/>
    </xf>
    <xf numFmtId="0" fontId="10" fillId="4" borderId="48" applyNumberFormat="0" applyProtection="0">
      <alignment horizontal="left" vertical="center" indent="1"/>
    </xf>
    <xf numFmtId="0" fontId="10" fillId="4" borderId="48" applyNumberFormat="0" applyProtection="0">
      <alignment horizontal="left" vertical="center" indent="1"/>
    </xf>
    <xf numFmtId="0" fontId="10" fillId="4" borderId="48" applyNumberFormat="0" applyProtection="0">
      <alignment horizontal="left" vertical="center" indent="1"/>
    </xf>
    <xf numFmtId="0" fontId="10" fillId="4" borderId="48" applyNumberFormat="0" applyProtection="0">
      <alignment horizontal="left" vertical="center" indent="1"/>
    </xf>
    <xf numFmtId="0" fontId="10" fillId="4" borderId="48" applyNumberFormat="0" applyProtection="0">
      <alignment horizontal="left" vertical="top" indent="1"/>
    </xf>
    <xf numFmtId="0" fontId="10" fillId="4" borderId="48" applyNumberFormat="0" applyProtection="0">
      <alignment horizontal="left" vertical="top" indent="1"/>
    </xf>
    <xf numFmtId="0" fontId="10" fillId="4" borderId="48" applyNumberFormat="0" applyProtection="0">
      <alignment horizontal="left" vertical="top" indent="1"/>
    </xf>
    <xf numFmtId="0" fontId="10" fillId="4" borderId="48" applyNumberFormat="0" applyProtection="0">
      <alignment horizontal="left" vertical="top" indent="1"/>
    </xf>
    <xf numFmtId="0" fontId="10" fillId="26" borderId="48" applyNumberFormat="0" applyProtection="0">
      <alignment horizontal="left" vertical="center" indent="1"/>
    </xf>
    <xf numFmtId="0" fontId="10" fillId="26" borderId="48" applyNumberFormat="0" applyProtection="0">
      <alignment horizontal="left" vertical="center" indent="1"/>
    </xf>
    <xf numFmtId="0" fontId="10" fillId="26" borderId="48" applyNumberFormat="0" applyProtection="0">
      <alignment horizontal="left" vertical="center" indent="1"/>
    </xf>
    <xf numFmtId="0" fontId="10" fillId="26" borderId="48" applyNumberFormat="0" applyProtection="0">
      <alignment horizontal="left" vertical="center" indent="1"/>
    </xf>
    <xf numFmtId="0" fontId="10" fillId="26" borderId="48" applyNumberFormat="0" applyProtection="0">
      <alignment horizontal="left" vertical="top" indent="1"/>
    </xf>
    <xf numFmtId="0" fontId="10" fillId="26" borderId="48" applyNumberFormat="0" applyProtection="0">
      <alignment horizontal="left" vertical="top" indent="1"/>
    </xf>
    <xf numFmtId="0" fontId="10" fillId="26" borderId="48" applyNumberFormat="0" applyProtection="0">
      <alignment horizontal="left" vertical="top" indent="1"/>
    </xf>
    <xf numFmtId="0" fontId="10" fillId="26" borderId="48" applyNumberFormat="0" applyProtection="0">
      <alignment horizontal="left" vertical="top" indent="1"/>
    </xf>
    <xf numFmtId="0" fontId="10" fillId="6" borderId="48" applyNumberFormat="0" applyProtection="0">
      <alignment horizontal="left" vertical="center" indent="1"/>
    </xf>
    <xf numFmtId="0" fontId="10" fillId="6" borderId="48" applyNumberFormat="0" applyProtection="0">
      <alignment horizontal="left" vertical="center" indent="1"/>
    </xf>
    <xf numFmtId="0" fontId="10" fillId="6" borderId="48" applyNumberFormat="0" applyProtection="0">
      <alignment horizontal="left" vertical="center" indent="1"/>
    </xf>
    <xf numFmtId="0" fontId="10" fillId="6" borderId="48" applyNumberFormat="0" applyProtection="0">
      <alignment horizontal="left" vertical="center" indent="1"/>
    </xf>
    <xf numFmtId="0" fontId="10" fillId="6" borderId="48" applyNumberFormat="0" applyProtection="0">
      <alignment horizontal="left" vertical="top" indent="1"/>
    </xf>
    <xf numFmtId="0" fontId="10" fillId="6" borderId="48" applyNumberFormat="0" applyProtection="0">
      <alignment horizontal="left" vertical="top" indent="1"/>
    </xf>
    <xf numFmtId="0" fontId="10" fillId="6" borderId="48" applyNumberFormat="0" applyProtection="0">
      <alignment horizontal="left" vertical="top" indent="1"/>
    </xf>
    <xf numFmtId="0" fontId="10" fillId="6" borderId="48" applyNumberFormat="0" applyProtection="0">
      <alignment horizontal="left" vertical="top" indent="1"/>
    </xf>
    <xf numFmtId="0" fontId="10" fillId="36" borderId="48" applyNumberFormat="0" applyProtection="0">
      <alignment horizontal="left" vertical="center" indent="1"/>
    </xf>
    <xf numFmtId="0" fontId="10" fillId="36" borderId="48" applyNumberFormat="0" applyProtection="0">
      <alignment horizontal="left" vertical="center" indent="1"/>
    </xf>
    <xf numFmtId="0" fontId="10" fillId="36" borderId="48" applyNumberFormat="0" applyProtection="0">
      <alignment horizontal="left" vertical="center" indent="1"/>
    </xf>
    <xf numFmtId="0" fontId="10" fillId="36" borderId="48" applyNumberFormat="0" applyProtection="0">
      <alignment horizontal="left" vertical="center" indent="1"/>
    </xf>
    <xf numFmtId="0" fontId="10" fillId="36" borderId="48" applyNumberFormat="0" applyProtection="0">
      <alignment horizontal="left" vertical="top" indent="1"/>
    </xf>
    <xf numFmtId="0" fontId="10" fillId="36" borderId="48" applyNumberFormat="0" applyProtection="0">
      <alignment horizontal="left" vertical="top" indent="1"/>
    </xf>
    <xf numFmtId="0" fontId="10" fillId="36" borderId="48" applyNumberFormat="0" applyProtection="0">
      <alignment horizontal="left" vertical="top" indent="1"/>
    </xf>
    <xf numFmtId="0" fontId="10" fillId="36" borderId="48" applyNumberFormat="0" applyProtection="0">
      <alignment horizontal="left" vertical="top" indent="1"/>
    </xf>
    <xf numFmtId="0" fontId="11" fillId="8" borderId="48" applyNumberFormat="0" applyProtection="0">
      <alignment vertical="center"/>
    </xf>
    <xf numFmtId="0" fontId="11" fillId="8" borderId="48" applyNumberFormat="0" applyProtection="0">
      <alignment vertical="center"/>
    </xf>
    <xf numFmtId="0" fontId="11" fillId="8" borderId="48" applyNumberFormat="0" applyProtection="0">
      <alignment vertical="center"/>
    </xf>
    <xf numFmtId="0" fontId="11" fillId="8" borderId="48" applyNumberFormat="0" applyProtection="0">
      <alignment vertical="center"/>
    </xf>
    <xf numFmtId="0" fontId="62" fillId="8" borderId="48" applyNumberFormat="0" applyProtection="0">
      <alignment vertical="center"/>
    </xf>
    <xf numFmtId="0" fontId="62" fillId="8" borderId="48" applyNumberFormat="0" applyProtection="0">
      <alignment vertical="center"/>
    </xf>
    <xf numFmtId="0" fontId="62" fillId="8" borderId="48" applyNumberFormat="0" applyProtection="0">
      <alignment vertical="center"/>
    </xf>
    <xf numFmtId="0" fontId="62" fillId="8" borderId="48" applyNumberFormat="0" applyProtection="0">
      <alignment vertical="center"/>
    </xf>
    <xf numFmtId="0" fontId="11" fillId="8" borderId="48" applyNumberFormat="0" applyProtection="0">
      <alignment horizontal="left" vertical="center" indent="1"/>
    </xf>
    <xf numFmtId="0" fontId="11" fillId="8" borderId="48" applyNumberFormat="0" applyProtection="0">
      <alignment horizontal="left" vertical="center" indent="1"/>
    </xf>
    <xf numFmtId="0" fontId="11" fillId="8" borderId="48" applyNumberFormat="0" applyProtection="0">
      <alignment horizontal="left" vertical="center" indent="1"/>
    </xf>
    <xf numFmtId="0" fontId="11" fillId="8" borderId="48" applyNumberFormat="0" applyProtection="0">
      <alignment horizontal="left" vertical="center" indent="1"/>
    </xf>
    <xf numFmtId="0" fontId="11" fillId="8" borderId="48" applyNumberFormat="0" applyProtection="0">
      <alignment horizontal="left" vertical="top" indent="1"/>
    </xf>
    <xf numFmtId="0" fontId="11" fillId="8" borderId="48" applyNumberFormat="0" applyProtection="0">
      <alignment horizontal="left" vertical="top" indent="1"/>
    </xf>
    <xf numFmtId="0" fontId="11" fillId="8" borderId="48" applyNumberFormat="0" applyProtection="0">
      <alignment horizontal="left" vertical="top" indent="1"/>
    </xf>
    <xf numFmtId="0" fontId="11" fillId="8" borderId="48" applyNumberFormat="0" applyProtection="0">
      <alignment horizontal="left" vertical="top" indent="1"/>
    </xf>
    <xf numFmtId="0" fontId="11" fillId="36" borderId="48" applyNumberFormat="0" applyProtection="0">
      <alignment horizontal="right" vertical="center"/>
    </xf>
    <xf numFmtId="0" fontId="11" fillId="36" borderId="48" applyNumberFormat="0" applyProtection="0">
      <alignment horizontal="right" vertical="center"/>
    </xf>
    <xf numFmtId="0" fontId="11" fillId="36" borderId="48" applyNumberFormat="0" applyProtection="0">
      <alignment horizontal="right" vertical="center"/>
    </xf>
    <xf numFmtId="0" fontId="11" fillId="36" borderId="48" applyNumberFormat="0" applyProtection="0">
      <alignment horizontal="right" vertical="center"/>
    </xf>
    <xf numFmtId="0" fontId="62" fillId="36" borderId="48" applyNumberFormat="0" applyProtection="0">
      <alignment horizontal="right" vertical="center"/>
    </xf>
    <xf numFmtId="0" fontId="62" fillId="36" borderId="48" applyNumberFormat="0" applyProtection="0">
      <alignment horizontal="right" vertical="center"/>
    </xf>
    <xf numFmtId="0" fontId="62" fillId="36" borderId="48" applyNumberFormat="0" applyProtection="0">
      <alignment horizontal="right" vertical="center"/>
    </xf>
    <xf numFmtId="0" fontId="62" fillId="36" borderId="48" applyNumberFormat="0" applyProtection="0">
      <alignment horizontal="right" vertical="center"/>
    </xf>
    <xf numFmtId="0" fontId="11" fillId="26" borderId="48" applyNumberFormat="0" applyProtection="0">
      <alignment horizontal="left" vertical="center" indent="1"/>
    </xf>
    <xf numFmtId="0" fontId="11" fillId="26" borderId="48" applyNumberFormat="0" applyProtection="0">
      <alignment horizontal="left" vertical="center" indent="1"/>
    </xf>
    <xf numFmtId="0" fontId="11" fillId="26" borderId="48" applyNumberFormat="0" applyProtection="0">
      <alignment horizontal="left" vertical="center" indent="1"/>
    </xf>
    <xf numFmtId="0" fontId="11" fillId="26" borderId="48" applyNumberFormat="0" applyProtection="0">
      <alignment horizontal="left" vertical="center" indent="1"/>
    </xf>
    <xf numFmtId="0" fontId="11" fillId="26" borderId="48" applyNumberFormat="0" applyProtection="0">
      <alignment horizontal="left" vertical="top" indent="1"/>
    </xf>
    <xf numFmtId="0" fontId="11" fillId="26" borderId="48" applyNumberFormat="0" applyProtection="0">
      <alignment horizontal="left" vertical="top" indent="1"/>
    </xf>
    <xf numFmtId="0" fontId="11" fillId="26" borderId="48" applyNumberFormat="0" applyProtection="0">
      <alignment horizontal="left" vertical="top" indent="1"/>
    </xf>
    <xf numFmtId="0" fontId="11" fillId="26" borderId="48" applyNumberFormat="0" applyProtection="0">
      <alignment horizontal="left" vertical="top" indent="1"/>
    </xf>
    <xf numFmtId="0" fontId="20" fillId="36" borderId="48" applyNumberFormat="0" applyProtection="0">
      <alignment horizontal="right" vertical="center"/>
    </xf>
    <xf numFmtId="0" fontId="20" fillId="36" borderId="48" applyNumberFormat="0" applyProtection="0">
      <alignment horizontal="right" vertical="center"/>
    </xf>
    <xf numFmtId="0" fontId="20" fillId="36" borderId="48" applyNumberFormat="0" applyProtection="0">
      <alignment horizontal="right" vertical="center"/>
    </xf>
    <xf numFmtId="0" fontId="20" fillId="36" borderId="48" applyNumberFormat="0" applyProtection="0">
      <alignment horizontal="right" vertical="center"/>
    </xf>
    <xf numFmtId="0" fontId="11" fillId="26" borderId="55" applyNumberFormat="0" applyProtection="0">
      <alignment horizontal="left" vertical="top" indent="1"/>
    </xf>
    <xf numFmtId="0" fontId="11" fillId="33" borderId="57" applyNumberFormat="0" applyProtection="0">
      <alignment horizontal="right" vertical="center"/>
    </xf>
    <xf numFmtId="0" fontId="21" fillId="35" borderId="49" applyNumberFormat="0" applyProtection="0">
      <alignment horizontal="left" vertical="center" indent="1"/>
    </xf>
    <xf numFmtId="0" fontId="21" fillId="35" borderId="49" applyNumberFormat="0" applyProtection="0">
      <alignment horizontal="left" vertical="center" indent="1"/>
    </xf>
    <xf numFmtId="0" fontId="21" fillId="35" borderId="49" applyNumberFormat="0" applyProtection="0">
      <alignment horizontal="left" vertical="center" indent="1"/>
    </xf>
    <xf numFmtId="0" fontId="21" fillId="35" borderId="49" applyNumberFormat="0" applyProtection="0">
      <alignment horizontal="left" vertical="center" indent="1"/>
    </xf>
    <xf numFmtId="0" fontId="21" fillId="35" borderId="49" applyNumberFormat="0" applyProtection="0">
      <alignment horizontal="left" vertical="center" indent="1"/>
    </xf>
    <xf numFmtId="0" fontId="21" fillId="35" borderId="49" applyNumberFormat="0" applyProtection="0">
      <alignment horizontal="left" vertical="center" indent="1"/>
    </xf>
    <xf numFmtId="0" fontId="47" fillId="0" borderId="50" applyNumberFormat="0" applyProtection="0"/>
    <xf numFmtId="0" fontId="21" fillId="35" borderId="49" applyNumberFormat="0" applyProtection="0">
      <alignment horizontal="left" vertical="center" indent="1"/>
    </xf>
    <xf numFmtId="0" fontId="21" fillId="35" borderId="49" applyNumberFormat="0" applyProtection="0">
      <alignment horizontal="left" vertical="center" indent="1"/>
    </xf>
    <xf numFmtId="0" fontId="21" fillId="35" borderId="49" applyNumberFormat="0" applyProtection="0">
      <alignment horizontal="left" vertical="center" indent="1"/>
    </xf>
    <xf numFmtId="0" fontId="21" fillId="35" borderId="49" applyNumberFormat="0" applyProtection="0">
      <alignment horizontal="left" vertical="center" indent="1"/>
    </xf>
    <xf numFmtId="0" fontId="47" fillId="0" borderId="50" applyNumberFormat="0" applyProtection="0"/>
    <xf numFmtId="0" fontId="21" fillId="35" borderId="49" applyNumberFormat="0" applyProtection="0">
      <alignment horizontal="left" vertical="center" indent="1"/>
    </xf>
    <xf numFmtId="0" fontId="21" fillId="35" borderId="49" applyNumberFormat="0" applyProtection="0">
      <alignment horizontal="left" vertical="center" indent="1"/>
    </xf>
    <xf numFmtId="0" fontId="47" fillId="0" borderId="54" applyNumberFormat="0" applyProtection="0"/>
    <xf numFmtId="0" fontId="11" fillId="8" borderId="55" applyNumberFormat="0" applyProtection="0">
      <alignment horizontal="left" vertical="center" indent="1"/>
    </xf>
    <xf numFmtId="0" fontId="60" fillId="25" borderId="55" applyNumberFormat="0" applyProtection="0">
      <alignment vertical="center"/>
    </xf>
    <xf numFmtId="0" fontId="10" fillId="36" borderId="55" applyNumberFormat="0" applyProtection="0">
      <alignment horizontal="left" vertical="center" indent="1"/>
    </xf>
    <xf numFmtId="0" fontId="62" fillId="8" borderId="55" applyNumberFormat="0" applyProtection="0">
      <alignment vertical="center"/>
    </xf>
    <xf numFmtId="0" fontId="10" fillId="26" borderId="55" applyNumberFormat="0" applyProtection="0">
      <alignment horizontal="left" vertical="center" indent="1"/>
    </xf>
    <xf numFmtId="0" fontId="11" fillId="26" borderId="55" applyNumberFormat="0" applyProtection="0">
      <alignment horizontal="right" vertical="center"/>
    </xf>
    <xf numFmtId="0" fontId="21" fillId="25" borderId="55" applyNumberFormat="0" applyProtection="0">
      <alignment horizontal="left" vertical="top" indent="1"/>
    </xf>
    <xf numFmtId="0" fontId="21" fillId="35" borderId="51" applyNumberFormat="0" applyProtection="0">
      <alignment horizontal="left" vertical="center" indent="1"/>
    </xf>
    <xf numFmtId="0" fontId="21" fillId="35" borderId="51" applyNumberFormat="0" applyProtection="0">
      <alignment horizontal="left" vertical="center" indent="1"/>
    </xf>
    <xf numFmtId="0" fontId="62" fillId="36" borderId="55" applyNumberFormat="0" applyProtection="0">
      <alignment horizontal="right" vertical="center"/>
    </xf>
    <xf numFmtId="0" fontId="11" fillId="15" borderId="55" applyNumberFormat="0" applyProtection="0">
      <alignment horizontal="right" vertical="center"/>
    </xf>
    <xf numFmtId="0" fontId="10" fillId="4" borderId="55" applyNumberFormat="0" applyProtection="0">
      <alignment horizontal="left" vertical="center" indent="1"/>
    </xf>
    <xf numFmtId="0" fontId="62" fillId="36" borderId="55" applyNumberFormat="0" applyProtection="0">
      <alignment horizontal="right" vertical="center"/>
    </xf>
    <xf numFmtId="0" fontId="11" fillId="28" borderId="55" applyNumberFormat="0" applyProtection="0">
      <alignment horizontal="right" vertical="center"/>
    </xf>
    <xf numFmtId="0" fontId="21" fillId="35" borderId="51" applyNumberFormat="0" applyProtection="0">
      <alignment horizontal="left" vertical="center" indent="1"/>
    </xf>
    <xf numFmtId="0" fontId="47" fillId="0" borderId="54" applyNumberFormat="0" applyProtection="0"/>
    <xf numFmtId="0" fontId="21" fillId="35" borderId="51" applyNumberFormat="0" applyProtection="0">
      <alignment horizontal="left" vertical="center" indent="1"/>
    </xf>
    <xf numFmtId="0" fontId="10" fillId="36" borderId="55" applyNumberFormat="0" applyProtection="0">
      <alignment horizontal="left" vertical="center" indent="1"/>
    </xf>
    <xf numFmtId="0" fontId="11" fillId="31" borderId="55" applyNumberFormat="0" applyProtection="0">
      <alignment horizontal="right" vertical="center"/>
    </xf>
    <xf numFmtId="0" fontId="11" fillId="32" borderId="55" applyNumberFormat="0" applyProtection="0">
      <alignment horizontal="right" vertical="center"/>
    </xf>
    <xf numFmtId="0" fontId="21" fillId="25" borderId="55" applyNumberFormat="0" applyProtection="0">
      <alignment vertical="center"/>
    </xf>
    <xf numFmtId="0" fontId="11" fillId="33" borderId="55" applyNumberFormat="0" applyProtection="0">
      <alignment horizontal="right" vertical="center"/>
    </xf>
    <xf numFmtId="0" fontId="10" fillId="6" borderId="55" applyNumberFormat="0" applyProtection="0">
      <alignment horizontal="left" vertical="top" indent="1"/>
    </xf>
    <xf numFmtId="0" fontId="11" fillId="8" borderId="55" applyNumberFormat="0" applyProtection="0">
      <alignment horizontal="left" vertical="top" indent="1"/>
    </xf>
    <xf numFmtId="0" fontId="62" fillId="36" borderId="55" applyNumberFormat="0" applyProtection="0">
      <alignment horizontal="right" vertical="center"/>
    </xf>
    <xf numFmtId="0" fontId="11" fillId="8" borderId="55" applyNumberFormat="0" applyProtection="0">
      <alignment vertical="center"/>
    </xf>
    <xf numFmtId="0" fontId="10" fillId="36" borderId="55" applyNumberFormat="0" applyProtection="0">
      <alignment horizontal="left" vertical="top" indent="1"/>
    </xf>
    <xf numFmtId="0" fontId="10" fillId="36" borderId="55" applyNumberFormat="0" applyProtection="0">
      <alignment horizontal="left" vertical="center" indent="1"/>
    </xf>
    <xf numFmtId="0" fontId="10" fillId="26" borderId="55" applyNumberFormat="0" applyProtection="0">
      <alignment horizontal="left" vertical="center" indent="1"/>
    </xf>
    <xf numFmtId="0" fontId="11" fillId="26" borderId="55" applyNumberFormat="0" applyProtection="0">
      <alignment horizontal="right" vertical="center"/>
    </xf>
    <xf numFmtId="0" fontId="11" fillId="34" borderId="55" applyNumberFormat="0" applyProtection="0">
      <alignment horizontal="right" vertical="center"/>
    </xf>
    <xf numFmtId="0" fontId="11" fillId="29" borderId="55" applyNumberFormat="0" applyProtection="0">
      <alignment horizontal="right" vertical="center"/>
    </xf>
    <xf numFmtId="0" fontId="11" fillId="31" borderId="55" applyNumberFormat="0" applyProtection="0">
      <alignment horizontal="right" vertical="center"/>
    </xf>
    <xf numFmtId="0" fontId="11" fillId="15" borderId="55" applyNumberFormat="0" applyProtection="0">
      <alignment horizontal="right" vertical="center"/>
    </xf>
    <xf numFmtId="0" fontId="21" fillId="25" borderId="55" applyNumberFormat="0" applyProtection="0">
      <alignment horizontal="left" vertical="center" indent="1"/>
    </xf>
    <xf numFmtId="0" fontId="11" fillId="28" borderId="55" applyNumberFormat="0" applyProtection="0">
      <alignment horizontal="right" vertical="center"/>
    </xf>
    <xf numFmtId="0" fontId="21" fillId="25" borderId="55" applyNumberFormat="0" applyProtection="0">
      <alignment horizontal="left" vertical="top" indent="1"/>
    </xf>
    <xf numFmtId="0" fontId="60" fillId="25" borderId="55" applyNumberFormat="0" applyProtection="0">
      <alignment vertical="center"/>
    </xf>
    <xf numFmtId="0" fontId="10" fillId="36" borderId="55" applyNumberFormat="0" applyProtection="0">
      <alignment horizontal="left" vertical="center" indent="1"/>
    </xf>
    <xf numFmtId="0" fontId="62" fillId="8" borderId="55" applyNumberFormat="0" applyProtection="0">
      <alignment vertical="center"/>
    </xf>
    <xf numFmtId="0" fontId="11" fillId="8" borderId="55" applyNumberFormat="0" applyProtection="0">
      <alignment horizontal="left" vertical="top" indent="1"/>
    </xf>
    <xf numFmtId="0" fontId="11" fillId="8" borderId="55" applyNumberFormat="0" applyProtection="0">
      <alignment vertical="center"/>
    </xf>
    <xf numFmtId="0" fontId="11" fillId="34" borderId="55" applyNumberFormat="0" applyProtection="0">
      <alignment horizontal="right" vertical="center"/>
    </xf>
    <xf numFmtId="0" fontId="10" fillId="26" borderId="55" applyNumberFormat="0" applyProtection="0">
      <alignment horizontal="left" vertical="center" indent="1"/>
    </xf>
    <xf numFmtId="0" fontId="10" fillId="26" borderId="55" applyNumberFormat="0" applyProtection="0">
      <alignment horizontal="left" vertical="top" indent="1"/>
    </xf>
    <xf numFmtId="0" fontId="11" fillId="26" borderId="55" applyNumberFormat="0" applyProtection="0">
      <alignment horizontal="right" vertical="center"/>
    </xf>
    <xf numFmtId="0" fontId="10" fillId="4" borderId="55" applyNumberFormat="0" applyProtection="0">
      <alignment horizontal="left" vertical="center" indent="1"/>
    </xf>
    <xf numFmtId="0" fontId="11" fillId="34" borderId="55" applyNumberFormat="0" applyProtection="0">
      <alignment horizontal="right" vertical="center"/>
    </xf>
    <xf numFmtId="0" fontId="62" fillId="36" borderId="55" applyNumberFormat="0" applyProtection="0">
      <alignment horizontal="right" vertical="center"/>
    </xf>
    <xf numFmtId="0" fontId="11" fillId="8" borderId="55" applyNumberFormat="0" applyProtection="0">
      <alignment horizontal="left" vertical="center" indent="1"/>
    </xf>
    <xf numFmtId="0" fontId="11" fillId="32" borderId="55" applyNumberFormat="0" applyProtection="0">
      <alignment horizontal="right" vertical="center"/>
    </xf>
    <xf numFmtId="0" fontId="21" fillId="25" borderId="55" applyNumberFormat="0" applyProtection="0">
      <alignment horizontal="left" vertical="center" indent="1"/>
    </xf>
    <xf numFmtId="0" fontId="21" fillId="25" borderId="55" applyNumberFormat="0" applyProtection="0">
      <alignment horizontal="left" vertical="top" indent="1"/>
    </xf>
    <xf numFmtId="0" fontId="62" fillId="36" borderId="55" applyNumberFormat="0" applyProtection="0">
      <alignment horizontal="right" vertical="center"/>
    </xf>
    <xf numFmtId="0" fontId="11" fillId="30" borderId="55" applyNumberFormat="0" applyProtection="0">
      <alignment horizontal="right" vertical="center"/>
    </xf>
    <xf numFmtId="0" fontId="11" fillId="29" borderId="55" applyNumberFormat="0" applyProtection="0">
      <alignment horizontal="right" vertical="center"/>
    </xf>
    <xf numFmtId="0" fontId="10" fillId="36" borderId="55" applyNumberFormat="0" applyProtection="0">
      <alignment horizontal="left" vertical="center" indent="1"/>
    </xf>
    <xf numFmtId="0" fontId="11" fillId="31" borderId="55" applyNumberFormat="0" applyProtection="0">
      <alignment horizontal="right" vertical="center"/>
    </xf>
    <xf numFmtId="0" fontId="10" fillId="36" borderId="55" applyNumberFormat="0" applyProtection="0">
      <alignment horizontal="left" vertical="top" indent="1"/>
    </xf>
    <xf numFmtId="0" fontId="11" fillId="26" borderId="55" applyNumberFormat="0" applyProtection="0">
      <alignment horizontal="left" vertical="top" indent="1"/>
    </xf>
    <xf numFmtId="0" fontId="20" fillId="36" borderId="55" applyNumberFormat="0" applyProtection="0">
      <alignment horizontal="right" vertical="center"/>
    </xf>
    <xf numFmtId="0" fontId="11" fillId="36" borderId="55" applyNumberFormat="0" applyProtection="0">
      <alignment horizontal="right" vertical="center"/>
    </xf>
    <xf numFmtId="0" fontId="62" fillId="36" borderId="55" applyNumberFormat="0" applyProtection="0">
      <alignment horizontal="right" vertical="center"/>
    </xf>
    <xf numFmtId="0" fontId="11" fillId="8" borderId="55" applyNumberFormat="0" applyProtection="0">
      <alignment horizontal="left" vertical="top" indent="1"/>
    </xf>
    <xf numFmtId="0" fontId="62" fillId="8" borderId="55" applyNumberFormat="0" applyProtection="0">
      <alignment vertical="center"/>
    </xf>
    <xf numFmtId="0" fontId="10" fillId="4" borderId="55" applyNumberFormat="0" applyProtection="0">
      <alignment horizontal="left" vertical="center" indent="1"/>
    </xf>
    <xf numFmtId="0" fontId="10" fillId="6" borderId="55" applyNumberFormat="0" applyProtection="0">
      <alignment horizontal="left" vertical="top" indent="1"/>
    </xf>
    <xf numFmtId="0" fontId="10" fillId="26" borderId="55" applyNumberFormat="0" applyProtection="0">
      <alignment horizontal="left" vertical="top" indent="1"/>
    </xf>
    <xf numFmtId="0" fontId="11" fillId="31" borderId="55" applyNumberFormat="0" applyProtection="0">
      <alignment horizontal="right" vertical="center"/>
    </xf>
    <xf numFmtId="0" fontId="11" fillId="34" borderId="55" applyNumberFormat="0" applyProtection="0">
      <alignment horizontal="right" vertical="center"/>
    </xf>
    <xf numFmtId="0" fontId="11" fillId="32" borderId="55" applyNumberFormat="0" applyProtection="0">
      <alignment horizontal="right" vertical="center"/>
    </xf>
    <xf numFmtId="0" fontId="60" fillId="25" borderId="55" applyNumberFormat="0" applyProtection="0">
      <alignment vertical="center"/>
    </xf>
    <xf numFmtId="0" fontId="47" fillId="0" borderId="54" applyNumberFormat="0" applyProtection="0"/>
    <xf numFmtId="0" fontId="11" fillId="36" borderId="55" applyNumberFormat="0" applyProtection="0">
      <alignment horizontal="right" vertical="center"/>
    </xf>
    <xf numFmtId="0" fontId="62" fillId="36" borderId="55" applyNumberFormat="0" applyProtection="0">
      <alignment horizontal="right" vertical="center"/>
    </xf>
    <xf numFmtId="0" fontId="10" fillId="36" borderId="55" applyNumberFormat="0" applyProtection="0">
      <alignment horizontal="left" vertical="top" indent="1"/>
    </xf>
    <xf numFmtId="0" fontId="10" fillId="4" borderId="55" applyNumberFormat="0" applyProtection="0">
      <alignment horizontal="left" vertical="center" indent="1"/>
    </xf>
    <xf numFmtId="0" fontId="11" fillId="34" borderId="55" applyNumberFormat="0" applyProtection="0">
      <alignment horizontal="right" vertical="center"/>
    </xf>
    <xf numFmtId="0" fontId="11" fillId="29" borderId="55" applyNumberFormat="0" applyProtection="0">
      <alignment horizontal="right" vertical="center"/>
    </xf>
    <xf numFmtId="0" fontId="11" fillId="28" borderId="55" applyNumberFormat="0" applyProtection="0">
      <alignment horizontal="right" vertical="center"/>
    </xf>
    <xf numFmtId="0" fontId="60" fillId="25" borderId="55" applyNumberFormat="0" applyProtection="0">
      <alignment vertical="center"/>
    </xf>
    <xf numFmtId="0" fontId="11" fillId="26" borderId="55" applyNumberFormat="0" applyProtection="0">
      <alignment horizontal="left" vertical="center" indent="1"/>
    </xf>
    <xf numFmtId="0" fontId="11" fillId="8" borderId="55" applyNumberFormat="0" applyProtection="0">
      <alignment horizontal="left" vertical="top" indent="1"/>
    </xf>
    <xf numFmtId="0" fontId="11" fillId="8" borderId="55" applyNumberFormat="0" applyProtection="0">
      <alignment horizontal="left" vertical="center" indent="1"/>
    </xf>
    <xf numFmtId="0" fontId="11" fillId="8" borderId="55" applyNumberFormat="0" applyProtection="0">
      <alignment vertical="center"/>
    </xf>
    <xf numFmtId="0" fontId="10" fillId="36" borderId="55" applyNumberFormat="0" applyProtection="0">
      <alignment horizontal="left" vertical="top" indent="1"/>
    </xf>
    <xf numFmtId="0" fontId="10" fillId="4" borderId="55" applyNumberFormat="0" applyProtection="0">
      <alignment horizontal="left" vertical="center" indent="1"/>
    </xf>
    <xf numFmtId="0" fontId="11" fillId="34" borderId="55" applyNumberFormat="0" applyProtection="0">
      <alignment horizontal="right" vertical="center"/>
    </xf>
    <xf numFmtId="0" fontId="11" fillId="30" borderId="55" applyNumberFormat="0" applyProtection="0">
      <alignment horizontal="right" vertical="center"/>
    </xf>
    <xf numFmtId="0" fontId="21" fillId="25" borderId="55" applyNumberFormat="0" applyProtection="0">
      <alignment horizontal="left" vertical="top" indent="1"/>
    </xf>
    <xf numFmtId="0" fontId="60" fillId="25" borderId="55" applyNumberFormat="0" applyProtection="0">
      <alignment vertical="center"/>
    </xf>
    <xf numFmtId="0" fontId="42" fillId="9" borderId="56"/>
    <xf numFmtId="0" fontId="42" fillId="8" borderId="56" applyNumberFormat="0" applyBorder="0" applyAlignment="0" applyProtection="0"/>
    <xf numFmtId="0" fontId="93" fillId="0" borderId="56" applyAlignment="0"/>
    <xf numFmtId="0" fontId="7" fillId="0" borderId="56" applyAlignment="0"/>
    <xf numFmtId="0" fontId="93" fillId="0" borderId="56" applyAlignment="0"/>
    <xf numFmtId="0" fontId="21" fillId="35" borderId="51" applyNumberFormat="0" applyProtection="0">
      <alignment horizontal="left" vertical="center" indent="1"/>
    </xf>
    <xf numFmtId="4" fontId="7" fillId="0" borderId="56">
      <alignment horizontal="right" vertical="center"/>
    </xf>
    <xf numFmtId="0" fontId="10" fillId="26" borderId="57" applyNumberFormat="0" applyProtection="0">
      <alignment horizontal="left" vertical="top" indent="1"/>
    </xf>
    <xf numFmtId="0" fontId="62" fillId="8" borderId="57" applyNumberFormat="0" applyProtection="0">
      <alignment vertical="center"/>
    </xf>
    <xf numFmtId="0" fontId="20" fillId="36" borderId="57" applyNumberFormat="0" applyProtection="0">
      <alignment horizontal="right" vertical="center"/>
    </xf>
    <xf numFmtId="0" fontId="10" fillId="36" borderId="57" applyNumberFormat="0" applyProtection="0">
      <alignment horizontal="left" vertical="center" indent="1"/>
    </xf>
    <xf numFmtId="0" fontId="11" fillId="8" borderId="57" applyNumberFormat="0" applyProtection="0">
      <alignment horizontal="left" vertical="center" indent="1"/>
    </xf>
    <xf numFmtId="0" fontId="11" fillId="34" borderId="57" applyNumberFormat="0" applyProtection="0">
      <alignment horizontal="right" vertical="center"/>
    </xf>
    <xf numFmtId="0" fontId="10" fillId="4" borderId="57" applyNumberFormat="0" applyProtection="0">
      <alignment horizontal="left" vertical="center" indent="1"/>
    </xf>
    <xf numFmtId="0" fontId="11" fillId="33" borderId="57" applyNumberFormat="0" applyProtection="0">
      <alignment horizontal="right" vertical="center"/>
    </xf>
    <xf numFmtId="0" fontId="62" fillId="36" borderId="57" applyNumberFormat="0" applyProtection="0">
      <alignment horizontal="right" vertical="center"/>
    </xf>
    <xf numFmtId="0" fontId="21" fillId="25" borderId="57" applyNumberFormat="0" applyProtection="0">
      <alignment horizontal="left" vertical="center" indent="1"/>
    </xf>
    <xf numFmtId="0" fontId="42" fillId="9" borderId="56"/>
    <xf numFmtId="0" fontId="11" fillId="15" borderId="57" applyNumberFormat="0" applyProtection="0">
      <alignment horizontal="right" vertical="center"/>
    </xf>
    <xf numFmtId="0" fontId="11" fillId="36" borderId="57" applyNumberFormat="0" applyProtection="0">
      <alignment horizontal="right" vertical="center"/>
    </xf>
    <xf numFmtId="0" fontId="10" fillId="36" borderId="57" applyNumberFormat="0" applyProtection="0">
      <alignment horizontal="left" vertical="center" indent="1"/>
    </xf>
    <xf numFmtId="0" fontId="11" fillId="31" borderId="57" applyNumberFormat="0" applyProtection="0">
      <alignment horizontal="right" vertical="center"/>
    </xf>
    <xf numFmtId="0" fontId="11" fillId="27" borderId="57" applyNumberFormat="0" applyProtection="0">
      <alignment horizontal="right" vertical="center"/>
    </xf>
    <xf numFmtId="0" fontId="60" fillId="25" borderId="55" applyNumberFormat="0" applyProtection="0">
      <alignment vertical="center"/>
    </xf>
    <xf numFmtId="0" fontId="21" fillId="25" borderId="55" applyNumberFormat="0" applyProtection="0">
      <alignment vertical="center"/>
    </xf>
    <xf numFmtId="0" fontId="11" fillId="8" borderId="55" applyNumberFormat="0" applyProtection="0">
      <alignment vertical="center"/>
    </xf>
    <xf numFmtId="0" fontId="42" fillId="20" borderId="56"/>
    <xf numFmtId="0" fontId="93" fillId="0" borderId="56" applyAlignment="0"/>
    <xf numFmtId="0" fontId="7" fillId="0" borderId="56">
      <alignment horizontal="right" vertical="center"/>
    </xf>
    <xf numFmtId="4" fontId="93" fillId="0" borderId="56">
      <alignment horizontal="right"/>
    </xf>
    <xf numFmtId="0" fontId="10" fillId="26" borderId="57" applyNumberFormat="0" applyProtection="0">
      <alignment horizontal="left" vertical="center" indent="1"/>
    </xf>
    <xf numFmtId="0" fontId="11" fillId="8" borderId="57" applyNumberFormat="0" applyProtection="0">
      <alignment vertical="center"/>
    </xf>
    <xf numFmtId="0" fontId="10" fillId="6" borderId="57" applyNumberFormat="0" applyProtection="0">
      <alignment horizontal="left" vertical="top" indent="1"/>
    </xf>
    <xf numFmtId="0" fontId="11" fillId="28" borderId="57" applyNumberFormat="0" applyProtection="0">
      <alignment horizontal="right" vertical="center"/>
    </xf>
    <xf numFmtId="0" fontId="11" fillId="34" borderId="57" applyNumberFormat="0" applyProtection="0">
      <alignment horizontal="right" vertical="center"/>
    </xf>
    <xf numFmtId="0" fontId="11" fillId="26" borderId="57" applyNumberFormat="0" applyProtection="0">
      <alignment horizontal="right" vertical="center"/>
    </xf>
    <xf numFmtId="0" fontId="11" fillId="32" borderId="57" applyNumberFormat="0" applyProtection="0">
      <alignment horizontal="right" vertical="center"/>
    </xf>
    <xf numFmtId="0" fontId="11" fillId="28" borderId="57" applyNumberFormat="0" applyProtection="0">
      <alignment horizontal="right" vertical="center"/>
    </xf>
    <xf numFmtId="0" fontId="60" fillId="25" borderId="57" applyNumberFormat="0" applyProtection="0">
      <alignment vertical="center"/>
    </xf>
    <xf numFmtId="0" fontId="42" fillId="8" borderId="56" applyNumberFormat="0" applyBorder="0" applyAlignment="0" applyProtection="0"/>
    <xf numFmtId="0" fontId="21" fillId="25" borderId="57" applyNumberFormat="0" applyProtection="0">
      <alignment horizontal="left" vertical="top" indent="1"/>
    </xf>
    <xf numFmtId="0" fontId="11" fillId="26" borderId="57" applyNumberFormat="0" applyProtection="0">
      <alignment horizontal="left" vertical="center" indent="1"/>
    </xf>
    <xf numFmtId="0" fontId="11" fillId="26" borderId="55" applyNumberFormat="0" applyProtection="0">
      <alignment horizontal="left" vertical="center" indent="1"/>
    </xf>
    <xf numFmtId="0" fontId="11" fillId="30" borderId="55" applyNumberFormat="0" applyProtection="0">
      <alignment horizontal="right" vertical="center"/>
    </xf>
    <xf numFmtId="0" fontId="21" fillId="35" borderId="51" applyNumberFormat="0" applyProtection="0">
      <alignment horizontal="left" vertical="center" indent="1"/>
    </xf>
    <xf numFmtId="0" fontId="11" fillId="29" borderId="55" applyNumberFormat="0" applyProtection="0">
      <alignment horizontal="right" vertical="center"/>
    </xf>
    <xf numFmtId="0" fontId="21" fillId="35" borderId="51" applyNumberFormat="0" applyProtection="0">
      <alignment horizontal="left" vertical="center" indent="1"/>
    </xf>
    <xf numFmtId="0" fontId="11" fillId="30" borderId="55" applyNumberFormat="0" applyProtection="0">
      <alignment horizontal="right" vertical="center"/>
    </xf>
    <xf numFmtId="0" fontId="21" fillId="25" borderId="55" applyNumberFormat="0" applyProtection="0">
      <alignment horizontal="left" vertical="center" indent="1"/>
    </xf>
    <xf numFmtId="0" fontId="21" fillId="35" borderId="51" applyNumberFormat="0" applyProtection="0">
      <alignment horizontal="left" vertical="center" indent="1"/>
    </xf>
    <xf numFmtId="0" fontId="21" fillId="35" borderId="51" applyNumberFormat="0" applyProtection="0">
      <alignment horizontal="left" vertical="center" indent="1"/>
    </xf>
    <xf numFmtId="0" fontId="21" fillId="35" borderId="51" applyNumberFormat="0" applyProtection="0">
      <alignment horizontal="left" vertical="center" indent="1"/>
    </xf>
    <xf numFmtId="0" fontId="21" fillId="35" borderId="51" applyNumberFormat="0" applyProtection="0">
      <alignment horizontal="left" vertical="center" indent="1"/>
    </xf>
    <xf numFmtId="0" fontId="47" fillId="0" borderId="54" applyNumberFormat="0" applyProtection="0"/>
    <xf numFmtId="0" fontId="21" fillId="25" borderId="55" applyNumberFormat="0" applyProtection="0">
      <alignment horizontal="left" vertical="center" indent="1"/>
    </xf>
    <xf numFmtId="0" fontId="21" fillId="35" borderId="51" applyNumberFormat="0" applyProtection="0">
      <alignment horizontal="left" vertical="center" indent="1"/>
    </xf>
    <xf numFmtId="0" fontId="21" fillId="35" borderId="51" applyNumberFormat="0" applyProtection="0">
      <alignment horizontal="left" vertical="center" indent="1"/>
    </xf>
    <xf numFmtId="0" fontId="21" fillId="35" borderId="51" applyNumberFormat="0" applyProtection="0">
      <alignment horizontal="left" vertical="center" indent="1"/>
    </xf>
    <xf numFmtId="0" fontId="21" fillId="35" borderId="51" applyNumberFormat="0" applyProtection="0">
      <alignment horizontal="left" vertical="center" indent="1"/>
    </xf>
    <xf numFmtId="0" fontId="47" fillId="0" borderId="54" applyNumberFormat="0" applyProtection="0"/>
    <xf numFmtId="0" fontId="21" fillId="35" borderId="51" applyNumberFormat="0" applyProtection="0">
      <alignment horizontal="left" vertical="center" indent="1"/>
    </xf>
    <xf numFmtId="0" fontId="21" fillId="35" borderId="51" applyNumberFormat="0" applyProtection="0">
      <alignment horizontal="left" vertical="center" indent="1"/>
    </xf>
    <xf numFmtId="0" fontId="11" fillId="28" borderId="55" applyNumberFormat="0" applyProtection="0">
      <alignment horizontal="right" vertical="center"/>
    </xf>
    <xf numFmtId="0" fontId="11" fillId="28" borderId="55" applyNumberFormat="0" applyProtection="0">
      <alignment horizontal="right" vertical="center"/>
    </xf>
    <xf numFmtId="0" fontId="11" fillId="28" borderId="55" applyNumberFormat="0" applyProtection="0">
      <alignment horizontal="right" vertical="center"/>
    </xf>
    <xf numFmtId="0" fontId="11" fillId="28" borderId="55" applyNumberFormat="0" applyProtection="0">
      <alignment horizontal="right" vertical="center"/>
    </xf>
    <xf numFmtId="0" fontId="11" fillId="29" borderId="55" applyNumberFormat="0" applyProtection="0">
      <alignment horizontal="right" vertical="center"/>
    </xf>
    <xf numFmtId="0" fontId="11" fillId="29" borderId="55" applyNumberFormat="0" applyProtection="0">
      <alignment horizontal="right" vertical="center"/>
    </xf>
    <xf numFmtId="0" fontId="11" fillId="29" borderId="55" applyNumberFormat="0" applyProtection="0">
      <alignment horizontal="right" vertical="center"/>
    </xf>
    <xf numFmtId="0" fontId="11" fillId="29" borderId="55" applyNumberFormat="0" applyProtection="0">
      <alignment horizontal="right" vertical="center"/>
    </xf>
    <xf numFmtId="0" fontId="11" fillId="30" borderId="55" applyNumberFormat="0" applyProtection="0">
      <alignment horizontal="right" vertical="center"/>
    </xf>
    <xf numFmtId="0" fontId="11" fillId="30" borderId="55" applyNumberFormat="0" applyProtection="0">
      <alignment horizontal="right" vertical="center"/>
    </xf>
    <xf numFmtId="0" fontId="11" fillId="30" borderId="55" applyNumberFormat="0" applyProtection="0">
      <alignment horizontal="right" vertical="center"/>
    </xf>
    <xf numFmtId="0" fontId="11" fillId="30" borderId="55" applyNumberFormat="0" applyProtection="0">
      <alignment horizontal="right" vertical="center"/>
    </xf>
    <xf numFmtId="0" fontId="11" fillId="15" borderId="55" applyNumberFormat="0" applyProtection="0">
      <alignment horizontal="right" vertical="center"/>
    </xf>
    <xf numFmtId="0" fontId="11" fillId="15" borderId="55" applyNumberFormat="0" applyProtection="0">
      <alignment horizontal="right" vertical="center"/>
    </xf>
    <xf numFmtId="0" fontId="11" fillId="15" borderId="55" applyNumberFormat="0" applyProtection="0">
      <alignment horizontal="right" vertical="center"/>
    </xf>
    <xf numFmtId="0" fontId="11" fillId="15" borderId="55" applyNumberFormat="0" applyProtection="0">
      <alignment horizontal="right" vertical="center"/>
    </xf>
    <xf numFmtId="0" fontId="11" fillId="31" borderId="55" applyNumberFormat="0" applyProtection="0">
      <alignment horizontal="right" vertical="center"/>
    </xf>
    <xf numFmtId="0" fontId="11" fillId="31" borderId="55" applyNumberFormat="0" applyProtection="0">
      <alignment horizontal="right" vertical="center"/>
    </xf>
    <xf numFmtId="0" fontId="11" fillId="31" borderId="55" applyNumberFormat="0" applyProtection="0">
      <alignment horizontal="right" vertical="center"/>
    </xf>
    <xf numFmtId="0" fontId="11" fillId="31" borderId="55" applyNumberFormat="0" applyProtection="0">
      <alignment horizontal="right" vertical="center"/>
    </xf>
    <xf numFmtId="0" fontId="11" fillId="32" borderId="55" applyNumberFormat="0" applyProtection="0">
      <alignment horizontal="right" vertical="center"/>
    </xf>
    <xf numFmtId="0" fontId="11" fillId="32" borderId="55" applyNumberFormat="0" applyProtection="0">
      <alignment horizontal="right" vertical="center"/>
    </xf>
    <xf numFmtId="0" fontId="11" fillId="32" borderId="55" applyNumberFormat="0" applyProtection="0">
      <alignment horizontal="right" vertical="center"/>
    </xf>
    <xf numFmtId="0" fontId="11" fillId="32" borderId="55" applyNumberFormat="0" applyProtection="0">
      <alignment horizontal="right" vertical="center"/>
    </xf>
    <xf numFmtId="0" fontId="11" fillId="33" borderId="55" applyNumberFormat="0" applyProtection="0">
      <alignment horizontal="right" vertical="center"/>
    </xf>
    <xf numFmtId="0" fontId="11" fillId="33" borderId="55" applyNumberFormat="0" applyProtection="0">
      <alignment horizontal="right" vertical="center"/>
    </xf>
    <xf numFmtId="0" fontId="11" fillId="33" borderId="55" applyNumberFormat="0" applyProtection="0">
      <alignment horizontal="right" vertical="center"/>
    </xf>
    <xf numFmtId="0" fontId="11" fillId="33" borderId="55" applyNumberFormat="0" applyProtection="0">
      <alignment horizontal="right" vertical="center"/>
    </xf>
    <xf numFmtId="0" fontId="11" fillId="34" borderId="55" applyNumberFormat="0" applyProtection="0">
      <alignment horizontal="right" vertical="center"/>
    </xf>
    <xf numFmtId="0" fontId="11" fillId="34" borderId="55" applyNumberFormat="0" applyProtection="0">
      <alignment horizontal="right" vertical="center"/>
    </xf>
    <xf numFmtId="0" fontId="11" fillId="34" borderId="55" applyNumberFormat="0" applyProtection="0">
      <alignment horizontal="right" vertical="center"/>
    </xf>
    <xf numFmtId="0" fontId="11" fillId="34" borderId="55" applyNumberFormat="0" applyProtection="0">
      <alignment horizontal="right" vertical="center"/>
    </xf>
    <xf numFmtId="0" fontId="11" fillId="26" borderId="55" applyNumberFormat="0" applyProtection="0">
      <alignment horizontal="right" vertical="center"/>
    </xf>
    <xf numFmtId="0" fontId="11" fillId="26" borderId="55" applyNumberFormat="0" applyProtection="0">
      <alignment horizontal="right" vertical="center"/>
    </xf>
    <xf numFmtId="0" fontId="11" fillId="26" borderId="55" applyNumberFormat="0" applyProtection="0">
      <alignment horizontal="right" vertical="center"/>
    </xf>
    <xf numFmtId="0" fontId="11" fillId="26" borderId="55" applyNumberFormat="0" applyProtection="0">
      <alignment horizontal="right" vertical="center"/>
    </xf>
    <xf numFmtId="0" fontId="10" fillId="4" borderId="55" applyNumberFormat="0" applyProtection="0">
      <alignment horizontal="left" vertical="center" indent="1"/>
    </xf>
    <xf numFmtId="0" fontId="10" fillId="4" borderId="55" applyNumberFormat="0" applyProtection="0">
      <alignment horizontal="left" vertical="center" indent="1"/>
    </xf>
    <xf numFmtId="0" fontId="10" fillId="4" borderId="55" applyNumberFormat="0" applyProtection="0">
      <alignment horizontal="left" vertical="center" indent="1"/>
    </xf>
    <xf numFmtId="0" fontId="10" fillId="4" borderId="55" applyNumberFormat="0" applyProtection="0">
      <alignment horizontal="left" vertical="center" indent="1"/>
    </xf>
    <xf numFmtId="0" fontId="10" fillId="4" borderId="55" applyNumberFormat="0" applyProtection="0">
      <alignment horizontal="left" vertical="top" indent="1"/>
    </xf>
    <xf numFmtId="0" fontId="10" fillId="4" borderId="55" applyNumberFormat="0" applyProtection="0">
      <alignment horizontal="left" vertical="top" indent="1"/>
    </xf>
    <xf numFmtId="0" fontId="10" fillId="4" borderId="55" applyNumberFormat="0" applyProtection="0">
      <alignment horizontal="left" vertical="top" indent="1"/>
    </xf>
    <xf numFmtId="0" fontId="10" fillId="4" borderId="55" applyNumberFormat="0" applyProtection="0">
      <alignment horizontal="left" vertical="top" indent="1"/>
    </xf>
    <xf numFmtId="0" fontId="10" fillId="26" borderId="55" applyNumberFormat="0" applyProtection="0">
      <alignment horizontal="left" vertical="center" indent="1"/>
    </xf>
    <xf numFmtId="0" fontId="10" fillId="26" borderId="55" applyNumberFormat="0" applyProtection="0">
      <alignment horizontal="left" vertical="center" indent="1"/>
    </xf>
    <xf numFmtId="0" fontId="10" fillId="26" borderId="55" applyNumberFormat="0" applyProtection="0">
      <alignment horizontal="left" vertical="center" indent="1"/>
    </xf>
    <xf numFmtId="0" fontId="10" fillId="26" borderId="55" applyNumberFormat="0" applyProtection="0">
      <alignment horizontal="left" vertical="center" indent="1"/>
    </xf>
    <xf numFmtId="0" fontId="10" fillId="26" borderId="55" applyNumberFormat="0" applyProtection="0">
      <alignment horizontal="left" vertical="top" indent="1"/>
    </xf>
    <xf numFmtId="0" fontId="10" fillId="26" borderId="55" applyNumberFormat="0" applyProtection="0">
      <alignment horizontal="left" vertical="top" indent="1"/>
    </xf>
    <xf numFmtId="0" fontId="10" fillId="26" borderId="55" applyNumberFormat="0" applyProtection="0">
      <alignment horizontal="left" vertical="top" indent="1"/>
    </xf>
    <xf numFmtId="0" fontId="10" fillId="26" borderId="55" applyNumberFormat="0" applyProtection="0">
      <alignment horizontal="left" vertical="top" indent="1"/>
    </xf>
    <xf numFmtId="0" fontId="10" fillId="6" borderId="55" applyNumberFormat="0" applyProtection="0">
      <alignment horizontal="left" vertical="center" indent="1"/>
    </xf>
    <xf numFmtId="0" fontId="10" fillId="6" borderId="55" applyNumberFormat="0" applyProtection="0">
      <alignment horizontal="left" vertical="center" indent="1"/>
    </xf>
    <xf numFmtId="0" fontId="10" fillId="6" borderId="55" applyNumberFormat="0" applyProtection="0">
      <alignment horizontal="left" vertical="center" indent="1"/>
    </xf>
    <xf numFmtId="0" fontId="10" fillId="6" borderId="55" applyNumberFormat="0" applyProtection="0">
      <alignment horizontal="left" vertical="center" indent="1"/>
    </xf>
    <xf numFmtId="0" fontId="10" fillId="6" borderId="55" applyNumberFormat="0" applyProtection="0">
      <alignment horizontal="left" vertical="top" indent="1"/>
    </xf>
    <xf numFmtId="0" fontId="10" fillId="6" borderId="55" applyNumberFormat="0" applyProtection="0">
      <alignment horizontal="left" vertical="top" indent="1"/>
    </xf>
    <xf numFmtId="0" fontId="10" fillId="6" borderId="55" applyNumberFormat="0" applyProtection="0">
      <alignment horizontal="left" vertical="top" indent="1"/>
    </xf>
    <xf numFmtId="0" fontId="10" fillId="6" borderId="55" applyNumberFormat="0" applyProtection="0">
      <alignment horizontal="left" vertical="top" indent="1"/>
    </xf>
    <xf numFmtId="0" fontId="10" fillId="36" borderId="55" applyNumberFormat="0" applyProtection="0">
      <alignment horizontal="left" vertical="center" indent="1"/>
    </xf>
    <xf numFmtId="0" fontId="10" fillId="36" borderId="55" applyNumberFormat="0" applyProtection="0">
      <alignment horizontal="left" vertical="center" indent="1"/>
    </xf>
    <xf numFmtId="0" fontId="10" fillId="36" borderId="55" applyNumberFormat="0" applyProtection="0">
      <alignment horizontal="left" vertical="center" indent="1"/>
    </xf>
    <xf numFmtId="0" fontId="10" fillId="36" borderId="55" applyNumberFormat="0" applyProtection="0">
      <alignment horizontal="left" vertical="center" indent="1"/>
    </xf>
    <xf numFmtId="0" fontId="10" fillId="36" borderId="55" applyNumberFormat="0" applyProtection="0">
      <alignment horizontal="left" vertical="top" indent="1"/>
    </xf>
    <xf numFmtId="0" fontId="10" fillId="36" borderId="55" applyNumberFormat="0" applyProtection="0">
      <alignment horizontal="left" vertical="top" indent="1"/>
    </xf>
    <xf numFmtId="0" fontId="10" fillId="36" borderId="55" applyNumberFormat="0" applyProtection="0">
      <alignment horizontal="left" vertical="top" indent="1"/>
    </xf>
    <xf numFmtId="0" fontId="10" fillId="36" borderId="55" applyNumberFormat="0" applyProtection="0">
      <alignment horizontal="left" vertical="top" indent="1"/>
    </xf>
    <xf numFmtId="0" fontId="11" fillId="8" borderId="55" applyNumberFormat="0" applyProtection="0">
      <alignment vertical="center"/>
    </xf>
    <xf numFmtId="0" fontId="11" fillId="8" borderId="55" applyNumberFormat="0" applyProtection="0">
      <alignment vertical="center"/>
    </xf>
    <xf numFmtId="0" fontId="11" fillId="8" borderId="55" applyNumberFormat="0" applyProtection="0">
      <alignment vertical="center"/>
    </xf>
    <xf numFmtId="0" fontId="11" fillId="8" borderId="55" applyNumberFormat="0" applyProtection="0">
      <alignment vertical="center"/>
    </xf>
    <xf numFmtId="0" fontId="62" fillId="8" borderId="55" applyNumberFormat="0" applyProtection="0">
      <alignment vertical="center"/>
    </xf>
    <xf numFmtId="0" fontId="62" fillId="8" borderId="55" applyNumberFormat="0" applyProtection="0">
      <alignment vertical="center"/>
    </xf>
    <xf numFmtId="0" fontId="62" fillId="8" borderId="55" applyNumberFormat="0" applyProtection="0">
      <alignment vertical="center"/>
    </xf>
    <xf numFmtId="0" fontId="62" fillId="8" borderId="55" applyNumberFormat="0" applyProtection="0">
      <alignment vertical="center"/>
    </xf>
    <xf numFmtId="0" fontId="11" fillId="8" borderId="55" applyNumberFormat="0" applyProtection="0">
      <alignment horizontal="left" vertical="center" indent="1"/>
    </xf>
    <xf numFmtId="0" fontId="11" fillId="8" borderId="55" applyNumberFormat="0" applyProtection="0">
      <alignment horizontal="left" vertical="center" indent="1"/>
    </xf>
    <xf numFmtId="0" fontId="11" fillId="8" borderId="55" applyNumberFormat="0" applyProtection="0">
      <alignment horizontal="left" vertical="center" indent="1"/>
    </xf>
    <xf numFmtId="0" fontId="11" fillId="8" borderId="55" applyNumberFormat="0" applyProtection="0">
      <alignment horizontal="left" vertical="center" indent="1"/>
    </xf>
    <xf numFmtId="0" fontId="11" fillId="8" borderId="55" applyNumberFormat="0" applyProtection="0">
      <alignment horizontal="left" vertical="top" indent="1"/>
    </xf>
    <xf numFmtId="0" fontId="11" fillId="8" borderId="55" applyNumberFormat="0" applyProtection="0">
      <alignment horizontal="left" vertical="top" indent="1"/>
    </xf>
    <xf numFmtId="0" fontId="11" fillId="8" borderId="55" applyNumberFormat="0" applyProtection="0">
      <alignment horizontal="left" vertical="top" indent="1"/>
    </xf>
    <xf numFmtId="0" fontId="11" fillId="8" borderId="55" applyNumberFormat="0" applyProtection="0">
      <alignment horizontal="left" vertical="top" indent="1"/>
    </xf>
    <xf numFmtId="0" fontId="11" fillId="36" borderId="55" applyNumberFormat="0" applyProtection="0">
      <alignment horizontal="right" vertical="center"/>
    </xf>
    <xf numFmtId="0" fontId="11" fillId="36" borderId="55" applyNumberFormat="0" applyProtection="0">
      <alignment horizontal="right" vertical="center"/>
    </xf>
    <xf numFmtId="0" fontId="11" fillId="36" borderId="55" applyNumberFormat="0" applyProtection="0">
      <alignment horizontal="right" vertical="center"/>
    </xf>
    <xf numFmtId="0" fontId="11" fillId="36" borderId="55" applyNumberFormat="0" applyProtection="0">
      <alignment horizontal="right" vertical="center"/>
    </xf>
    <xf numFmtId="0" fontId="62" fillId="36" borderId="55" applyNumberFormat="0" applyProtection="0">
      <alignment horizontal="right" vertical="center"/>
    </xf>
    <xf numFmtId="0" fontId="62" fillId="36" borderId="55" applyNumberFormat="0" applyProtection="0">
      <alignment horizontal="right" vertical="center"/>
    </xf>
    <xf numFmtId="0" fontId="62" fillId="36" borderId="55" applyNumberFormat="0" applyProtection="0">
      <alignment horizontal="right" vertical="center"/>
    </xf>
    <xf numFmtId="0" fontId="62" fillId="36" borderId="55" applyNumberFormat="0" applyProtection="0">
      <alignment horizontal="right" vertical="center"/>
    </xf>
    <xf numFmtId="0" fontId="11" fillId="26" borderId="55" applyNumberFormat="0" applyProtection="0">
      <alignment horizontal="left" vertical="center" indent="1"/>
    </xf>
    <xf numFmtId="0" fontId="11" fillId="26" borderId="55" applyNumberFormat="0" applyProtection="0">
      <alignment horizontal="left" vertical="center" indent="1"/>
    </xf>
    <xf numFmtId="0" fontId="11" fillId="26" borderId="55" applyNumberFormat="0" applyProtection="0">
      <alignment horizontal="left" vertical="center" indent="1"/>
    </xf>
    <xf numFmtId="0" fontId="11" fillId="26" borderId="55" applyNumberFormat="0" applyProtection="0">
      <alignment horizontal="left" vertical="center" indent="1"/>
    </xf>
    <xf numFmtId="0" fontId="11" fillId="26" borderId="55" applyNumberFormat="0" applyProtection="0">
      <alignment horizontal="left" vertical="top" indent="1"/>
    </xf>
    <xf numFmtId="0" fontId="11" fillId="26" borderId="55" applyNumberFormat="0" applyProtection="0">
      <alignment horizontal="left" vertical="top" indent="1"/>
    </xf>
    <xf numFmtId="0" fontId="11" fillId="26" borderId="55" applyNumberFormat="0" applyProtection="0">
      <alignment horizontal="left" vertical="top" indent="1"/>
    </xf>
    <xf numFmtId="0" fontId="11" fillId="26" borderId="55" applyNumberFormat="0" applyProtection="0">
      <alignment horizontal="left" vertical="top" indent="1"/>
    </xf>
    <xf numFmtId="0" fontId="20" fillId="36" borderId="55" applyNumberFormat="0" applyProtection="0">
      <alignment horizontal="right" vertical="center"/>
    </xf>
    <xf numFmtId="0" fontId="20" fillId="36" borderId="55" applyNumberFormat="0" applyProtection="0">
      <alignment horizontal="right" vertical="center"/>
    </xf>
    <xf numFmtId="0" fontId="20" fillId="36" borderId="55" applyNumberFormat="0" applyProtection="0">
      <alignment horizontal="right" vertical="center"/>
    </xf>
    <xf numFmtId="0" fontId="20" fillId="36" borderId="55" applyNumberFormat="0" applyProtection="0">
      <alignment horizontal="right" vertical="center"/>
    </xf>
    <xf numFmtId="0" fontId="105" fillId="0" borderId="0" applyNumberFormat="0" applyFill="0" applyBorder="0" applyAlignment="0" applyProtection="0"/>
    <xf numFmtId="0" fontId="129" fillId="0" borderId="0"/>
    <xf numFmtId="176" fontId="129" fillId="0" borderId="0" applyFont="0" applyFill="0" applyBorder="0" applyAlignment="0" applyProtection="0"/>
    <xf numFmtId="0" fontId="134" fillId="0" borderId="0" applyNumberFormat="0" applyFill="0" applyBorder="0" applyAlignment="0" applyProtection="0"/>
    <xf numFmtId="0" fontId="135" fillId="0" borderId="0"/>
    <xf numFmtId="0" fontId="129" fillId="0" borderId="0"/>
    <xf numFmtId="176" fontId="129" fillId="0" borderId="0" applyFont="0" applyFill="0" applyBorder="0" applyAlignment="0" applyProtection="0"/>
    <xf numFmtId="43" fontId="129" fillId="0" borderId="0" applyFont="0" applyFill="0" applyBorder="0" applyAlignment="0" applyProtection="0"/>
    <xf numFmtId="0" fontId="135" fillId="0" borderId="0"/>
    <xf numFmtId="0" fontId="136" fillId="0" borderId="0"/>
    <xf numFmtId="0" fontId="135" fillId="0" borderId="0"/>
    <xf numFmtId="0" fontId="135" fillId="0" borderId="0"/>
    <xf numFmtId="0" fontId="129" fillId="0" borderId="0"/>
    <xf numFmtId="43" fontId="93" fillId="0" borderId="0" applyFont="0" applyFill="0" applyBorder="0" applyAlignment="0" applyProtection="0">
      <alignment vertical="center"/>
    </xf>
    <xf numFmtId="43" fontId="93" fillId="0" borderId="0" applyFont="0" applyFill="0" applyBorder="0" applyAlignment="0" applyProtection="0">
      <alignment vertical="center"/>
    </xf>
    <xf numFmtId="0" fontId="93" fillId="0" borderId="0"/>
    <xf numFmtId="0" fontId="43" fillId="0" borderId="0"/>
    <xf numFmtId="0" fontId="105" fillId="0" borderId="0" applyNumberFormat="0" applyFill="0" applyBorder="0" applyAlignment="0" applyProtection="0"/>
    <xf numFmtId="9" fontId="93" fillId="0" borderId="0" applyFont="0" applyFill="0" applyBorder="0" applyAlignment="0" applyProtection="0">
      <alignment vertical="center"/>
    </xf>
  </cellStyleXfs>
  <cellXfs count="184">
    <xf numFmtId="0" fontId="0" fillId="0" borderId="0" xfId="0">
      <protection locked="0"/>
    </xf>
    <xf numFmtId="0" fontId="8" fillId="0" borderId="0" xfId="0" applyFont="1" applyAlignment="1">
      <alignment vertical="center"/>
      <protection locked="0"/>
    </xf>
    <xf numFmtId="49" fontId="0" fillId="0" borderId="0" xfId="0" applyNumberFormat="1">
      <protection locked="0"/>
    </xf>
    <xf numFmtId="0" fontId="10" fillId="0" borderId="0" xfId="0" applyFont="1" applyAlignment="1">
      <alignment vertical="center"/>
      <protection locked="0"/>
    </xf>
    <xf numFmtId="0" fontId="13" fillId="0" borderId="0" xfId="0" applyFont="1" applyAlignment="1">
      <alignment horizontal="center" vertical="center"/>
      <protection locked="0"/>
    </xf>
    <xf numFmtId="0" fontId="104" fillId="0" borderId="0" xfId="0" applyFont="1">
      <protection locked="0"/>
    </xf>
    <xf numFmtId="0" fontId="117" fillId="0" borderId="0" xfId="0" applyFont="1">
      <protection locked="0"/>
    </xf>
    <xf numFmtId="0" fontId="104" fillId="0" borderId="0" xfId="0" applyFont="1" applyAlignment="1">
      <alignment horizontal="center"/>
      <protection locked="0"/>
    </xf>
    <xf numFmtId="0" fontId="109" fillId="0" borderId="16" xfId="0" applyFont="1" applyBorder="1" applyAlignment="1">
      <alignment horizontal="center" vertical="center"/>
      <protection locked="0"/>
    </xf>
    <xf numFmtId="0" fontId="0" fillId="0" borderId="0" xfId="0" applyAlignment="1">
      <alignment vertical="center"/>
      <protection locked="0"/>
    </xf>
    <xf numFmtId="0" fontId="126" fillId="0" borderId="0" xfId="0" applyFont="1">
      <protection locked="0"/>
    </xf>
    <xf numFmtId="0" fontId="126" fillId="0" borderId="0" xfId="0" applyFont="1" applyAlignment="1">
      <alignment horizontal="left" vertical="center"/>
      <protection locked="0"/>
    </xf>
    <xf numFmtId="0" fontId="12" fillId="0" borderId="0" xfId="0" applyFont="1" applyAlignment="1">
      <alignment horizontal="left" vertical="center" wrapText="1"/>
      <protection locked="0"/>
    </xf>
    <xf numFmtId="49" fontId="12" fillId="0" borderId="23" xfId="1047" applyNumberFormat="1" applyFont="1" applyBorder="1" applyAlignment="1">
      <alignment horizontal="left" vertical="center"/>
    </xf>
    <xf numFmtId="0" fontId="12" fillId="0" borderId="20" xfId="0" applyFont="1" applyBorder="1" applyAlignment="1">
      <alignment horizontal="left" vertical="center" wrapText="1"/>
      <protection locked="0"/>
    </xf>
    <xf numFmtId="0" fontId="12" fillId="0" borderId="20" xfId="0" applyFont="1" applyBorder="1" applyAlignment="1">
      <alignment horizontal="left" vertical="center"/>
      <protection locked="0"/>
    </xf>
    <xf numFmtId="49" fontId="12" fillId="0" borderId="20" xfId="1047" applyNumberFormat="1" applyFont="1" applyBorder="1" applyAlignment="1">
      <alignment horizontal="left" vertical="center"/>
    </xf>
    <xf numFmtId="0" fontId="12" fillId="0" borderId="24" xfId="0" applyFont="1" applyBorder="1" applyAlignment="1">
      <alignment horizontal="left" vertical="center"/>
      <protection locked="0"/>
    </xf>
    <xf numFmtId="0" fontId="12" fillId="0" borderId="20" xfId="3690" applyFont="1" applyBorder="1" applyAlignment="1">
      <alignment horizontal="left" vertical="center" wrapText="1"/>
    </xf>
    <xf numFmtId="0" fontId="12" fillId="0" borderId="25" xfId="0" applyFont="1" applyBorder="1" applyAlignment="1">
      <alignment horizontal="left" vertical="center"/>
      <protection locked="0"/>
    </xf>
    <xf numFmtId="0" fontId="12" fillId="0" borderId="23" xfId="3690" applyFont="1" applyBorder="1" applyAlignment="1">
      <alignment horizontal="left" vertical="center" wrapText="1"/>
    </xf>
    <xf numFmtId="0" fontId="118" fillId="44" borderId="58" xfId="1046" applyFont="1" applyFill="1" applyBorder="1" applyAlignment="1">
      <alignment horizontal="center" vertical="center"/>
    </xf>
    <xf numFmtId="0" fontId="106" fillId="0" borderId="20" xfId="0" applyFont="1" applyBorder="1" applyAlignment="1">
      <alignment horizontal="left" vertical="center" wrapText="1"/>
      <protection locked="0"/>
    </xf>
    <xf numFmtId="0" fontId="8" fillId="0" borderId="20" xfId="0" applyFont="1" applyBorder="1" applyAlignment="1">
      <alignment horizontal="left" vertical="center" wrapText="1"/>
      <protection locked="0"/>
    </xf>
    <xf numFmtId="0" fontId="8" fillId="0" borderId="20" xfId="0" applyFont="1" applyBorder="1" applyAlignment="1">
      <alignment horizontal="left" vertical="center"/>
      <protection locked="0"/>
    </xf>
    <xf numFmtId="0" fontId="10" fillId="0" borderId="15" xfId="6612" applyFont="1" applyBorder="1" applyAlignment="1" applyProtection="1">
      <alignment horizontal="left" vertical="top"/>
      <protection locked="0"/>
    </xf>
    <xf numFmtId="0" fontId="110" fillId="47" borderId="22" xfId="1050" applyFont="1" applyFill="1" applyBorder="1" applyAlignment="1" applyProtection="1">
      <alignment horizontal="centerContinuous" vertical="center"/>
      <protection locked="0"/>
    </xf>
    <xf numFmtId="3" fontId="10" fillId="48" borderId="12" xfId="6612" applyNumberFormat="1" applyFont="1" applyFill="1" applyBorder="1" applyAlignment="1" applyProtection="1">
      <alignment horizontal="right"/>
      <protection locked="0"/>
    </xf>
    <xf numFmtId="0" fontId="10" fillId="48" borderId="4" xfId="6612" applyFont="1" applyFill="1" applyBorder="1" applyAlignment="1" applyProtection="1">
      <alignment horizontal="right"/>
      <protection locked="0"/>
    </xf>
    <xf numFmtId="0" fontId="107" fillId="46" borderId="22" xfId="1050" applyFont="1" applyFill="1" applyBorder="1" applyAlignment="1" applyProtection="1">
      <alignment horizontal="centerContinuous" vertical="center"/>
      <protection locked="0"/>
    </xf>
    <xf numFmtId="0" fontId="12" fillId="0" borderId="0" xfId="0" applyFont="1">
      <protection locked="0"/>
    </xf>
    <xf numFmtId="0" fontId="12" fillId="50" borderId="0" xfId="1050" applyFont="1" applyFill="1" applyProtection="1">
      <protection locked="0"/>
    </xf>
    <xf numFmtId="0" fontId="108" fillId="49" borderId="22" xfId="1050" applyFont="1" applyFill="1" applyBorder="1" applyAlignment="1" applyProtection="1">
      <alignment vertical="center"/>
      <protection locked="0"/>
    </xf>
    <xf numFmtId="0" fontId="108" fillId="49" borderId="11" xfId="1050" applyFont="1" applyFill="1" applyBorder="1" applyAlignment="1" applyProtection="1">
      <alignment vertical="center"/>
      <protection locked="0"/>
    </xf>
    <xf numFmtId="0" fontId="108" fillId="49" borderId="12" xfId="1050" applyFont="1" applyFill="1" applyBorder="1" applyAlignment="1" applyProtection="1">
      <alignment vertical="center"/>
      <protection locked="0"/>
    </xf>
    <xf numFmtId="0" fontId="108" fillId="49" borderId="0" xfId="1050" applyFont="1" applyFill="1" applyAlignment="1" applyProtection="1">
      <alignment vertical="center"/>
      <protection locked="0"/>
    </xf>
    <xf numFmtId="0" fontId="108" fillId="49" borderId="26" xfId="1050" applyFont="1" applyFill="1" applyBorder="1" applyAlignment="1" applyProtection="1">
      <alignment vertical="center"/>
      <protection locked="0"/>
    </xf>
    <xf numFmtId="0" fontId="12" fillId="50" borderId="0" xfId="1050" applyFont="1" applyFill="1" applyAlignment="1" applyProtection="1">
      <alignment vertical="center"/>
      <protection locked="0"/>
    </xf>
    <xf numFmtId="0" fontId="17" fillId="48" borderId="11" xfId="6612" applyFont="1" applyFill="1" applyBorder="1" applyProtection="1">
      <protection locked="0"/>
    </xf>
    <xf numFmtId="0" fontId="130" fillId="48" borderId="12" xfId="6612" applyFont="1" applyFill="1" applyBorder="1" applyAlignment="1" applyProtection="1">
      <alignment horizontal="center" vertical="center" wrapText="1"/>
      <protection locked="0"/>
    </xf>
    <xf numFmtId="0" fontId="130" fillId="48" borderId="13" xfId="6612" applyFont="1" applyFill="1" applyBorder="1" applyAlignment="1" applyProtection="1">
      <alignment horizontal="center" vertical="center" wrapText="1"/>
      <protection locked="0"/>
    </xf>
    <xf numFmtId="0" fontId="8" fillId="0" borderId="0" xfId="6612" applyFont="1" applyProtection="1">
      <protection locked="0"/>
    </xf>
    <xf numFmtId="0" fontId="106" fillId="45" borderId="0" xfId="6612" applyFont="1" applyFill="1" applyAlignment="1" applyProtection="1">
      <alignment vertical="center"/>
      <protection locked="0"/>
    </xf>
    <xf numFmtId="0" fontId="17" fillId="48" borderId="14" xfId="6612" applyFont="1" applyFill="1" applyBorder="1" applyProtection="1">
      <protection locked="0"/>
    </xf>
    <xf numFmtId="0" fontId="132" fillId="48" borderId="4" xfId="6612" applyFont="1" applyFill="1" applyBorder="1" applyAlignment="1" applyProtection="1">
      <alignment horizontal="center" vertical="center" wrapText="1"/>
      <protection locked="0"/>
    </xf>
    <xf numFmtId="0" fontId="132" fillId="48" borderId="15" xfId="6612" applyFont="1" applyFill="1" applyBorder="1" applyAlignment="1" applyProtection="1">
      <alignment horizontal="center" vertical="center" wrapText="1"/>
      <protection locked="0"/>
    </xf>
    <xf numFmtId="0" fontId="132" fillId="0" borderId="0" xfId="6612" applyFont="1" applyAlignment="1" applyProtection="1">
      <alignment horizontal="center" vertical="center" wrapText="1"/>
      <protection locked="0"/>
    </xf>
    <xf numFmtId="0" fontId="8" fillId="0" borderId="0" xfId="6612" applyFont="1" applyAlignment="1" applyProtection="1">
      <alignment vertical="top"/>
      <protection locked="0"/>
    </xf>
    <xf numFmtId="0" fontId="130" fillId="48" borderId="0" xfId="6612" applyFont="1" applyFill="1" applyAlignment="1" applyProtection="1">
      <alignment horizontal="left"/>
      <protection locked="0"/>
    </xf>
    <xf numFmtId="0" fontId="12" fillId="0" borderId="0" xfId="6612" applyFont="1" applyProtection="1">
      <protection locked="0"/>
    </xf>
    <xf numFmtId="0" fontId="133" fillId="0" borderId="0" xfId="6612" applyFont="1" applyAlignment="1" applyProtection="1">
      <alignment horizontal="left" vertical="top"/>
      <protection locked="0"/>
    </xf>
    <xf numFmtId="0" fontId="133" fillId="0" borderId="0" xfId="6612" applyFont="1" applyAlignment="1" applyProtection="1">
      <alignment vertical="top"/>
      <protection locked="0"/>
    </xf>
    <xf numFmtId="0" fontId="14" fillId="0" borderId="0" xfId="6614" quotePrefix="1" applyFont="1" applyAlignment="1" applyProtection="1">
      <alignment vertical="top"/>
      <protection locked="0"/>
    </xf>
    <xf numFmtId="0" fontId="8" fillId="0" borderId="0" xfId="6612" applyFont="1" applyAlignment="1" applyProtection="1">
      <alignment horizontal="left" vertical="top"/>
      <protection locked="0"/>
    </xf>
    <xf numFmtId="0" fontId="16" fillId="0" borderId="0" xfId="6612" applyFont="1" applyAlignment="1" applyProtection="1">
      <alignment horizontal="left" vertical="top"/>
      <protection locked="0"/>
    </xf>
    <xf numFmtId="0" fontId="101" fillId="0" borderId="0" xfId="6612" applyFont="1" applyAlignment="1" applyProtection="1">
      <alignment horizontal="left" vertical="center" wrapText="1"/>
      <protection locked="0"/>
    </xf>
    <xf numFmtId="0" fontId="17" fillId="0" borderId="0" xfId="27" applyFont="1" applyAlignment="1" applyProtection="1">
      <alignment vertical="center"/>
      <protection locked="0"/>
    </xf>
    <xf numFmtId="0" fontId="19" fillId="0" borderId="0" xfId="0" applyFont="1" applyAlignment="1">
      <alignment horizontal="center" vertical="center"/>
      <protection locked="0"/>
    </xf>
    <xf numFmtId="10" fontId="10" fillId="0" borderId="0" xfId="0" applyNumberFormat="1" applyFont="1" applyAlignment="1">
      <alignment vertical="center"/>
      <protection locked="0"/>
    </xf>
    <xf numFmtId="0" fontId="19" fillId="0" borderId="0" xfId="0" applyFont="1" applyAlignment="1">
      <alignment vertical="center"/>
      <protection locked="0"/>
    </xf>
    <xf numFmtId="0" fontId="22" fillId="0" borderId="0" xfId="27" applyFont="1" applyAlignment="1" applyProtection="1">
      <alignment vertical="center"/>
      <protection locked="0"/>
    </xf>
    <xf numFmtId="0" fontId="10" fillId="0" borderId="0" xfId="27" applyFont="1" applyAlignment="1" applyProtection="1">
      <alignment vertical="center"/>
      <protection locked="0"/>
    </xf>
    <xf numFmtId="0" fontId="17" fillId="0" borderId="0" xfId="28" applyFont="1" applyAlignment="1" applyProtection="1">
      <alignment horizontal="center" vertical="center"/>
      <protection locked="0"/>
    </xf>
    <xf numFmtId="0" fontId="13" fillId="0" borderId="0" xfId="27" applyFont="1" applyAlignment="1" applyProtection="1">
      <alignment horizontal="center" vertical="center"/>
      <protection locked="0"/>
    </xf>
    <xf numFmtId="0" fontId="13" fillId="0" borderId="0" xfId="28" applyFont="1" applyAlignment="1" applyProtection="1">
      <alignment horizontal="center" vertical="center"/>
      <protection locked="0"/>
    </xf>
    <xf numFmtId="0" fontId="17" fillId="0" borderId="0" xfId="6612" applyFont="1" applyAlignment="1" applyProtection="1">
      <alignment horizontal="right" vertical="center"/>
      <protection locked="0"/>
    </xf>
    <xf numFmtId="0" fontId="10" fillId="0" borderId="0" xfId="6612" applyFont="1" applyAlignment="1" applyProtection="1">
      <alignment vertical="center"/>
      <protection locked="0"/>
    </xf>
    <xf numFmtId="0" fontId="10" fillId="0" borderId="0" xfId="6612" applyFont="1" applyAlignment="1" applyProtection="1">
      <alignment horizontal="right" vertical="center"/>
      <protection locked="0"/>
    </xf>
    <xf numFmtId="0" fontId="8" fillId="0" borderId="0" xfId="6612" applyFont="1" applyAlignment="1" applyProtection="1">
      <alignment horizontal="right"/>
      <protection locked="0"/>
    </xf>
    <xf numFmtId="0" fontId="130" fillId="48" borderId="0" xfId="6612" applyFont="1" applyFill="1" applyProtection="1">
      <protection locked="0"/>
    </xf>
    <xf numFmtId="0" fontId="106" fillId="45" borderId="0" xfId="6612" applyFont="1" applyFill="1" applyAlignment="1" applyProtection="1">
      <alignment horizontal="center" vertical="center"/>
      <protection locked="0"/>
    </xf>
    <xf numFmtId="0" fontId="8" fillId="0" borderId="11" xfId="6612" applyFont="1" applyBorder="1" applyAlignment="1" applyProtection="1">
      <alignment vertical="center"/>
      <protection locked="0"/>
    </xf>
    <xf numFmtId="0" fontId="10" fillId="0" borderId="13" xfId="6612" applyFont="1" applyBorder="1" applyAlignment="1" applyProtection="1">
      <alignment horizontal="left" vertical="top" wrapText="1"/>
      <protection locked="0"/>
    </xf>
    <xf numFmtId="0" fontId="8" fillId="0" borderId="27" xfId="6612" applyFont="1" applyBorder="1" applyAlignment="1" applyProtection="1">
      <alignment vertical="center"/>
      <protection locked="0"/>
    </xf>
    <xf numFmtId="0" fontId="133" fillId="0" borderId="26" xfId="6612" applyFont="1" applyBorder="1" applyAlignment="1" applyProtection="1">
      <alignment vertical="top" wrapText="1"/>
      <protection locked="0"/>
    </xf>
    <xf numFmtId="0" fontId="10" fillId="0" borderId="26" xfId="6612" applyFont="1" applyBorder="1" applyAlignment="1" applyProtection="1">
      <alignment horizontal="left" vertical="top" wrapText="1"/>
      <protection locked="0"/>
    </xf>
    <xf numFmtId="0" fontId="8" fillId="0" borderId="14" xfId="6612" applyFont="1" applyBorder="1" applyAlignment="1" applyProtection="1">
      <alignment vertical="center"/>
      <protection locked="0"/>
    </xf>
    <xf numFmtId="0" fontId="17" fillId="0" borderId="0" xfId="6612" applyFont="1" applyProtection="1">
      <protection locked="0"/>
    </xf>
    <xf numFmtId="0" fontId="17" fillId="48" borderId="0" xfId="6612" applyFont="1" applyFill="1" applyAlignment="1" applyProtection="1">
      <alignment horizontal="left"/>
      <protection locked="0"/>
    </xf>
    <xf numFmtId="0" fontId="17" fillId="48" borderId="0" xfId="6612" applyFont="1" applyFill="1" applyProtection="1">
      <protection locked="0"/>
    </xf>
    <xf numFmtId="0" fontId="10" fillId="0" borderId="0" xfId="6612" applyFont="1" applyAlignment="1" applyProtection="1">
      <alignment vertical="top"/>
      <protection locked="0"/>
    </xf>
    <xf numFmtId="0" fontId="10" fillId="0" borderId="0" xfId="6612" applyFont="1" applyAlignment="1" applyProtection="1">
      <alignment horizontal="left" vertical="top"/>
      <protection locked="0"/>
    </xf>
    <xf numFmtId="0" fontId="16" fillId="0" borderId="0" xfId="6612" applyFont="1" applyProtection="1">
      <protection locked="0"/>
    </xf>
    <xf numFmtId="0" fontId="10" fillId="0" borderId="0" xfId="6612" applyFont="1" applyAlignment="1" applyProtection="1">
      <alignment horizontal="right" vertical="top"/>
      <protection locked="0"/>
    </xf>
    <xf numFmtId="0" fontId="137" fillId="0" borderId="0" xfId="6612" applyFont="1" applyAlignment="1" applyProtection="1">
      <alignment vertical="top"/>
      <protection locked="0"/>
    </xf>
    <xf numFmtId="0" fontId="102" fillId="0" borderId="0" xfId="6612" applyFont="1" applyAlignment="1" applyProtection="1">
      <alignment horizontal="left" vertical="top"/>
      <protection locked="0"/>
    </xf>
    <xf numFmtId="182" fontId="10" fillId="0" borderId="22" xfId="6612" applyNumberFormat="1" applyFont="1" applyBorder="1" applyAlignment="1" applyProtection="1">
      <alignment vertical="center"/>
      <protection locked="0"/>
    </xf>
    <xf numFmtId="0" fontId="13" fillId="0" borderId="0" xfId="6612" applyFont="1" applyProtection="1">
      <protection locked="0"/>
    </xf>
    <xf numFmtId="43" fontId="16" fillId="0" borderId="0" xfId="6612" applyNumberFormat="1" applyFont="1" applyProtection="1">
      <protection locked="0"/>
    </xf>
    <xf numFmtId="0" fontId="15" fillId="0" borderId="23" xfId="0" applyFont="1" applyBorder="1" applyAlignment="1">
      <alignment horizontal="center" vertical="center" wrapText="1"/>
      <protection locked="0"/>
    </xf>
    <xf numFmtId="183" fontId="17" fillId="0" borderId="23" xfId="29" applyFont="1" applyBorder="1" applyAlignment="1">
      <alignment horizontal="center" vertical="center" wrapText="1"/>
      <protection locked="0"/>
    </xf>
    <xf numFmtId="0" fontId="13" fillId="0" borderId="0" xfId="28" applyFont="1" applyAlignment="1" applyProtection="1">
      <alignment horizontal="left" vertical="center"/>
      <protection locked="0"/>
    </xf>
    <xf numFmtId="0" fontId="13" fillId="0" borderId="0" xfId="6612" applyFont="1" applyAlignment="1" applyProtection="1">
      <alignment vertical="top"/>
      <protection locked="0"/>
    </xf>
    <xf numFmtId="0" fontId="10" fillId="0" borderId="23" xfId="6612" applyFont="1" applyBorder="1" applyAlignment="1" applyProtection="1">
      <alignment horizontal="center" vertical="center"/>
      <protection locked="0"/>
    </xf>
    <xf numFmtId="0" fontId="10" fillId="0" borderId="20" xfId="6612" applyFont="1" applyBorder="1" applyAlignment="1" applyProtection="1">
      <alignment horizontal="center" vertical="center"/>
      <protection locked="0"/>
    </xf>
    <xf numFmtId="0" fontId="17" fillId="48" borderId="27" xfId="6612" applyFont="1" applyFill="1" applyBorder="1" applyProtection="1">
      <protection locked="0"/>
    </xf>
    <xf numFmtId="3" fontId="10" fillId="48" borderId="0" xfId="6612" applyNumberFormat="1" applyFont="1" applyFill="1" applyAlignment="1" applyProtection="1">
      <alignment horizontal="right"/>
      <protection locked="0"/>
    </xf>
    <xf numFmtId="0" fontId="130" fillId="48" borderId="0" xfId="6612" applyFont="1" applyFill="1" applyAlignment="1" applyProtection="1">
      <alignment horizontal="center" vertical="center" wrapText="1"/>
      <protection locked="0"/>
    </xf>
    <xf numFmtId="0" fontId="130" fillId="48" borderId="26" xfId="6612" applyFont="1" applyFill="1" applyBorder="1" applyAlignment="1" applyProtection="1">
      <alignment horizontal="center" vertical="center" wrapText="1"/>
      <protection locked="0"/>
    </xf>
    <xf numFmtId="0" fontId="13" fillId="0" borderId="0" xfId="1" applyFont="1" applyAlignment="1">
      <alignment horizontal="left" vertical="center"/>
    </xf>
    <xf numFmtId="0" fontId="8" fillId="0" borderId="0" xfId="3" applyAlignment="1" applyProtection="1">
      <alignment vertical="center"/>
      <protection locked="0"/>
    </xf>
    <xf numFmtId="0" fontId="10" fillId="0" borderId="12" xfId="6612" applyFont="1" applyBorder="1" applyAlignment="1">
      <alignment horizontal="left" vertical="center" wrapText="1"/>
    </xf>
    <xf numFmtId="0" fontId="133" fillId="0" borderId="0" xfId="6612" applyFont="1" applyAlignment="1">
      <alignment vertical="center" wrapText="1"/>
    </xf>
    <xf numFmtId="0" fontId="10" fillId="0" borderId="0" xfId="6612" applyFont="1" applyAlignment="1">
      <alignment horizontal="left" vertical="center" wrapText="1"/>
    </xf>
    <xf numFmtId="0" fontId="10" fillId="0" borderId="4" xfId="6612" applyFont="1" applyBorder="1" applyAlignment="1">
      <alignment horizontal="left" vertical="center" wrapText="1"/>
    </xf>
    <xf numFmtId="0" fontId="145" fillId="0" borderId="0" xfId="6612" applyFont="1" applyAlignment="1" applyProtection="1">
      <alignment vertical="top"/>
      <protection locked="0"/>
    </xf>
    <xf numFmtId="0" fontId="15" fillId="0" borderId="0" xfId="6612" applyFont="1" applyAlignment="1" applyProtection="1">
      <alignment horizontal="left" vertical="top" wrapText="1"/>
      <protection locked="0"/>
    </xf>
    <xf numFmtId="0" fontId="12" fillId="0" borderId="22" xfId="3690" applyFont="1" applyBorder="1" applyAlignment="1">
      <alignment horizontal="left" vertical="center"/>
    </xf>
    <xf numFmtId="0" fontId="12" fillId="0" borderId="23" xfId="3690" applyFont="1" applyBorder="1" applyAlignment="1">
      <alignment horizontal="left" vertical="center"/>
    </xf>
    <xf numFmtId="0" fontId="126" fillId="0" borderId="26" xfId="0" applyFont="1" applyBorder="1" applyAlignment="1">
      <alignment horizontal="left" vertical="center"/>
      <protection locked="0"/>
    </xf>
    <xf numFmtId="0" fontId="12" fillId="0" borderId="11" xfId="3690" applyFont="1" applyBorder="1" applyAlignment="1">
      <alignment horizontal="left" vertical="center" wrapText="1"/>
    </xf>
    <xf numFmtId="0" fontId="12" fillId="0" borderId="14" xfId="3690" applyFont="1" applyBorder="1" applyAlignment="1">
      <alignment horizontal="left" vertical="center" wrapText="1"/>
    </xf>
    <xf numFmtId="0" fontId="12" fillId="0" borderId="13" xfId="3690" applyFont="1" applyBorder="1" applyAlignment="1">
      <alignment horizontal="left" vertical="center"/>
    </xf>
    <xf numFmtId="0" fontId="12" fillId="0" borderId="15" xfId="3690" applyFont="1" applyBorder="1" applyAlignment="1">
      <alignment horizontal="left" vertical="center"/>
    </xf>
    <xf numFmtId="0" fontId="8" fillId="0" borderId="22" xfId="3690" applyFont="1" applyBorder="1" applyAlignment="1">
      <alignment horizontal="left" vertical="center"/>
    </xf>
    <xf numFmtId="0" fontId="8" fillId="0" borderId="23" xfId="3690" applyFont="1" applyBorder="1" applyAlignment="1">
      <alignment horizontal="left" vertical="center"/>
    </xf>
    <xf numFmtId="0" fontId="119" fillId="44" borderId="59" xfId="0" applyFont="1" applyFill="1" applyBorder="1" applyAlignment="1">
      <alignment horizontal="left" vertical="center"/>
      <protection locked="0"/>
    </xf>
    <xf numFmtId="0" fontId="15" fillId="0" borderId="27" xfId="6612" applyFont="1" applyBorder="1" applyAlignment="1" applyProtection="1">
      <alignment horizontal="left" vertical="top" wrapText="1"/>
      <protection locked="0"/>
    </xf>
    <xf numFmtId="0" fontId="15" fillId="0" borderId="0" xfId="6612" applyFont="1" applyAlignment="1" applyProtection="1">
      <alignment horizontal="left" vertical="top" wrapText="1"/>
      <protection locked="0"/>
    </xf>
    <xf numFmtId="0" fontId="8" fillId="0" borderId="0" xfId="6612" applyFont="1" applyAlignment="1" applyProtection="1">
      <alignment horizontal="left" vertical="center" wrapText="1"/>
      <protection locked="0"/>
    </xf>
    <xf numFmtId="0" fontId="10" fillId="0" borderId="0" xfId="6612" applyFont="1" applyAlignment="1" applyProtection="1">
      <alignment horizontal="left" vertical="top" wrapText="1"/>
      <protection locked="0"/>
    </xf>
    <xf numFmtId="0" fontId="12" fillId="56" borderId="62" xfId="3690" applyFont="1" applyFill="1" applyBorder="1" applyAlignment="1">
      <alignment horizontal="left" vertical="center"/>
    </xf>
    <xf numFmtId="0" fontId="12" fillId="56" borderId="62" xfId="3690" applyFont="1" applyFill="1" applyBorder="1" applyAlignment="1">
      <alignment horizontal="left" vertical="center" wrapText="1"/>
    </xf>
    <xf numFmtId="0" fontId="8" fillId="56" borderId="62" xfId="3690" applyFont="1" applyFill="1" applyBorder="1" applyAlignment="1">
      <alignment horizontal="left" vertical="center" wrapText="1"/>
    </xf>
    <xf numFmtId="0" fontId="12" fillId="0" borderId="62" xfId="3690" applyFont="1" applyBorder="1" applyAlignment="1">
      <alignment horizontal="left" vertical="center"/>
    </xf>
    <xf numFmtId="0" fontId="12" fillId="0" borderId="62" xfId="3690" applyFont="1" applyBorder="1" applyAlignment="1">
      <alignment horizontal="left" vertical="center" wrapText="1"/>
    </xf>
    <xf numFmtId="0" fontId="8" fillId="0" borderId="62" xfId="3690" applyFont="1" applyBorder="1" applyAlignment="1">
      <alignment horizontal="left" vertical="center"/>
    </xf>
    <xf numFmtId="176" fontId="12" fillId="0" borderId="62" xfId="6625" applyNumberFormat="1" applyFont="1" applyBorder="1" applyAlignment="1">
      <alignment horizontal="left" vertical="center"/>
    </xf>
    <xf numFmtId="0" fontId="8" fillId="0" borderId="62" xfId="3690" applyFont="1" applyBorder="1" applyAlignment="1">
      <alignment horizontal="left" vertical="center" wrapText="1"/>
    </xf>
    <xf numFmtId="0" fontId="12" fillId="0" borderId="60" xfId="3690" applyFont="1" applyBorder="1" applyAlignment="1">
      <alignment horizontal="left" vertical="center"/>
    </xf>
    <xf numFmtId="0" fontId="104" fillId="0" borderId="61" xfId="0" applyFont="1" applyBorder="1" applyAlignment="1">
      <alignment horizontal="center" vertical="center"/>
      <protection locked="0"/>
    </xf>
    <xf numFmtId="0" fontId="104" fillId="0" borderId="62" xfId="0" applyFont="1" applyBorder="1" applyAlignment="1">
      <alignment horizontal="left" vertical="center" wrapText="1"/>
      <protection locked="0"/>
    </xf>
    <xf numFmtId="0" fontId="118" fillId="44" borderId="61" xfId="1046" applyFont="1" applyFill="1" applyBorder="1" applyAlignment="1">
      <alignment horizontal="center" vertical="center"/>
    </xf>
    <xf numFmtId="0" fontId="119" fillId="44" borderId="62" xfId="0" applyFont="1" applyFill="1" applyBorder="1" applyAlignment="1">
      <alignment horizontal="left" vertical="center"/>
      <protection locked="0"/>
    </xf>
    <xf numFmtId="0" fontId="104" fillId="0" borderId="62" xfId="1" applyFont="1" applyBorder="1" applyAlignment="1">
      <alignment horizontal="left" vertical="center" wrapText="1"/>
    </xf>
    <xf numFmtId="0" fontId="109" fillId="0" borderId="61" xfId="0" applyFont="1" applyBorder="1" applyAlignment="1">
      <alignment horizontal="center" vertical="center"/>
      <protection locked="0"/>
    </xf>
    <xf numFmtId="0" fontId="109" fillId="0" borderId="62" xfId="0" applyFont="1" applyBorder="1" applyAlignment="1">
      <alignment horizontal="left" vertical="center" wrapText="1"/>
      <protection locked="0"/>
    </xf>
    <xf numFmtId="0" fontId="109" fillId="0" borderId="61" xfId="0" applyFont="1" applyBorder="1" applyAlignment="1">
      <alignment horizontal="center" vertical="center" wrapText="1"/>
      <protection locked="0"/>
    </xf>
    <xf numFmtId="0" fontId="109" fillId="0" borderId="62" xfId="0" applyFont="1" applyBorder="1" applyAlignment="1">
      <alignment horizontal="left" vertical="top" wrapText="1"/>
      <protection locked="0"/>
    </xf>
    <xf numFmtId="0" fontId="120" fillId="0" borderId="62" xfId="0" applyFont="1" applyBorder="1" applyAlignment="1">
      <alignment horizontal="left" vertical="center" wrapText="1"/>
      <protection locked="0"/>
    </xf>
    <xf numFmtId="0" fontId="122" fillId="0" borderId="61" xfId="2" applyFont="1" applyBorder="1" applyAlignment="1">
      <alignment horizontal="center" vertical="center"/>
    </xf>
    <xf numFmtId="0" fontId="120" fillId="0" borderId="63" xfId="19" applyFont="1" applyBorder="1" applyAlignment="1">
      <alignment horizontal="left" vertical="top" wrapText="1"/>
    </xf>
    <xf numFmtId="0" fontId="120" fillId="0" borderId="64" xfId="19" applyFont="1" applyBorder="1" applyAlignment="1">
      <alignment horizontal="left" vertical="top" wrapText="1"/>
    </xf>
    <xf numFmtId="0" fontId="120" fillId="0" borderId="65" xfId="19" applyFont="1" applyBorder="1" applyAlignment="1">
      <alignment horizontal="left" vertical="top" wrapText="1"/>
    </xf>
    <xf numFmtId="0" fontId="120" fillId="0" borderId="66" xfId="0" applyFont="1" applyBorder="1" applyAlignment="1">
      <alignment horizontal="center" vertical="center"/>
      <protection locked="0"/>
    </xf>
    <xf numFmtId="0" fontId="120" fillId="0" borderId="67" xfId="19" applyFont="1" applyBorder="1" applyAlignment="1">
      <alignment horizontal="left" vertical="center" wrapText="1"/>
    </xf>
    <xf numFmtId="0" fontId="120" fillId="0" borderId="68" xfId="0" applyFont="1" applyBorder="1" applyAlignment="1">
      <alignment horizontal="center" vertical="center"/>
      <protection locked="0"/>
    </xf>
    <xf numFmtId="0" fontId="109" fillId="0" borderId="69" xfId="0" applyFont="1" applyBorder="1" applyAlignment="1">
      <alignment horizontal="left" vertical="center" wrapText="1"/>
      <protection locked="0"/>
    </xf>
    <xf numFmtId="0" fontId="120" fillId="0" borderId="69" xfId="19" applyFont="1" applyBorder="1" applyAlignment="1">
      <alignment horizontal="left" vertical="center" wrapText="1"/>
    </xf>
    <xf numFmtId="0" fontId="17" fillId="0" borderId="67" xfId="6612" applyFont="1" applyBorder="1" applyAlignment="1">
      <alignment horizontal="center" vertical="top" wrapText="1"/>
    </xf>
    <xf numFmtId="0" fontId="103" fillId="0" borderId="70" xfId="6612" applyFont="1" applyBorder="1" applyAlignment="1" applyProtection="1">
      <alignment horizontal="left" vertical="top" wrapText="1"/>
      <protection locked="0"/>
    </xf>
    <xf numFmtId="0" fontId="103" fillId="0" borderId="64" xfId="6612" applyFont="1" applyBorder="1" applyAlignment="1" applyProtection="1">
      <alignment horizontal="left" vertical="top" wrapText="1"/>
      <protection locked="0"/>
    </xf>
    <xf numFmtId="0" fontId="103" fillId="0" borderId="65" xfId="6612" applyFont="1" applyBorder="1" applyAlignment="1" applyProtection="1">
      <alignment horizontal="left" vertical="top" wrapText="1"/>
      <protection locked="0"/>
    </xf>
    <xf numFmtId="211" fontId="10" fillId="0" borderId="67" xfId="6612" applyNumberFormat="1" applyFont="1" applyBorder="1" applyAlignment="1">
      <alignment horizontal="center" vertical="center" wrapText="1"/>
    </xf>
    <xf numFmtId="212" fontId="10" fillId="0" borderId="67" xfId="6625" applyNumberFormat="1" applyFont="1" applyBorder="1" applyAlignment="1" applyProtection="1">
      <alignment horizontal="right" vertical="center" wrapText="1" indent="1"/>
      <protection locked="0"/>
    </xf>
    <xf numFmtId="0" fontId="18" fillId="0" borderId="70" xfId="3" applyFont="1" applyBorder="1" applyAlignment="1" applyProtection="1">
      <alignment horizontal="center" vertical="center"/>
      <protection locked="0"/>
    </xf>
    <xf numFmtId="0" fontId="18" fillId="0" borderId="64" xfId="3" applyFont="1" applyBorder="1" applyAlignment="1" applyProtection="1">
      <alignment horizontal="center" vertical="center"/>
      <protection locked="0"/>
    </xf>
    <xf numFmtId="0" fontId="18" fillId="0" borderId="65" xfId="3" applyFont="1" applyBorder="1" applyAlignment="1" applyProtection="1">
      <alignment horizontal="center" vertical="center"/>
      <protection locked="0"/>
    </xf>
    <xf numFmtId="0" fontId="17" fillId="0" borderId="70" xfId="3" applyFont="1" applyBorder="1" applyAlignment="1" applyProtection="1">
      <alignment horizontal="center" vertical="center"/>
      <protection locked="0"/>
    </xf>
    <xf numFmtId="0" fontId="17" fillId="0" borderId="64" xfId="3" applyFont="1" applyBorder="1" applyAlignment="1" applyProtection="1">
      <alignment horizontal="center" vertical="center"/>
      <protection locked="0"/>
    </xf>
    <xf numFmtId="0" fontId="17" fillId="0" borderId="65" xfId="3" applyFont="1" applyBorder="1" applyAlignment="1" applyProtection="1">
      <alignment horizontal="center" vertical="center"/>
      <protection locked="0"/>
    </xf>
    <xf numFmtId="0" fontId="17" fillId="0" borderId="67" xfId="19" applyFont="1" applyBorder="1" applyAlignment="1" applyProtection="1">
      <alignment vertical="center"/>
      <protection locked="0"/>
    </xf>
    <xf numFmtId="14" fontId="17" fillId="0" borderId="67" xfId="3" applyNumberFormat="1" applyFont="1" applyBorder="1" applyAlignment="1" applyProtection="1">
      <alignment horizontal="center" vertical="center" wrapText="1"/>
      <protection locked="0"/>
    </xf>
    <xf numFmtId="183" fontId="17" fillId="0" borderId="67" xfId="29" applyFont="1" applyBorder="1" applyAlignment="1">
      <alignment horizontal="center" vertical="center" wrapText="1"/>
      <protection locked="0"/>
    </xf>
    <xf numFmtId="0" fontId="17" fillId="43" borderId="67" xfId="6620" quotePrefix="1" applyFont="1" applyFill="1" applyBorder="1" applyAlignment="1" applyProtection="1">
      <alignment horizontal="center" vertical="center" wrapText="1"/>
      <protection locked="0"/>
    </xf>
    <xf numFmtId="0" fontId="22" fillId="0" borderId="67" xfId="27" applyFont="1" applyBorder="1" applyAlignment="1" applyProtection="1">
      <alignment horizontal="left" vertical="center"/>
      <protection locked="0"/>
    </xf>
    <xf numFmtId="176" fontId="10" fillId="0" borderId="67" xfId="6625" applyNumberFormat="1" applyFont="1" applyBorder="1" applyAlignment="1" applyProtection="1">
      <alignment horizontal="left" vertical="center" shrinkToFit="1"/>
      <protection locked="0"/>
    </xf>
    <xf numFmtId="9" fontId="10" fillId="0" borderId="67" xfId="14" applyFont="1" applyBorder="1" applyAlignment="1" applyProtection="1">
      <alignment horizontal="right" vertical="center" shrinkToFit="1"/>
      <protection locked="0"/>
    </xf>
    <xf numFmtId="176" fontId="10" fillId="0" borderId="67" xfId="6625" applyNumberFormat="1" applyFont="1" applyBorder="1" applyAlignment="1" applyProtection="1">
      <alignment horizontal="right" vertical="center" shrinkToFit="1"/>
      <protection locked="0"/>
    </xf>
    <xf numFmtId="182" fontId="10" fillId="0" borderId="67" xfId="6625" applyNumberFormat="1" applyFont="1" applyBorder="1" applyAlignment="1" applyProtection="1">
      <alignment horizontal="right" vertical="center" shrinkToFit="1"/>
      <protection locked="0"/>
    </xf>
    <xf numFmtId="179" fontId="10" fillId="0" borderId="67" xfId="0" applyNumberFormat="1" applyFont="1" applyBorder="1" applyAlignment="1">
      <alignment horizontal="right" vertical="center"/>
      <protection locked="0"/>
    </xf>
    <xf numFmtId="176" fontId="10" fillId="0" borderId="67" xfId="6625" applyNumberFormat="1" applyFont="1" applyBorder="1" applyAlignment="1" applyProtection="1">
      <alignment vertical="center"/>
      <protection locked="0"/>
    </xf>
    <xf numFmtId="0" fontId="10" fillId="0" borderId="67" xfId="6625" applyNumberFormat="1" applyFont="1" applyBorder="1" applyAlignment="1" applyProtection="1">
      <alignment vertical="center"/>
      <protection locked="0"/>
    </xf>
    <xf numFmtId="0" fontId="10" fillId="0" borderId="67" xfId="6625" applyNumberFormat="1" applyFont="1" applyBorder="1" applyAlignment="1" applyProtection="1">
      <alignment horizontal="right" vertical="center" shrinkToFit="1"/>
      <protection locked="0"/>
    </xf>
    <xf numFmtId="0" fontId="8" fillId="0" borderId="67" xfId="6625" applyNumberFormat="1" applyFont="1" applyBorder="1" applyAlignment="1" applyProtection="1">
      <alignment vertical="center" wrapText="1"/>
      <protection locked="0"/>
    </xf>
    <xf numFmtId="176" fontId="8" fillId="0" borderId="67" xfId="6625" applyNumberFormat="1" applyFont="1" applyBorder="1" applyAlignment="1" applyProtection="1">
      <alignment horizontal="right" vertical="center"/>
      <protection locked="0"/>
    </xf>
    <xf numFmtId="182" fontId="8" fillId="0" borderId="67" xfId="6625" applyNumberFormat="1" applyFont="1" applyFill="1" applyBorder="1" applyAlignment="1" applyProtection="1">
      <alignment horizontal="left" vertical="center"/>
      <protection locked="0"/>
    </xf>
    <xf numFmtId="176" fontId="8" fillId="0" borderId="67" xfId="6625" applyNumberFormat="1" applyFont="1" applyBorder="1" applyAlignment="1" applyProtection="1">
      <alignment vertical="center" wrapText="1"/>
      <protection locked="0"/>
    </xf>
    <xf numFmtId="0" fontId="17" fillId="0" borderId="67" xfId="27" applyFont="1" applyBorder="1" applyAlignment="1" applyProtection="1">
      <alignment vertical="center"/>
      <protection locked="0"/>
    </xf>
    <xf numFmtId="176" fontId="17" fillId="0" borderId="67" xfId="6625" applyNumberFormat="1" applyFont="1" applyBorder="1" applyAlignment="1" applyProtection="1">
      <alignment horizontal="right" vertical="center" shrinkToFit="1"/>
      <protection locked="0"/>
    </xf>
    <xf numFmtId="0" fontId="18" fillId="0" borderId="67" xfId="6624" applyNumberFormat="1" applyFont="1" applyBorder="1" applyAlignment="1" applyProtection="1">
      <alignment vertical="center" wrapText="1"/>
    </xf>
    <xf numFmtId="176" fontId="8" fillId="0" borderId="67" xfId="6625" applyNumberFormat="1" applyFont="1" applyBorder="1" applyAlignment="1" applyProtection="1">
      <alignment vertical="center"/>
    </xf>
    <xf numFmtId="182" fontId="18" fillId="0" borderId="67" xfId="6625" applyNumberFormat="1" applyFont="1" applyBorder="1" applyAlignment="1" applyProtection="1">
      <alignment vertical="center"/>
      <protection locked="0"/>
    </xf>
    <xf numFmtId="182" fontId="10" fillId="0" borderId="67" xfId="6612" applyNumberFormat="1" applyFont="1" applyBorder="1" applyAlignment="1" applyProtection="1">
      <alignment horizontal="right" vertical="center"/>
      <protection locked="0"/>
    </xf>
  </cellXfs>
  <cellStyles count="6630">
    <cellStyle name="_x000a_mouse.drv=lm" xfId="37" xr:uid="{00000000-0005-0000-0000-00002D000000}"/>
    <cellStyle name="?鹎%U龡&amp;H?_x0008__x001c__x001c_?_x0007__x0001__x0001_" xfId="1410" xr:uid="{2E2EFD21-71D4-44A0-B85B-1EB9F9645C43}"/>
    <cellStyle name="0%" xfId="38" xr:uid="{00000000-0005-0000-0000-00002E000000}"/>
    <cellStyle name="0.0%" xfId="39" xr:uid="{00000000-0005-0000-0000-00002F000000}"/>
    <cellStyle name="0.00%" xfId="40" xr:uid="{00000000-0005-0000-0000-000030000000}"/>
    <cellStyle name="00" xfId="41" xr:uid="{00000000-0005-0000-0000-000031000000}"/>
    <cellStyle name="00 2" xfId="1744" xr:uid="{0F1BC267-E85E-4A5D-8E6B-0260F1CF93A4}"/>
    <cellStyle name="00 3" xfId="1132" xr:uid="{0DA6DE5E-BC4D-43AE-A177-59A9BDE44BA4}"/>
    <cellStyle name="20% - Accent1 2" xfId="42" xr:uid="{00000000-0005-0000-0000-000032000000}"/>
    <cellStyle name="20% - Accent1 2 2" xfId="3070" xr:uid="{2C49D7B6-4FAD-4644-848A-639A2D228C22}"/>
    <cellStyle name="20% - Accent6 2" xfId="43" xr:uid="{00000000-0005-0000-0000-000033000000}"/>
    <cellStyle name="20% - Accent6 2 2" xfId="3071" xr:uid="{BFCB65F3-9E29-450E-8E55-523D342D954C}"/>
    <cellStyle name="Accent1" xfId="44" xr:uid="{00000000-0005-0000-0000-000034000000}"/>
    <cellStyle name="Accent1 - 20%" xfId="45" xr:uid="{00000000-0005-0000-0000-000035000000}"/>
    <cellStyle name="Accent1 - 40%" xfId="46" xr:uid="{00000000-0005-0000-0000-000036000000}"/>
    <cellStyle name="Accent1 - 60%" xfId="47" xr:uid="{00000000-0005-0000-0000-000037000000}"/>
    <cellStyle name="Accent1_RESULTS" xfId="1110" xr:uid="{69BFC9A2-C945-4169-A092-1E606E6FF377}"/>
    <cellStyle name="Accent2" xfId="48" xr:uid="{00000000-0005-0000-0000-000038000000}"/>
    <cellStyle name="Accent2 - 20%" xfId="49" xr:uid="{00000000-0005-0000-0000-000039000000}"/>
    <cellStyle name="Accent2 - 40%" xfId="50" xr:uid="{00000000-0005-0000-0000-00003A000000}"/>
    <cellStyle name="Accent2 - 60%" xfId="51" xr:uid="{00000000-0005-0000-0000-00003B000000}"/>
    <cellStyle name="Accent2 2" xfId="52" xr:uid="{00000000-0005-0000-0000-00003C000000}"/>
    <cellStyle name="Accent2_RESULTS" xfId="1140" xr:uid="{E2924A2B-9F33-4F0A-B0AA-F7CD3DB6EB3F}"/>
    <cellStyle name="Accent3" xfId="53" xr:uid="{00000000-0005-0000-0000-00003D000000}"/>
    <cellStyle name="Accent3 - 20%" xfId="54" xr:uid="{00000000-0005-0000-0000-00003E000000}"/>
    <cellStyle name="Accent3 - 40%" xfId="55" xr:uid="{00000000-0005-0000-0000-00003F000000}"/>
    <cellStyle name="Accent3 - 60%" xfId="56" xr:uid="{00000000-0005-0000-0000-000040000000}"/>
    <cellStyle name="Accent3_RESULTS" xfId="1124" xr:uid="{8D385FAB-F168-4680-A363-C4DE0FD3BA61}"/>
    <cellStyle name="Accent4" xfId="57" xr:uid="{00000000-0005-0000-0000-000041000000}"/>
    <cellStyle name="Accent4 - 20%" xfId="58" xr:uid="{00000000-0005-0000-0000-000042000000}"/>
    <cellStyle name="Accent4 - 40%" xfId="59" xr:uid="{00000000-0005-0000-0000-000043000000}"/>
    <cellStyle name="Accent4 - 60%" xfId="60" xr:uid="{00000000-0005-0000-0000-000044000000}"/>
    <cellStyle name="Accent4_RESULTS" xfId="1148" xr:uid="{A4515BB9-F2A8-48FA-A23F-F2EAF94F96EA}"/>
    <cellStyle name="Accent5" xfId="61" xr:uid="{00000000-0005-0000-0000-000045000000}"/>
    <cellStyle name="Accent5 - 20%" xfId="62" xr:uid="{00000000-0005-0000-0000-000046000000}"/>
    <cellStyle name="Accent5 - 40%" xfId="63" xr:uid="{00000000-0005-0000-0000-000047000000}"/>
    <cellStyle name="Accent5 - 60%" xfId="64" xr:uid="{00000000-0005-0000-0000-000048000000}"/>
    <cellStyle name="Accent5_RESULTS" xfId="1150" xr:uid="{7284E595-106D-4D87-95AA-4510BB8D5842}"/>
    <cellStyle name="Accent6" xfId="65" xr:uid="{00000000-0005-0000-0000-000049000000}"/>
    <cellStyle name="Accent6 - 20%" xfId="66" xr:uid="{00000000-0005-0000-0000-00004A000000}"/>
    <cellStyle name="Accent6 - 40%" xfId="67" xr:uid="{00000000-0005-0000-0000-00004B000000}"/>
    <cellStyle name="Accent6 - 60%" xfId="68" xr:uid="{00000000-0005-0000-0000-00004C000000}"/>
    <cellStyle name="Accent6_RESULTS" xfId="1159" xr:uid="{3F31313B-5C9E-4A15-8A22-55486F51C7BF}"/>
    <cellStyle name="Bad 2" xfId="69" xr:uid="{00000000-0005-0000-0000-00004D000000}"/>
    <cellStyle name="Bad 3" xfId="70" xr:uid="{00000000-0005-0000-0000-00004E000000}"/>
    <cellStyle name="Calc Currency (0)" xfId="71" xr:uid="{00000000-0005-0000-0000-00004F000000}"/>
    <cellStyle name="category" xfId="72" xr:uid="{00000000-0005-0000-0000-000050000000}"/>
    <cellStyle name="cellStyleNum" xfId="73" xr:uid="{00000000-0005-0000-0000-000051000000}"/>
    <cellStyle name="cellStyleNum 2" xfId="74" xr:uid="{00000000-0005-0000-0000-000052000000}"/>
    <cellStyle name="cellStyleNum 2 10" xfId="4563" xr:uid="{E625D0F5-AD99-45A0-8C6C-E02986592EDF}"/>
    <cellStyle name="cellStyleNum 2 2" xfId="75" xr:uid="{00000000-0005-0000-0000-000053000000}"/>
    <cellStyle name="cellStyleNum 2 2 2" xfId="76" xr:uid="{00000000-0005-0000-0000-000054000000}"/>
    <cellStyle name="cellStyleNum 2 2 2 2" xfId="1751" xr:uid="{073889ED-E183-4962-94E3-C71F585783A0}"/>
    <cellStyle name="cellStyleNum 2 2 2 2 2" xfId="5540" xr:uid="{B7F1046E-27D7-4591-A694-95E475DD91B7}"/>
    <cellStyle name="cellStyleNum 2 2 2 2 3" xfId="4910" xr:uid="{5D017181-1E00-43F4-B938-CF78D4650FB3}"/>
    <cellStyle name="cellStyleNum 2 2 2 3" xfId="3075" xr:uid="{2648E538-1CF5-4BCD-A41E-48923012E01A}"/>
    <cellStyle name="cellStyleNum 2 2 2 3 2" xfId="4757" xr:uid="{905D7BE0-224E-48A3-B99B-B685F2CD8B84}"/>
    <cellStyle name="cellStyleNum 2 2 2 3 3" xfId="5228" xr:uid="{A723C959-5D67-4E0A-A793-6EF8DBEF4E9E}"/>
    <cellStyle name="cellStyleNum 2 2 2 4" xfId="4022" xr:uid="{8DAF01D8-160B-4479-B792-ECEA25F98C0A}"/>
    <cellStyle name="cellStyleNum 2 2 2 5" xfId="4913" xr:uid="{AAAD635A-46BE-4BD1-AF7E-5C1D04773A8B}"/>
    <cellStyle name="cellStyleNum 2 2 2 6" xfId="5120" xr:uid="{5A23A3C7-6F4A-4C37-A968-D75D66693AE9}"/>
    <cellStyle name="cellStyleNum 2 2 2 7" xfId="6451" xr:uid="{ED39C5EF-DA37-43AC-B633-173EB8C5F724}"/>
    <cellStyle name="cellStyleNum 2 2 3" xfId="1750" xr:uid="{E59081F8-CC68-429E-B003-8B18EA0BEDB0}"/>
    <cellStyle name="cellStyleNum 2 2 3 2" xfId="3991" xr:uid="{03CE6490-2C29-4238-BB0F-472AA98EF4EA}"/>
    <cellStyle name="cellStyleNum 2 2 3 2 2" xfId="5539" xr:uid="{942B9C0C-EC09-4DE7-90FD-D55EE4F21BAD}"/>
    <cellStyle name="cellStyleNum 2 2 3 2 3" xfId="5558" xr:uid="{94A7583D-DD82-4A98-A6F2-8B3FBFD87D18}"/>
    <cellStyle name="cellStyleNum 2 2 3 3" xfId="2670" xr:uid="{60D44263-8B20-4B4F-8FE3-DA2D3999A457}"/>
    <cellStyle name="cellStyleNum 2 2 3 4" xfId="1144" xr:uid="{05E5B945-9027-4BFB-943C-FE4DD0C8AE12}"/>
    <cellStyle name="cellStyleNum 2 2 3 5" xfId="6059" xr:uid="{986170D9-8132-4521-BE91-B942BF5AB21A}"/>
    <cellStyle name="cellStyleNum 2 2 3 6" xfId="3889" xr:uid="{746618EC-E3B0-492A-A01C-F574AF31198F}"/>
    <cellStyle name="cellStyleNum 2 2 4" xfId="1404" xr:uid="{EF9F688A-3657-46FD-9270-3BED63EB9731}"/>
    <cellStyle name="cellStyleNum 2 2 4 2" xfId="5434" xr:uid="{817BBA94-7F09-4E82-87C9-476AA0F0DD99}"/>
    <cellStyle name="cellStyleNum 2 2 4 3" xfId="5439" xr:uid="{D20F4EEE-A6A9-4AEF-865D-C6351102A9B8}"/>
    <cellStyle name="cellStyleNum 2 2 5" xfId="3074" xr:uid="{D199DC0E-82C3-411C-A3FB-759499BBDD25}"/>
    <cellStyle name="cellStyleNum 2 2 5 2" xfId="4756" xr:uid="{F5D31753-8CE6-4BD4-9972-81243E248A9D}"/>
    <cellStyle name="cellStyleNum 2 2 5 3" xfId="5121" xr:uid="{F7FF7C3B-94E3-4557-AE98-2282A1B54D8F}"/>
    <cellStyle name="cellStyleNum 2 2 6" xfId="4658" xr:uid="{85CDE65F-B6AE-4436-8FF4-E44884C31942}"/>
    <cellStyle name="cellStyleNum 2 2 7" xfId="4665" xr:uid="{4103EBE0-EAAF-4813-B672-51B8A99F6581}"/>
    <cellStyle name="cellStyleNum 2 2 8" xfId="4681" xr:uid="{809AD07A-7366-4BD0-8A7A-3B0C1EB20F6F}"/>
    <cellStyle name="cellStyleNum 2 2 9" xfId="1143" xr:uid="{C8A68A39-1933-43F5-BC1A-D33868F6348C}"/>
    <cellStyle name="cellStyleNum 2 3" xfId="77" xr:uid="{00000000-0005-0000-0000-000055000000}"/>
    <cellStyle name="cellStyleNum 2 3 2" xfId="1752" xr:uid="{103E1151-5945-43A9-9834-BBF9F379EEE7}"/>
    <cellStyle name="cellStyleNum 2 3 2 2" xfId="5541" xr:uid="{C6EF582B-6BCE-433E-9E1E-F258C3400746}"/>
    <cellStyle name="cellStyleNum 2 3 2 3" xfId="4075" xr:uid="{6DA035AA-9957-4D86-B2EC-1394B045D5E4}"/>
    <cellStyle name="cellStyleNum 2 3 3" xfId="3076" xr:uid="{03059E8B-DE8E-4542-8A46-134F39D471C9}"/>
    <cellStyle name="cellStyleNum 2 3 3 2" xfId="4758" xr:uid="{1BE3F80C-9810-4BA8-92FD-8B0CDE995440}"/>
    <cellStyle name="cellStyleNum 2 3 3 3" xfId="4541" xr:uid="{183CFFA0-8182-41E8-BDD8-6D6C02425960}"/>
    <cellStyle name="cellStyleNum 2 3 4" xfId="2576" xr:uid="{7E603EA6-3BC6-4457-A027-113FBD863E05}"/>
    <cellStyle name="cellStyleNum 2 3 5" xfId="5035" xr:uid="{C8F7CD32-7D96-4C99-A6FC-1A2892A36C47}"/>
    <cellStyle name="cellStyleNum 2 3 6" xfId="4953" xr:uid="{7A92086E-FE50-4F3D-B449-CE86D84E8197}"/>
    <cellStyle name="cellStyleNum 2 3 7" xfId="6022" xr:uid="{54A673D1-43FF-416E-AE1A-A16C148CEDE6}"/>
    <cellStyle name="cellStyleNum 2 4" xfId="1749" xr:uid="{A9E5E7AA-7073-46F0-8D25-0C4811ED7A95}"/>
    <cellStyle name="cellStyleNum 2 4 2" xfId="3990" xr:uid="{88CB556A-8BA6-4489-BF21-CDB0492F6BB2}"/>
    <cellStyle name="cellStyleNum 2 4 2 2" xfId="5538" xr:uid="{50A2F253-18A7-4AF8-92F0-44076ED5C808}"/>
    <cellStyle name="cellStyleNum 2 4 2 3" xfId="4538" xr:uid="{85AD3999-977A-4656-9CE5-90CA455A5E49}"/>
    <cellStyle name="cellStyleNum 2 4 3" xfId="3864" xr:uid="{844CC0C5-46E2-4B61-8AAC-4F066F576864}"/>
    <cellStyle name="cellStyleNum 2 4 4" xfId="4628" xr:uid="{6C8E611A-EFC2-47C3-83BC-52A4E1DEE093}"/>
    <cellStyle name="cellStyleNum 2 4 5" xfId="5579" xr:uid="{452532CE-868F-4AC8-9B84-77C605D89048}"/>
    <cellStyle name="cellStyleNum 2 4 6" xfId="6474" xr:uid="{0201DF91-CF50-4BA7-9E3A-D2C4C608D5A2}"/>
    <cellStyle name="cellStyleNum 2 5" xfId="1411" xr:uid="{B491BC64-71EC-42DA-98A7-1DF4130B7391}"/>
    <cellStyle name="cellStyleNum 2 5 2" xfId="5435" xr:uid="{B80229BB-2891-4EAC-8189-524FCC73D1B0}"/>
    <cellStyle name="cellStyleNum 2 5 3" xfId="4708" xr:uid="{B23DFA05-2C09-499B-A973-D602EE1D778A}"/>
    <cellStyle name="cellStyleNum 2 6" xfId="3073" xr:uid="{BCDBAA1B-50D2-4655-BCE1-A957BD5AE1E7}"/>
    <cellStyle name="cellStyleNum 2 6 2" xfId="4755" xr:uid="{5BA0FA32-6DCD-4ED0-B3D4-C0F58B23055E}"/>
    <cellStyle name="cellStyleNum 2 6 3" xfId="4833" xr:uid="{B2B65704-9DAF-4521-9953-6736549E20E9}"/>
    <cellStyle name="cellStyleNum 2 7" xfId="5322" xr:uid="{521D00E4-FB98-4857-89E1-DE108BBFB8C3}"/>
    <cellStyle name="cellStyleNum 2 8" xfId="4981" xr:uid="{F7FE5BF5-1871-4E30-B56E-0DEF908CABD8}"/>
    <cellStyle name="cellStyleNum 2 9" xfId="3933" xr:uid="{B3E156EF-82F9-43F7-9FD6-6AEE999A7A2C}"/>
    <cellStyle name="cellStyleNum 3" xfId="78" xr:uid="{00000000-0005-0000-0000-000056000000}"/>
    <cellStyle name="cellStyleNum 3 2" xfId="1753" xr:uid="{5CE8B4F5-1DD0-4036-9451-BD0E95056B0C}"/>
    <cellStyle name="cellStyleNum 3 2 2" xfId="5542" xr:uid="{04580E15-5B2A-4F90-BC2B-BBC821C589AB}"/>
    <cellStyle name="cellStyleNum 3 2 3" xfId="5227" xr:uid="{3AE8FA68-86EE-4FFC-AFD4-D1F2283461F9}"/>
    <cellStyle name="cellStyleNum 3 3" xfId="3077" xr:uid="{F434A304-3152-47AF-96BF-A42944E3BC1F}"/>
    <cellStyle name="cellStyleNum 3 3 2" xfId="4759" xr:uid="{76A6AD9A-9C0A-481A-9234-6BDF975CCBDD}"/>
    <cellStyle name="cellStyleNum 3 3 3" xfId="4836" xr:uid="{9A23F0FB-190C-4A39-9194-884EE2929EA2}"/>
    <cellStyle name="cellStyleNum 3 4" xfId="1337" xr:uid="{2DB25DF0-3D1D-4403-B285-15C19D8B94E8}"/>
    <cellStyle name="cellStyleNum 3 5" xfId="5307" xr:uid="{E5BF96C3-1B44-4DF2-940B-05E2C65FEAD8}"/>
    <cellStyle name="cellStyleNum 3 6" xfId="4711" xr:uid="{06E84D8C-49CE-4932-A0F0-DC590356C4A6}"/>
    <cellStyle name="cellStyleNum 3 7" xfId="5010" xr:uid="{CE113834-9BB3-4ED6-8F64-573B73BFF73D}"/>
    <cellStyle name="cellStyleNum 4" xfId="1748" xr:uid="{88B27213-3F6D-4332-ADE3-4278B63E33D4}"/>
    <cellStyle name="cellStyleNum 4 2" xfId="5537" xr:uid="{D5D78798-5F6F-44F4-8308-2A5ACFFF3D1D}"/>
    <cellStyle name="cellStyleNum 4 3" xfId="5004" xr:uid="{7387AE21-001E-4147-A385-C1E16D81628A}"/>
    <cellStyle name="cellStyleNum 5" xfId="3072" xr:uid="{AD246394-DF7A-4177-A83D-0CAAE6DE3B78}"/>
    <cellStyle name="cellStyleNum 5 2" xfId="4754" xr:uid="{19FB0B04-384A-4DCF-A38E-DEF031AD110B}"/>
    <cellStyle name="cellStyleNum 5 3" xfId="4088" xr:uid="{08D0466A-0A8E-4197-959A-46344BC877D0}"/>
    <cellStyle name="cellStyleNum 6" xfId="2824" xr:uid="{F2D9E28B-5B54-4410-A1CA-5ADC21D7886A}"/>
    <cellStyle name="cellStyleNum 7" xfId="5308" xr:uid="{AF9A5D9F-A19A-4387-B6FD-3D8752D00021}"/>
    <cellStyle name="cellStyleNum 8" xfId="4701" xr:uid="{311E2655-C483-425E-9EAD-8AB91E26D7EE}"/>
    <cellStyle name="cellStyleNum 9" xfId="5551" xr:uid="{B11846FF-D267-4C5D-8F48-6D0446364436}"/>
    <cellStyle name="cellStylePer" xfId="79" xr:uid="{00000000-0005-0000-0000-000057000000}"/>
    <cellStyle name="cellStylePer 2" xfId="80" xr:uid="{00000000-0005-0000-0000-000058000000}"/>
    <cellStyle name="cellStylePer 2 2" xfId="81" xr:uid="{00000000-0005-0000-0000-000059000000}"/>
    <cellStyle name="cellStylePer 2 2 2" xfId="1756" xr:uid="{D207981F-C96A-4536-A390-105D847E4524}"/>
    <cellStyle name="cellStylePer 2 2 2 2" xfId="5545" xr:uid="{2A9EDEA0-18D6-4FD9-A980-690B358B7C00}"/>
    <cellStyle name="cellStylePer 2 2 2 3" xfId="4624" xr:uid="{61548A72-B540-4E2A-A4A9-BB145D046CFA}"/>
    <cellStyle name="cellStylePer 2 2 3" xfId="3080" xr:uid="{B90B951A-0F7A-4744-AF54-FFCAD1AC3BA5}"/>
    <cellStyle name="cellStylePer 2 2 3 2" xfId="4762" xr:uid="{596D5EA2-AAD3-4784-8D80-BFA601059791}"/>
    <cellStyle name="cellStylePer 2 2 3 3" xfId="4835" xr:uid="{7077A9D5-6F6B-46C5-8E60-88D9B5B967CB}"/>
    <cellStyle name="cellStylePer 2 2 4" xfId="4019" xr:uid="{A35F357B-EEB6-4437-A056-02135C09132D}"/>
    <cellStyle name="cellStylePer 2 2 5" xfId="4627" xr:uid="{9850F638-C0BE-445E-83C3-0F72D836D319}"/>
    <cellStyle name="cellStylePer 2 2 6" xfId="5583" xr:uid="{B7BE1AD8-B916-48D6-A745-2A10FD6A76BD}"/>
    <cellStyle name="cellStylePer 2 2 7" xfId="6473" xr:uid="{E0126F8A-D720-465B-AF8B-A3FBF5AFD4EE}"/>
    <cellStyle name="cellStylePer 2 3" xfId="1755" xr:uid="{339CAC49-D029-414B-B218-27A034E06698}"/>
    <cellStyle name="cellStylePer 2 3 2" xfId="5544" xr:uid="{8D9EE9D6-CFAE-4886-82CA-8B543BC1FD1F}"/>
    <cellStyle name="cellStylePer 2 3 3" xfId="5557" xr:uid="{384DD9A4-C09A-4D17-93C6-709F542E16D5}"/>
    <cellStyle name="cellStylePer 2 4" xfId="3079" xr:uid="{893D1EFF-7CC8-4C76-A17F-58D4451EE943}"/>
    <cellStyle name="cellStylePer 2 4 2" xfId="4761" xr:uid="{E8CD1363-80FE-44A4-AD24-474F2BE77F75}"/>
    <cellStyle name="cellStylePer 2 4 3" xfId="4545" xr:uid="{1B675805-56B7-4C33-8E26-DE8633AA7213}"/>
    <cellStyle name="cellStylePer 2 5" xfId="2753" xr:uid="{C5B799A8-614E-4E92-8551-082A267BF5C0}"/>
    <cellStyle name="cellStylePer 2 6" xfId="4914" xr:uid="{FB2359E9-3666-43AC-8B34-A4904320BD38}"/>
    <cellStyle name="cellStylePer 2 7" xfId="5635" xr:uid="{1DF72E4E-A705-4393-8306-BE877AA66496}"/>
    <cellStyle name="cellStylePer 2 8" xfId="4861" xr:uid="{2748BF90-ACF5-411B-B65F-2F32BF017D28}"/>
    <cellStyle name="cellStylePer 3" xfId="82" xr:uid="{00000000-0005-0000-0000-00005A000000}"/>
    <cellStyle name="cellStylePer 3 2" xfId="1757" xr:uid="{B4A6C2FB-C44D-47C6-A1B0-231C5A74A241}"/>
    <cellStyle name="cellStylePer 3 2 2" xfId="5546" xr:uid="{BE1B1B6F-4AFD-402D-8C92-B84AFF2E86AB}"/>
    <cellStyle name="cellStylePer 3 2 3" xfId="4831" xr:uid="{4ED849BC-A3BA-419C-A03B-311B1BBE926A}"/>
    <cellStyle name="cellStylePer 3 3" xfId="3081" xr:uid="{13572181-552D-4BCD-B62B-552DE40BC081}"/>
    <cellStyle name="cellStylePer 3 3 2" xfId="4763" xr:uid="{D2960E95-D26E-4459-89B1-B16A7480DBE2}"/>
    <cellStyle name="cellStylePer 3 3 3" xfId="5229" xr:uid="{4A47ED38-ABD0-4EFA-9C50-6F81B32479E6}"/>
    <cellStyle name="cellStylePer 3 4" xfId="2831" xr:uid="{85C20354-C62C-4228-A3DB-A6A2EDC72DC9}"/>
    <cellStyle name="cellStylePer 3 5" xfId="2723" xr:uid="{C658A944-C6BD-4206-AB03-A5114AC4862E}"/>
    <cellStyle name="cellStylePer 3 6" xfId="5089" xr:uid="{C47E111E-8317-454A-8F1D-25938CBD8045}"/>
    <cellStyle name="cellStylePer 3 7" xfId="4583" xr:uid="{2B9C5D8B-94A9-47D4-A187-D14563ABE103}"/>
    <cellStyle name="cellStylePer 4" xfId="1754" xr:uid="{22D352B8-9644-4131-B345-8440EB19398D}"/>
    <cellStyle name="cellStylePer 4 2" xfId="5543" xr:uid="{D0FEB52C-20C9-480D-8946-837BCBA4E818}"/>
    <cellStyle name="cellStylePer 4 3" xfId="5437" xr:uid="{500A0699-54C1-4035-BB3F-6070B24116C8}"/>
    <cellStyle name="cellStylePer 5" xfId="3078" xr:uid="{B5F3C0A7-EA69-4A21-9C5D-49B950E72214}"/>
    <cellStyle name="cellStylePer 5 2" xfId="4760" xr:uid="{CF519CE2-9FF4-4542-A5A9-7CBAF8F0FEC4}"/>
    <cellStyle name="cellStylePer 5 3" xfId="5230" xr:uid="{C5B11EE9-1A3E-4750-A1C2-4358FC166866}"/>
    <cellStyle name="cellStylePer 6" xfId="2879" xr:uid="{C2452109-1A7A-4B46-922A-41E4792F6640}"/>
    <cellStyle name="cellStylePer 7" xfId="4626" xr:uid="{485A9879-2906-4063-A518-B83E0A02AA83}"/>
    <cellStyle name="cellStylePer 8" xfId="5852" xr:uid="{4CF402D1-E7F0-4A97-9C3F-DA0CF4E7B173}"/>
    <cellStyle name="cellStylePer 9" xfId="5309" xr:uid="{4865D362-CEF2-4A1B-9833-569E250DF446}"/>
    <cellStyle name="Check Cell 2" xfId="83" xr:uid="{00000000-0005-0000-0000-00005B000000}"/>
    <cellStyle name="Check Cell 2 2" xfId="84" xr:uid="{00000000-0005-0000-0000-00005C000000}"/>
    <cellStyle name="Check Cell 2 2 2" xfId="1758" xr:uid="{D815FE91-7C7F-4FB9-8DF9-8E7F8A659050}"/>
    <cellStyle name="Check Cell 2 2 3" xfId="1590" xr:uid="{8D1CF5AE-329B-4D6B-AD1C-59A7C8B20859}"/>
    <cellStyle name="Check Cell 2 3" xfId="85" xr:uid="{00000000-0005-0000-0000-00005D000000}"/>
    <cellStyle name="Col Heads" xfId="86" xr:uid="{00000000-0005-0000-0000-00005E000000}"/>
    <cellStyle name="Comma" xfId="6625" xr:uid="{CEC6EFC3-8ADB-4D59-9F43-1BC9ACD80341}"/>
    <cellStyle name="Comma  - Style1" xfId="87" xr:uid="{00000000-0005-0000-0000-00005F000000}"/>
    <cellStyle name="Comma  - Style2" xfId="88" xr:uid="{00000000-0005-0000-0000-000060000000}"/>
    <cellStyle name="Comma  - Style3" xfId="89" xr:uid="{00000000-0005-0000-0000-000061000000}"/>
    <cellStyle name="Comma  - Style4" xfId="90" xr:uid="{00000000-0005-0000-0000-000062000000}"/>
    <cellStyle name="Comma  - Style5" xfId="91" xr:uid="{00000000-0005-0000-0000-000063000000}"/>
    <cellStyle name="Comma  - Style6" xfId="92" xr:uid="{00000000-0005-0000-0000-000064000000}"/>
    <cellStyle name="Comma  - Style7" xfId="93" xr:uid="{00000000-0005-0000-0000-000065000000}"/>
    <cellStyle name="Comma  - Style8" xfId="94" xr:uid="{00000000-0005-0000-0000-000066000000}"/>
    <cellStyle name="Comma [0] 2" xfId="95" xr:uid="{00000000-0005-0000-0000-000067000000}"/>
    <cellStyle name="Comma [0] 2 10" xfId="1165" xr:uid="{AEFC3F62-5670-427D-A530-20629BB60094}"/>
    <cellStyle name="Comma [0] 2 10 2" xfId="3716" xr:uid="{D1608698-7DBF-4F7D-A082-275278AA7A4E}"/>
    <cellStyle name="Comma [0] 2 11" xfId="3082" xr:uid="{2E7B983C-DFC8-4D13-B449-279DF424C9DE}"/>
    <cellStyle name="Comma [0] 2 2" xfId="96" xr:uid="{00000000-0005-0000-0000-000068000000}"/>
    <cellStyle name="Comma [0] 2 2 2" xfId="97" xr:uid="{00000000-0005-0000-0000-000069000000}"/>
    <cellStyle name="Comma [0] 2 2 2 2" xfId="98" xr:uid="{00000000-0005-0000-0000-00006A000000}"/>
    <cellStyle name="Comma [0] 2 2 2 2 2" xfId="99" xr:uid="{00000000-0005-0000-0000-00006B000000}"/>
    <cellStyle name="Comma [0] 2 2 2 2 2 2" xfId="100" xr:uid="{00000000-0005-0000-0000-00006C000000}"/>
    <cellStyle name="Comma [0] 2 2 2 2 2 2 2" xfId="1597" xr:uid="{C75746AF-3AFE-44E7-89F1-8BDC76024D29}"/>
    <cellStyle name="Comma [0] 2 2 2 2 2 2 2 2" xfId="3917" xr:uid="{67356594-0EA9-4774-9C83-B14C1F8EF79D}"/>
    <cellStyle name="Comma [0] 2 2 2 2 2 2 3" xfId="1764" xr:uid="{8053CB99-EE76-472E-9EF2-F667E3AC75B1}"/>
    <cellStyle name="Comma [0] 2 2 2 2 2 2 3 2" xfId="3998" xr:uid="{D2046DD3-8442-413D-8C86-CBEBFE268BC3}"/>
    <cellStyle name="Comma [0] 2 2 2 2 2 2 4" xfId="1169" xr:uid="{2C2C468E-351D-4A85-806E-D7C36B72A068}"/>
    <cellStyle name="Comma [0] 2 2 2 2 2 2 4 2" xfId="3720" xr:uid="{B5F87B1A-CE82-4307-8E02-CD2A32EF965A}"/>
    <cellStyle name="Comma [0] 2 2 2 2 2 2 5" xfId="3087" xr:uid="{1D6C94E9-15AB-45F4-B4AF-A5AE41079FA1}"/>
    <cellStyle name="Comma [0] 2 2 2 2 2 3" xfId="1582" xr:uid="{F27D9808-5F43-424F-935B-059AF7AAA3E9}"/>
    <cellStyle name="Comma [0] 2 2 2 2 2 3 2" xfId="3911" xr:uid="{815264AF-B6F7-4A92-872A-F93B03E6EE18}"/>
    <cellStyle name="Comma [0] 2 2 2 2 2 4" xfId="1413" xr:uid="{26456101-9EC3-4BCC-B76D-5A24F0E1C640}"/>
    <cellStyle name="Comma [0] 2 2 2 2 2 4 2" xfId="3867" xr:uid="{B73F3753-8FD2-47FC-B81A-3F0BD590A552}"/>
    <cellStyle name="Comma [0] 2 2 2 2 2 5" xfId="1763" xr:uid="{A4FB9ED6-736C-429F-AF05-68E99D4CE7EE}"/>
    <cellStyle name="Comma [0] 2 2 2 2 2 5 2" xfId="3997" xr:uid="{99B3C7C3-CE3C-4A6F-A9F6-382A38AADA14}"/>
    <cellStyle name="Comma [0] 2 2 2 2 2 6" xfId="1135" xr:uid="{961DB87F-AD7C-45B0-8596-0119EF57FE66}"/>
    <cellStyle name="Comma [0] 2 2 2 2 2 6 2" xfId="3703" xr:uid="{CAB954D9-8359-4E38-B368-6206DA654792}"/>
    <cellStyle name="Comma [0] 2 2 2 2 2 7" xfId="3086" xr:uid="{77470F19-1979-4CB0-8950-0839F41CCA43}"/>
    <cellStyle name="Comma [0] 2 2 2 2 3" xfId="101" xr:uid="{00000000-0005-0000-0000-00006D000000}"/>
    <cellStyle name="Comma [0] 2 2 2 2 3 2" xfId="1581" xr:uid="{B3BCE741-DA6D-4504-BF28-92F48E2A79E3}"/>
    <cellStyle name="Comma [0] 2 2 2 2 3 2 2" xfId="3910" xr:uid="{D7155CCD-2CF2-46B5-9052-EFB2201056D8}"/>
    <cellStyle name="Comma [0] 2 2 2 2 3 3" xfId="1414" xr:uid="{16986FDC-3CBC-4AF3-84C6-228B19C054EC}"/>
    <cellStyle name="Comma [0] 2 2 2 2 3 3 2" xfId="3868" xr:uid="{23B01FEE-7C0B-41C7-9E5B-2009ED5E94CB}"/>
    <cellStyle name="Comma [0] 2 2 2 2 3 4" xfId="1765" xr:uid="{77EFA874-FA20-4596-B587-4758F570717F}"/>
    <cellStyle name="Comma [0] 2 2 2 2 3 4 2" xfId="3999" xr:uid="{1E69E997-D0D5-47AF-9EC2-FFB6538D7D71}"/>
    <cellStyle name="Comma [0] 2 2 2 2 3 5" xfId="1131" xr:uid="{5A78FED4-18AA-4560-9847-D9746D99A13B}"/>
    <cellStyle name="Comma [0] 2 2 2 2 3 5 2" xfId="3701" xr:uid="{883E23C1-208B-43F6-8183-93B55EA2DB53}"/>
    <cellStyle name="Comma [0] 2 2 2 2 3 6" xfId="3088" xr:uid="{99CC9D14-23FD-42E7-A6C7-27EDA565536B}"/>
    <cellStyle name="Comma [0] 2 2 2 2 4" xfId="102" xr:uid="{00000000-0005-0000-0000-00006E000000}"/>
    <cellStyle name="Comma [0] 2 2 2 2 4 2" xfId="1766" xr:uid="{F4EFC22B-F3BC-4A9C-9C06-DF27F3B1ECF2}"/>
    <cellStyle name="Comma [0] 2 2 2 2 4 2 2" xfId="4000" xr:uid="{961C2BC5-17DC-4C4E-B1B5-445D9E5FE606}"/>
    <cellStyle name="Comma [0] 2 2 2 2 4 3" xfId="1596" xr:uid="{A1DDB166-8EFA-4EA2-8B86-721F500A3BFF}"/>
    <cellStyle name="Comma [0] 2 2 2 2 4 4" xfId="3089" xr:uid="{9F1BD6A6-FD6C-47B1-91E7-9CD593740664}"/>
    <cellStyle name="Comma [0] 2 2 2 2 5" xfId="103" xr:uid="{00000000-0005-0000-0000-00006F000000}"/>
    <cellStyle name="Comma [0] 2 2 2 2 5 2" xfId="1767" xr:uid="{9DFCD093-B54D-4A8A-B85B-D96510CF49C7}"/>
    <cellStyle name="Comma [0] 2 2 2 2 5 2 2" xfId="4001" xr:uid="{4169FF1E-0C0C-4B34-96A6-6B8F2B8BC709}"/>
    <cellStyle name="Comma [0] 2 2 2 2 5 3" xfId="1392" xr:uid="{70FBF99B-9464-4A64-B419-4F3F557F5E40}"/>
    <cellStyle name="Comma [0] 2 2 2 2 5 4" xfId="3090" xr:uid="{6870C210-4904-4611-811C-45452629C03B}"/>
    <cellStyle name="Comma [0] 2 2 2 2 6" xfId="1762" xr:uid="{0FC97634-85FD-47AA-B425-55676CAD074D}"/>
    <cellStyle name="Comma [0] 2 2 2 2 6 2" xfId="3996" xr:uid="{8145B7BF-0FE0-4F06-8D72-FC435583D8E5}"/>
    <cellStyle name="Comma [0] 2 2 2 2 7" xfId="1168" xr:uid="{EC63891A-D03B-40EA-83D5-CC65A7D632A4}"/>
    <cellStyle name="Comma [0] 2 2 2 2 7 2" xfId="3719" xr:uid="{534F32E5-C634-4142-A3C0-E6B9A9AF54E9}"/>
    <cellStyle name="Comma [0] 2 2 2 2 8" xfId="3085" xr:uid="{47BDF6F9-12C3-4488-AA1B-54F7E6BD0A10}"/>
    <cellStyle name="Comma [0] 2 2 2 3" xfId="104" xr:uid="{00000000-0005-0000-0000-000070000000}"/>
    <cellStyle name="Comma [0] 2 2 2 3 2" xfId="1173" xr:uid="{B40AA753-A8F2-4AF2-A62C-00D2837088CE}"/>
    <cellStyle name="Comma [0] 2 2 2 3 2 2" xfId="1599" xr:uid="{5E0A6466-6BB3-418A-BD70-C9342183F469}"/>
    <cellStyle name="Comma [0] 2 2 2 3 2 2 2" xfId="3919" xr:uid="{9B471C11-A803-44EB-BA19-43EE060D835C}"/>
    <cellStyle name="Comma [0] 2 2 2 3 2 3" xfId="3722" xr:uid="{73745CF9-7C6D-4336-99C1-AFC071C93A6F}"/>
    <cellStyle name="Comma [0] 2 2 2 3 3" xfId="1598" xr:uid="{48529476-2783-4B3E-BAC4-2434BFCFF0F9}"/>
    <cellStyle name="Comma [0] 2 2 2 3 3 2" xfId="3918" xr:uid="{3DD52105-AB47-4BA1-B210-E452CF904B60}"/>
    <cellStyle name="Comma [0] 2 2 2 3 4" xfId="1394" xr:uid="{54F7434E-A802-4D8B-B740-400CB414CBDE}"/>
    <cellStyle name="Comma [0] 2 2 2 3 4 2" xfId="3862" xr:uid="{CA9987F9-255C-4E10-B9DA-2161B7D7D56E}"/>
    <cellStyle name="Comma [0] 2 2 2 3 5" xfId="1768" xr:uid="{8E4B6946-F4D0-432B-BBCD-8FAC7649D8A3}"/>
    <cellStyle name="Comma [0] 2 2 2 3 5 2" xfId="4002" xr:uid="{607AE10E-7E49-4F6E-8329-CE54FA184AC2}"/>
    <cellStyle name="Comma [0] 2 2 2 3 6" xfId="1171" xr:uid="{E1B1A92D-3389-4F68-9035-F3E7CC763E93}"/>
    <cellStyle name="Comma [0] 2 2 2 3 6 2" xfId="3721" xr:uid="{516BD5F6-B280-41B0-A9E6-16448AF6C642}"/>
    <cellStyle name="Comma [0] 2 2 2 3 7" xfId="3091" xr:uid="{0CDF1BE9-EB31-4B5A-A5EB-61B8E40FA48C}"/>
    <cellStyle name="Comma [0] 2 2 2 4" xfId="105" xr:uid="{00000000-0005-0000-0000-000071000000}"/>
    <cellStyle name="Comma [0] 2 2 2 4 2" xfId="1600" xr:uid="{83324667-0992-49DC-9965-61CE56AFCC12}"/>
    <cellStyle name="Comma [0] 2 2 2 4 2 2" xfId="3920" xr:uid="{0A092F48-A145-484C-8F33-5862B8C83FB9}"/>
    <cellStyle name="Comma [0] 2 2 2 4 3" xfId="1387" xr:uid="{754D2293-CB5A-48BB-8894-C53951FF0C75}"/>
    <cellStyle name="Comma [0] 2 2 2 4 3 2" xfId="3860" xr:uid="{66910A82-8FE3-458A-BA2F-13023EAAFFEA}"/>
    <cellStyle name="Comma [0] 2 2 2 4 4" xfId="1769" xr:uid="{60873A47-D79F-4FDF-8810-7129DDE59783}"/>
    <cellStyle name="Comma [0] 2 2 2 4 4 2" xfId="4003" xr:uid="{76974AA1-9683-40E0-82B1-127E2B6D699C}"/>
    <cellStyle name="Comma [0] 2 2 2 4 5" xfId="1174" xr:uid="{2C9F39DC-F542-4F0E-9985-3A5A0B2AC9BB}"/>
    <cellStyle name="Comma [0] 2 2 2 4 5 2" xfId="3723" xr:uid="{98630F0D-81C6-473D-8EFF-105986395108}"/>
    <cellStyle name="Comma [0] 2 2 2 4 6" xfId="3092" xr:uid="{96E49398-647C-4CC3-BA1C-003C39E2C22B}"/>
    <cellStyle name="Comma [0] 2 2 2 5" xfId="106" xr:uid="{00000000-0005-0000-0000-000072000000}"/>
    <cellStyle name="Comma [0] 2 2 2 5 2" xfId="1770" xr:uid="{7FC36A80-A74A-47DF-8214-ADE1EADA32B8}"/>
    <cellStyle name="Comma [0] 2 2 2 5 2 2" xfId="4004" xr:uid="{7CD83E7F-1F3B-4FF0-94DB-04610689B3CA}"/>
    <cellStyle name="Comma [0] 2 2 2 5 3" xfId="1595" xr:uid="{0C67D916-4A31-4F3B-A3E0-8B3E7E725E78}"/>
    <cellStyle name="Comma [0] 2 2 2 5 4" xfId="3093" xr:uid="{EBECA691-8097-4010-8B84-10A0348F67F1}"/>
    <cellStyle name="Comma [0] 2 2 2 6" xfId="1390" xr:uid="{FF27AB53-5EB6-4425-83FD-7ACE18C797ED}"/>
    <cellStyle name="Comma [0] 2 2 2 6 2" xfId="3861" xr:uid="{C952ED94-5F9E-402B-8E0D-42A0FB187C71}"/>
    <cellStyle name="Comma [0] 2 2 2 7" xfId="1761" xr:uid="{3F9B8F99-446E-41CA-96EC-B9D39858C35E}"/>
    <cellStyle name="Comma [0] 2 2 2 7 2" xfId="3995" xr:uid="{A58E1129-39A1-4DB0-A157-A7287A120EB3}"/>
    <cellStyle name="Comma [0] 2 2 2 8" xfId="1167" xr:uid="{F6A7952C-C95D-4A73-810D-C2D3E97DF51F}"/>
    <cellStyle name="Comma [0] 2 2 2 8 2" xfId="3718" xr:uid="{85E17CDF-647A-43E2-8BDE-6D24E9664747}"/>
    <cellStyle name="Comma [0] 2 2 2 9" xfId="3084" xr:uid="{719B1D0F-9CDD-4B2F-BBF2-969E4CF7FE24}"/>
    <cellStyle name="Comma [0] 2 2 3" xfId="107" xr:uid="{00000000-0005-0000-0000-000073000000}"/>
    <cellStyle name="Comma [0] 2 2 3 2" xfId="108" xr:uid="{00000000-0005-0000-0000-000074000000}"/>
    <cellStyle name="Comma [0] 2 2 3 2 2" xfId="1602" xr:uid="{9CBB2D32-B567-4038-9F46-BC31BEF89FAB}"/>
    <cellStyle name="Comma [0] 2 2 3 2 2 2" xfId="3921" xr:uid="{AC688393-620F-4276-854E-448EAFB4170F}"/>
    <cellStyle name="Comma [0] 2 2 3 2 3" xfId="1772" xr:uid="{6B398959-0E17-4AED-8808-5A4E37FECD1C}"/>
    <cellStyle name="Comma [0] 2 2 3 2 3 2" xfId="4006" xr:uid="{29A7CE7F-375F-4C02-B399-9D762FE71D19}"/>
    <cellStyle name="Comma [0] 2 2 3 2 4" xfId="1176" xr:uid="{A761FF93-F9DC-453D-BF31-067EC39060F4}"/>
    <cellStyle name="Comma [0] 2 2 3 2 4 2" xfId="3725" xr:uid="{D6C1D0C8-F1D4-43EC-B5F9-93A1E5045893}"/>
    <cellStyle name="Comma [0] 2 2 3 2 5" xfId="3095" xr:uid="{3695DAA2-C40B-4051-8603-D6574261E216}"/>
    <cellStyle name="Comma [0] 2 2 3 3" xfId="109" xr:uid="{00000000-0005-0000-0000-000075000000}"/>
    <cellStyle name="Comma [0] 2 2 3 3 2" xfId="1773" xr:uid="{EA11D0E0-674D-4256-91BA-47FA109EDA6B}"/>
    <cellStyle name="Comma [0] 2 2 3 3 2 2" xfId="4007" xr:uid="{5DB25C36-A769-468F-91FF-3E4C31221A97}"/>
    <cellStyle name="Comma [0] 2 2 3 3 3" xfId="1601" xr:uid="{C73C5F3D-F6D4-499D-BDDD-65172F45BD5F}"/>
    <cellStyle name="Comma [0] 2 2 3 3 4" xfId="3096" xr:uid="{0ADDE5C6-5DF2-4002-BA28-21A35196732C}"/>
    <cellStyle name="Comma [0] 2 2 3 4" xfId="1395" xr:uid="{3193B08E-F812-45C7-A137-C14740762C05}"/>
    <cellStyle name="Comma [0] 2 2 3 4 2" xfId="3863" xr:uid="{B528EEC6-E307-487C-AA4F-64A284A95E3A}"/>
    <cellStyle name="Comma [0] 2 2 3 5" xfId="1771" xr:uid="{7673B192-D37C-4F34-B888-DF85E17C1305}"/>
    <cellStyle name="Comma [0] 2 2 3 5 2" xfId="4005" xr:uid="{03BB5F6A-D89C-4E19-9D62-61F61454C0E4}"/>
    <cellStyle name="Comma [0] 2 2 3 6" xfId="1175" xr:uid="{98164271-FC58-4B9F-A8B2-B065AA1D7B7B}"/>
    <cellStyle name="Comma [0] 2 2 3 6 2" xfId="3724" xr:uid="{56401C31-0B07-42D3-8E5F-66D5BC62F0BE}"/>
    <cellStyle name="Comma [0] 2 2 3 7" xfId="3094" xr:uid="{DBF97EFD-31BF-4650-A0D5-CA2C88CED138}"/>
    <cellStyle name="Comma [0] 2 2 4" xfId="110" xr:uid="{00000000-0005-0000-0000-000076000000}"/>
    <cellStyle name="Comma [0] 2 2 4 2" xfId="111" xr:uid="{00000000-0005-0000-0000-000077000000}"/>
    <cellStyle name="Comma [0] 2 2 4 2 2" xfId="1775" xr:uid="{7525B647-A2C3-43C3-A752-D535667CB84F}"/>
    <cellStyle name="Comma [0] 2 2 4 2 2 2" xfId="4009" xr:uid="{39C527C6-F2AC-40A9-9000-4DAEF256F790}"/>
    <cellStyle name="Comma [0] 2 2 4 2 3" xfId="1603" xr:uid="{CA76D404-46C4-4324-94C7-38FAA433693E}"/>
    <cellStyle name="Comma [0] 2 2 4 2 4" xfId="3098" xr:uid="{018FDC4D-054C-42D3-83EE-5F898F80B4E6}"/>
    <cellStyle name="Comma [0] 2 2 4 3" xfId="112" xr:uid="{00000000-0005-0000-0000-000078000000}"/>
    <cellStyle name="Comma [0] 2 2 4 3 2" xfId="1776" xr:uid="{58112D8A-6C84-4706-A4F2-6EF7D94AF12C}"/>
    <cellStyle name="Comma [0] 2 2 4 3 2 2" xfId="4010" xr:uid="{5CCFE41C-2D28-46B7-AA46-B221AD5321E8}"/>
    <cellStyle name="Comma [0] 2 2 4 3 3" xfId="1397" xr:uid="{5F2E7037-A491-4F33-8FC2-8FB87FC7A621}"/>
    <cellStyle name="Comma [0] 2 2 4 3 4" xfId="3099" xr:uid="{3C8D652A-C6EC-4B5A-9374-3DB8E9374D48}"/>
    <cellStyle name="Comma [0] 2 2 4 4" xfId="1774" xr:uid="{DA04E6FE-7B41-4383-8008-E9B7D504CADA}"/>
    <cellStyle name="Comma [0] 2 2 4 4 2" xfId="4008" xr:uid="{D0D9CB75-6CC0-4DB9-8BA4-562514E1AD80}"/>
    <cellStyle name="Comma [0] 2 2 4 5" xfId="1177" xr:uid="{0DDAF94C-71AC-4A11-9CFF-4CF1BCAFEC38}"/>
    <cellStyle name="Comma [0] 2 2 4 5 2" xfId="3726" xr:uid="{7F858FA7-4431-4381-8265-FE7588EA784D}"/>
    <cellStyle name="Comma [0] 2 2 4 6" xfId="3097" xr:uid="{664421A9-1763-40E2-A763-920759B2B356}"/>
    <cellStyle name="Comma [0] 2 2 5" xfId="113" xr:uid="{00000000-0005-0000-0000-000079000000}"/>
    <cellStyle name="Comma [0] 2 2 5 2" xfId="1777" xr:uid="{0B3C6BED-FF9B-4E3E-A59C-15FBC4E115BF}"/>
    <cellStyle name="Comma [0] 2 2 5 2 2" xfId="4011" xr:uid="{43EEBCAC-0DEA-4ACD-85D1-96E84913CB33}"/>
    <cellStyle name="Comma [0] 2 2 5 3" xfId="1594" xr:uid="{0A238427-943D-43E1-976F-419A3F6BDCDE}"/>
    <cellStyle name="Comma [0] 2 2 5 4" xfId="3100" xr:uid="{D2EE09D2-B2AF-474B-8A25-E2E4A6976168}"/>
    <cellStyle name="Comma [0] 2 2 6" xfId="1412" xr:uid="{ED9F05DC-0933-411E-AA5E-3AD39BC8D708}"/>
    <cellStyle name="Comma [0] 2 2 6 2" xfId="3866" xr:uid="{B570C1C5-0EAB-4FBA-8B48-A12598C73A5D}"/>
    <cellStyle name="Comma [0] 2 2 7" xfId="1760" xr:uid="{D9A97D81-9116-44F2-8B66-C51B625FF469}"/>
    <cellStyle name="Comma [0] 2 2 7 2" xfId="3994" xr:uid="{8DC752B2-D7E3-430A-B000-9712E49FCB3D}"/>
    <cellStyle name="Comma [0] 2 2 8" xfId="1166" xr:uid="{16CD6698-8AFF-4BBE-8A93-15816BF88453}"/>
    <cellStyle name="Comma [0] 2 2 8 2" xfId="3717" xr:uid="{1CDE8932-4284-42E9-A7C0-4DF8ADCEDC85}"/>
    <cellStyle name="Comma [0] 2 2 9" xfId="3083" xr:uid="{871D99E6-3B75-43B6-9842-BBC06BEB88F3}"/>
    <cellStyle name="Comma [0] 2 3" xfId="114" xr:uid="{00000000-0005-0000-0000-00007A000000}"/>
    <cellStyle name="Comma [0] 2 3 2" xfId="115" xr:uid="{00000000-0005-0000-0000-00007B000000}"/>
    <cellStyle name="Comma [0] 2 3 2 2" xfId="116" xr:uid="{00000000-0005-0000-0000-00007C000000}"/>
    <cellStyle name="Comma [0] 2 3 2 2 2" xfId="1780" xr:uid="{8E1893F6-C095-4D1B-AB33-8F05E79788F4}"/>
    <cellStyle name="Comma [0] 2 3 2 2 2 2" xfId="4014" xr:uid="{9DCAB32D-4F5F-4121-B8A4-1F34737B1998}"/>
    <cellStyle name="Comma [0] 2 3 2 2 3" xfId="1607" xr:uid="{048C52CD-D440-4279-8BF1-09A2D1A42CA9}"/>
    <cellStyle name="Comma [0] 2 3 2 2 4" xfId="3103" xr:uid="{EFB0663A-09F7-4597-9BDF-430E1CC9FF89}"/>
    <cellStyle name="Comma [0] 2 3 2 3" xfId="117" xr:uid="{00000000-0005-0000-0000-00007D000000}"/>
    <cellStyle name="Comma [0] 2 3 2 3 2" xfId="1781" xr:uid="{35A32A6C-1E2B-4673-B358-48C019CE18F5}"/>
    <cellStyle name="Comma [0] 2 3 2 3 2 2" xfId="4015" xr:uid="{495232BB-3254-4A45-9E50-BB143F83019D}"/>
    <cellStyle name="Comma [0] 2 3 2 3 3" xfId="1416" xr:uid="{1059AD14-4A3A-40A5-8171-0424546D049A}"/>
    <cellStyle name="Comma [0] 2 3 2 3 4" xfId="3104" xr:uid="{0D615970-B949-4A1E-A063-28EB4E46F98B}"/>
    <cellStyle name="Comma [0] 2 3 2 4" xfId="1779" xr:uid="{6568EC47-0347-4852-BE77-F03FA87C9FCA}"/>
    <cellStyle name="Comma [0] 2 3 2 4 2" xfId="4013" xr:uid="{DC6EB963-FC30-4F34-B140-7D4FACC53BEE}"/>
    <cellStyle name="Comma [0] 2 3 2 5" xfId="1181" xr:uid="{74D33971-5565-44CD-A80C-CC470D19B1A5}"/>
    <cellStyle name="Comma [0] 2 3 2 5 2" xfId="3730" xr:uid="{092E75FC-67D8-4C84-AE4A-74A8D51B8FB2}"/>
    <cellStyle name="Comma [0] 2 3 2 6" xfId="3102" xr:uid="{90AA439F-28E9-47C0-81F7-8F088BC8A0FF}"/>
    <cellStyle name="Comma [0] 2 3 3" xfId="118" xr:uid="{00000000-0005-0000-0000-00007E000000}"/>
    <cellStyle name="Comma [0] 2 3 3 2" xfId="119" xr:uid="{00000000-0005-0000-0000-00007F000000}"/>
    <cellStyle name="Comma [0] 2 3 3 2 2" xfId="1783" xr:uid="{089C632D-4E2D-4578-B1B7-C7AEB66B9E9E}"/>
    <cellStyle name="Comma [0] 2 3 3 2 3" xfId="3106" xr:uid="{CBF1B1F6-338D-4B69-AF8C-0A7839C5AD69}"/>
    <cellStyle name="Comma [0] 2 3 3 3" xfId="120" xr:uid="{00000000-0005-0000-0000-000080000000}"/>
    <cellStyle name="Comma [0] 2 3 3 3 2" xfId="1784" xr:uid="{8D0D8CAB-9AE2-4390-9F2A-471C3CB0299C}"/>
    <cellStyle name="Comma [0] 2 3 3 3 3" xfId="3107" xr:uid="{F8394426-CB28-4470-AC49-B43890B8BC16}"/>
    <cellStyle name="Comma [0] 2 3 3 4" xfId="1782" xr:uid="{91EE1C60-26ED-45AC-A243-511129B37631}"/>
    <cellStyle name="Comma [0] 2 3 3 4 2" xfId="4016" xr:uid="{3E6711E8-9823-4E26-8670-4663676359CA}"/>
    <cellStyle name="Comma [0] 2 3 3 5" xfId="1604" xr:uid="{F9ED6DD3-2313-4315-9BB3-2F5B1153F516}"/>
    <cellStyle name="Comma [0] 2 3 3 6" xfId="3105" xr:uid="{F662DF0C-F2E3-4D66-BACA-5ECA819736F8}"/>
    <cellStyle name="Comma [0] 2 3 4" xfId="121" xr:uid="{00000000-0005-0000-0000-000081000000}"/>
    <cellStyle name="Comma [0] 2 3 4 2" xfId="1785" xr:uid="{C609AA53-17E5-42BA-AF0A-F461C2F8893F}"/>
    <cellStyle name="Comma [0] 2 3 4 2 2" xfId="4018" xr:uid="{2401B8BB-3F93-4857-92E3-89102C80DBF4}"/>
    <cellStyle name="Comma [0] 2 3 4 3" xfId="1385" xr:uid="{5682081C-B148-4FD3-AEB2-308E02DF609F}"/>
    <cellStyle name="Comma [0] 2 3 4 4" xfId="3108" xr:uid="{559C68F0-41B5-4231-967B-36D61348F158}"/>
    <cellStyle name="Comma [0] 2 3 5" xfId="122" xr:uid="{00000000-0005-0000-0000-000082000000}"/>
    <cellStyle name="Comma [0] 2 3 5 2" xfId="1786" xr:uid="{FF4EF693-8D0C-44E8-8791-37F48ACB4CF5}"/>
    <cellStyle name="Comma [0] 2 3 5 3" xfId="3109" xr:uid="{EF67C0C0-28C2-472F-B107-F2FEAAC55080}"/>
    <cellStyle name="Comma [0] 2 3 6" xfId="1778" xr:uid="{9380E103-F5E9-4CC1-9C27-2C16EF896DD4}"/>
    <cellStyle name="Comma [0] 2 3 6 2" xfId="4012" xr:uid="{AB488392-FB48-4C16-9A21-EBEEDB2328C1}"/>
    <cellStyle name="Comma [0] 2 3 7" xfId="1178" xr:uid="{EF9664CC-D769-4EFB-86BC-423FBAA69744}"/>
    <cellStyle name="Comma [0] 2 3 7 2" xfId="3727" xr:uid="{3B0B3287-4D37-433E-8DA6-63C28232ECBF}"/>
    <cellStyle name="Comma [0] 2 3 8" xfId="3101" xr:uid="{51C85AC5-12B7-4502-8469-8773BF76BFDF}"/>
    <cellStyle name="Comma [0] 2 4" xfId="123" xr:uid="{00000000-0005-0000-0000-000083000000}"/>
    <cellStyle name="Comma [0] 2 4 2" xfId="124" xr:uid="{00000000-0005-0000-0000-000084000000}"/>
    <cellStyle name="Comma [0] 2 4 2 2" xfId="125" xr:uid="{00000000-0005-0000-0000-000085000000}"/>
    <cellStyle name="Comma [0] 2 4 2 2 2" xfId="1789" xr:uid="{0F8B8926-FD10-4FB6-B379-475B7906E5E3}"/>
    <cellStyle name="Comma [0] 2 4 2 2 3" xfId="3112" xr:uid="{58790CF1-18C3-4ECA-BD0D-BCD8D7B3FABB}"/>
    <cellStyle name="Comma [0] 2 4 2 3" xfId="1788" xr:uid="{CD59A75A-7BB2-4FDF-84C2-40004816C3FF}"/>
    <cellStyle name="Comma [0] 2 4 2 3 2" xfId="4021" xr:uid="{C6F4D2ED-506D-4DC5-8573-5FCDF263A185}"/>
    <cellStyle name="Comma [0] 2 4 2 4" xfId="1401" xr:uid="{C4CD6466-9254-4929-B13E-B0E9BBE5A652}"/>
    <cellStyle name="Comma [0] 2 4 2 5" xfId="3111" xr:uid="{11215A1D-151D-4CDB-A9FF-45AE3380D517}"/>
    <cellStyle name="Comma [0] 2 4 3" xfId="126" xr:uid="{00000000-0005-0000-0000-000086000000}"/>
    <cellStyle name="Comma [0] 2 4 3 2" xfId="1790" xr:uid="{29DB3EB7-17FD-403C-A1A9-D9C2E4DA692F}"/>
    <cellStyle name="Comma [0] 2 4 3 2 2" xfId="4023" xr:uid="{8A846D89-9A52-43AD-A6BC-E6A7685AC885}"/>
    <cellStyle name="Comma [0] 2 4 3 3" xfId="1608" xr:uid="{6F952320-07BF-4448-83FE-64A906D4759F}"/>
    <cellStyle name="Comma [0] 2 4 3 4" xfId="3113" xr:uid="{796C0221-7960-4EBC-9201-51EF3245014A}"/>
    <cellStyle name="Comma [0] 2 4 4" xfId="127" xr:uid="{00000000-0005-0000-0000-000087000000}"/>
    <cellStyle name="Comma [0] 2 4 4 2" xfId="1791" xr:uid="{80A11122-8B42-4C9A-8D10-429C25B43E91}"/>
    <cellStyle name="Comma [0] 2 4 4 2 2" xfId="4024" xr:uid="{7CCECFAB-0CF7-4744-B9DA-0E5ECB2FFE16}"/>
    <cellStyle name="Comma [0] 2 4 4 3" xfId="1417" xr:uid="{00D181FD-E466-401D-88E4-795CE7C82DD5}"/>
    <cellStyle name="Comma [0] 2 4 4 4" xfId="3114" xr:uid="{F3404E66-04A0-416B-9864-9A00DFB7FB58}"/>
    <cellStyle name="Comma [0] 2 4 5" xfId="1787" xr:uid="{589FF2DD-2F45-4BB1-BE4E-58B852D39F6F}"/>
    <cellStyle name="Comma [0] 2 4 5 2" xfId="4020" xr:uid="{0FFA21CB-5EA3-40C2-BFBA-C18921A05C83}"/>
    <cellStyle name="Comma [0] 2 4 6" xfId="1182" xr:uid="{5F0A6762-84BE-4AE7-91BE-025C223AB5E4}"/>
    <cellStyle name="Comma [0] 2 4 6 2" xfId="3731" xr:uid="{29900274-CF20-4E52-A2AF-F1888F8C2698}"/>
    <cellStyle name="Comma [0] 2 4 7" xfId="3110" xr:uid="{72083E87-9F6C-495E-822F-CB1540B19511}"/>
    <cellStyle name="Comma [0] 2 5" xfId="128" xr:uid="{00000000-0005-0000-0000-000088000000}"/>
    <cellStyle name="Comma [0] 2 5 2" xfId="129" xr:uid="{00000000-0005-0000-0000-000089000000}"/>
    <cellStyle name="Comma [0] 2 5 2 2" xfId="1793" xr:uid="{DD65E2C7-ADEB-4499-9D36-1596F7BFF48D}"/>
    <cellStyle name="Comma [0] 2 5 2 3" xfId="3116" xr:uid="{2A9FE02E-EF63-437E-A737-9449EDE48575}"/>
    <cellStyle name="Comma [0] 2 5 3" xfId="130" xr:uid="{00000000-0005-0000-0000-00008A000000}"/>
    <cellStyle name="Comma [0] 2 5 3 2" xfId="1794" xr:uid="{87589D23-75A0-4906-AF87-007FAECCDAA6}"/>
    <cellStyle name="Comma [0] 2 5 3 3" xfId="3117" xr:uid="{F34393F7-D051-481B-B68F-9F8AD545F811}"/>
    <cellStyle name="Comma [0] 2 5 4" xfId="1792" xr:uid="{0B152193-9F2F-42EB-B2BF-07857B36A664}"/>
    <cellStyle name="Comma [0] 2 5 4 2" xfId="4025" xr:uid="{DD2A7BE1-99E8-4E26-BEAE-D3F2CA1B74EE}"/>
    <cellStyle name="Comma [0] 2 5 5" xfId="1418" xr:uid="{C6F233C0-CC03-42A2-B1E4-5FDA709B69F0}"/>
    <cellStyle name="Comma [0] 2 5 6" xfId="3115" xr:uid="{802E7919-FA88-4281-B3C2-2FDE6EF51B3B}"/>
    <cellStyle name="Comma [0] 2 6" xfId="131" xr:uid="{00000000-0005-0000-0000-00008B000000}"/>
    <cellStyle name="Comma [0] 2 6 2" xfId="132" xr:uid="{00000000-0005-0000-0000-00008C000000}"/>
    <cellStyle name="Comma [0] 2 6 2 2" xfId="1796" xr:uid="{4CDA5599-7A73-495C-999E-7222F5E78616}"/>
    <cellStyle name="Comma [0] 2 6 2 3" xfId="3119" xr:uid="{7121E52B-AD95-41E2-B03E-85EE5C141DD8}"/>
    <cellStyle name="Comma [0] 2 6 3" xfId="1795" xr:uid="{ED2F9EDE-5161-488D-9332-5F6BA24C906E}"/>
    <cellStyle name="Comma [0] 2 6 3 2" xfId="4027" xr:uid="{6418C3F9-AFD7-4755-B507-3D9370CBBE7D}"/>
    <cellStyle name="Comma [0] 2 6 4" xfId="1593" xr:uid="{7A3A2024-D358-49B4-B8D3-7DF4716269F9}"/>
    <cellStyle name="Comma [0] 2 6 5" xfId="3118" xr:uid="{7BB99014-E600-4C75-97FD-7F075BC85FCC}"/>
    <cellStyle name="Comma [0] 2 7" xfId="133" xr:uid="{00000000-0005-0000-0000-00008D000000}"/>
    <cellStyle name="Comma [0] 2 7 2" xfId="1797" xr:uid="{E7ECCC4E-0E95-4AA1-AE59-4C8E5B8030BC}"/>
    <cellStyle name="Comma [0] 2 7 2 2" xfId="4029" xr:uid="{0E6689A2-D174-4DCC-997C-4142AE36BAA9}"/>
    <cellStyle name="Comma [0] 2 7 3" xfId="1388" xr:uid="{BDA6805E-C7D3-4437-9E1E-94BD0E22C43D}"/>
    <cellStyle name="Comma [0] 2 8" xfId="1085" xr:uid="{2F8CBE7C-73AC-49FE-81DD-13F922A2BE2C}"/>
    <cellStyle name="Comma [0] 2 8 2" xfId="1759" xr:uid="{0C038F51-A2F0-4647-8283-AB2555584952}"/>
    <cellStyle name="Comma [0] 2 8 3" xfId="3675" xr:uid="{3B6F9F69-B4AE-44C0-BE15-ABE319C6AC09}"/>
    <cellStyle name="Comma [0] 2 9" xfId="2557" xr:uid="{E379B8F0-853E-4409-957B-7185951638E2}"/>
    <cellStyle name="Comma [0] 2 9 2" xfId="4519" xr:uid="{15D7B624-5D10-46DC-B547-32F9CAFEF7C1}"/>
    <cellStyle name="Comma [0] 3" xfId="17" xr:uid="{00000000-0005-0000-0000-000017000000}"/>
    <cellStyle name="Comma [0] 3 2" xfId="134" xr:uid="{00000000-0005-0000-0000-00008E000000}"/>
    <cellStyle name="Comma [0] 3 2 2" xfId="1186" xr:uid="{F7E4DB35-9A19-4C8A-9D83-229875202E76}"/>
    <cellStyle name="Comma [0] 3 2 2 2" xfId="1187" xr:uid="{175C5EC8-0449-4BB4-ACDF-D526267336AD}"/>
    <cellStyle name="Comma [0] 3 2 2 2 2" xfId="1612" xr:uid="{33526622-1A08-4700-8CBB-0912B0A354C1}"/>
    <cellStyle name="Comma [0] 3 2 2 2 2 2" xfId="3927" xr:uid="{A2D557E7-0AC6-4043-93C1-EAE25297EE57}"/>
    <cellStyle name="Comma [0] 3 2 2 2 3" xfId="3734" xr:uid="{E5D988AF-87BB-4241-BF92-C4729B8E352D}"/>
    <cellStyle name="Comma [0] 3 2 2 3" xfId="1611" xr:uid="{0637E1AD-B151-4C34-9E7D-EFD0F2902BF1}"/>
    <cellStyle name="Comma [0] 3 2 2 3 2" xfId="3926" xr:uid="{47D8D412-144F-4262-AAEB-10D243F51B73}"/>
    <cellStyle name="Comma [0] 3 2 2 4" xfId="1421" xr:uid="{622C8F18-CD5D-4DF8-81E2-57727C5D3BF1}"/>
    <cellStyle name="Comma [0] 3 2 2 4 2" xfId="3872" xr:uid="{B5866738-70D9-4D6B-BA5D-2081389DACD0}"/>
    <cellStyle name="Comma [0] 3 2 2 5" xfId="3733" xr:uid="{4E99B546-66BE-4EA8-B306-BC3C1D1D76C3}"/>
    <cellStyle name="Comma [0] 3 2 3" xfId="1188" xr:uid="{7B41ABBC-9464-4BA8-B46A-FF0789DD1BE4}"/>
    <cellStyle name="Comma [0] 3 2 3 2" xfId="1613" xr:uid="{C58967CE-CD0D-470C-9A85-404A73BD4E85}"/>
    <cellStyle name="Comma [0] 3 2 3 2 2" xfId="3928" xr:uid="{70B1CC58-A681-4B1F-AD47-52998E574DD9}"/>
    <cellStyle name="Comma [0] 3 2 3 3" xfId="3735" xr:uid="{5FADDF4F-A36D-4D45-87D7-3FD39166B621}"/>
    <cellStyle name="Comma [0] 3 2 4" xfId="1610" xr:uid="{2A14BC2D-35AF-44FD-82BE-6D0D3E247F4A}"/>
    <cellStyle name="Comma [0] 3 2 4 2" xfId="3925" xr:uid="{056AB0FE-3B5E-4AF4-9862-19C8BD0298E6}"/>
    <cellStyle name="Comma [0] 3 2 5" xfId="1420" xr:uid="{E5451B55-6ACE-4B02-B03C-42523DD592BD}"/>
    <cellStyle name="Comma [0] 3 2 5 2" xfId="3871" xr:uid="{5B1568BA-AC51-4DD3-9FF6-32D9FBFAC320}"/>
    <cellStyle name="Comma [0] 3 2 6" xfId="1184" xr:uid="{88BD09FD-76E8-4D01-B050-E03C9D976D01}"/>
    <cellStyle name="Comma [0] 3 2 6 2" xfId="3732" xr:uid="{49AE1E77-F2DA-4E8D-AEB3-4078639FBC7F}"/>
    <cellStyle name="Comma [0] 3 3" xfId="135" xr:uid="{00000000-0005-0000-0000-00008F000000}"/>
    <cellStyle name="Comma [0] 3 3 2" xfId="1615" xr:uid="{65D81DB9-8283-4913-86BE-753EE0F45529}"/>
    <cellStyle name="Comma [0] 3 3 2 2" xfId="3929" xr:uid="{14236335-92D1-4611-9F6A-A24FD1BEB5AF}"/>
    <cellStyle name="Comma [0] 3 3 3" xfId="1798" xr:uid="{DE0C4AFC-765D-4D98-8F3E-E21277403C1F}"/>
    <cellStyle name="Comma [0] 3 3 3 2" xfId="4030" xr:uid="{C45FAC62-D9B3-4A1C-857D-9EB3DEFA6EAF}"/>
    <cellStyle name="Comma [0] 3 3 4" xfId="1189" xr:uid="{A730FA9C-4247-40FA-A712-ED949EDE51EA}"/>
    <cellStyle name="Comma [0] 3 3 4 2" xfId="3736" xr:uid="{C84DBB7B-E46A-4CCB-B0AE-C18CD4C70892}"/>
    <cellStyle name="Comma [0] 3 3 5" xfId="3120" xr:uid="{8C209E09-48DC-463A-B40A-9C4059FF5DE4}"/>
    <cellStyle name="Comma [0] 3 4" xfId="1572" xr:uid="{BCFE55CB-F1B8-412F-98E5-F07A323A803B}"/>
    <cellStyle name="Comma [0] 3 4 2" xfId="3908" xr:uid="{F7B59DAC-E423-4D38-AEC7-25F6C7A5CE0E}"/>
    <cellStyle name="Comma [0] 3 5" xfId="1383" xr:uid="{D0FAC35A-C1BB-4BD2-97A1-2DF183749808}"/>
    <cellStyle name="Comma [0] 3 5 2" xfId="3858" xr:uid="{F910F282-09B2-496E-BFE1-59B2F6D59967}"/>
    <cellStyle name="Comma [0] 3 6" xfId="1736" xr:uid="{587B8148-25D1-4A22-BD75-373F852DB128}"/>
    <cellStyle name="Comma [0] 3 6 2" xfId="3982" xr:uid="{DBEFFEAC-CEB3-4442-83F0-69987C96AE79}"/>
    <cellStyle name="Comma [0] 3 7" xfId="1116" xr:uid="{FEB7F8E8-54A5-4B7D-BED8-75CA2A8B801A}"/>
    <cellStyle name="Comma [0] 3 7 2" xfId="3694" xr:uid="{FDB31219-1933-43C7-9F94-6F0246AD0EDD}"/>
    <cellStyle name="Comma [0] 3 8" xfId="3061" xr:uid="{16EE1EDC-CD81-4742-B091-01680670E866}"/>
    <cellStyle name="Comma 10" xfId="136" xr:uid="{00000000-0005-0000-0000-000090000000}"/>
    <cellStyle name="Comma 10 2" xfId="137" xr:uid="{00000000-0005-0000-0000-000091000000}"/>
    <cellStyle name="Comma 10 2 10" xfId="3122" xr:uid="{934A4144-F9AC-4308-9BEC-69EDE988CA43}"/>
    <cellStyle name="Comma 10 2 2" xfId="138" xr:uid="{00000000-0005-0000-0000-000092000000}"/>
    <cellStyle name="Comma 10 2 2 2" xfId="1195" xr:uid="{A680EFFB-B21B-4861-8EF9-85F835800869}"/>
    <cellStyle name="Comma 10 2 2 2 2" xfId="1621" xr:uid="{489036D3-C0AC-4412-A23B-DDA8A2291A16}"/>
    <cellStyle name="Comma 10 2 2 2 2 2" xfId="3931" xr:uid="{1E0AF0CB-DCDD-403C-8789-CCA364594356}"/>
    <cellStyle name="Comma 10 2 2 2 3" xfId="3742" xr:uid="{5C54CE72-80D8-44F4-8F12-F5C0809FCA6C}"/>
    <cellStyle name="Comma 10 2 2 3" xfId="1618" xr:uid="{477FBC5B-CEBB-484F-BE6A-4D09B998C259}"/>
    <cellStyle name="Comma 10 2 2 3 2" xfId="3930" xr:uid="{BBE28488-DD52-4E04-89FD-1C26D6FD9875}"/>
    <cellStyle name="Comma 10 2 2 4" xfId="1801" xr:uid="{A39238BC-9258-44D0-BA17-5C12C5FB7AED}"/>
    <cellStyle name="Comma 10 2 2 4 2" xfId="4033" xr:uid="{140201BA-28CB-4EBA-96CF-1090565E9C3F}"/>
    <cellStyle name="Comma 10 2 2 5" xfId="1192" xr:uid="{07406B11-2946-4077-BC31-F2189A8487C6}"/>
    <cellStyle name="Comma 10 2 2 5 2" xfId="3739" xr:uid="{96DF6A56-949D-463B-8FCA-259BF74A9E44}"/>
    <cellStyle name="Comma 10 2 2 6" xfId="3123" xr:uid="{55DC5D8F-79D9-41D3-9CE7-FE87232CCC62}"/>
    <cellStyle name="Comma 10 2 3" xfId="139" xr:uid="{00000000-0005-0000-0000-000093000000}"/>
    <cellStyle name="Comma 10 2 3 2" xfId="1624" xr:uid="{65521EEB-A8DE-43E1-BBA0-854D0BB35DEF}"/>
    <cellStyle name="Comma 10 2 3 2 2" xfId="3934" xr:uid="{2D833569-B23F-4CF9-B18D-C2B10D1CA84C}"/>
    <cellStyle name="Comma 10 2 3 3" xfId="1802" xr:uid="{B99570B7-9A2F-41AC-883D-36AAE24F4B84}"/>
    <cellStyle name="Comma 10 2 3 3 2" xfId="4034" xr:uid="{8AF1C25C-C333-4949-BBB4-D1B8DE8E5703}"/>
    <cellStyle name="Comma 10 2 3 4" xfId="1198" xr:uid="{D3EAF0E5-34D5-49D1-AE55-534CFB7EDF50}"/>
    <cellStyle name="Comma 10 2 3 4 2" xfId="3745" xr:uid="{D01AD5DB-7750-412B-BC9F-67746BE97A77}"/>
    <cellStyle name="Comma 10 2 3 5" xfId="3124" xr:uid="{5A1FA6EF-F57D-4A96-BCE3-D8A4DD6C1471}"/>
    <cellStyle name="Comma 10 2 4" xfId="140" xr:uid="{00000000-0005-0000-0000-000094000000}"/>
    <cellStyle name="Comma 10 2 4 2" xfId="1606" xr:uid="{674909BD-B803-4983-8752-F9A1C33C11A5}"/>
    <cellStyle name="Comma 10 2 4 2 2" xfId="3923" xr:uid="{CFFC3C5D-4CF9-45F7-BF65-8EF05D42EE47}"/>
    <cellStyle name="Comma 10 2 4 3" xfId="1803" xr:uid="{E5E92329-D742-4852-83F3-B4BA4222B421}"/>
    <cellStyle name="Comma 10 2 4 3 2" xfId="4035" xr:uid="{BEDDF68E-FEA8-4DBA-A5BF-FE8B1BA5290B}"/>
    <cellStyle name="Comma 10 2 4 4" xfId="1180" xr:uid="{428F6E22-C4B3-495C-B2DC-03855395FB53}"/>
    <cellStyle name="Comma 10 2 4 4 2" xfId="3729" xr:uid="{D0244E11-1CB1-4406-BDBC-5E4A785A22E0}"/>
    <cellStyle name="Comma 10 2 4 5" xfId="3125" xr:uid="{3BAC62D2-ABF3-4D21-BA5C-9472DB7D35BE}"/>
    <cellStyle name="Comma 10 2 5" xfId="1022" xr:uid="{F18CEAD7-46DC-4720-816D-1E5F83E08704}"/>
    <cellStyle name="Comma 10 2 5 2" xfId="1626" xr:uid="{16833822-DF0C-46AF-B554-8577AD6D9E0A}"/>
    <cellStyle name="Comma 10 2 5 2 2" xfId="3935" xr:uid="{671A01E0-D975-4A47-BA38-3F9E3C88B49F}"/>
    <cellStyle name="Comma 10 2 5 3" xfId="2409" xr:uid="{7696BC7D-48E5-4D0D-8238-20DADC019953}"/>
    <cellStyle name="Comma 10 2 5 3 2" xfId="4380" xr:uid="{C5C0AD03-71BF-4911-A227-25F71354C779}"/>
    <cellStyle name="Comma 10 2 5 4" xfId="1200" xr:uid="{9CD5980F-AF6B-4E3E-B724-479F051EA14F}"/>
    <cellStyle name="Comma 10 2 5 4 2" xfId="3747" xr:uid="{1CCFCCCC-07AA-432D-84C1-D360D729BDEC}"/>
    <cellStyle name="Comma 10 2 5 5" xfId="3636" xr:uid="{23D2C01F-D8EF-47F7-96AE-A04554153F95}"/>
    <cellStyle name="Comma 10 2 6" xfId="1592" xr:uid="{55D21B56-E44F-4AA0-9EB4-67975E77C917}"/>
    <cellStyle name="Comma 10 2 6 2" xfId="3915" xr:uid="{1C8CCCAC-4717-490A-B6AE-F0684B631BE7}"/>
    <cellStyle name="Comma 10 2 7" xfId="1422" xr:uid="{F942C8A0-2359-4501-A927-36CA9B577623}"/>
    <cellStyle name="Comma 10 2 7 2" xfId="3873" xr:uid="{598679EC-18F9-496C-967C-566232AFB9A0}"/>
    <cellStyle name="Comma 10 2 8" xfId="1800" xr:uid="{E9F523B6-89E8-4260-9DA6-3511D62F2C02}"/>
    <cellStyle name="Comma 10 2 8 2" xfId="4032" xr:uid="{E34F31A6-61DC-4A3D-8357-4AEC14AA9908}"/>
    <cellStyle name="Comma 10 2 9" xfId="1163" xr:uid="{53BCF8CE-9024-4FF8-B813-9A6A3A5D1492}"/>
    <cellStyle name="Comma 10 2 9 2" xfId="3715" xr:uid="{48C24799-305D-4DBC-9422-1FCC57BB4C8E}"/>
    <cellStyle name="Comma 10 3" xfId="141" xr:uid="{00000000-0005-0000-0000-000095000000}"/>
    <cellStyle name="Comma 10 3 2" xfId="142" xr:uid="{00000000-0005-0000-0000-000096000000}"/>
    <cellStyle name="Comma 10 3 2 2" xfId="1805" xr:uid="{EF8F9571-ED86-47BC-9D49-8414498C50B5}"/>
    <cellStyle name="Comma 10 3 2 3" xfId="3127" xr:uid="{9A110109-AADD-422D-AA72-383C03E096A0}"/>
    <cellStyle name="Comma 10 3 3" xfId="1804" xr:uid="{7AD2FB5E-0C17-4984-A1BB-7BE7BC72C2A5}"/>
    <cellStyle name="Comma 10 3 3 2" xfId="4036" xr:uid="{ECF964DD-09BF-4C73-A1D3-25FDB7ECD5EF}"/>
    <cellStyle name="Comma 10 3 4" xfId="1575" xr:uid="{C7FA6C47-2FDF-4366-A549-7DDBDDA5F0C8}"/>
    <cellStyle name="Comma 10 3 5" xfId="3126" xr:uid="{60B8C772-5298-4140-9018-2698972734F3}"/>
    <cellStyle name="Comma 10 4" xfId="143" xr:uid="{00000000-0005-0000-0000-000097000000}"/>
    <cellStyle name="Comma 10 4 2" xfId="1806" xr:uid="{97FEA2E9-829D-4BB0-965E-6A27D1C25048}"/>
    <cellStyle name="Comma 10 4 2 2" xfId="4037" xr:uid="{D7298A99-6553-4700-89F9-D1C20FFE5B73}"/>
    <cellStyle name="Comma 10 4 3" xfId="1396" xr:uid="{5BF1A65A-BBEA-43CF-B843-BB225648934F}"/>
    <cellStyle name="Comma 10 4 4" xfId="3128" xr:uid="{6A0865B0-3B08-4350-97D0-46097C4A0BB4}"/>
    <cellStyle name="Comma 10 5" xfId="1799" xr:uid="{9F99CA96-E1F6-4DC5-808A-9EA9E39117BB}"/>
    <cellStyle name="Comma 10 5 2" xfId="4031" xr:uid="{B67AEABD-5F97-4F53-8723-AB2CB02C6538}"/>
    <cellStyle name="Comma 10 6" xfId="1122" xr:uid="{59F0797E-5164-4142-8BF3-97575EF53991}"/>
    <cellStyle name="Comma 10 6 2" xfId="3695" xr:uid="{157695DD-B9C3-4935-A7FF-16375E9E723A}"/>
    <cellStyle name="Comma 10 7" xfId="3121" xr:uid="{9617D421-1434-4F41-AA29-BF17CED10C92}"/>
    <cellStyle name="Comma 11" xfId="144" xr:uid="{00000000-0005-0000-0000-000098000000}"/>
    <cellStyle name="Comma 11 2" xfId="145" xr:uid="{00000000-0005-0000-0000-000099000000}"/>
    <cellStyle name="Comma 11 2 2" xfId="146" xr:uid="{00000000-0005-0000-0000-00009A000000}"/>
    <cellStyle name="Comma 11 2 2 2" xfId="1809" xr:uid="{9B5B827F-45CC-40E1-A05A-69D2DEE6C899}"/>
    <cellStyle name="Comma 11 2 2 3" xfId="3131" xr:uid="{5A0ADD68-D094-4E67-864C-86D441B7135F}"/>
    <cellStyle name="Comma 11 2 3" xfId="1808" xr:uid="{69A4DF7C-86C0-4CD4-945B-94407520F29F}"/>
    <cellStyle name="Comma 11 2 3 2" xfId="4039" xr:uid="{D6994D00-2179-4D5D-9B35-71004421661A}"/>
    <cellStyle name="Comma 11 2 4" xfId="1628" xr:uid="{650AC70E-34C0-4614-BB05-6C24DF08705B}"/>
    <cellStyle name="Comma 11 2 5" xfId="3130" xr:uid="{42A61527-0FF1-4099-AEFF-9AE6412B5528}"/>
    <cellStyle name="Comma 11 3" xfId="147" xr:uid="{00000000-0005-0000-0000-00009B000000}"/>
    <cellStyle name="Comma 11 3 2" xfId="148" xr:uid="{00000000-0005-0000-0000-00009C000000}"/>
    <cellStyle name="Comma 11 3 2 2" xfId="1811" xr:uid="{1592FE39-EE28-4CC8-8102-54F4DB4D732C}"/>
    <cellStyle name="Comma 11 3 2 3" xfId="3133" xr:uid="{13A9261E-188A-4057-8B97-B04F02661EC0}"/>
    <cellStyle name="Comma 11 3 3" xfId="1810" xr:uid="{3E71CF23-7EE7-4FA0-AA9E-410403EB512C}"/>
    <cellStyle name="Comma 11 3 3 2" xfId="4040" xr:uid="{FC65DEBE-0F41-4526-927E-B2973EAB11DF}"/>
    <cellStyle name="Comma 11 3 4" xfId="1424" xr:uid="{4A9F4E88-CFFF-44E3-8BBE-A11859BB17D2}"/>
    <cellStyle name="Comma 11 3 5" xfId="3132" xr:uid="{196A1960-3D18-4395-B355-4AC0BB2480B5}"/>
    <cellStyle name="Comma 11 4" xfId="149" xr:uid="{00000000-0005-0000-0000-00009D000000}"/>
    <cellStyle name="Comma 11 4 2" xfId="1812" xr:uid="{75AA890D-E468-4F1D-B4D4-1FEB80065347}"/>
    <cellStyle name="Comma 11 4 3" xfId="3134" xr:uid="{141BFFE0-5747-4778-B602-C6DB762444F7}"/>
    <cellStyle name="Comma 11 5" xfId="1807" xr:uid="{C269DF4B-4316-4F8E-AB32-F74B98D26142}"/>
    <cellStyle name="Comma 11 5 2" xfId="4038" xr:uid="{FCF48177-DCD1-4F76-87FC-8BD529AA1267}"/>
    <cellStyle name="Comma 11 6" xfId="1202" xr:uid="{BCC133FB-B5B5-4B90-96D2-4518D2612CD6}"/>
    <cellStyle name="Comma 11 6 2" xfId="3749" xr:uid="{A8BBDE69-E08D-43C9-95C1-1EA1344906B8}"/>
    <cellStyle name="Comma 11 7" xfId="3129" xr:uid="{19C2381B-B0A4-43D0-AB88-8108AA573461}"/>
    <cellStyle name="Comma 12" xfId="150" xr:uid="{00000000-0005-0000-0000-00009E000000}"/>
    <cellStyle name="Comma 12 2" xfId="151" xr:uid="{00000000-0005-0000-0000-00009F000000}"/>
    <cellStyle name="Comma 12 2 2" xfId="1562" xr:uid="{73459A1E-3F8B-4B14-AF5C-66A9BA710F97}"/>
    <cellStyle name="Comma 12 2 2 2" xfId="3902" xr:uid="{156576F3-39E1-466C-8693-1EC98ACE81C7}"/>
    <cellStyle name="Comma 12 2 3" xfId="1814" xr:uid="{A03C7871-B1C6-4292-ACB3-1D7E73D8DB28}"/>
    <cellStyle name="Comma 12 2 4" xfId="1426" xr:uid="{22FAF964-DD25-48BF-B248-8FC81B812A63}"/>
    <cellStyle name="Comma 12 3" xfId="152" xr:uid="{00000000-0005-0000-0000-0000A0000000}"/>
    <cellStyle name="Comma 12 3 2" xfId="153" xr:uid="{00000000-0005-0000-0000-0000A1000000}"/>
    <cellStyle name="Comma 12 3 2 2" xfId="1816" xr:uid="{B4812BFA-FD6A-4F84-9F86-0299B730E0FF}"/>
    <cellStyle name="Comma 12 3 2 3" xfId="3137" xr:uid="{E427F92D-06A9-4AE5-BA87-6A069331E6AA}"/>
    <cellStyle name="Comma 12 3 3" xfId="1815" xr:uid="{856F5454-938E-4768-BF8E-B9367BDF92EA}"/>
    <cellStyle name="Comma 12 3 4" xfId="3136" xr:uid="{8A0709C4-8E74-4337-9998-EFA70801FAAC}"/>
    <cellStyle name="Comma 12 4" xfId="154" xr:uid="{00000000-0005-0000-0000-0000A2000000}"/>
    <cellStyle name="Comma 12 4 2" xfId="155" xr:uid="{00000000-0005-0000-0000-0000A3000000}"/>
    <cellStyle name="Comma 12 4 2 2" xfId="1818" xr:uid="{1C6F2860-5D2D-454D-8CED-86676F20127F}"/>
    <cellStyle name="Comma 12 4 2 3" xfId="3139" xr:uid="{27846643-2027-4F55-BDCE-D83681752430}"/>
    <cellStyle name="Comma 12 4 3" xfId="1817" xr:uid="{5615AE22-D9A1-434F-9B03-BBFA8154E70C}"/>
    <cellStyle name="Comma 12 4 4" xfId="3138" xr:uid="{8E3EAF28-EC19-49A1-9DDD-0193C1E9D51B}"/>
    <cellStyle name="Comma 12 5" xfId="156" xr:uid="{00000000-0005-0000-0000-0000A4000000}"/>
    <cellStyle name="Comma 12 5 2" xfId="1819" xr:uid="{2C2A4E9B-FA92-4239-B0EF-8D72DA98E624}"/>
    <cellStyle name="Comma 12 5 3" xfId="3140" xr:uid="{52ACA255-272A-484B-8771-4AF33CD5AED4}"/>
    <cellStyle name="Comma 12 6" xfId="1089" xr:uid="{59E9FB2E-0ABF-48C2-AFE1-441A81CCF044}"/>
    <cellStyle name="Comma 12 6 2" xfId="1813" xr:uid="{B1185DC5-7921-4D5E-B1B8-E58DA067C015}"/>
    <cellStyle name="Comma 12 6 3" xfId="3678" xr:uid="{741A0EBF-3F3D-44E2-B770-8B402FABF4C3}"/>
    <cellStyle name="Comma 12 7" xfId="1425" xr:uid="{1EE78D8D-2EE5-4717-9EB8-0A27F2EBCE17}"/>
    <cellStyle name="Comma 12 8" xfId="3135" xr:uid="{C66F48E4-A0F5-4BE5-A9B2-009DFC67C2E5}"/>
    <cellStyle name="Comma 13" xfId="157" xr:uid="{00000000-0005-0000-0000-0000A5000000}"/>
    <cellStyle name="Comma 13 2" xfId="158" xr:uid="{00000000-0005-0000-0000-0000A6000000}"/>
    <cellStyle name="Comma 13 2 2" xfId="159" xr:uid="{00000000-0005-0000-0000-0000A7000000}"/>
    <cellStyle name="Comma 13 2 2 2" xfId="1822" xr:uid="{DDE5CF92-5272-4224-9797-F15F7FCD73DD}"/>
    <cellStyle name="Comma 13 2 2 3" xfId="3143" xr:uid="{83427FFF-B924-4A01-9277-BF1841A924DE}"/>
    <cellStyle name="Comma 13 2 3" xfId="1821" xr:uid="{6D133001-35C6-4660-8644-D725893A0AFD}"/>
    <cellStyle name="Comma 13 2 4" xfId="3142" xr:uid="{B2C5E74F-A3BB-4170-A62E-2A6794189F28}"/>
    <cellStyle name="Comma 13 3" xfId="160" xr:uid="{00000000-0005-0000-0000-0000A8000000}"/>
    <cellStyle name="Comma 13 3 2" xfId="161" xr:uid="{00000000-0005-0000-0000-0000A9000000}"/>
    <cellStyle name="Comma 13 3 2 2" xfId="1824" xr:uid="{26524C75-0BAB-4AF5-9763-7F237393B1EB}"/>
    <cellStyle name="Comma 13 3 2 3" xfId="3145" xr:uid="{62784A93-89DD-45B2-8603-4BA278E247B6}"/>
    <cellStyle name="Comma 13 3 3" xfId="1823" xr:uid="{1EDCD67A-8C73-442C-9C77-6D9CEE1B2DDA}"/>
    <cellStyle name="Comma 13 3 4" xfId="3144" xr:uid="{D37C0AA2-3487-424E-86B1-25F486EBC3EF}"/>
    <cellStyle name="Comma 13 4" xfId="162" xr:uid="{00000000-0005-0000-0000-0000AA000000}"/>
    <cellStyle name="Comma 13 4 2" xfId="1825" xr:uid="{10CA5C5E-F6F3-44EF-B286-B4F6C2D96232}"/>
    <cellStyle name="Comma 13 4 3" xfId="3146" xr:uid="{C196A1F2-07D4-4C3C-95BC-85D2B9B5AF6C}"/>
    <cellStyle name="Comma 13 5" xfId="1820" xr:uid="{ED728F03-C5BF-4E5D-8202-B6DBC4EA528A}"/>
    <cellStyle name="Comma 13 5 2" xfId="4041" xr:uid="{F55DE31C-FB9C-453C-91C2-53DE855B040B}"/>
    <cellStyle name="Comma 13 6" xfId="1428" xr:uid="{7816B8C4-775F-4105-8E4C-B3CD7D888719}"/>
    <cellStyle name="Comma 13 7" xfId="3141" xr:uid="{1E563631-8E4B-4E36-AECA-6B8445684951}"/>
    <cellStyle name="Comma 14" xfId="163" xr:uid="{00000000-0005-0000-0000-0000AB000000}"/>
    <cellStyle name="Comma 14 2" xfId="164" xr:uid="{00000000-0005-0000-0000-0000AC000000}"/>
    <cellStyle name="Comma 14 2 2" xfId="165" xr:uid="{00000000-0005-0000-0000-0000AD000000}"/>
    <cellStyle name="Comma 14 2 2 2" xfId="1828" xr:uid="{D82281FD-5C3E-4B2A-A032-F3DC3E683170}"/>
    <cellStyle name="Comma 14 2 2 3" xfId="3149" xr:uid="{D6DD5902-8395-4883-8443-93FF0B1E7753}"/>
    <cellStyle name="Comma 14 2 3" xfId="1827" xr:uid="{D30F2F80-871C-4BF3-8395-0D5075D2D228}"/>
    <cellStyle name="Comma 14 2 4" xfId="3148" xr:uid="{6C71E4DE-119F-4A62-B186-BAC742C9A7DF}"/>
    <cellStyle name="Comma 14 3" xfId="166" xr:uid="{00000000-0005-0000-0000-0000AE000000}"/>
    <cellStyle name="Comma 14 3 2" xfId="167" xr:uid="{00000000-0005-0000-0000-0000AF000000}"/>
    <cellStyle name="Comma 14 3 2 2" xfId="1830" xr:uid="{7072FC7E-722B-4F26-A453-B1C5B8FF1526}"/>
    <cellStyle name="Comma 14 3 2 3" xfId="3151" xr:uid="{912661EC-9BFA-42D0-8927-11DF934E8C8B}"/>
    <cellStyle name="Comma 14 3 3" xfId="1829" xr:uid="{4A327EED-62CD-476B-B1A0-B646A00B02CC}"/>
    <cellStyle name="Comma 14 3 4" xfId="3150" xr:uid="{14CE2C6C-9E83-4C78-851A-99974182EAE3}"/>
    <cellStyle name="Comma 14 4" xfId="168" xr:uid="{00000000-0005-0000-0000-0000B0000000}"/>
    <cellStyle name="Comma 14 4 2" xfId="1831" xr:uid="{CD014A24-931D-4C3E-8B8B-0703B027BE9B}"/>
    <cellStyle name="Comma 14 4 3" xfId="3152" xr:uid="{7BA74E9F-36EF-47CB-8DE4-16A56878F32F}"/>
    <cellStyle name="Comma 14 5" xfId="1826" xr:uid="{0EFF9814-E35C-4DDF-BF3C-32EE1F5A8975}"/>
    <cellStyle name="Comma 14 5 2" xfId="4043" xr:uid="{B89A9F36-E6A7-418C-81CE-285A5E8EADE9}"/>
    <cellStyle name="Comma 14 6" xfId="1554" xr:uid="{EB87DD01-426B-4D0C-ADB9-C3DB2D8DC168}"/>
    <cellStyle name="Comma 14 7" xfId="3147" xr:uid="{1F5ED4B8-3AE1-4C08-8B5F-29CB2EB510CD}"/>
    <cellStyle name="Comma 15" xfId="169" xr:uid="{00000000-0005-0000-0000-0000B1000000}"/>
    <cellStyle name="Comma 15 2" xfId="170" xr:uid="{00000000-0005-0000-0000-0000B2000000}"/>
    <cellStyle name="Comma 15 2 2" xfId="171" xr:uid="{00000000-0005-0000-0000-0000B3000000}"/>
    <cellStyle name="Comma 15 2 2 2" xfId="1834" xr:uid="{E9E9D91D-D44B-4D72-954A-A90CF48CEFC5}"/>
    <cellStyle name="Comma 15 2 2 3" xfId="3155" xr:uid="{C3CCBCAF-C4AD-4032-B2DF-ECA62AC28E82}"/>
    <cellStyle name="Comma 15 2 3" xfId="1833" xr:uid="{5D1C9F5F-7B18-45E7-A869-AD5879AF1E4A}"/>
    <cellStyle name="Comma 15 2 4" xfId="3154" xr:uid="{83AF834A-9C25-4335-A5F5-77DF202F1479}"/>
    <cellStyle name="Comma 15 3" xfId="172" xr:uid="{00000000-0005-0000-0000-0000B4000000}"/>
    <cellStyle name="Comma 15 3 2" xfId="173" xr:uid="{00000000-0005-0000-0000-0000B5000000}"/>
    <cellStyle name="Comma 15 3 2 2" xfId="1836" xr:uid="{F880C51F-2F2D-4482-A6B5-5AE2F6B1A530}"/>
    <cellStyle name="Comma 15 3 2 3" xfId="3157" xr:uid="{C432ACAA-85F2-4753-AE96-43E9E933299D}"/>
    <cellStyle name="Comma 15 3 3" xfId="1835" xr:uid="{5C5C60B0-B53A-4390-BD27-E4E7888C80F2}"/>
    <cellStyle name="Comma 15 3 4" xfId="3156" xr:uid="{F5BD4C61-83CF-4EC6-9DF9-1A64C4A451A4}"/>
    <cellStyle name="Comma 15 4" xfId="174" xr:uid="{00000000-0005-0000-0000-0000B6000000}"/>
    <cellStyle name="Comma 15 4 2" xfId="1837" xr:uid="{69EF3A20-D329-451D-A19D-FDBE5485B7FB}"/>
    <cellStyle name="Comma 15 4 3" xfId="3158" xr:uid="{B5FBC0DF-EC3D-4322-93CE-19B3064A9A9E}"/>
    <cellStyle name="Comma 15 5" xfId="1832" xr:uid="{95B0A902-F4CF-4B82-8B3B-A29B9DC24559}"/>
    <cellStyle name="Comma 15 6" xfId="3153" xr:uid="{E65A8E79-9365-4708-97B2-8F0290395B8A}"/>
    <cellStyle name="Comma 16" xfId="175" xr:uid="{00000000-0005-0000-0000-0000B7000000}"/>
    <cellStyle name="Comma 16 2" xfId="176" xr:uid="{00000000-0005-0000-0000-0000B8000000}"/>
    <cellStyle name="Comma 16 2 2" xfId="177" xr:uid="{00000000-0005-0000-0000-0000B9000000}"/>
    <cellStyle name="Comma 16 2 2 2" xfId="178" xr:uid="{00000000-0005-0000-0000-0000BA000000}"/>
    <cellStyle name="Comma 16 2 2 2 2" xfId="1841" xr:uid="{B231D525-8238-48A7-BD13-2151FE9D7F60}"/>
    <cellStyle name="Comma 16 2 2 2 3" xfId="3162" xr:uid="{6118832F-0780-4A43-B66B-7E2804C30C26}"/>
    <cellStyle name="Comma 16 2 2 3" xfId="1840" xr:uid="{CCA3325F-4D07-4673-83C2-E9BE9FA29D5D}"/>
    <cellStyle name="Comma 16 2 2 4" xfId="3161" xr:uid="{DE8DA6A5-CB08-45B6-8B80-595AE2BA481A}"/>
    <cellStyle name="Comma 16 2 3" xfId="179" xr:uid="{00000000-0005-0000-0000-0000BB000000}"/>
    <cellStyle name="Comma 16 2 3 2" xfId="180" xr:uid="{00000000-0005-0000-0000-0000BC000000}"/>
    <cellStyle name="Comma 16 2 3 2 2" xfId="1843" xr:uid="{E15146F2-1FB5-4066-80DE-33E5A07999F0}"/>
    <cellStyle name="Comma 16 2 3 2 3" xfId="3164" xr:uid="{7D14B0AD-B51D-4A97-A9B2-BFE8CED6EE04}"/>
    <cellStyle name="Comma 16 2 3 3" xfId="1842" xr:uid="{A0730EF4-0B8D-4CB5-9660-323727FBDD6E}"/>
    <cellStyle name="Comma 16 2 3 4" xfId="3163" xr:uid="{79CBF719-CC9E-4C44-A866-42B0C0B3797F}"/>
    <cellStyle name="Comma 16 2 4" xfId="181" xr:uid="{00000000-0005-0000-0000-0000BD000000}"/>
    <cellStyle name="Comma 16 2 4 2" xfId="1844" xr:uid="{0952A749-6D74-4960-B47A-459B652BDFCF}"/>
    <cellStyle name="Comma 16 2 4 3" xfId="3165" xr:uid="{C173E1F9-4930-4D97-99D0-BFB4FBB169B7}"/>
    <cellStyle name="Comma 16 2 5" xfId="1839" xr:uid="{ECB90880-FC5D-424F-A191-6E77494990B1}"/>
    <cellStyle name="Comma 16 2 6" xfId="3160" xr:uid="{38498DD4-32CB-421E-984B-1ACB91AB8E6F}"/>
    <cellStyle name="Comma 16 3" xfId="182" xr:uid="{00000000-0005-0000-0000-0000BE000000}"/>
    <cellStyle name="Comma 16 3 2" xfId="183" xr:uid="{00000000-0005-0000-0000-0000BF000000}"/>
    <cellStyle name="Comma 16 3 2 2" xfId="184" xr:uid="{00000000-0005-0000-0000-0000C0000000}"/>
    <cellStyle name="Comma 16 3 2 2 2" xfId="1847" xr:uid="{BDC8A9FC-83F9-494C-9711-FD9EA96F87C0}"/>
    <cellStyle name="Comma 16 3 2 2 3" xfId="3168" xr:uid="{32CF4923-ACD9-48B1-A5C7-5D18FCAA925B}"/>
    <cellStyle name="Comma 16 3 2 3" xfId="1846" xr:uid="{2EE852B7-3CBA-4D63-B480-B6A6DDA321DD}"/>
    <cellStyle name="Comma 16 3 2 4" xfId="3167" xr:uid="{8E83543B-19D8-4661-99BB-C5FB5B9590AF}"/>
    <cellStyle name="Comma 16 3 3" xfId="185" xr:uid="{00000000-0005-0000-0000-0000C1000000}"/>
    <cellStyle name="Comma 16 3 3 2" xfId="186" xr:uid="{00000000-0005-0000-0000-0000C2000000}"/>
    <cellStyle name="Comma 16 3 3 2 2" xfId="1849" xr:uid="{5AAE27A0-A880-4B6A-8999-25A8823878DF}"/>
    <cellStyle name="Comma 16 3 3 2 3" xfId="3170" xr:uid="{4F5C1D4F-9B15-4A20-9635-689ACCE72C97}"/>
    <cellStyle name="Comma 16 3 3 3" xfId="1848" xr:uid="{17414286-FEFD-4B83-B312-5BD1CD0CEC78}"/>
    <cellStyle name="Comma 16 3 3 4" xfId="3169" xr:uid="{2DFFC9C0-E775-4AE0-ADB0-A394AD963BE2}"/>
    <cellStyle name="Comma 16 3 4" xfId="187" xr:uid="{00000000-0005-0000-0000-0000C3000000}"/>
    <cellStyle name="Comma 16 3 4 2" xfId="1850" xr:uid="{DAF39144-A49C-4C8C-9842-1C1E2695CEAF}"/>
    <cellStyle name="Comma 16 3 4 3" xfId="3171" xr:uid="{B1106977-4F6A-483C-944E-B0B61094F5AD}"/>
    <cellStyle name="Comma 16 3 5" xfId="1845" xr:uid="{25A47C72-314A-48EC-B790-7BA9CF783DC1}"/>
    <cellStyle name="Comma 16 3 6" xfId="3166" xr:uid="{EB36D16E-4C7E-4497-9E3C-481C2CF39246}"/>
    <cellStyle name="Comma 16 4" xfId="188" xr:uid="{00000000-0005-0000-0000-0000C4000000}"/>
    <cellStyle name="Comma 16 4 2" xfId="189" xr:uid="{00000000-0005-0000-0000-0000C5000000}"/>
    <cellStyle name="Comma 16 4 2 2" xfId="1852" xr:uid="{54BD8C33-1265-4EDD-9C57-828256F3EF08}"/>
    <cellStyle name="Comma 16 4 2 3" xfId="3173" xr:uid="{5DFA0D58-5FD2-4458-AF6A-D5A8B30A26AC}"/>
    <cellStyle name="Comma 16 4 3" xfId="1851" xr:uid="{8854F2A5-06DB-41BF-9B5F-671AD7FE6794}"/>
    <cellStyle name="Comma 16 4 4" xfId="3172" xr:uid="{8E84E43A-53EE-4B4B-8F64-D9E64994FEC6}"/>
    <cellStyle name="Comma 16 5" xfId="190" xr:uid="{00000000-0005-0000-0000-0000C6000000}"/>
    <cellStyle name="Comma 16 5 2" xfId="191" xr:uid="{00000000-0005-0000-0000-0000C7000000}"/>
    <cellStyle name="Comma 16 5 2 2" xfId="1854" xr:uid="{1A9CEF40-2305-4564-9BC1-28C7AD7135E7}"/>
    <cellStyle name="Comma 16 5 2 3" xfId="3175" xr:uid="{5AC3F405-D3D8-45AB-B7C9-B259B58BFD96}"/>
    <cellStyle name="Comma 16 5 3" xfId="1853" xr:uid="{719E822A-4DB7-4F77-8527-0FF3C12C8A56}"/>
    <cellStyle name="Comma 16 5 4" xfId="3174" xr:uid="{22D42CE9-1C7D-4846-B052-0229546C1096}"/>
    <cellStyle name="Comma 16 6" xfId="192" xr:uid="{00000000-0005-0000-0000-0000C8000000}"/>
    <cellStyle name="Comma 16 6 2" xfId="1855" xr:uid="{3E898BFE-223D-47D3-8527-73AA2B79276A}"/>
    <cellStyle name="Comma 16 6 3" xfId="3176" xr:uid="{572BD266-554A-4310-BE70-3D6804C0E2C4}"/>
    <cellStyle name="Comma 16 7" xfId="1092" xr:uid="{6EE34364-7B75-4C8E-B5EC-22E78EFA7CFE}"/>
    <cellStyle name="Comma 16 7 2" xfId="1838" xr:uid="{216274BE-A04D-4C46-AE1D-88D4C3EEBEBD}"/>
    <cellStyle name="Comma 16 7 3" xfId="3680" xr:uid="{FD8A8183-456E-48E8-80BE-1E6FF726EFAB}"/>
    <cellStyle name="Comma 16 8" xfId="1429" xr:uid="{35306002-4627-40F8-97AC-C532DDF57740}"/>
    <cellStyle name="Comma 16 9" xfId="3159" xr:uid="{48262E57-C89B-474D-8804-BE3C5C414991}"/>
    <cellStyle name="Comma 17" xfId="193" xr:uid="{00000000-0005-0000-0000-0000C9000000}"/>
    <cellStyle name="Comma 17 2" xfId="194" xr:uid="{00000000-0005-0000-0000-0000CA000000}"/>
    <cellStyle name="Comma 17 2 2" xfId="195" xr:uid="{00000000-0005-0000-0000-0000CB000000}"/>
    <cellStyle name="Comma 17 2 2 2" xfId="1858" xr:uid="{6AF33122-5D65-401D-8170-0314B7916BE4}"/>
    <cellStyle name="Comma 17 2 2 3" xfId="3179" xr:uid="{BCFBEF29-9F88-4504-A0C9-5073F0B8D8F3}"/>
    <cellStyle name="Comma 17 2 3" xfId="1857" xr:uid="{80013ACB-3C19-4C1C-AE02-71C2C834A9CC}"/>
    <cellStyle name="Comma 17 2 4" xfId="3178" xr:uid="{B6AB58B0-9DAA-4DD3-8E4D-FE63EE134639}"/>
    <cellStyle name="Comma 17 3" xfId="196" xr:uid="{00000000-0005-0000-0000-0000CC000000}"/>
    <cellStyle name="Comma 17 3 2" xfId="197" xr:uid="{00000000-0005-0000-0000-0000CD000000}"/>
    <cellStyle name="Comma 17 3 2 2" xfId="1860" xr:uid="{ABB25AD9-9F7F-438D-9361-21D541B3360F}"/>
    <cellStyle name="Comma 17 3 2 3" xfId="3181" xr:uid="{7A936044-3DB8-4357-AAD2-2C8CCC9F37CD}"/>
    <cellStyle name="Comma 17 3 3" xfId="1859" xr:uid="{DDD7384E-2FC5-4884-827A-AD034E50A5E1}"/>
    <cellStyle name="Comma 17 3 4" xfId="3180" xr:uid="{035944A4-1C01-4BDE-9116-A450B5C72258}"/>
    <cellStyle name="Comma 17 4" xfId="198" xr:uid="{00000000-0005-0000-0000-0000CE000000}"/>
    <cellStyle name="Comma 17 4 2" xfId="1861" xr:uid="{70740A5F-E615-4D89-AFC4-49D5C0DCD3D5}"/>
    <cellStyle name="Comma 17 4 3" xfId="3182" xr:uid="{186F6280-7F99-4D83-9941-509B415E03A6}"/>
    <cellStyle name="Comma 17 5" xfId="1856" xr:uid="{B88F729A-0080-45C8-8E82-F47E660656BC}"/>
    <cellStyle name="Comma 17 6" xfId="3177" xr:uid="{BE8ADF1B-69DD-4ACF-9EC7-28A3DE7104E6}"/>
    <cellStyle name="Comma 17 8" xfId="1060" xr:uid="{B7F8010E-A40A-424C-95EE-54A28F23F2A9}"/>
    <cellStyle name="Comma 17 8 2" xfId="3658" xr:uid="{8D80B4F8-34B8-49BB-9042-1EEFBF985359}"/>
    <cellStyle name="Comma 18" xfId="199" xr:uid="{00000000-0005-0000-0000-0000CF000000}"/>
    <cellStyle name="Comma 18 2" xfId="200" xr:uid="{00000000-0005-0000-0000-0000D0000000}"/>
    <cellStyle name="Comma 18 2 2" xfId="201" xr:uid="{00000000-0005-0000-0000-0000D1000000}"/>
    <cellStyle name="Comma 18 2 2 2" xfId="1864" xr:uid="{A29B4FCA-E706-4692-8A21-8C81E9575BF2}"/>
    <cellStyle name="Comma 18 2 2 3" xfId="3185" xr:uid="{720F673A-3B85-4036-89DC-DEA24AEB100B}"/>
    <cellStyle name="Comma 18 2 3" xfId="1863" xr:uid="{B8C5E4AE-A3B8-423B-BDC2-E824E0906383}"/>
    <cellStyle name="Comma 18 2 4" xfId="3184" xr:uid="{22D5F93B-815D-44C9-A48E-BF9963AF819B}"/>
    <cellStyle name="Comma 18 3" xfId="202" xr:uid="{00000000-0005-0000-0000-0000D2000000}"/>
    <cellStyle name="Comma 18 3 2" xfId="203" xr:uid="{00000000-0005-0000-0000-0000D3000000}"/>
    <cellStyle name="Comma 18 3 2 2" xfId="1866" xr:uid="{6A5263DA-930C-475B-956E-7914F0AD746C}"/>
    <cellStyle name="Comma 18 3 2 3" xfId="3187" xr:uid="{66829B0C-EA67-4E71-B96D-F81F11410097}"/>
    <cellStyle name="Comma 18 3 3" xfId="1865" xr:uid="{E0D25001-4BA0-4C6B-B12F-5730CA54B813}"/>
    <cellStyle name="Comma 18 3 4" xfId="3186" xr:uid="{8475A932-90EB-43F3-B779-3F0EDD4A5FDF}"/>
    <cellStyle name="Comma 18 4" xfId="204" xr:uid="{00000000-0005-0000-0000-0000D4000000}"/>
    <cellStyle name="Comma 18 4 2" xfId="1867" xr:uid="{EA6A9A8F-7BFD-45FA-8B69-FFB5E6DEAF8E}"/>
    <cellStyle name="Comma 18 4 3" xfId="3188" xr:uid="{71657816-2E74-48EA-8467-4075A7F2904E}"/>
    <cellStyle name="Comma 18 5" xfId="1862" xr:uid="{D7607232-FF03-4F9F-85DC-E2D12C45E53A}"/>
    <cellStyle name="Comma 18 6" xfId="3183" xr:uid="{B3231D78-9EB8-4B63-9DF0-6E47DE2240E3}"/>
    <cellStyle name="Comma 19" xfId="205" xr:uid="{00000000-0005-0000-0000-0000D5000000}"/>
    <cellStyle name="Comma 19 2" xfId="206" xr:uid="{00000000-0005-0000-0000-0000D6000000}"/>
    <cellStyle name="Comma 19 2 2" xfId="207" xr:uid="{00000000-0005-0000-0000-0000D7000000}"/>
    <cellStyle name="Comma 19 2 2 2" xfId="1870" xr:uid="{6A101CE9-3274-43B8-B2B4-AC4ED590337B}"/>
    <cellStyle name="Comma 19 2 2 3" xfId="3191" xr:uid="{7244870E-ABA6-447F-AC01-D2AEF901DC0F}"/>
    <cellStyle name="Comma 19 2 3" xfId="1869" xr:uid="{5272FDEB-5E5C-4303-9141-C0D2897BE3DA}"/>
    <cellStyle name="Comma 19 2 4" xfId="3190" xr:uid="{CD5D98A0-08B5-4BE9-91D2-6AB5F949BF24}"/>
    <cellStyle name="Comma 19 3" xfId="208" xr:uid="{00000000-0005-0000-0000-0000D8000000}"/>
    <cellStyle name="Comma 19 3 2" xfId="209" xr:uid="{00000000-0005-0000-0000-0000D9000000}"/>
    <cellStyle name="Comma 19 3 2 2" xfId="1872" xr:uid="{7DA5FCBC-B100-44E7-BD1D-4ED645A8B851}"/>
    <cellStyle name="Comma 19 3 2 3" xfId="3193" xr:uid="{9EA92F9D-DED6-4C29-AD6E-F23D2164272D}"/>
    <cellStyle name="Comma 19 3 3" xfId="1871" xr:uid="{A714CEB1-7BCF-4981-AD12-29DA0E9C110E}"/>
    <cellStyle name="Comma 19 3 4" xfId="3192" xr:uid="{555BA7FD-34A1-4528-B26A-7846E236FAFD}"/>
    <cellStyle name="Comma 19 4" xfId="210" xr:uid="{00000000-0005-0000-0000-0000DA000000}"/>
    <cellStyle name="Comma 19 4 2" xfId="1873" xr:uid="{E23208EF-9944-4C47-B1A1-006D8E5286BD}"/>
    <cellStyle name="Comma 19 4 3" xfId="3194" xr:uid="{7AA468D7-7748-445B-AE13-72BC7D2973B9}"/>
    <cellStyle name="Comma 19 5" xfId="1868" xr:uid="{6C209D4F-1BED-4CFB-8B9A-AC26DEA08D4D}"/>
    <cellStyle name="Comma 19 6" xfId="3189" xr:uid="{7B6DEA0D-D107-49F9-B799-5BD0DFCC7CF5}"/>
    <cellStyle name="Comma 2" xfId="10" xr:uid="{00000000-0005-0000-0000-000010000000}"/>
    <cellStyle name="Comma 2 10" xfId="211" xr:uid="{00000000-0005-0000-0000-0000DB000000}"/>
    <cellStyle name="Comma 2 10 2" xfId="1874" xr:uid="{AD67072B-E740-4D03-BA37-21B64D9FEB61}"/>
    <cellStyle name="Comma 2 10 3" xfId="3195" xr:uid="{25866930-8049-4287-B780-6D1E03C0F4BB}"/>
    <cellStyle name="Comma 2 11" xfId="22" xr:uid="{00000000-0005-0000-0000-00001D000000}"/>
    <cellStyle name="Comma 2 11 2" xfId="1738" xr:uid="{279A1190-BF24-4EE2-82C0-AF5EA170ABA1}"/>
    <cellStyle name="Comma 2 11 3" xfId="3064" xr:uid="{ED896927-E7C4-4439-8FA3-F23F7D4D09C2}"/>
    <cellStyle name="Comma 2 12" xfId="212" xr:uid="{00000000-0005-0000-0000-0000DC000000}"/>
    <cellStyle name="Comma 2 12 2" xfId="1875" xr:uid="{F04E3F54-E4BB-4C32-B932-EB69BE2A1CF1}"/>
    <cellStyle name="Comma 2 13" xfId="1059" xr:uid="{37933904-11B4-4AF8-8503-AD5D363B4615}"/>
    <cellStyle name="Comma 2 13 2" xfId="3657" xr:uid="{8C10D0CB-10E4-450A-BA96-20F4F48FAAAC}"/>
    <cellStyle name="Comma 2 14" xfId="6617" xr:uid="{158EF608-633E-4C2C-AD3B-98BFAEAA41F5}"/>
    <cellStyle name="Comma 2 2" xfId="26" xr:uid="{00000000-0005-0000-0000-000022000000}"/>
    <cellStyle name="Comma 2 2 10" xfId="1101" xr:uid="{93C93579-F4F9-4690-A716-0D49BB5CBC71}"/>
    <cellStyle name="Comma 2 2 10 2" xfId="2371" xr:uid="{1FE48D89-29DC-4268-8DC0-FF66AC23BDB8}"/>
    <cellStyle name="Comma 2 2 10 3" xfId="3688" xr:uid="{D0912F3A-2AE4-4DE5-A9F4-2743E4BC6672}"/>
    <cellStyle name="Comma 2 2 11" xfId="1204" xr:uid="{6E6B94DA-9EB5-4147-9919-891AB3AA7C51}"/>
    <cellStyle name="Comma 2 2 11 2" xfId="3751" xr:uid="{EBAF80CE-C13A-4B08-BAB0-584AE5C4A87F}"/>
    <cellStyle name="Comma 2 2 2" xfId="213" xr:uid="{00000000-0005-0000-0000-0000DD000000}"/>
    <cellStyle name="Comma 2 2 2 10" xfId="3196" xr:uid="{AD4DCA7D-89F3-4590-999F-EBD01F82E930}"/>
    <cellStyle name="Comma 2 2 2 2" xfId="214" xr:uid="{00000000-0005-0000-0000-0000DE000000}"/>
    <cellStyle name="Comma 2 2 2 2 2" xfId="215" xr:uid="{00000000-0005-0000-0000-0000DF000000}"/>
    <cellStyle name="Comma 2 2 2 2 2 2" xfId="216" xr:uid="{00000000-0005-0000-0000-0000E0000000}"/>
    <cellStyle name="Comma 2 2 2 2 2 2 2" xfId="1879" xr:uid="{21419A4E-157A-4770-ABED-91875CF007B1}"/>
    <cellStyle name="Comma 2 2 2 2 2 2 3" xfId="3199" xr:uid="{BC342236-EB86-4791-AA3E-5885DB902CE1}"/>
    <cellStyle name="Comma 2 2 2 2 2 3" xfId="1878" xr:uid="{0431C9EF-B8D6-4812-BD9D-95B836270F12}"/>
    <cellStyle name="Comma 2 2 2 2 2 3 2" xfId="4063" xr:uid="{185C6EB5-3A2B-49C8-B468-6AD81DEB541A}"/>
    <cellStyle name="Comma 2 2 2 2 2 4" xfId="1634" xr:uid="{6E2A1A20-0367-4415-A3B4-4527DEE26B6E}"/>
    <cellStyle name="Comma 2 2 2 2 2 5" xfId="3198" xr:uid="{BCAAE0A5-E8EF-4EDD-87CD-8B75CDBA62A7}"/>
    <cellStyle name="Comma 2 2 2 2 3" xfId="217" xr:uid="{00000000-0005-0000-0000-0000E1000000}"/>
    <cellStyle name="Comma 2 2 2 2 3 2" xfId="1880" xr:uid="{C2B127C7-66A1-4442-B12A-2008E3F11822}"/>
    <cellStyle name="Comma 2 2 2 2 3 3" xfId="3200" xr:uid="{41A8BB4D-01C4-46CF-9088-4721B97DEB3C}"/>
    <cellStyle name="Comma 2 2 2 2 4" xfId="218" xr:uid="{00000000-0005-0000-0000-0000E2000000}"/>
    <cellStyle name="Comma 2 2 2 2 4 2" xfId="1881" xr:uid="{74713DD4-E986-4ADC-8A33-04887FFDDEFD}"/>
    <cellStyle name="Comma 2 2 2 2 4 3" xfId="3201" xr:uid="{F25C2CBE-77A6-4659-85AF-34A29961FBCE}"/>
    <cellStyle name="Comma 2 2 2 2 5" xfId="219" xr:uid="{00000000-0005-0000-0000-0000E3000000}"/>
    <cellStyle name="Comma 2 2 2 2 5 2" xfId="1882" xr:uid="{C5DCE862-D05B-4DFD-B7B4-254FA21BD71E}"/>
    <cellStyle name="Comma 2 2 2 2 5 3" xfId="3202" xr:uid="{3777B960-161A-471D-BEE0-105A304E6EB0}"/>
    <cellStyle name="Comma 2 2 2 2 6" xfId="1877" xr:uid="{849D710D-AC7C-4D58-920D-B5D8BFB9828A}"/>
    <cellStyle name="Comma 2 2 2 2 6 2" xfId="4062" xr:uid="{60AA31A0-98EF-49A8-A62F-08CC776245E2}"/>
    <cellStyle name="Comma 2 2 2 2 7" xfId="1208" xr:uid="{C10C8D45-451F-4BFE-A78F-2938C29837B3}"/>
    <cellStyle name="Comma 2 2 2 2 7 2" xfId="3755" xr:uid="{D7121D43-A97D-44DE-AD37-8054602D7A15}"/>
    <cellStyle name="Comma 2 2 2 2 8" xfId="3197" xr:uid="{E9B27722-411F-4247-9953-AD87C3B226BC}"/>
    <cellStyle name="Comma 2 2 2 2_1" xfId="220" xr:uid="{00000000-0005-0000-0000-0000E4000000}"/>
    <cellStyle name="Comma 2 2 2 3" xfId="221" xr:uid="{00000000-0005-0000-0000-0000E5000000}"/>
    <cellStyle name="Comma 2 2 2 3 2" xfId="222" xr:uid="{00000000-0005-0000-0000-0000E6000000}"/>
    <cellStyle name="Comma 2 2 2 3 2 2" xfId="1884" xr:uid="{7B074953-4081-4B6A-B308-96EB8A5E0AEB}"/>
    <cellStyle name="Comma 2 2 2 3 2 3" xfId="3204" xr:uid="{6AAFC9A4-042C-4550-A19A-3A84AEE5E3BD}"/>
    <cellStyle name="Comma 2 2 2 3 3" xfId="1883" xr:uid="{BC115855-EE90-4104-A294-0A55487C937F}"/>
    <cellStyle name="Comma 2 2 2 3 3 2" xfId="4065" xr:uid="{1DA092AA-695D-41D6-A232-B55D80044CC0}"/>
    <cellStyle name="Comma 2 2 2 3 4" xfId="1632" xr:uid="{4CEEA833-0F3C-4A80-8003-E0C4FFB94C2D}"/>
    <cellStyle name="Comma 2 2 2 3 5" xfId="3203" xr:uid="{04E51E0A-DC70-4991-8FD5-A8D3202AD30D}"/>
    <cellStyle name="Comma 2 2 2 4" xfId="223" xr:uid="{00000000-0005-0000-0000-0000E7000000}"/>
    <cellStyle name="Comma 2 2 2 4 2" xfId="1885" xr:uid="{44F098D8-59EA-4B58-AF91-20B49BB10950}"/>
    <cellStyle name="Comma 2 2 2 4 2 2" xfId="4066" xr:uid="{63D3C42B-37ED-4368-ABFF-A14AACF03AE2}"/>
    <cellStyle name="Comma 2 2 2 4 3" xfId="1433" xr:uid="{EC14CC21-E154-44B9-8718-A0A9FD2EF066}"/>
    <cellStyle name="Comma 2 2 2 4 4" xfId="3205" xr:uid="{5F612C4B-7733-42F5-871E-404C1446EAC1}"/>
    <cellStyle name="Comma 2 2 2 5" xfId="224" xr:uid="{00000000-0005-0000-0000-0000E8000000}"/>
    <cellStyle name="Comma 2 2 2 5 2" xfId="1886" xr:uid="{E4220B5B-BD4A-40B9-BFB4-3576EFEEDE2D}"/>
    <cellStyle name="Comma 2 2 2 5 3" xfId="3206" xr:uid="{8FBDE9B7-432D-4788-B580-D5550798FAE0}"/>
    <cellStyle name="Comma 2 2 2 6" xfId="225" xr:uid="{00000000-0005-0000-0000-0000E9000000}"/>
    <cellStyle name="Comma 2 2 2 6 2" xfId="1887" xr:uid="{44E5AB83-01E7-45E8-AF5C-45F4EBC38EAC}"/>
    <cellStyle name="Comma 2 2 2 6 3" xfId="3207" xr:uid="{B44A3185-81EC-4134-94DB-DC155392819A}"/>
    <cellStyle name="Comma 2 2 2 7" xfId="226" xr:uid="{00000000-0005-0000-0000-0000EA000000}"/>
    <cellStyle name="Comma 2 2 2 7 2" xfId="1888" xr:uid="{DFFA4D44-5DC0-44A5-806A-482A17DE16C9}"/>
    <cellStyle name="Comma 2 2 2 7 3" xfId="3208" xr:uid="{227BB45A-3E82-482C-ADF5-560EE48A0B99}"/>
    <cellStyle name="Comma 2 2 2 8" xfId="1876" xr:uid="{21C708D9-4723-453C-9F2F-CACF2ABA8432}"/>
    <cellStyle name="Comma 2 2 2 8 2" xfId="4061" xr:uid="{DCC95795-7E98-409D-AD3E-6C8C6AAB494D}"/>
    <cellStyle name="Comma 2 2 2 9" xfId="1206" xr:uid="{FC934ECF-D21B-4CB9-9D28-7F720F539E91}"/>
    <cellStyle name="Comma 2 2 2 9 2" xfId="3753" xr:uid="{D669670D-0771-4DC5-9542-579433B3D6B7}"/>
    <cellStyle name="Comma 2 2 2_1" xfId="227" xr:uid="{00000000-0005-0000-0000-0000EB000000}"/>
    <cellStyle name="Comma 2 2 3" xfId="228" xr:uid="{00000000-0005-0000-0000-0000EC000000}"/>
    <cellStyle name="Comma 2 2 3 10" xfId="1747" xr:uid="{84B71AFC-AFBB-48D7-9961-BDA219B4D95D}"/>
    <cellStyle name="Comma 2 2 3 10 2" xfId="3989" xr:uid="{EE3D2D99-CD7D-42BA-BB54-B35E18954750}"/>
    <cellStyle name="Comma 2 2 3 11" xfId="1210" xr:uid="{D3529625-CECA-4C5C-B908-AABF3366F720}"/>
    <cellStyle name="Comma 2 2 3 11 2" xfId="3757" xr:uid="{A7C5E051-B2C2-4700-8605-E6F8EE90FF74}"/>
    <cellStyle name="Comma 2 2 3 2" xfId="229" xr:uid="{00000000-0005-0000-0000-0000ED000000}"/>
    <cellStyle name="Comma 2 2 3 2 10" xfId="2630" xr:uid="{A97C173A-A7D7-4379-9245-70CDC69871D4}"/>
    <cellStyle name="Comma 2 2 3 2 2" xfId="230" xr:uid="{00000000-0005-0000-0000-0000EE000000}"/>
    <cellStyle name="Comma 2 2 3 2 2 2" xfId="231" xr:uid="{00000000-0005-0000-0000-0000EF000000}"/>
    <cellStyle name="Comma 2 2 3 2 2 2 2" xfId="232" xr:uid="{00000000-0005-0000-0000-0000F0000000}"/>
    <cellStyle name="Comma 2 2 3 2 2 2 2 2" xfId="1893" xr:uid="{2A2D2474-69C1-4504-9B31-E2F2098D3902}"/>
    <cellStyle name="Comma 2 2 3 2 2 2 2 3" xfId="3212" xr:uid="{64E3A3B1-BAE0-4867-B67C-B1032E8D4DEF}"/>
    <cellStyle name="Comma 2 2 3 2 2 2 3" xfId="1892" xr:uid="{C22F1643-E583-4E7A-9347-8037148A523F}"/>
    <cellStyle name="Comma 2 2 3 2 2 2 4" xfId="3211" xr:uid="{4B70E368-7CAA-422B-885C-CD0BE27457A9}"/>
    <cellStyle name="Comma 2 2 3 2 2 3" xfId="233" xr:uid="{00000000-0005-0000-0000-0000F1000000}"/>
    <cellStyle name="Comma 2 2 3 2 2 3 2" xfId="1894" xr:uid="{5731AC6A-8A6A-4281-8D0F-3BC64A24D0D7}"/>
    <cellStyle name="Comma 2 2 3 2 2 3 3" xfId="3213" xr:uid="{B328EB07-1C66-43A6-88C5-5F59F719EAF3}"/>
    <cellStyle name="Comma 2 2 3 2 2 4" xfId="1891" xr:uid="{C590B47C-8715-4538-B939-70E77A2D6239}"/>
    <cellStyle name="Comma 2 2 3 2 2 5" xfId="3210" xr:uid="{DB2679FC-D3AB-4B97-8276-8F9C816C2990}"/>
    <cellStyle name="Comma 2 2 3 2 2_1" xfId="234" xr:uid="{00000000-0005-0000-0000-0000F2000000}"/>
    <cellStyle name="Comma 2 2 3 2 3" xfId="235" xr:uid="{00000000-0005-0000-0000-0000F3000000}"/>
    <cellStyle name="Comma 2 2 3 2 3 2" xfId="1895" xr:uid="{49A1A2B0-E42E-4076-B3E5-5E7B6E0C0B53}"/>
    <cellStyle name="Comma 2 2 3 2 3 3" xfId="3214" xr:uid="{8EFCD622-38C7-4A55-A9FB-16C2AAF75701}"/>
    <cellStyle name="Comma 2 2 3 2 4" xfId="1890" xr:uid="{24C6165E-4D0A-42B6-A5FC-54F461425B8E}"/>
    <cellStyle name="Comma 2 2 3 2 4 2" xfId="4068" xr:uid="{8A4C3559-329A-43AE-B34C-FDCAD4EB48E3}"/>
    <cellStyle name="Comma 2 2 3 2 5" xfId="1636" xr:uid="{A2AAB2F0-A26F-4135-AF05-0C95C699F6F0}"/>
    <cellStyle name="Comma 2 2 3 2 6" xfId="2678" xr:uid="{21365332-0B22-4FA4-AC93-341260428A92}"/>
    <cellStyle name="Comma 2 2 3 2 7" xfId="2806" xr:uid="{FB1E88C9-32D0-4EAF-ABD9-058B8149AB4C}"/>
    <cellStyle name="Comma 2 2 3 2 8" xfId="3209" xr:uid="{E55E5BD8-507E-49CA-AE33-EA1C49333BF8}"/>
    <cellStyle name="Comma 2 2 3 2 9" xfId="2885" xr:uid="{51313A2E-9235-4AAC-8DAF-C72592200761}"/>
    <cellStyle name="Comma 2 2 3 2_1" xfId="236" xr:uid="{00000000-0005-0000-0000-0000F4000000}"/>
    <cellStyle name="Comma 2 2 3 3" xfId="237" xr:uid="{00000000-0005-0000-0000-0000F5000000}"/>
    <cellStyle name="Comma 2 2 3 3 2" xfId="238" xr:uid="{00000000-0005-0000-0000-0000F6000000}"/>
    <cellStyle name="Comma 2 2 3 3 2 2" xfId="239" xr:uid="{00000000-0005-0000-0000-0000F7000000}"/>
    <cellStyle name="Comma 2 2 3 3 2 2 2" xfId="1898" xr:uid="{0D828542-F791-4C62-BEA4-847DFA410F54}"/>
    <cellStyle name="Comma 2 2 3 3 2 2 3" xfId="3217" xr:uid="{4342B743-F2C0-4DFA-981F-77050C2BA6AF}"/>
    <cellStyle name="Comma 2 2 3 3 2 3" xfId="1897" xr:uid="{0EC9EEF1-2FF4-46DD-BD0F-B8D5E010C576}"/>
    <cellStyle name="Comma 2 2 3 3 2 4" xfId="3216" xr:uid="{C880751D-5980-4474-94BB-91A20506AD6F}"/>
    <cellStyle name="Comma 2 2 3 3 3" xfId="240" xr:uid="{00000000-0005-0000-0000-0000F8000000}"/>
    <cellStyle name="Comma 2 2 3 3 3 2" xfId="1899" xr:uid="{C6C1EBED-3027-4EAF-BF30-9FADA43ACE0D}"/>
    <cellStyle name="Comma 2 2 3 3 3 3" xfId="3218" xr:uid="{36F843B2-EBEB-4FB1-9383-A78018BBEA69}"/>
    <cellStyle name="Comma 2 2 3 3 4" xfId="1896" xr:uid="{382D41DB-AD94-4157-888B-9C6E86CA8F95}"/>
    <cellStyle name="Comma 2 2 3 3 4 2" xfId="4070" xr:uid="{830F0EFC-6E77-4958-967A-E9D4B83FCDB7}"/>
    <cellStyle name="Comma 2 2 3 3 5" xfId="1435" xr:uid="{CB41ED67-8E46-44F3-B79F-439685557419}"/>
    <cellStyle name="Comma 2 2 3 3 6" xfId="3215" xr:uid="{98177693-C0FE-45EE-8A49-211A04EEB804}"/>
    <cellStyle name="Comma 2 2 3 3_1" xfId="241" xr:uid="{00000000-0005-0000-0000-0000F9000000}"/>
    <cellStyle name="Comma 2 2 3 4" xfId="242" xr:uid="{00000000-0005-0000-0000-0000FA000000}"/>
    <cellStyle name="Comma 2 2 3 4 2" xfId="243" xr:uid="{00000000-0005-0000-0000-0000FB000000}"/>
    <cellStyle name="Comma 2 2 3 4 2 2" xfId="1901" xr:uid="{4EA6363B-BA81-4E22-B248-C9D989336660}"/>
    <cellStyle name="Comma 2 2 3 4 2 3" xfId="3220" xr:uid="{603B3F05-15C0-4A08-875E-D3B001F794B2}"/>
    <cellStyle name="Comma 2 2 3 4 3" xfId="1900" xr:uid="{0CC792C4-2032-467E-B47F-AB3BFBAED7C6}"/>
    <cellStyle name="Comma 2 2 3 4 4" xfId="3219" xr:uid="{309CBEF0-D43A-4384-A0CC-2C0BD517F3D2}"/>
    <cellStyle name="Comma 2 2 3 5" xfId="244" xr:uid="{00000000-0005-0000-0000-0000FC000000}"/>
    <cellStyle name="Comma 2 2 3 5 2" xfId="1902" xr:uid="{5088D978-3C3A-4FE6-AE63-0598DAF21E5A}"/>
    <cellStyle name="Comma 2 2 3 5 3" xfId="3221" xr:uid="{76CE33F4-437A-4D3E-993F-7033134880B5}"/>
    <cellStyle name="Comma 2 2 3 6" xfId="245" xr:uid="{00000000-0005-0000-0000-0000FD000000}"/>
    <cellStyle name="Comma 2 2 3 6 2" xfId="1903" xr:uid="{804C3EA2-2B80-452A-811B-4AA448061372}"/>
    <cellStyle name="Comma 2 2 3 6 3" xfId="3222" xr:uid="{20B62996-C41D-465B-95FD-8D85BD8481AC}"/>
    <cellStyle name="Comma 2 2 3 7" xfId="246" xr:uid="{00000000-0005-0000-0000-0000FE000000}"/>
    <cellStyle name="Comma 2 2 3 7 2" xfId="1904" xr:uid="{19A2F711-0129-46EA-B8CA-4EC3FDE8C06A}"/>
    <cellStyle name="Comma 2 2 3 7 3" xfId="3223" xr:uid="{742C6475-1DBE-42D2-92BA-320D6C563650}"/>
    <cellStyle name="Comma 2 2 3 8" xfId="247" xr:uid="{00000000-0005-0000-0000-0000FF000000}"/>
    <cellStyle name="Comma 2 2 3 8 2" xfId="1905" xr:uid="{868925FC-8A2B-433E-9F76-6093FFDC908D}"/>
    <cellStyle name="Comma 2 2 3 9" xfId="1889" xr:uid="{8427B289-24CE-4439-8137-4D024B758A81}"/>
    <cellStyle name="Comma 2 2 3 9 2" xfId="4067" xr:uid="{9A474E45-F465-4004-9B0C-D15EEDC9B254}"/>
    <cellStyle name="Comma 2 2 3_1" xfId="248" xr:uid="{00000000-0005-0000-0000-000000010000}"/>
    <cellStyle name="Comma 2 2 4" xfId="249" xr:uid="{00000000-0005-0000-0000-000001010000}"/>
    <cellStyle name="Comma 2 2 4 2" xfId="250" xr:uid="{00000000-0005-0000-0000-000002010000}"/>
    <cellStyle name="Comma 2 2 4 2 2" xfId="251" xr:uid="{00000000-0005-0000-0000-000003010000}"/>
    <cellStyle name="Comma 2 2 4 2 2 2" xfId="1907" xr:uid="{0531BAB7-2E71-4436-A174-2879E3B4181F}"/>
    <cellStyle name="Comma 2 2 4 2 2 3" xfId="3225" xr:uid="{C567F1C5-CC2E-4095-BFB8-F3C47303C448}"/>
    <cellStyle name="Comma 2 2 4 2 3" xfId="1906" xr:uid="{551557C9-1F9A-4658-B941-19593CEEC404}"/>
    <cellStyle name="Comma 2 2 4 2 3 2" xfId="4071" xr:uid="{373EF203-793A-4026-BE38-1BD24D4035D1}"/>
    <cellStyle name="Comma 2 2 4 2 4" xfId="1722" xr:uid="{4041229B-B4CD-4A18-85A0-FB8E87B69FE0}"/>
    <cellStyle name="Comma 2 2 4 2 5" xfId="3224" xr:uid="{8B0B4E29-C143-4BF3-B41D-E65CA35E3EDD}"/>
    <cellStyle name="Comma 2 2 4 3" xfId="252" xr:uid="{00000000-0005-0000-0000-000004010000}"/>
    <cellStyle name="Comma 2 2 4 3 2" xfId="1908" xr:uid="{7B4C5B5E-4C3E-4F5A-A643-D6369D12E24F}"/>
    <cellStyle name="Comma 2 2 4 3 2 2" xfId="4073" xr:uid="{3544FBF9-6499-4763-8825-533F6E7549AF}"/>
    <cellStyle name="Comma 2 2 4 3 3" xfId="1437" xr:uid="{BB7CFD06-5CDB-4DF2-B56D-DD4ED8058510}"/>
    <cellStyle name="Comma 2 2 4 3 4" xfId="3226" xr:uid="{79860C7D-63DD-4193-A281-4132F42BC935}"/>
    <cellStyle name="Comma 2 2 4 4" xfId="253" xr:uid="{00000000-0005-0000-0000-000005010000}"/>
    <cellStyle name="Comma 2 2 4 4 2" xfId="1909" xr:uid="{842C3D25-BA75-40C0-BF8C-C89BAA5A07B2}"/>
    <cellStyle name="Comma 2 2 4 4 3" xfId="3227" xr:uid="{DBD94405-4519-448B-AA5C-A98261AA4C4E}"/>
    <cellStyle name="Comma 2 2 4 5" xfId="254" xr:uid="{00000000-0005-0000-0000-000006010000}"/>
    <cellStyle name="Comma 2 2 4 5 2" xfId="1910" xr:uid="{5456B68B-BAEF-418F-99DD-64B88F0DB3B8}"/>
    <cellStyle name="Comma 2 2 4 5 3" xfId="3228" xr:uid="{EE2B3201-9CB0-4136-99DC-1CD71BFC17C8}"/>
    <cellStyle name="Comma 2 2 4 6" xfId="255" xr:uid="{00000000-0005-0000-0000-000007010000}"/>
    <cellStyle name="Comma 2 2 4 6 2" xfId="1911" xr:uid="{AC2DD2CD-42C8-4D82-89F2-AECB286B21EC}"/>
    <cellStyle name="Comma 2 2 4 7" xfId="1371" xr:uid="{DEA4F661-9838-4855-948D-2F4BE7E4A553}"/>
    <cellStyle name="Comma 2 2 4 7 2" xfId="3854" xr:uid="{8E0FF5E9-AE3C-46C8-A000-BA65EBE89887}"/>
    <cellStyle name="Comma 2 2 4_1" xfId="256" xr:uid="{00000000-0005-0000-0000-000008010000}"/>
    <cellStyle name="Comma 2 2 5" xfId="257" xr:uid="{00000000-0005-0000-0000-000009010000}"/>
    <cellStyle name="Comma 2 2 5 2" xfId="258" xr:uid="{00000000-0005-0000-0000-00000A010000}"/>
    <cellStyle name="Comma 2 2 5 2 2" xfId="1913" xr:uid="{F0A2A74C-EC03-41EB-BEDD-C22B5087100B}"/>
    <cellStyle name="Comma 2 2 5 2 3" xfId="3230" xr:uid="{24F05A1E-4F6A-4832-9B31-5722E2B1B29E}"/>
    <cellStyle name="Comma 2 2 5 3" xfId="1912" xr:uid="{BC08EF2D-3CA5-4474-ACFF-8779E389C711}"/>
    <cellStyle name="Comma 2 2 5 3 2" xfId="4074" xr:uid="{6694B16B-04CA-4D57-9820-976250BEB9C4}"/>
    <cellStyle name="Comma 2 2 5 4" xfId="1630" xr:uid="{A03DCE56-AA4B-4829-9D73-B028B643570B}"/>
    <cellStyle name="Comma 2 2 5 5" xfId="3229" xr:uid="{AE77BDE6-8F66-4FBC-9AA5-94F15606E2C9}"/>
    <cellStyle name="Comma 2 2 6" xfId="259" xr:uid="{00000000-0005-0000-0000-00000B010000}"/>
    <cellStyle name="Comma 2 2 6 2" xfId="1431" xr:uid="{EB73BB67-EF3A-4AC7-BB53-D11F5B82EFD2}"/>
    <cellStyle name="Comma 2 2 7" xfId="260" xr:uid="{00000000-0005-0000-0000-00000C010000}"/>
    <cellStyle name="Comma 2 2 7 2" xfId="1914" xr:uid="{262F7FF9-2E9A-481B-8C60-E8AA2244871A}"/>
    <cellStyle name="Comma 2 2 8" xfId="261" xr:uid="{00000000-0005-0000-0000-00000D010000}"/>
    <cellStyle name="Comma 2 2 8 2" xfId="1915" xr:uid="{F3EF1B76-43A8-429A-B48E-B99837F3AA7E}"/>
    <cellStyle name="Comma 2 2 8 3" xfId="3231" xr:uid="{A46DB8C7-2F46-4F43-902C-92878F4AAFCD}"/>
    <cellStyle name="Comma 2 2 9" xfId="262" xr:uid="{00000000-0005-0000-0000-00000E010000}"/>
    <cellStyle name="Comma 2 2 9 2" xfId="1916" xr:uid="{1A0D9B35-2C6F-4E5D-A90A-0E1A712509C8}"/>
    <cellStyle name="Comma 2 2_1" xfId="263" xr:uid="{00000000-0005-0000-0000-00000F010000}"/>
    <cellStyle name="Comma 2 3" xfId="264" xr:uid="{00000000-0005-0000-0000-000010010000}"/>
    <cellStyle name="Comma 2 3 10" xfId="1191" xr:uid="{10D90520-AEE7-4A7C-86A5-C3F3990C49E1}"/>
    <cellStyle name="Comma 2 3 10 2" xfId="3738" xr:uid="{0BB9334D-58E2-4140-85CD-1C5EECF39B05}"/>
    <cellStyle name="Comma 2 3 11" xfId="3232" xr:uid="{AA9C64AB-6B56-415B-A189-E83070AFCB07}"/>
    <cellStyle name="Comma 2 3 2" xfId="265" xr:uid="{00000000-0005-0000-0000-000011010000}"/>
    <cellStyle name="Comma 2 3 2 2" xfId="266" xr:uid="{00000000-0005-0000-0000-000012010000}"/>
    <cellStyle name="Comma 2 3 2 2 2" xfId="267" xr:uid="{00000000-0005-0000-0000-000013010000}"/>
    <cellStyle name="Comma 2 3 2 2 2 2" xfId="1920" xr:uid="{C7C51F2F-948A-4FFB-91BD-E11EDB5D47EB}"/>
    <cellStyle name="Comma 2 3 2 2 2 3" xfId="3235" xr:uid="{92F5B2D3-5A78-481D-BA95-2283DF3C87F1}"/>
    <cellStyle name="Comma 2 3 2 2 3" xfId="268" xr:uid="{00000000-0005-0000-0000-000014010000}"/>
    <cellStyle name="Comma 2 3 2 2 3 2" xfId="1921" xr:uid="{E1C2B72A-0B02-4668-A4F9-C32AD5D7C653}"/>
    <cellStyle name="Comma 2 3 2 2 3 3" xfId="3236" xr:uid="{8744C216-4BEB-4F07-8B3A-78CAEB9641B2}"/>
    <cellStyle name="Comma 2 3 2 2 4" xfId="269" xr:uid="{00000000-0005-0000-0000-000015010000}"/>
    <cellStyle name="Comma 2 3 2 2 4 2" xfId="1922" xr:uid="{F0190343-0FAB-443A-BCC4-19A00D4E1741}"/>
    <cellStyle name="Comma 2 3 2 2 4 3" xfId="3237" xr:uid="{18CA492A-46A1-4755-8E4F-E5C292545E6C}"/>
    <cellStyle name="Comma 2 3 2 2 5" xfId="1919" xr:uid="{C43CD6FE-F733-4296-B847-A2D1B80F73A9}"/>
    <cellStyle name="Comma 2 3 2 2 5 2" xfId="4078" xr:uid="{368A0185-D619-43C9-BBE1-8118836D2722}"/>
    <cellStyle name="Comma 2 3 2 2 6" xfId="1620" xr:uid="{2711866A-6AC4-4102-8D67-687B20B4CD71}"/>
    <cellStyle name="Comma 2 3 2 2 7" xfId="3234" xr:uid="{E9282354-DB3B-4B34-9C5D-4EB4D606533D}"/>
    <cellStyle name="Comma 2 3 2 3" xfId="270" xr:uid="{00000000-0005-0000-0000-000016010000}"/>
    <cellStyle name="Comma 2 3 2 3 2" xfId="271" xr:uid="{00000000-0005-0000-0000-000017010000}"/>
    <cellStyle name="Comma 2 3 2 3 2 2" xfId="1924" xr:uid="{18785D91-316C-4A06-9D3D-910F37AD0171}"/>
    <cellStyle name="Comma 2 3 2 3 2 3" xfId="3239" xr:uid="{22099DFC-887A-40BD-B961-AD1B88CFD3EE}"/>
    <cellStyle name="Comma 2 3 2 3 3" xfId="272" xr:uid="{00000000-0005-0000-0000-000018010000}"/>
    <cellStyle name="Comma 2 3 2 3 3 2" xfId="1925" xr:uid="{363F9929-FC40-4FE8-8248-5EBE4229E34B}"/>
    <cellStyle name="Comma 2 3 2 3 3 3" xfId="3240" xr:uid="{8A32B258-69BB-45A8-BD1F-F5E60C0AC37E}"/>
    <cellStyle name="Comma 2 3 2 3 4" xfId="1923" xr:uid="{7D2B7B18-9C5C-425C-B118-560FE7FF45CE}"/>
    <cellStyle name="Comma 2 3 2 3 4 2" xfId="4079" xr:uid="{33039559-86A5-4DF5-81B7-EE662EF7C49C}"/>
    <cellStyle name="Comma 2 3 2 3 5" xfId="1441" xr:uid="{72AC0A5C-89FC-4A3A-B709-1258C8BA49E9}"/>
    <cellStyle name="Comma 2 3 2 3 6" xfId="3238" xr:uid="{85C26C50-0801-4759-9337-1E9266A74714}"/>
    <cellStyle name="Comma 2 3 2 4" xfId="273" xr:uid="{00000000-0005-0000-0000-000019010000}"/>
    <cellStyle name="Comma 2 3 2 4 2" xfId="1926" xr:uid="{AD224727-11D9-4205-9A07-01497DF3CAD0}"/>
    <cellStyle name="Comma 2 3 2 4 3" xfId="3241" xr:uid="{78B5D779-DB4D-4BCF-BF04-A02D0B0BF02A}"/>
    <cellStyle name="Comma 2 3 2 5" xfId="274" xr:uid="{00000000-0005-0000-0000-00001A010000}"/>
    <cellStyle name="Comma 2 3 2 5 2" xfId="1927" xr:uid="{C5D546CF-E1A4-4C6F-8EBA-73AD19F820AA}"/>
    <cellStyle name="Comma 2 3 2 5 3" xfId="3242" xr:uid="{8925D1DB-2097-48B1-870C-5DADDAE14904}"/>
    <cellStyle name="Comma 2 3 2 6" xfId="1918" xr:uid="{665EB73C-FB06-4AE0-8383-E91DC76BAB27}"/>
    <cellStyle name="Comma 2 3 2 6 2" xfId="4077" xr:uid="{CB7F89A3-9FEC-402F-8D55-8D42068C2B7B}"/>
    <cellStyle name="Comma 2 3 2 7" xfId="1194" xr:uid="{4CB22274-2727-4B39-B7C2-9B6293C6825D}"/>
    <cellStyle name="Comma 2 3 2 7 2" xfId="3741" xr:uid="{4D943350-275C-4720-80F5-753DF7A00A2B}"/>
    <cellStyle name="Comma 2 3 2 8" xfId="3233" xr:uid="{EFA74F29-35D0-4C58-8EBD-A159AC38F1A4}"/>
    <cellStyle name="Comma 2 3 2_1" xfId="275" xr:uid="{00000000-0005-0000-0000-00001B010000}"/>
    <cellStyle name="Comma 2 3 3" xfId="276" xr:uid="{00000000-0005-0000-0000-00001C010000}"/>
    <cellStyle name="Comma 2 3 3 2" xfId="277" xr:uid="{00000000-0005-0000-0000-00001D010000}"/>
    <cellStyle name="Comma 2 3 3 2 2" xfId="278" xr:uid="{00000000-0005-0000-0000-00001E010000}"/>
    <cellStyle name="Comma 2 3 3 2 2 2" xfId="1930" xr:uid="{10CF375D-A760-4DED-BEB5-C9CBA8AE4B23}"/>
    <cellStyle name="Comma 2 3 3 2 2 3" xfId="3245" xr:uid="{FF93FB5C-35CE-402F-9250-CD8AD2EBA44E}"/>
    <cellStyle name="Comma 2 3 3 2 3" xfId="279" xr:uid="{00000000-0005-0000-0000-00001F010000}"/>
    <cellStyle name="Comma 2 3 3 2 3 2" xfId="1931" xr:uid="{0A932E59-6E66-42EC-95A6-87507E0258BA}"/>
    <cellStyle name="Comma 2 3 3 2 3 3" xfId="3246" xr:uid="{F27FD49A-FA49-4B7A-A41B-B37A9136A3C0}"/>
    <cellStyle name="Comma 2 3 3 2 4" xfId="1929" xr:uid="{550896E8-5680-48B4-9F5B-BE811173BCDC}"/>
    <cellStyle name="Comma 2 3 3 2 5" xfId="3244" xr:uid="{A5A47EF5-0411-4A85-871E-2AD252071479}"/>
    <cellStyle name="Comma 2 3 3 3" xfId="280" xr:uid="{00000000-0005-0000-0000-000020010000}"/>
    <cellStyle name="Comma 2 3 3 3 2" xfId="281" xr:uid="{00000000-0005-0000-0000-000021010000}"/>
    <cellStyle name="Comma 2 3 3 3 2 2" xfId="1933" xr:uid="{F66FDAF8-B0D1-4F37-B674-57146A3B424C}"/>
    <cellStyle name="Comma 2 3 3 3 2 3" xfId="3248" xr:uid="{B1B7B0CF-6A55-4B1F-ABFD-C9CFC5A73E8F}"/>
    <cellStyle name="Comma 2 3 3 3 3" xfId="1932" xr:uid="{F18AA895-0D8D-41DF-B0B7-137B3B0FC7FA}"/>
    <cellStyle name="Comma 2 3 3 3 4" xfId="3247" xr:uid="{452ACBD1-1999-4408-B817-6F02D9A1AD38}"/>
    <cellStyle name="Comma 2 3 3 4" xfId="282" xr:uid="{00000000-0005-0000-0000-000022010000}"/>
    <cellStyle name="Comma 2 3 3 4 2" xfId="1934" xr:uid="{9F7948C7-6185-4532-BB7C-9888E0376FD7}"/>
    <cellStyle name="Comma 2 3 3 4 3" xfId="3249" xr:uid="{40BF434B-DF5A-4772-B0A1-2E789F198714}"/>
    <cellStyle name="Comma 2 3 3 5" xfId="283" xr:uid="{00000000-0005-0000-0000-000023010000}"/>
    <cellStyle name="Comma 2 3 3 5 2" xfId="1935" xr:uid="{9D4F54F8-8498-42AC-9075-2AE4F9C2B51B}"/>
    <cellStyle name="Comma 2 3 3 5 3" xfId="3250" xr:uid="{7926329E-C087-4BBE-AE66-29B74F784D90}"/>
    <cellStyle name="Comma 2 3 3 6" xfId="1928" xr:uid="{37565AAE-5CF8-461F-9787-A7A8FBBBD57F}"/>
    <cellStyle name="Comma 2 3 3 6 2" xfId="4081" xr:uid="{880EA12E-B692-406D-A654-09E8E7AA92D1}"/>
    <cellStyle name="Comma 2 3 3 7" xfId="1617" xr:uid="{2A743098-7864-4DDC-9BEE-2D049A7954CB}"/>
    <cellStyle name="Comma 2 3 3 8" xfId="3243" xr:uid="{79C58798-D249-45BE-A475-2B7F9B13EF65}"/>
    <cellStyle name="Comma 2 3 4" xfId="284" xr:uid="{00000000-0005-0000-0000-000024010000}"/>
    <cellStyle name="Comma 2 3 4 2" xfId="285" xr:uid="{00000000-0005-0000-0000-000025010000}"/>
    <cellStyle name="Comma 2 3 4 2 2" xfId="1937" xr:uid="{E0469058-9184-49E4-9B3C-A1F14724651B}"/>
    <cellStyle name="Comma 2 3 4 2 3" xfId="3252" xr:uid="{7419CD5B-B541-4C2F-ACFA-D061D4D3F03C}"/>
    <cellStyle name="Comma 2 3 4 3" xfId="286" xr:uid="{00000000-0005-0000-0000-000026010000}"/>
    <cellStyle name="Comma 2 3 4 3 2" xfId="1938" xr:uid="{36545FCB-801D-4F78-A96A-5ECBF5B9E14C}"/>
    <cellStyle name="Comma 2 3 4 3 3" xfId="3253" xr:uid="{AC0F39DE-D9C9-49EA-90CD-8D4D2CBB5D55}"/>
    <cellStyle name="Comma 2 3 4 4" xfId="287" xr:uid="{00000000-0005-0000-0000-000027010000}"/>
    <cellStyle name="Comma 2 3 4 4 2" xfId="1939" xr:uid="{B1C81EE5-3E5D-487B-99CC-A974D4F8EF99}"/>
    <cellStyle name="Comma 2 3 4 4 3" xfId="3254" xr:uid="{8B5243CB-71C6-4D26-8801-C42696D335FA}"/>
    <cellStyle name="Comma 2 3 4 5" xfId="1936" xr:uid="{F404AEE7-A505-4E7C-ACB7-79FCE0F3409A}"/>
    <cellStyle name="Comma 2 3 4 5 2" xfId="4087" xr:uid="{D28B39AE-DDC6-44D3-89FF-D080234B0518}"/>
    <cellStyle name="Comma 2 3 4 6" xfId="1439" xr:uid="{B95F37BF-E5AC-4505-9739-894E985EC530}"/>
    <cellStyle name="Comma 2 3 4 7" xfId="3251" xr:uid="{502CF105-345C-430E-B16C-2A0ABF35F62C}"/>
    <cellStyle name="Comma 2 3 5" xfId="288" xr:uid="{00000000-0005-0000-0000-000028010000}"/>
    <cellStyle name="Comma 2 3 5 2" xfId="289" xr:uid="{00000000-0005-0000-0000-000029010000}"/>
    <cellStyle name="Comma 2 3 5 2 2" xfId="1941" xr:uid="{CBD85B27-09C4-42A1-B073-8D0E50E2DE1A}"/>
    <cellStyle name="Comma 2 3 5 2 3" xfId="3256" xr:uid="{BB6C2DB7-67B7-449D-8E69-58A095A28FB5}"/>
    <cellStyle name="Comma 2 3 5 3" xfId="290" xr:uid="{00000000-0005-0000-0000-00002A010000}"/>
    <cellStyle name="Comma 2 3 5 3 2" xfId="1942" xr:uid="{1B9F0FCC-3780-4785-841D-715D2D626992}"/>
    <cellStyle name="Comma 2 3 5 3 3" xfId="3257" xr:uid="{5EA03EEC-74FD-479F-B283-C6E90854CE8A}"/>
    <cellStyle name="Comma 2 3 5 4" xfId="1940" xr:uid="{51B1CEF0-9976-4404-87EC-EEBBDBD8E342}"/>
    <cellStyle name="Comma 2 3 5 5" xfId="3255" xr:uid="{B55930CC-2261-42B4-9F74-1E7F54326C53}"/>
    <cellStyle name="Comma 2 3 6" xfId="291" xr:uid="{00000000-0005-0000-0000-00002B010000}"/>
    <cellStyle name="Comma 2 3 6 2" xfId="1943" xr:uid="{E2B903E5-2579-4607-AE99-F825AD668A75}"/>
    <cellStyle name="Comma 2 3 6 3" xfId="3258" xr:uid="{EE328C80-C9A3-48F4-96F2-C0D16E3D3676}"/>
    <cellStyle name="Comma 2 3 7" xfId="292" xr:uid="{00000000-0005-0000-0000-00002C010000}"/>
    <cellStyle name="Comma 2 3 7 2" xfId="1944" xr:uid="{60AE37E8-195F-4C90-8030-204C19B971DA}"/>
    <cellStyle name="Comma 2 3 7 3" xfId="3259" xr:uid="{69C498F5-A9AF-462B-8B57-FCAB8F862901}"/>
    <cellStyle name="Comma 2 3 8" xfId="293" xr:uid="{00000000-0005-0000-0000-00002D010000}"/>
    <cellStyle name="Comma 2 3 8 2" xfId="1945" xr:uid="{F65DFF97-38EE-4A88-9D5D-532F8115271B}"/>
    <cellStyle name="Comma 2 3 8 3" xfId="3260" xr:uid="{DF4F1761-A996-4AC4-93F4-24C28C5540A4}"/>
    <cellStyle name="Comma 2 3 9" xfId="1917" xr:uid="{9601D542-5DBA-4CC8-920B-805C98A3C262}"/>
    <cellStyle name="Comma 2 3 9 2" xfId="4076" xr:uid="{4E05306E-5C97-4521-85D7-D223C139EAC4}"/>
    <cellStyle name="Comma 2 3_1" xfId="294" xr:uid="{00000000-0005-0000-0000-00002E010000}"/>
    <cellStyle name="Comma 2 4" xfId="295" xr:uid="{00000000-0005-0000-0000-00002F010000}"/>
    <cellStyle name="Comma 2 4 10" xfId="6618" xr:uid="{49B39DE4-C0A9-4E15-8AE4-F943954C8AD8}"/>
    <cellStyle name="Comma 2 4 2" xfId="296" xr:uid="{00000000-0005-0000-0000-000030010000}"/>
    <cellStyle name="Comma 2 4 2 2" xfId="297" xr:uid="{00000000-0005-0000-0000-000031010000}"/>
    <cellStyle name="Comma 2 4 2 2 2" xfId="1948" xr:uid="{EFC0043F-FA00-4A20-8190-1598FDA17EC7}"/>
    <cellStyle name="Comma 2 4 2 2 3" xfId="3263" xr:uid="{71916B2A-8C5A-4575-99CF-45B366432ABB}"/>
    <cellStyle name="Comma 2 4 2 3" xfId="298" xr:uid="{00000000-0005-0000-0000-000032010000}"/>
    <cellStyle name="Comma 2 4 2 3 2" xfId="1949" xr:uid="{AD8EF8FF-ED07-4907-A4C6-DDB6DC9D4A6D}"/>
    <cellStyle name="Comma 2 4 2 3 3" xfId="3264" xr:uid="{6CE04C73-8628-4FB4-B63D-70D23AA4DF0A}"/>
    <cellStyle name="Comma 2 4 2 4" xfId="299" xr:uid="{00000000-0005-0000-0000-000033010000}"/>
    <cellStyle name="Comma 2 4 2 4 2" xfId="1950" xr:uid="{AEE09560-2B2A-4258-B95A-EAF2A96CB62C}"/>
    <cellStyle name="Comma 2 4 2 4 3" xfId="3265" xr:uid="{F6E22F45-F2F2-4032-B9E8-A7B247395F45}"/>
    <cellStyle name="Comma 2 4 2 5" xfId="1947" xr:uid="{91AB58D7-2241-4ED0-A7AC-655C27BB01D1}"/>
    <cellStyle name="Comma 2 4 2 5 2" xfId="4094" xr:uid="{51085EB9-CD94-479C-8A3D-DC483E12A37C}"/>
    <cellStyle name="Comma 2 4 2 6" xfId="1443" xr:uid="{149F1A9E-E138-4CAC-B4AC-99AD52F6B807}"/>
    <cellStyle name="Comma 2 4 2 7" xfId="3262" xr:uid="{1FA4C3B3-499A-4312-8C43-AEA84E572456}"/>
    <cellStyle name="Comma 2 4 3" xfId="300" xr:uid="{00000000-0005-0000-0000-000034010000}"/>
    <cellStyle name="Comma 2 4 3 2" xfId="1951" xr:uid="{DE50A317-24E3-48B4-BC66-74F366BD0AC8}"/>
    <cellStyle name="Comma 2 4 3 2 2" xfId="4095" xr:uid="{69306924-8544-4FE8-9A90-5DEC58FEE28E}"/>
    <cellStyle name="Comma 2 4 3 3" xfId="1623" xr:uid="{E458DBD2-2EDC-4E95-A984-FE4EC61F7F15}"/>
    <cellStyle name="Comma 2 4 3 4" xfId="3266" xr:uid="{556AFA8E-DC89-456F-9E0E-765609499684}"/>
    <cellStyle name="Comma 2 4 4" xfId="301" xr:uid="{00000000-0005-0000-0000-000035010000}"/>
    <cellStyle name="Comma 2 4 4 2" xfId="1952" xr:uid="{393E2951-AD76-45E8-A4C2-1DFB5DB93EEB}"/>
    <cellStyle name="Comma 2 4 4 2 2" xfId="4096" xr:uid="{40AAA42B-592A-48D2-BA45-8BDE147B1066}"/>
    <cellStyle name="Comma 2 4 4 3" xfId="1442" xr:uid="{626D24D4-6600-4E2C-87AE-85C5E25FA716}"/>
    <cellStyle name="Comma 2 4 4 4" xfId="3267" xr:uid="{28C483A0-C9CB-47E6-BCF4-1AA23D015E04}"/>
    <cellStyle name="Comma 2 4 5" xfId="302" xr:uid="{00000000-0005-0000-0000-000036010000}"/>
    <cellStyle name="Comma 2 4 5 2" xfId="1953" xr:uid="{BA3009D7-EE13-4D28-8543-95FFE9EB3ACB}"/>
    <cellStyle name="Comma 2 4 6" xfId="303" xr:uid="{00000000-0005-0000-0000-000037010000}"/>
    <cellStyle name="Comma 2 4 6 2" xfId="1954" xr:uid="{E2F29D0F-E834-45B2-B00D-FD0F6F4D40E5}"/>
    <cellStyle name="Comma 2 4 6 3" xfId="3268" xr:uid="{7A50E08C-8355-4946-A3F9-206B2EE6983B}"/>
    <cellStyle name="Comma 2 4 7" xfId="1946" xr:uid="{08C28582-B950-454B-88AC-29D4B7E4394B}"/>
    <cellStyle name="Comma 2 4 7 2" xfId="4093" xr:uid="{1D90C4CF-7D2D-41E6-B024-4D618D4B4B1C}"/>
    <cellStyle name="Comma 2 4 8" xfId="1197" xr:uid="{9ED6096C-85CC-4342-A41B-5D674FD708E3}"/>
    <cellStyle name="Comma 2 4 8 2" xfId="3744" xr:uid="{40584204-4BBA-47D6-A86F-69BA2C562CBC}"/>
    <cellStyle name="Comma 2 4 9" xfId="3261" xr:uid="{798D1968-43AB-4D7E-93EE-1EFA8B826B53}"/>
    <cellStyle name="Comma 2 4_1" xfId="304" xr:uid="{00000000-0005-0000-0000-000038010000}"/>
    <cellStyle name="Comma 2 5" xfId="305" xr:uid="{00000000-0005-0000-0000-000039010000}"/>
    <cellStyle name="Comma 2 5 2" xfId="306" xr:uid="{00000000-0005-0000-0000-00003A010000}"/>
    <cellStyle name="Comma 2 5 2 2" xfId="1956" xr:uid="{08E49CEB-81B5-41FA-8D43-648E0C2A4EE2}"/>
    <cellStyle name="Comma 2 5 2 3" xfId="3269" xr:uid="{EE0E8B7F-684E-4372-90B4-5E972596111F}"/>
    <cellStyle name="Comma 2 5 3" xfId="307" xr:uid="{00000000-0005-0000-0000-00003B010000}"/>
    <cellStyle name="Comma 2 5 3 2" xfId="1957" xr:uid="{FA96FFDB-6D20-4120-BF96-63681834ED7E}"/>
    <cellStyle name="Comma 2 5 3 3" xfId="3270" xr:uid="{32A622B7-EED5-4312-93C5-23716A0E99FA}"/>
    <cellStyle name="Comma 2 5 4" xfId="308" xr:uid="{00000000-0005-0000-0000-00003C010000}"/>
    <cellStyle name="Comma 2 5 4 2" xfId="1958" xr:uid="{DA92D0C4-7585-4F91-B8D6-5F58E32A48B2}"/>
    <cellStyle name="Comma 2 5 4 3" xfId="3271" xr:uid="{BAA61BA9-8049-40FD-BD47-683FD18C2D83}"/>
    <cellStyle name="Comma 2 5 5" xfId="1548" xr:uid="{3042A35D-E34D-4232-A829-8969722334B2}"/>
    <cellStyle name="Comma 2 5 5 2" xfId="3895" xr:uid="{229F2966-D1AC-4A66-BCEE-138F8E54F6E8}"/>
    <cellStyle name="Comma 2 5 6" xfId="1955" xr:uid="{49758D53-C273-429F-8CEA-416D649CCA94}"/>
    <cellStyle name="Comma 2 5 6 2" xfId="4098" xr:uid="{F1AC46E1-F303-4352-83CA-BFA19E1327BC}"/>
    <cellStyle name="Comma 2 5 7" xfId="1415" xr:uid="{F6819654-67AE-433D-9429-E864CC882893}"/>
    <cellStyle name="Comma 2 6" xfId="309" xr:uid="{00000000-0005-0000-0000-00003D010000}"/>
    <cellStyle name="Comma 2 6 2" xfId="310" xr:uid="{00000000-0005-0000-0000-00003E010000}"/>
    <cellStyle name="Comma 2 6 2 2" xfId="1960" xr:uid="{037DD21E-C36A-4042-8330-8BD38752E768}"/>
    <cellStyle name="Comma 2 6 3" xfId="1959" xr:uid="{F4994A29-48E7-40E9-B8A6-0E78F933F868}"/>
    <cellStyle name="Comma 2 6 3 2" xfId="4100" xr:uid="{35179363-C165-4604-9CFF-03C12C404E5A}"/>
    <cellStyle name="Comma 2 6 4" xfId="1444" xr:uid="{6C65F912-30EB-4A75-A705-81F5752E280E}"/>
    <cellStyle name="Comma 2 7" xfId="311" xr:uid="{00000000-0005-0000-0000-00003F010000}"/>
    <cellStyle name="Comma 2 7 2" xfId="312" xr:uid="{00000000-0005-0000-0000-000040010000}"/>
    <cellStyle name="Comma 2 7 2 2" xfId="1962" xr:uid="{5E098A26-7A12-40B1-AED9-38E9A78C8618}"/>
    <cellStyle name="Comma 2 7 3" xfId="1961" xr:uid="{ED7E4916-A8B2-4C59-B11A-2C12E74CCF4D}"/>
    <cellStyle name="Comma 2 7 3 2" xfId="4101" xr:uid="{B336737E-83ED-4222-B9A8-8AEE48D271C9}"/>
    <cellStyle name="Comma 2 7 4" xfId="1445" xr:uid="{3E05B7FA-9EE0-4E39-91B5-404C04709046}"/>
    <cellStyle name="Comma 2 8" xfId="313" xr:uid="{00000000-0005-0000-0000-000041010000}"/>
    <cellStyle name="Comma 2 8 2" xfId="314" xr:uid="{00000000-0005-0000-0000-000042010000}"/>
    <cellStyle name="Comma 2 8 2 2" xfId="1963" xr:uid="{8942F79E-04E9-4D38-8461-D4E79B6E3146}"/>
    <cellStyle name="Comma 2 8 3" xfId="1574" xr:uid="{6154F6E1-5EA3-4D31-892C-32917DD1B966}"/>
    <cellStyle name="Comma 2 9" xfId="315" xr:uid="{00000000-0005-0000-0000-000043010000}"/>
    <cellStyle name="Comma 2 9 2" xfId="316" xr:uid="{00000000-0005-0000-0000-000044010000}"/>
    <cellStyle name="Comma 2 9 2 2" xfId="1965" xr:uid="{6296CCB3-8C64-4D19-9CAB-62F76F77C69B}"/>
    <cellStyle name="Comma 2 9 2 3" xfId="3273" xr:uid="{2B735D5B-C3C8-4885-B103-455733CA4C79}"/>
    <cellStyle name="Comma 2 9 3" xfId="1964" xr:uid="{AA10CAE0-BB46-4E48-AFB4-B5EF007428FF}"/>
    <cellStyle name="Comma 2 9 3 2" xfId="4103" xr:uid="{32E3B06A-926F-4007-BF02-27E8414ADD92}"/>
    <cellStyle name="Comma 2 9 4" xfId="1389" xr:uid="{0A0909CD-226C-4B0C-B75A-54E2C95C2AC4}"/>
    <cellStyle name="Comma 2 9 5" xfId="3272" xr:uid="{488C77AD-8AB2-446A-8AEC-EAE57779B115}"/>
    <cellStyle name="Comma 2_1" xfId="317" xr:uid="{00000000-0005-0000-0000-000045010000}"/>
    <cellStyle name="Comma 20" xfId="318" xr:uid="{00000000-0005-0000-0000-000046010000}"/>
    <cellStyle name="Comma 20 2" xfId="319" xr:uid="{00000000-0005-0000-0000-000047010000}"/>
    <cellStyle name="Comma 20 2 2" xfId="320" xr:uid="{00000000-0005-0000-0000-000048010000}"/>
    <cellStyle name="Comma 20 2 2 2" xfId="1968" xr:uid="{123EB193-29F2-4B0A-8F0B-3C0EE18FC178}"/>
    <cellStyle name="Comma 20 2 2 3" xfId="3276" xr:uid="{0C0F4356-9036-4636-85B6-730ADCCBEEE5}"/>
    <cellStyle name="Comma 20 2 3" xfId="1967" xr:uid="{BCBFF385-2F53-4C7B-AD10-58F68B2F9681}"/>
    <cellStyle name="Comma 20 2 4" xfId="3275" xr:uid="{C300ABA3-0FAA-4EDA-B28F-B76EEE21878C}"/>
    <cellStyle name="Comma 20 3" xfId="321" xr:uid="{00000000-0005-0000-0000-000049010000}"/>
    <cellStyle name="Comma 20 3 2" xfId="322" xr:uid="{00000000-0005-0000-0000-00004A010000}"/>
    <cellStyle name="Comma 20 3 2 2" xfId="1970" xr:uid="{BBD4AA2C-BC26-42F9-94D7-C8848970F856}"/>
    <cellStyle name="Comma 20 3 2 3" xfId="3278" xr:uid="{4F687B75-38AF-4D83-A96A-C87B8DC27ED4}"/>
    <cellStyle name="Comma 20 3 3" xfId="1969" xr:uid="{2877940B-68A5-405B-AAD2-13E4BC0194F6}"/>
    <cellStyle name="Comma 20 3 4" xfId="3277" xr:uid="{DB52951E-B5D7-47C1-B185-0194434C1D56}"/>
    <cellStyle name="Comma 20 4" xfId="323" xr:uid="{00000000-0005-0000-0000-00004B010000}"/>
    <cellStyle name="Comma 20 4 2" xfId="1971" xr:uid="{050DB83C-BD35-4DAA-B750-A1C0A687A66A}"/>
    <cellStyle name="Comma 20 4 3" xfId="3279" xr:uid="{C8C5F7C9-A2EC-491A-BADB-CF5CCF0A242B}"/>
    <cellStyle name="Comma 20 5" xfId="1966" xr:uid="{985DA547-9A60-4FDB-9F60-ED12A5BEEB08}"/>
    <cellStyle name="Comma 20 6" xfId="3274" xr:uid="{BEE85C43-4342-4B45-8150-62708C996366}"/>
    <cellStyle name="Comma 21" xfId="324" xr:uid="{00000000-0005-0000-0000-00004C010000}"/>
    <cellStyle name="Comma 21 2" xfId="325" xr:uid="{00000000-0005-0000-0000-00004D010000}"/>
    <cellStyle name="Comma 21 2 2" xfId="326" xr:uid="{00000000-0005-0000-0000-00004E010000}"/>
    <cellStyle name="Comma 21 2 2 2" xfId="1974" xr:uid="{E9144074-CC82-4B3E-A6D0-1F09C3DD17F7}"/>
    <cellStyle name="Comma 21 2 2 3" xfId="3282" xr:uid="{539DEB3D-7860-48BF-94E7-EB4F24AE73C4}"/>
    <cellStyle name="Comma 21 2 3" xfId="1973" xr:uid="{F2DA7BC8-A8DB-4653-9DF7-1BA19CA1BB5E}"/>
    <cellStyle name="Comma 21 2 4" xfId="3281" xr:uid="{E174639A-ECA2-487B-8E16-01B2C147BEF6}"/>
    <cellStyle name="Comma 21 3" xfId="327" xr:uid="{00000000-0005-0000-0000-00004F010000}"/>
    <cellStyle name="Comma 21 3 2" xfId="328" xr:uid="{00000000-0005-0000-0000-000050010000}"/>
    <cellStyle name="Comma 21 3 2 2" xfId="1976" xr:uid="{07DE3F73-0E41-4F5D-A075-F31A51CFDECC}"/>
    <cellStyle name="Comma 21 3 2 3" xfId="3284" xr:uid="{3C6C7FC8-F9C9-480C-B95F-0030521D7AE4}"/>
    <cellStyle name="Comma 21 3 3" xfId="1975" xr:uid="{2FC475CD-9B13-4F77-B31E-FA347D507612}"/>
    <cellStyle name="Comma 21 3 4" xfId="3283" xr:uid="{AD65D327-6670-4FF1-8029-B40066BC6584}"/>
    <cellStyle name="Comma 21 4" xfId="329" xr:uid="{00000000-0005-0000-0000-000051010000}"/>
    <cellStyle name="Comma 21 4 2" xfId="1977" xr:uid="{C0826C77-E19E-4797-BFD0-08523CC8FCE6}"/>
    <cellStyle name="Comma 21 4 3" xfId="3285" xr:uid="{F845E6B3-5C51-4EEE-984C-506B84881511}"/>
    <cellStyle name="Comma 21 5" xfId="1972" xr:uid="{EF36A0BB-2F20-4FC3-A078-23BDC00A94DA}"/>
    <cellStyle name="Comma 21 6" xfId="3280" xr:uid="{4F7733C0-5BF8-4AD8-AC80-CD3DE229153E}"/>
    <cellStyle name="Comma 22" xfId="330" xr:uid="{00000000-0005-0000-0000-000052010000}"/>
    <cellStyle name="Comma 22 2" xfId="331" xr:uid="{00000000-0005-0000-0000-000053010000}"/>
    <cellStyle name="Comma 22 2 2" xfId="332" xr:uid="{00000000-0005-0000-0000-000054010000}"/>
    <cellStyle name="Comma 22 2 2 2" xfId="1980" xr:uid="{FB4DCC0D-8519-4989-A4F5-48CEDE59EA07}"/>
    <cellStyle name="Comma 22 2 2 3" xfId="3288" xr:uid="{1AF484A8-6F23-4668-B69A-A82063B46DC3}"/>
    <cellStyle name="Comma 22 2 3" xfId="1979" xr:uid="{2D363680-49A5-449D-A1BB-B701DA4DCC11}"/>
    <cellStyle name="Comma 22 2 4" xfId="3287" xr:uid="{26E1DEFF-8FC9-4872-ACB4-5C8524A6B4B4}"/>
    <cellStyle name="Comma 22 3" xfId="333" xr:uid="{00000000-0005-0000-0000-000055010000}"/>
    <cellStyle name="Comma 22 3 2" xfId="334" xr:uid="{00000000-0005-0000-0000-000056010000}"/>
    <cellStyle name="Comma 22 3 2 2" xfId="1982" xr:uid="{FB3DFEF1-3E04-496F-ACB4-695F9B4193CF}"/>
    <cellStyle name="Comma 22 3 2 3" xfId="3290" xr:uid="{E28D268F-E589-4269-A777-9C94ADB7E803}"/>
    <cellStyle name="Comma 22 3 3" xfId="1981" xr:uid="{71339F0A-B287-48AF-B7DA-158105CEF702}"/>
    <cellStyle name="Comma 22 3 4" xfId="3289" xr:uid="{0B74F936-E0DC-42B9-A36D-A2F334D2D431}"/>
    <cellStyle name="Comma 22 4" xfId="335" xr:uid="{00000000-0005-0000-0000-000057010000}"/>
    <cellStyle name="Comma 22 4 2" xfId="1983" xr:uid="{3989AAF7-D5D5-475C-B1AD-BE4021A7ECAB}"/>
    <cellStyle name="Comma 22 4 3" xfId="3291" xr:uid="{C4CF6810-8ED4-4059-9FE9-8A5D10C26B18}"/>
    <cellStyle name="Comma 22 5" xfId="1978" xr:uid="{CE0DA092-AE3C-450E-921C-632202CA0AFC}"/>
    <cellStyle name="Comma 22 6" xfId="3286" xr:uid="{A98C0F07-1771-4BD5-86F0-2118F5B2D572}"/>
    <cellStyle name="Comma 23" xfId="336" xr:uid="{00000000-0005-0000-0000-000058010000}"/>
    <cellStyle name="Comma 23 2" xfId="337" xr:uid="{00000000-0005-0000-0000-000059010000}"/>
    <cellStyle name="Comma 23 2 2" xfId="338" xr:uid="{00000000-0005-0000-0000-00005A010000}"/>
    <cellStyle name="Comma 23 2 2 2" xfId="1986" xr:uid="{5CBB7555-8C0B-4F8F-9B94-8410CBEF2244}"/>
    <cellStyle name="Comma 23 2 2 3" xfId="3294" xr:uid="{84CC5319-451D-478C-B418-1DB6E746856C}"/>
    <cellStyle name="Comma 23 2 3" xfId="1985" xr:uid="{2B9F13DE-D6EF-45BE-8490-BDC5A6185E6C}"/>
    <cellStyle name="Comma 23 2 4" xfId="3293" xr:uid="{E9B7F2B4-9F50-40D5-99F1-F328C8CE23A7}"/>
    <cellStyle name="Comma 23 3" xfId="339" xr:uid="{00000000-0005-0000-0000-00005B010000}"/>
    <cellStyle name="Comma 23 3 2" xfId="340" xr:uid="{00000000-0005-0000-0000-00005C010000}"/>
    <cellStyle name="Comma 23 3 2 2" xfId="1988" xr:uid="{1CE3A880-B6BB-48A8-8E93-0E87BF68787C}"/>
    <cellStyle name="Comma 23 3 2 3" xfId="3296" xr:uid="{9E5AF903-67D6-4E66-9793-E3E6F5C3B173}"/>
    <cellStyle name="Comma 23 3 3" xfId="1987" xr:uid="{DA688955-4011-41DA-98C5-6A37121C4527}"/>
    <cellStyle name="Comma 23 3 4" xfId="3295" xr:uid="{C6DEEF31-13D3-49D0-AE67-96FF5E5AE3E4}"/>
    <cellStyle name="Comma 23 4" xfId="341" xr:uid="{00000000-0005-0000-0000-00005D010000}"/>
    <cellStyle name="Comma 23 4 2" xfId="1989" xr:uid="{49E46550-EB6A-46A3-899D-7EF3BFB5DBCC}"/>
    <cellStyle name="Comma 23 4 3" xfId="3297" xr:uid="{345D6E6C-F7A9-417F-8295-21FE6D323B05}"/>
    <cellStyle name="Comma 23 5" xfId="1984" xr:uid="{E5BBD85F-3F72-4631-AA0C-65AF407C18FB}"/>
    <cellStyle name="Comma 23 6" xfId="3292" xr:uid="{0C047402-A6B5-4145-A1DE-FBF543F1E61B}"/>
    <cellStyle name="Comma 24" xfId="342" xr:uid="{00000000-0005-0000-0000-00005E010000}"/>
    <cellStyle name="Comma 24 2" xfId="343" xr:uid="{00000000-0005-0000-0000-00005F010000}"/>
    <cellStyle name="Comma 24 2 2" xfId="344" xr:uid="{00000000-0005-0000-0000-000060010000}"/>
    <cellStyle name="Comma 24 2 2 2" xfId="1992" xr:uid="{EE60DD8D-2394-49D0-9428-A4DCB72E587E}"/>
    <cellStyle name="Comma 24 2 2 3" xfId="3300" xr:uid="{DE29E626-093D-43FB-8344-1D3789490C24}"/>
    <cellStyle name="Comma 24 2 3" xfId="1991" xr:uid="{8C51E5D5-FAD7-4DF6-BD5A-BBDDB67D3B12}"/>
    <cellStyle name="Comma 24 2 4" xfId="3299" xr:uid="{356EDEEF-D8B4-4B79-8246-1F90C7E7BFEA}"/>
    <cellStyle name="Comma 24 3" xfId="345" xr:uid="{00000000-0005-0000-0000-000061010000}"/>
    <cellStyle name="Comma 24 3 2" xfId="346" xr:uid="{00000000-0005-0000-0000-000062010000}"/>
    <cellStyle name="Comma 24 3 2 2" xfId="1994" xr:uid="{A6F2FA39-1B4E-48EE-9894-F0BE9658FF47}"/>
    <cellStyle name="Comma 24 3 2 3" xfId="3302" xr:uid="{45F52D61-3ECE-495C-A9B8-58CB4517FEE1}"/>
    <cellStyle name="Comma 24 3 3" xfId="1993" xr:uid="{46FEB2F5-F440-494B-9A12-994F9625FF94}"/>
    <cellStyle name="Comma 24 3 4" xfId="3301" xr:uid="{AF5103EA-53A2-4129-A437-B7C5A2392A32}"/>
    <cellStyle name="Comma 24 4" xfId="347" xr:uid="{00000000-0005-0000-0000-000063010000}"/>
    <cellStyle name="Comma 24 4 2" xfId="1995" xr:uid="{3DC63599-E981-4A28-BB12-EAA9715F59AF}"/>
    <cellStyle name="Comma 24 4 3" xfId="3303" xr:uid="{700693D1-E210-4933-9FD9-A379C7A51035}"/>
    <cellStyle name="Comma 24 5" xfId="1990" xr:uid="{B624E12D-4825-4602-93BA-B167E4D25562}"/>
    <cellStyle name="Comma 24 6" xfId="3298" xr:uid="{9CD11230-57A1-4B6F-AF1D-AAC81054B6EE}"/>
    <cellStyle name="Comma 25" xfId="348" xr:uid="{00000000-0005-0000-0000-000064010000}"/>
    <cellStyle name="Comma 25 2" xfId="349" xr:uid="{00000000-0005-0000-0000-000065010000}"/>
    <cellStyle name="Comma 25 2 2" xfId="350" xr:uid="{00000000-0005-0000-0000-000066010000}"/>
    <cellStyle name="Comma 25 2 2 2" xfId="1998" xr:uid="{AD8D24D8-F7BA-4DF3-BE4B-06841112A33E}"/>
    <cellStyle name="Comma 25 2 2 3" xfId="3306" xr:uid="{8280F126-4792-4557-A0BD-75772F866971}"/>
    <cellStyle name="Comma 25 2 3" xfId="1997" xr:uid="{DAEB1AAE-9F17-4587-8CC4-DAD8BBC7A36B}"/>
    <cellStyle name="Comma 25 2 4" xfId="3305" xr:uid="{F50A8FDC-7DE5-420D-AEFD-B2940F540E7D}"/>
    <cellStyle name="Comma 25 3" xfId="351" xr:uid="{00000000-0005-0000-0000-000067010000}"/>
    <cellStyle name="Comma 25 3 2" xfId="352" xr:uid="{00000000-0005-0000-0000-000068010000}"/>
    <cellStyle name="Comma 25 3 2 2" xfId="2000" xr:uid="{757C2511-9F4F-45D4-97B5-D26DB27BCCE1}"/>
    <cellStyle name="Comma 25 3 2 3" xfId="3308" xr:uid="{5CDD8E04-71DC-4DBB-B4E8-955EB7C1D8C6}"/>
    <cellStyle name="Comma 25 3 3" xfId="1999" xr:uid="{EC33BB2F-7823-4428-855E-B78E60D60F33}"/>
    <cellStyle name="Comma 25 3 4" xfId="3307" xr:uid="{891BD02C-4F73-4D8A-A4A5-3CCD3B5D513E}"/>
    <cellStyle name="Comma 25 4" xfId="353" xr:uid="{00000000-0005-0000-0000-000069010000}"/>
    <cellStyle name="Comma 25 4 2" xfId="2001" xr:uid="{F6ACA3CC-4AFB-4E4C-847E-BAED7D56225A}"/>
    <cellStyle name="Comma 25 4 3" xfId="3309" xr:uid="{09DB2EA1-90F3-4B72-A905-23E446E178C7}"/>
    <cellStyle name="Comma 25 5" xfId="1996" xr:uid="{54A7EE6F-4407-4D3C-9EC7-79587FD5D56A}"/>
    <cellStyle name="Comma 25 6" xfId="3304" xr:uid="{B90BE7D1-3AFB-44EC-942D-E35E1947F607}"/>
    <cellStyle name="Comma 26" xfId="354" xr:uid="{00000000-0005-0000-0000-00006A010000}"/>
    <cellStyle name="Comma 26 2" xfId="355" xr:uid="{00000000-0005-0000-0000-00006B010000}"/>
    <cellStyle name="Comma 26 2 2" xfId="356" xr:uid="{00000000-0005-0000-0000-00006C010000}"/>
    <cellStyle name="Comma 26 2 2 2" xfId="2004" xr:uid="{2AA4C84F-BCDA-470E-ADF1-53A604A8963C}"/>
    <cellStyle name="Comma 26 2 2 3" xfId="3312" xr:uid="{2261279F-19BE-42FE-A6CD-602DC2581337}"/>
    <cellStyle name="Comma 26 2 3" xfId="2003" xr:uid="{4BE58F0A-9903-4E51-883A-06C5E4FC5C04}"/>
    <cellStyle name="Comma 26 2 4" xfId="3311" xr:uid="{A3E7A948-A05C-4BD5-933A-D14FCEDDFBC3}"/>
    <cellStyle name="Comma 26 3" xfId="357" xr:uid="{00000000-0005-0000-0000-00006D010000}"/>
    <cellStyle name="Comma 26 3 2" xfId="358" xr:uid="{00000000-0005-0000-0000-00006E010000}"/>
    <cellStyle name="Comma 26 3 2 2" xfId="2006" xr:uid="{819C08B2-8D48-41DF-87B4-D73C566B4824}"/>
    <cellStyle name="Comma 26 3 2 3" xfId="3314" xr:uid="{3280FF45-CAD7-4654-91EB-03379E8FCAC0}"/>
    <cellStyle name="Comma 26 3 3" xfId="2005" xr:uid="{555E84D5-6BB8-47A9-BEBE-83DE7356E468}"/>
    <cellStyle name="Comma 26 3 4" xfId="3313" xr:uid="{8AB41194-00C1-4E2D-B620-83675FC19988}"/>
    <cellStyle name="Comma 26 4" xfId="359" xr:uid="{00000000-0005-0000-0000-00006F010000}"/>
    <cellStyle name="Comma 26 4 2" xfId="2007" xr:uid="{F7D59ED7-89C9-4B66-B6D6-7BDE05E5CED0}"/>
    <cellStyle name="Comma 26 4 3" xfId="3315" xr:uid="{E5F5B51E-AA76-408C-8D98-245AE0E0E157}"/>
    <cellStyle name="Comma 26 5" xfId="2002" xr:uid="{A5C1EE4F-F92F-470A-AB4C-132D4CAF3D9F}"/>
    <cellStyle name="Comma 26 6" xfId="3310" xr:uid="{7A06B8B8-F1DE-4673-8881-260EA1AF6FB7}"/>
    <cellStyle name="Comma 27" xfId="360" xr:uid="{00000000-0005-0000-0000-000070010000}"/>
    <cellStyle name="Comma 27 2" xfId="361" xr:uid="{00000000-0005-0000-0000-000071010000}"/>
    <cellStyle name="Comma 27 2 2" xfId="362" xr:uid="{00000000-0005-0000-0000-000072010000}"/>
    <cellStyle name="Comma 27 2 2 2" xfId="2010" xr:uid="{820200E5-DA4C-47AA-AE5E-D75F96A9E097}"/>
    <cellStyle name="Comma 27 2 2 3" xfId="3318" xr:uid="{ED7ADB12-8A59-454D-90F4-DDA6B6B8A34C}"/>
    <cellStyle name="Comma 27 2 3" xfId="2009" xr:uid="{BB7C54CA-5E49-42FF-9063-DAE157CFD6BE}"/>
    <cellStyle name="Comma 27 2 4" xfId="3317" xr:uid="{29CAFD06-6ED2-4A00-B159-14C98C7066F1}"/>
    <cellStyle name="Comma 27 3" xfId="363" xr:uid="{00000000-0005-0000-0000-000073010000}"/>
    <cellStyle name="Comma 27 3 2" xfId="364" xr:uid="{00000000-0005-0000-0000-000074010000}"/>
    <cellStyle name="Comma 27 3 2 2" xfId="2012" xr:uid="{B38C2E04-DFB3-4078-B209-B476E241FCBE}"/>
    <cellStyle name="Comma 27 3 2 3" xfId="3320" xr:uid="{D27DBD3D-7B3E-4DBD-A0BB-125B717C1509}"/>
    <cellStyle name="Comma 27 3 3" xfId="2011" xr:uid="{2DE2123F-2F14-47CA-8286-9F5A2657A1C9}"/>
    <cellStyle name="Comma 27 3 4" xfId="3319" xr:uid="{DF80B24C-1DEE-4AA9-AD8A-7C5765E0E1F2}"/>
    <cellStyle name="Comma 27 4" xfId="365" xr:uid="{00000000-0005-0000-0000-000075010000}"/>
    <cellStyle name="Comma 27 4 2" xfId="2013" xr:uid="{FE089396-AE57-43B9-9D44-80AD3AD33BFD}"/>
    <cellStyle name="Comma 27 4 3" xfId="3321" xr:uid="{2CFDFA4F-1592-405A-8E9D-F3C246A063F2}"/>
    <cellStyle name="Comma 27 5" xfId="2008" xr:uid="{87B7E525-45D6-4440-9943-2C7477EF03C6}"/>
    <cellStyle name="Comma 27 6" xfId="3316" xr:uid="{632BA6A5-2CCE-467A-83CC-94011A483F0E}"/>
    <cellStyle name="Comma 28" xfId="366" xr:uid="{00000000-0005-0000-0000-000076010000}"/>
    <cellStyle name="Comma 28 2" xfId="367" xr:uid="{00000000-0005-0000-0000-000077010000}"/>
    <cellStyle name="Comma 28 2 2" xfId="368" xr:uid="{00000000-0005-0000-0000-000078010000}"/>
    <cellStyle name="Comma 28 2 2 2" xfId="2016" xr:uid="{DC425F6A-1FE3-4A18-BD34-A0F80796BC24}"/>
    <cellStyle name="Comma 28 2 2 3" xfId="3324" xr:uid="{46CC542D-46F3-4357-B889-6B92699217EC}"/>
    <cellStyle name="Comma 28 2 3" xfId="2015" xr:uid="{862E6286-2ED8-4014-B666-C3285C2F5630}"/>
    <cellStyle name="Comma 28 2 4" xfId="3323" xr:uid="{315976D3-DD40-4342-9C8E-1C0BD9852DDF}"/>
    <cellStyle name="Comma 28 3" xfId="369" xr:uid="{00000000-0005-0000-0000-000079010000}"/>
    <cellStyle name="Comma 28 3 2" xfId="370" xr:uid="{00000000-0005-0000-0000-00007A010000}"/>
    <cellStyle name="Comma 28 3 2 2" xfId="2018" xr:uid="{26FC7EAA-C0B0-45E3-8E46-013A816CB1AA}"/>
    <cellStyle name="Comma 28 3 2 3" xfId="3326" xr:uid="{52DCCAB7-FF7E-40E1-ACD3-CDCB21D03ED9}"/>
    <cellStyle name="Comma 28 3 3" xfId="2017" xr:uid="{C874727E-C615-4A0D-AC90-0ADE0F08E99B}"/>
    <cellStyle name="Comma 28 3 4" xfId="3325" xr:uid="{41F8F5AB-A1EF-44BB-83C3-3C9A6E18DA14}"/>
    <cellStyle name="Comma 28 4" xfId="371" xr:uid="{00000000-0005-0000-0000-00007B010000}"/>
    <cellStyle name="Comma 28 4 2" xfId="2019" xr:uid="{F8773782-E553-4049-9859-9201867FF76A}"/>
    <cellStyle name="Comma 28 4 3" xfId="3327" xr:uid="{1ACA4A35-3F03-45F8-BA2C-46D0202BB688}"/>
    <cellStyle name="Comma 28 5" xfId="2014" xr:uid="{32EB8143-52B9-4F50-B274-EB6A5161FC9D}"/>
    <cellStyle name="Comma 28 6" xfId="3322" xr:uid="{B49B2746-6611-4A86-BC2C-817AFD0E854C}"/>
    <cellStyle name="Comma 29" xfId="372" xr:uid="{00000000-0005-0000-0000-00007C010000}"/>
    <cellStyle name="Comma 29 2" xfId="373" xr:uid="{00000000-0005-0000-0000-00007D010000}"/>
    <cellStyle name="Comma 29 2 2" xfId="374" xr:uid="{00000000-0005-0000-0000-00007E010000}"/>
    <cellStyle name="Comma 29 2 2 2" xfId="2022" xr:uid="{B713AC2C-3851-4D88-B042-1CCBD4647A61}"/>
    <cellStyle name="Comma 29 2 2 3" xfId="3330" xr:uid="{E70F3B9C-BAD1-4DFF-A832-8ECB0B974378}"/>
    <cellStyle name="Comma 29 2 3" xfId="2021" xr:uid="{0D67EE5F-7CF8-472F-9A26-1D394F329032}"/>
    <cellStyle name="Comma 29 2 4" xfId="3329" xr:uid="{82593EB0-05A5-4A41-A549-CD726AC0702F}"/>
    <cellStyle name="Comma 29 3" xfId="375" xr:uid="{00000000-0005-0000-0000-00007F010000}"/>
    <cellStyle name="Comma 29 3 2" xfId="376" xr:uid="{00000000-0005-0000-0000-000080010000}"/>
    <cellStyle name="Comma 29 3 2 2" xfId="2024" xr:uid="{46D8D97D-CB57-48BF-B638-A55AB428717E}"/>
    <cellStyle name="Comma 29 3 2 3" xfId="3332" xr:uid="{B72188B8-B0E2-4949-B3A1-77EF02DEC19E}"/>
    <cellStyle name="Comma 29 3 3" xfId="2023" xr:uid="{EF1A628B-9B30-4B00-83AD-1EB28776A6C6}"/>
    <cellStyle name="Comma 29 3 4" xfId="3331" xr:uid="{88AF8E07-3162-41E1-9E3E-B1A26934B208}"/>
    <cellStyle name="Comma 29 4" xfId="377" xr:uid="{00000000-0005-0000-0000-000081010000}"/>
    <cellStyle name="Comma 29 4 2" xfId="2025" xr:uid="{B77416D4-2687-4357-997D-61DBCFB9AE76}"/>
    <cellStyle name="Comma 29 4 3" xfId="3333" xr:uid="{EBCF7B1C-F76D-4FEC-A83E-53594D0B32C4}"/>
    <cellStyle name="Comma 29 5" xfId="2020" xr:uid="{896D9ABD-18CB-4287-8B2D-E9C40F0724E1}"/>
    <cellStyle name="Comma 29 6" xfId="3328" xr:uid="{B0424E6B-2BD1-4B78-A461-D0B5A6315EB7}"/>
    <cellStyle name="Comma 3" xfId="18" xr:uid="{00000000-0005-0000-0000-000018000000}"/>
    <cellStyle name="Comma 3 2" xfId="378" xr:uid="{00000000-0005-0000-0000-000082010000}"/>
    <cellStyle name="Comma 3 2 2" xfId="379" xr:uid="{00000000-0005-0000-0000-000083010000}"/>
    <cellStyle name="Comma 3 2 2 2" xfId="380" xr:uid="{00000000-0005-0000-0000-000084010000}"/>
    <cellStyle name="Comma 3 2 2 2 2" xfId="2028" xr:uid="{0B84D0BE-9390-4590-B408-017CBDAD2981}"/>
    <cellStyle name="Comma 3 2 2 2 3" xfId="3334" xr:uid="{FE3D6331-2B10-49E6-9A47-8FF0B3C12F31}"/>
    <cellStyle name="Comma 3 2 2 3" xfId="381" xr:uid="{00000000-0005-0000-0000-000085010000}"/>
    <cellStyle name="Comma 3 2 2 3 2" xfId="2029" xr:uid="{D9B903C7-40B9-4BC3-8616-702C9A01A552}"/>
    <cellStyle name="Comma 3 2 2 4" xfId="2027" xr:uid="{36ED63CA-EB6A-45D0-B752-9A09DB3415F3}"/>
    <cellStyle name="Comma 3 2 2 4 2" xfId="4108" xr:uid="{75C69DC2-2226-4D8B-B2BE-DE186DE62CBB}"/>
    <cellStyle name="Comma 3 2 2 5" xfId="1448" xr:uid="{BE742B15-EE7E-44A9-8C09-087EE2C15C4F}"/>
    <cellStyle name="Comma 3 2 3" xfId="382" xr:uid="{00000000-0005-0000-0000-000086010000}"/>
    <cellStyle name="Comma 3 2 3 2" xfId="383" xr:uid="{00000000-0005-0000-0000-000087010000}"/>
    <cellStyle name="Comma 3 2 3 2 2" xfId="2031" xr:uid="{B6F389F6-BAA4-4F1D-A33F-E59FD8DE463F}"/>
    <cellStyle name="Comma 3 2 3 3" xfId="1556" xr:uid="{455E37E3-AD32-4F5C-878E-29925DA5BE3F}"/>
    <cellStyle name="Comma 3 2 3 3 2" xfId="3899" xr:uid="{9F439F69-5714-4F85-948B-13CA1B7D4447}"/>
    <cellStyle name="Comma 3 2 3 4" xfId="2030" xr:uid="{9C40213D-10ED-44CF-AA6C-2F07F9DFA5D2}"/>
    <cellStyle name="Comma 3 2 3 4 2" xfId="4109" xr:uid="{68D92E21-C426-4EBB-BB59-C7219B6FCB0D}"/>
    <cellStyle name="Comma 3 2 3 5" xfId="1537" xr:uid="{9D6B0778-12C4-4BC3-9709-312FBA9DC25F}"/>
    <cellStyle name="Comma 3 2 4" xfId="384" xr:uid="{00000000-0005-0000-0000-000088010000}"/>
    <cellStyle name="Comma 3 2 4 2" xfId="2032" xr:uid="{56FB152B-F6B6-4525-80E1-5569B49421FB}"/>
    <cellStyle name="Comma 3 2 4 2 2" xfId="4110" xr:uid="{1028FDE5-52F8-4B1C-AD9D-4272B7299E07}"/>
    <cellStyle name="Comma 3 2 4 3" xfId="1638" xr:uid="{1D4A80C9-F087-4B9C-ADD8-892B968B1657}"/>
    <cellStyle name="Comma 3 2 4 4" xfId="3335" xr:uid="{7C17B3FA-AF22-4056-BED8-BA817AD0D796}"/>
    <cellStyle name="Comma 3 2 5" xfId="385" xr:uid="{00000000-0005-0000-0000-000089010000}"/>
    <cellStyle name="Comma 3 2 5 2" xfId="2033" xr:uid="{70B4F2C3-3D93-49CD-8902-055892F7EE5C}"/>
    <cellStyle name="Comma 3 2 5 2 2" xfId="4111" xr:uid="{23BB97CD-DF73-479C-8A27-95F493626D79}"/>
    <cellStyle name="Comma 3 2 5 3" xfId="1447" xr:uid="{1B1F2CA3-6A5E-4067-BE68-7612563D0F9E}"/>
    <cellStyle name="Comma 3 2 6" xfId="2026" xr:uid="{48B3D029-BFD8-4B14-A249-FFEE9AF8A8C5}"/>
    <cellStyle name="Comma 3 2 6 2" xfId="4107" xr:uid="{CB6DB286-0DCF-4036-8D2C-A7A1F51874EF}"/>
    <cellStyle name="Comma 3 2 7" xfId="1212" xr:uid="{353B89F1-7735-453E-888A-5D326F1E31ED}"/>
    <cellStyle name="Comma 3 2 7 2" xfId="3759" xr:uid="{35115E01-F2FB-4FB7-8E93-31A89258BCF4}"/>
    <cellStyle name="Comma 3 3" xfId="386" xr:uid="{00000000-0005-0000-0000-00008A010000}"/>
    <cellStyle name="Comma 3 3 2" xfId="387" xr:uid="{00000000-0005-0000-0000-00008B010000}"/>
    <cellStyle name="Comma 3 3 2 2" xfId="388" xr:uid="{00000000-0005-0000-0000-00008C010000}"/>
    <cellStyle name="Comma 3 3 2 2 2" xfId="2034" xr:uid="{A2E73FA5-F111-4078-86EC-A8DA8D7A90DA}"/>
    <cellStyle name="Comma 3 3 2 3" xfId="1721" xr:uid="{144D687B-F14D-4088-AE3F-4B96E2069FC6}"/>
    <cellStyle name="Comma 3 3 3" xfId="389" xr:uid="{00000000-0005-0000-0000-00008D010000}"/>
    <cellStyle name="Comma 3 3 3 2" xfId="390" xr:uid="{00000000-0005-0000-0000-00008E010000}"/>
    <cellStyle name="Comma 3 3 3 2 2" xfId="2036" xr:uid="{A6F85D96-20C7-43D4-AA1C-73EF6AD4FE0E}"/>
    <cellStyle name="Comma 3 3 3 3" xfId="2035" xr:uid="{846765AC-C9F2-4A73-9552-B72B528C845A}"/>
    <cellStyle name="Comma 3 3 3 3 2" xfId="4112" xr:uid="{3141D580-791F-403A-9417-B454E00E9C23}"/>
    <cellStyle name="Comma 3 3 3 4" xfId="1449" xr:uid="{02BB9CBC-BB39-48CD-A2C0-A7A24D8E1162}"/>
    <cellStyle name="Comma 3 3 4" xfId="391" xr:uid="{00000000-0005-0000-0000-00008F010000}"/>
    <cellStyle name="Comma 3 3 4 2" xfId="2037" xr:uid="{98CF6C51-BE38-435D-982B-E5F8EB00755F}"/>
    <cellStyle name="Comma 3 3 4 3" xfId="3336" xr:uid="{E3C1CB8B-CACB-4694-9A92-5AE51BEAE229}"/>
    <cellStyle name="Comma 3 3 5" xfId="392" xr:uid="{00000000-0005-0000-0000-000090010000}"/>
    <cellStyle name="Comma 3 3 5 2" xfId="2038" xr:uid="{C5873DBF-8B56-451C-86F4-15AAF22B8991}"/>
    <cellStyle name="Comma 3 3 6" xfId="1369" xr:uid="{0F660676-6B6A-4776-9702-5B41E12B1990}"/>
    <cellStyle name="Comma 3 3 6 2" xfId="3853" xr:uid="{8FD1FA51-49F7-4BE5-85E6-DCC342F4A4FB}"/>
    <cellStyle name="Comma 3 4" xfId="393" xr:uid="{00000000-0005-0000-0000-000091010000}"/>
    <cellStyle name="Comma 3 4 2" xfId="394" xr:uid="{00000000-0005-0000-0000-000092010000}"/>
    <cellStyle name="Comma 3 4 2 2" xfId="2040" xr:uid="{7FE2D251-DCF3-4718-86AD-A8371FB4CDE3}"/>
    <cellStyle name="Comma 3 4 2 3" xfId="3337" xr:uid="{947721EC-2F49-40CE-9C3D-5102E1602139}"/>
    <cellStyle name="Comma 3 4 3" xfId="395" xr:uid="{00000000-0005-0000-0000-000093010000}"/>
    <cellStyle name="Comma 3 4 3 2" xfId="2041" xr:uid="{3C90E0BA-C6F0-4F2D-A0CC-901E09ACD351}"/>
    <cellStyle name="Comma 3 4 4" xfId="2039" xr:uid="{CFC8D63B-F19B-431B-969B-BE657F983A04}"/>
    <cellStyle name="Comma 3 4 4 2" xfId="4114" xr:uid="{F6BDA282-463E-403C-8BE1-D46301DDB19B}"/>
    <cellStyle name="Comma 3 4 5" xfId="1398" xr:uid="{F8767B89-767B-4C16-8D9F-5B2B6BB1D98B}"/>
    <cellStyle name="Comma 3 5" xfId="396" xr:uid="{00000000-0005-0000-0000-000094010000}"/>
    <cellStyle name="Comma 3 5 2" xfId="397" xr:uid="{00000000-0005-0000-0000-000095010000}"/>
    <cellStyle name="Comma 3 5 2 2" xfId="2043" xr:uid="{5B953E3D-EEDB-4157-ACB7-E8D2C256BED2}"/>
    <cellStyle name="Comma 3 5 3" xfId="2042" xr:uid="{260A1C92-38D2-4D7D-B5FB-4756A9D445E6}"/>
    <cellStyle name="Comma 3 5 3 2" xfId="4115" xr:uid="{4D779199-43EB-4C19-A677-4CB0B5C37320}"/>
    <cellStyle name="Comma 3 5 4" xfId="1400" xr:uid="{A7FBA721-A62C-4336-AF9D-B53280AE45F4}"/>
    <cellStyle name="Comma 3 6" xfId="398" xr:uid="{00000000-0005-0000-0000-000096010000}"/>
    <cellStyle name="Comma 3 6 2" xfId="2044" xr:uid="{AFFA62DB-FAC8-4890-9ACF-9BAAF989889B}"/>
    <cellStyle name="Comma 3 6 2 2" xfId="4116" xr:uid="{9DEEE3E3-B4D1-4A70-A30B-832728ADA8DD}"/>
    <cellStyle name="Comma 3 6 3" xfId="1637" xr:uid="{5A70C591-E073-4D5E-A77B-3AFED5B727F3}"/>
    <cellStyle name="Comma 3 6 4" xfId="3338" xr:uid="{B6C3DF15-CB2E-4A42-B406-EA9F41AE4CEC}"/>
    <cellStyle name="Comma 3 7" xfId="399" xr:uid="{00000000-0005-0000-0000-000097010000}"/>
    <cellStyle name="Comma 3 7 2" xfId="2045" xr:uid="{D329ADE4-E580-4ABB-8089-5C7C348C52A1}"/>
    <cellStyle name="Comma 3 7 2 2" xfId="4117" xr:uid="{B4A97145-7C94-4376-BCA3-18CED4A05DEE}"/>
    <cellStyle name="Comma 3 7 3" xfId="1446" xr:uid="{2CE9E43D-EF37-433A-BEB8-E20C7416507C}"/>
    <cellStyle name="Comma 3 8" xfId="1063" xr:uid="{EFAC4C2B-4A40-44A9-9220-FD2FE68CFB4B}"/>
    <cellStyle name="Comma 3 8 2" xfId="3659" xr:uid="{C92A6941-BF8A-4153-80FE-A19016D0C664}"/>
    <cellStyle name="Comma 3 9" xfId="1211" xr:uid="{D828C69C-F122-4E2B-B710-EC60E17B24C3}"/>
    <cellStyle name="Comma 3 9 2" xfId="3758" xr:uid="{00C2AC1C-4970-4010-BF60-81065CF92660}"/>
    <cellStyle name="Comma 30" xfId="400" xr:uid="{00000000-0005-0000-0000-000098010000}"/>
    <cellStyle name="Comma 30 2" xfId="401" xr:uid="{00000000-0005-0000-0000-000099010000}"/>
    <cellStyle name="Comma 30 2 2" xfId="402" xr:uid="{00000000-0005-0000-0000-00009A010000}"/>
    <cellStyle name="Comma 30 2 2 2" xfId="2048" xr:uid="{850C876C-CF78-4684-8413-4E581C5AFD83}"/>
    <cellStyle name="Comma 30 2 2 3" xfId="3341" xr:uid="{7E784083-D5E8-44B2-861F-DD9A855E280D}"/>
    <cellStyle name="Comma 30 2 3" xfId="2047" xr:uid="{609352AA-CF63-4BF8-9989-A2A3D21CCA4B}"/>
    <cellStyle name="Comma 30 2 4" xfId="3340" xr:uid="{AF944E54-5FFC-4343-A16B-185B9D452128}"/>
    <cellStyle name="Comma 30 3" xfId="403" xr:uid="{00000000-0005-0000-0000-00009B010000}"/>
    <cellStyle name="Comma 30 3 2" xfId="404" xr:uid="{00000000-0005-0000-0000-00009C010000}"/>
    <cellStyle name="Comma 30 3 2 2" xfId="2050" xr:uid="{2E084AC3-C632-438F-8C52-25D6A7157731}"/>
    <cellStyle name="Comma 30 3 2 3" xfId="3343" xr:uid="{AC241BA4-8C04-4788-85C7-DB655CAA38C2}"/>
    <cellStyle name="Comma 30 3 3" xfId="2049" xr:uid="{54DDE4A8-E4D1-4832-8001-5A640050077E}"/>
    <cellStyle name="Comma 30 3 4" xfId="3342" xr:uid="{CEA918B3-00CD-4385-A71D-73015906BBD6}"/>
    <cellStyle name="Comma 30 4" xfId="405" xr:uid="{00000000-0005-0000-0000-00009D010000}"/>
    <cellStyle name="Comma 30 4 2" xfId="2051" xr:uid="{C947F803-A4F7-488A-818B-4DC8A4C88679}"/>
    <cellStyle name="Comma 30 4 3" xfId="3344" xr:uid="{8B4FF458-D37E-4BC3-A1B2-ED4F5F908874}"/>
    <cellStyle name="Comma 30 5" xfId="2046" xr:uid="{273AD4A9-4539-454B-8382-FF1BD6AEEDC1}"/>
    <cellStyle name="Comma 30 6" xfId="3339" xr:uid="{F28B53F2-470C-4E78-93DB-C1F3A5FDC7E2}"/>
    <cellStyle name="Comma 31" xfId="406" xr:uid="{00000000-0005-0000-0000-00009E010000}"/>
    <cellStyle name="Comma 31 2" xfId="407" xr:uid="{00000000-0005-0000-0000-00009F010000}"/>
    <cellStyle name="Comma 31 2 2" xfId="408" xr:uid="{00000000-0005-0000-0000-0000A0010000}"/>
    <cellStyle name="Comma 31 2 2 2" xfId="2054" xr:uid="{A05B9D86-E232-4CDD-87F4-0B6EB2ABD46C}"/>
    <cellStyle name="Comma 31 2 2 3" xfId="3347" xr:uid="{361A7FAE-0457-40D9-A8EA-B6F156DA1B8A}"/>
    <cellStyle name="Comma 31 2 3" xfId="2053" xr:uid="{A1C11FE0-4BA7-41E5-BEFE-0ADC1A45B843}"/>
    <cellStyle name="Comma 31 2 4" xfId="3346" xr:uid="{9CA443BE-46A3-46C8-BFE6-36A1C9306F45}"/>
    <cellStyle name="Comma 31 3" xfId="409" xr:uid="{00000000-0005-0000-0000-0000A1010000}"/>
    <cellStyle name="Comma 31 3 2" xfId="410" xr:uid="{00000000-0005-0000-0000-0000A2010000}"/>
    <cellStyle name="Comma 31 3 2 2" xfId="2056" xr:uid="{DC57FE6C-67F3-4874-BDF3-719DEE8FD86B}"/>
    <cellStyle name="Comma 31 3 2 3" xfId="3349" xr:uid="{1A2FEBBA-DD66-4D18-9E39-91E887AE1A06}"/>
    <cellStyle name="Comma 31 3 3" xfId="2055" xr:uid="{FC3C2BEF-BCCF-43DB-B3E5-43E666E513E8}"/>
    <cellStyle name="Comma 31 3 4" xfId="3348" xr:uid="{78D5D955-26B3-44C1-9F5B-8130A3AF37C6}"/>
    <cellStyle name="Comma 31 4" xfId="411" xr:uid="{00000000-0005-0000-0000-0000A3010000}"/>
    <cellStyle name="Comma 31 4 2" xfId="2057" xr:uid="{9508E785-B3C7-49A6-891E-7E4BA8AC2E6B}"/>
    <cellStyle name="Comma 31 4 3" xfId="3350" xr:uid="{12B32C5D-D68D-40DC-97DD-D5B6BBE7F4A3}"/>
    <cellStyle name="Comma 31 5" xfId="2052" xr:uid="{42A99C68-0335-4BAD-87FA-80E7804F7D20}"/>
    <cellStyle name="Comma 31 6" xfId="3345" xr:uid="{B4611DFA-A8CA-4607-A4D9-D2A478EF68CC}"/>
    <cellStyle name="Comma 32" xfId="412" xr:uid="{00000000-0005-0000-0000-0000A4010000}"/>
    <cellStyle name="Comma 32 2" xfId="413" xr:uid="{00000000-0005-0000-0000-0000A5010000}"/>
    <cellStyle name="Comma 32 2 2" xfId="414" xr:uid="{00000000-0005-0000-0000-0000A6010000}"/>
    <cellStyle name="Comma 32 2 2 2" xfId="2060" xr:uid="{9FD567D4-9220-4A34-B90B-341B926C5001}"/>
    <cellStyle name="Comma 32 2 2 3" xfId="3353" xr:uid="{8D08F841-430D-4578-A10E-8B122D118AB8}"/>
    <cellStyle name="Comma 32 2 3" xfId="2059" xr:uid="{AC0845EA-5A10-4057-ACC2-B329947555D4}"/>
    <cellStyle name="Comma 32 2 4" xfId="3352" xr:uid="{631BDE86-DA29-41D4-8D0C-B19AA0FBF56D}"/>
    <cellStyle name="Comma 32 3" xfId="415" xr:uid="{00000000-0005-0000-0000-0000A7010000}"/>
    <cellStyle name="Comma 32 3 2" xfId="416" xr:uid="{00000000-0005-0000-0000-0000A8010000}"/>
    <cellStyle name="Comma 32 3 2 2" xfId="2062" xr:uid="{0BD33805-628A-4228-8B27-F5A5101E12F5}"/>
    <cellStyle name="Comma 32 3 2 3" xfId="3355" xr:uid="{6C1B4B7F-83EC-43C1-9AE4-AACAB6007DA6}"/>
    <cellStyle name="Comma 32 3 3" xfId="2061" xr:uid="{DF8EEF9C-01C7-4FD2-8E4F-E817715E64A2}"/>
    <cellStyle name="Comma 32 3 4" xfId="3354" xr:uid="{791C1C98-0D49-45F0-B514-EC3DE1C8C32E}"/>
    <cellStyle name="Comma 32 4" xfId="417" xr:uid="{00000000-0005-0000-0000-0000A9010000}"/>
    <cellStyle name="Comma 32 4 2" xfId="2063" xr:uid="{A5005F07-9365-44E9-8913-2D800ABC8C42}"/>
    <cellStyle name="Comma 32 4 3" xfId="3356" xr:uid="{59208439-A3EB-4DA8-8A55-8141F63C1430}"/>
    <cellStyle name="Comma 32 5" xfId="2058" xr:uid="{3201F964-469D-46F6-BED7-BADAC5E65177}"/>
    <cellStyle name="Comma 32 6" xfId="3351" xr:uid="{3CBB98E6-0628-47DA-BB18-4D18383DAAD4}"/>
    <cellStyle name="Comma 33" xfId="418" xr:uid="{00000000-0005-0000-0000-0000AA010000}"/>
    <cellStyle name="Comma 33 2" xfId="419" xr:uid="{00000000-0005-0000-0000-0000AB010000}"/>
    <cellStyle name="Comma 33 2 2" xfId="2065" xr:uid="{C4E05B49-DDA5-4D58-872E-FA52CC8399D6}"/>
    <cellStyle name="Comma 33 2 3" xfId="3358" xr:uid="{8C8D8811-83F8-4A53-B0A7-3B1D875FB061}"/>
    <cellStyle name="Comma 33 3" xfId="2064" xr:uid="{DE711291-F1CF-4110-A366-290D73811258}"/>
    <cellStyle name="Comma 33 4" xfId="3357" xr:uid="{AC933594-DC91-41A2-B63E-7E6131901625}"/>
    <cellStyle name="Comma 34" xfId="420" xr:uid="{00000000-0005-0000-0000-0000AC010000}"/>
    <cellStyle name="Comma 34 2" xfId="421" xr:uid="{00000000-0005-0000-0000-0000AD010000}"/>
    <cellStyle name="Comma 34 2 2" xfId="2067" xr:uid="{28D67D16-B1E1-4106-B7AD-FEE2AFC99243}"/>
    <cellStyle name="Comma 34 2 3" xfId="3360" xr:uid="{64459EA4-721A-42F3-A5A7-11CF747E7BCE}"/>
    <cellStyle name="Comma 34 3" xfId="2066" xr:uid="{0C139DD0-07DF-4C4A-B6F5-2CC0424F351F}"/>
    <cellStyle name="Comma 34 4" xfId="3359" xr:uid="{481E8EFB-87DF-4432-9CF1-E2EA018D702A}"/>
    <cellStyle name="Comma 35" xfId="422" xr:uid="{00000000-0005-0000-0000-0000AE010000}"/>
    <cellStyle name="Comma 35 2" xfId="423" xr:uid="{00000000-0005-0000-0000-0000AF010000}"/>
    <cellStyle name="Comma 35 2 2" xfId="2069" xr:uid="{74D2C13D-E168-44DD-BF66-68D77675F3DF}"/>
    <cellStyle name="Comma 35 2 3" xfId="3362" xr:uid="{08EF590D-246E-4494-B7C8-79721C732254}"/>
    <cellStyle name="Comma 35 3" xfId="2068" xr:uid="{19B6D656-99D0-483D-99DD-88C908D3F850}"/>
    <cellStyle name="Comma 35 4" xfId="3361" xr:uid="{04D547C9-AF12-4F4F-9A1C-7824BD9C6845}"/>
    <cellStyle name="Comma 36" xfId="424" xr:uid="{00000000-0005-0000-0000-0000B0010000}"/>
    <cellStyle name="Comma 36 2" xfId="425" xr:uid="{00000000-0005-0000-0000-0000B1010000}"/>
    <cellStyle name="Comma 36 2 2" xfId="2071" xr:uid="{2A9F9541-FE55-4E99-8634-37121EFAC35D}"/>
    <cellStyle name="Comma 36 2 3" xfId="3364" xr:uid="{AC8BD354-326A-41D2-957F-376BCA1D1CBA}"/>
    <cellStyle name="Comma 36 3" xfId="2070" xr:uid="{498E7770-611A-4DF8-9B73-76EE5220BBDF}"/>
    <cellStyle name="Comma 36 4" xfId="3363" xr:uid="{F2704C53-5546-47B0-8A7B-7D54B8457650}"/>
    <cellStyle name="Comma 37" xfId="426" xr:uid="{00000000-0005-0000-0000-0000B2010000}"/>
    <cellStyle name="Comma 37 2" xfId="2072" xr:uid="{616B5D59-3D9D-421E-BA2A-D84CF175B2EC}"/>
    <cellStyle name="Comma 37 3" xfId="3365" xr:uid="{E6D0430A-F627-4089-83F4-40A698AA40B0}"/>
    <cellStyle name="Comma 38" xfId="427" xr:uid="{00000000-0005-0000-0000-0000B3010000}"/>
    <cellStyle name="Comma 38 2" xfId="2073" xr:uid="{FAB020D3-2F5D-41CE-A110-17F8C88F99C1}"/>
    <cellStyle name="Comma 38 3" xfId="3366" xr:uid="{D2CB0C17-8FD9-4C7C-A0CA-458A04809205}"/>
    <cellStyle name="Comma 39" xfId="1017" xr:uid="{540244AD-CDA5-4C8E-82A8-2E22769EACB9}"/>
    <cellStyle name="Comma 39 2" xfId="2405" xr:uid="{42D47F2B-89E9-4E55-9DB8-30A327CA41C3}"/>
    <cellStyle name="Comma 4" xfId="428" xr:uid="{00000000-0005-0000-0000-0000B4010000}"/>
    <cellStyle name="Comma 4 2" xfId="429" xr:uid="{00000000-0005-0000-0000-0000B5010000}"/>
    <cellStyle name="Comma 4 2 2" xfId="430" xr:uid="{00000000-0005-0000-0000-0000B6010000}"/>
    <cellStyle name="Comma 4 2 2 2" xfId="2075" xr:uid="{97B079C4-8D23-49EF-A067-1F977D20BFF4}"/>
    <cellStyle name="Comma 4 2 2 2 2" xfId="4124" xr:uid="{F09C6E14-B7E1-4F6B-9BB1-2CA7A63A93C6}"/>
    <cellStyle name="Comma 4 2 2 3" xfId="1452" xr:uid="{1771DBCC-E12A-4B1D-90BA-04F25EBC6B68}"/>
    <cellStyle name="Comma 4 2 2 4" xfId="3369" xr:uid="{634FDFA7-E2F9-4035-80EE-4FB9DC8F09A6}"/>
    <cellStyle name="Comma 4 2 3" xfId="431" xr:uid="{00000000-0005-0000-0000-0000B7010000}"/>
    <cellStyle name="Comma 4 2 3 2" xfId="2076" xr:uid="{DFE03687-042D-4C81-8A35-4EF5BBAC5A41}"/>
    <cellStyle name="Comma 4 2 3 2 2" xfId="4125" xr:uid="{8346E788-37BF-4FB6-9CD7-57A663ABD0F4}"/>
    <cellStyle name="Comma 4 2 3 3" xfId="1640" xr:uid="{41192FF2-93E8-41B0-BD1D-A2A45AA89960}"/>
    <cellStyle name="Comma 4 2 3 4" xfId="3370" xr:uid="{7E7A2235-F69C-4794-95A1-CAA43DBD68F9}"/>
    <cellStyle name="Comma 4 2 4" xfId="1451" xr:uid="{D7A120DA-81C6-4A4C-8B10-37A7351E6FA7}"/>
    <cellStyle name="Comma 4 2 4 2" xfId="3882" xr:uid="{E4C7E26E-90CE-4061-9FA4-4B378716BDF2}"/>
    <cellStyle name="Comma 4 2 5" xfId="2074" xr:uid="{46517CA6-45D8-4AD1-8E5E-A15BD990E959}"/>
    <cellStyle name="Comma 4 2 5 2" xfId="4123" xr:uid="{EC0F0561-9D6A-40F9-AF51-E0632DD30C39}"/>
    <cellStyle name="Comma 4 2 6" xfId="1214" xr:uid="{483CFE95-2E9B-4A90-928C-E0C82385CF9C}"/>
    <cellStyle name="Comma 4 2 6 2" xfId="3761" xr:uid="{5EEAA5B5-F98D-496C-9EEE-12ACFD047274}"/>
    <cellStyle name="Comma 4 2 7" xfId="3368" xr:uid="{7EA2D15D-ABFE-4295-8D4D-B81B0C2762A1}"/>
    <cellStyle name="Comma 4 3" xfId="432" xr:uid="{00000000-0005-0000-0000-0000B8010000}"/>
    <cellStyle name="Comma 4 3 2" xfId="433" xr:uid="{00000000-0005-0000-0000-0000B9010000}"/>
    <cellStyle name="Comma 4 3 2 2" xfId="2078" xr:uid="{3B1150D0-25DE-46B1-949C-6C4C1B810FF7}"/>
    <cellStyle name="Comma 4 3 2 3" xfId="3372" xr:uid="{A56B0D8F-32BE-4465-821A-1C47984E09A6}"/>
    <cellStyle name="Comma 4 3 3" xfId="434" xr:uid="{00000000-0005-0000-0000-0000BA010000}"/>
    <cellStyle name="Comma 4 3 3 2" xfId="2079" xr:uid="{5E07D3C1-8218-4C77-88D4-A90E61EF77B9}"/>
    <cellStyle name="Comma 4 3 3 3" xfId="3373" xr:uid="{AE5AE5D5-3811-4F86-9AD6-9A86989F2135}"/>
    <cellStyle name="Comma 4 3 4" xfId="1056" xr:uid="{1D73065F-D8CF-40AA-AF7A-C16B883515CF}"/>
    <cellStyle name="Comma 4 3 4 2" xfId="2077" xr:uid="{066DF7B2-B53D-4AE8-88E0-7FBF2C628AC7}"/>
    <cellStyle name="Comma 4 3 4 3" xfId="3655" xr:uid="{447A200C-FBE5-4517-93C9-01DD398414AA}"/>
    <cellStyle name="Comma 4 3 5" xfId="2559" xr:uid="{B0BDF92B-C182-4C0A-B83E-293B81D3DE56}"/>
    <cellStyle name="Comma 4 3 5 2" xfId="4520" xr:uid="{F85D0DC8-57FD-4F8D-8B92-C6FC190AA3F6}"/>
    <cellStyle name="Comma 4 3 6" xfId="1453" xr:uid="{8478515A-E045-4FFA-B9EF-128721ECD321}"/>
    <cellStyle name="Comma 4 3 7" xfId="3371" xr:uid="{AAE3FDDE-28F2-4C6A-8585-CBF1D43FAF5A}"/>
    <cellStyle name="Comma 4 4" xfId="435" xr:uid="{00000000-0005-0000-0000-0000BB010000}"/>
    <cellStyle name="Comma 4 4 2" xfId="1725" xr:uid="{72E19770-1A0C-486B-A42A-AA864D2005A9}"/>
    <cellStyle name="Comma 4 4 2 2" xfId="3975" xr:uid="{4F5A180C-C77A-48C3-8211-F4F330E282E4}"/>
    <cellStyle name="Comma 4 4 3" xfId="1454" xr:uid="{F5644BD9-F84C-4BF8-B6A4-08D5BB7A5C31}"/>
    <cellStyle name="Comma 4 4 3 2" xfId="3884" xr:uid="{8552A033-9B92-4687-BBA1-FDF3544A308F}"/>
    <cellStyle name="Comma 4 4 4" xfId="1374" xr:uid="{D960D187-BDD7-460D-960E-1900A4158C28}"/>
    <cellStyle name="Comma 4 4 4 2" xfId="3855" xr:uid="{05B274F5-240C-4E9F-9027-9B91253B5169}"/>
    <cellStyle name="Comma 4 4 5" xfId="3374" xr:uid="{6BA4ADA0-CE63-4D89-90C6-1D1A87743546}"/>
    <cellStyle name="Comma 4 5" xfId="436" xr:uid="{00000000-0005-0000-0000-0000BC010000}"/>
    <cellStyle name="Comma 4 5 2" xfId="2080" xr:uid="{F20F3511-21C8-4BB6-93EF-52869D4B53CE}"/>
    <cellStyle name="Comma 4 5 2 2" xfId="4126" xr:uid="{96D2EA53-AF13-4F98-BE27-D3A42732F2E6}"/>
    <cellStyle name="Comma 4 5 3" xfId="1639" xr:uid="{A20B06D7-F022-4D5D-A479-EB1AF90C5E35}"/>
    <cellStyle name="Comma 4 5 4" xfId="3375" xr:uid="{E7DBDCAE-A250-4FE0-8810-3A835933AB69}"/>
    <cellStyle name="Comma 4 6" xfId="1073" xr:uid="{253DC5EF-006F-4472-9720-22838D1AAEA2}"/>
    <cellStyle name="Comma 4 6 2" xfId="1450" xr:uid="{05ECEB3E-FADD-4133-BB92-D59876608E2D}"/>
    <cellStyle name="Comma 4 6 3" xfId="3665" xr:uid="{6E2E7169-20AD-419C-B579-C262227AD9B1}"/>
    <cellStyle name="Comma 4 7" xfId="1213" xr:uid="{21D13F2B-CE10-40E7-898E-6FE5F870A3B9}"/>
    <cellStyle name="Comma 4 7 2" xfId="3760" xr:uid="{2FE08487-0E5B-49EB-93EF-7146109F5C76}"/>
    <cellStyle name="Comma 4 8" xfId="3367" xr:uid="{19347A1C-F48B-49B3-906B-71EC9854D25C}"/>
    <cellStyle name="Comma 40" xfId="2547" xr:uid="{17EE7140-5CD1-47EC-8119-AA186E5C25EA}"/>
    <cellStyle name="Comma 40 2" xfId="4511" xr:uid="{520024EF-96DB-4CAF-84B2-9B6EDA6F7B6D}"/>
    <cellStyle name="Comma 41" xfId="1037" xr:uid="{0E1D98EF-84AF-48CD-9EB9-4664F8BD070A}"/>
    <cellStyle name="Comma 41 2" xfId="2417" xr:uid="{6EEC5614-F49A-480A-B0CB-3CB1BFA59BE9}"/>
    <cellStyle name="Comma 41 3" xfId="3646" xr:uid="{2185A291-2970-4DDF-9032-658FC984F629}"/>
    <cellStyle name="Comma 42" xfId="2555" xr:uid="{A387BDAA-4092-4623-8ED0-F285DADBA8DF}"/>
    <cellStyle name="Comma 42 2" xfId="4518" xr:uid="{2BB5A7DC-E9BF-4616-9A54-D194FA8EFB5A}"/>
    <cellStyle name="Comma 47" xfId="6624" xr:uid="{E3D71957-BC9B-48A6-8DBF-295037FB409F}"/>
    <cellStyle name="Comma 5" xfId="35" xr:uid="{00000000-0005-0000-0000-00002B000000}"/>
    <cellStyle name="Comma 5 2" xfId="437" xr:uid="{00000000-0005-0000-0000-0000BD010000}"/>
    <cellStyle name="Comma 5 2 2" xfId="438" xr:uid="{00000000-0005-0000-0000-0000BE010000}"/>
    <cellStyle name="Comma 5 2 2 2" xfId="1218" xr:uid="{B14A3993-92C8-4B58-BA68-0573E1EAE7DB}"/>
    <cellStyle name="Comma 5 2 2 2 2" xfId="1644" xr:uid="{06F99F52-DCD5-4C9B-B995-FEACA88C5CCE}"/>
    <cellStyle name="Comma 5 2 2 2 2 2" xfId="3944" xr:uid="{5201DBBE-F37A-4B76-B684-0881E2176FD4}"/>
    <cellStyle name="Comma 5 2 2 2 3" xfId="3765" xr:uid="{37349BD9-46E4-45DA-B7D2-FCD389E84487}"/>
    <cellStyle name="Comma 5 2 2 3" xfId="1643" xr:uid="{6B11F2D6-1DFC-400A-A89A-964555A357B5}"/>
    <cellStyle name="Comma 5 2 2 3 2" xfId="3943" xr:uid="{BBDE2583-030C-4A8C-81B3-920D22267B4D}"/>
    <cellStyle name="Comma 5 2 2 4" xfId="1457" xr:uid="{62EA0900-04F6-44DF-AE2A-A156C48BAFF4}"/>
    <cellStyle name="Comma 5 2 2 4 2" xfId="3886" xr:uid="{FAD89865-26F6-4C86-BCAC-4BFD01ABE441}"/>
    <cellStyle name="Comma 5 2 2 5" xfId="1217" xr:uid="{36F273C8-1099-490A-831D-512F2358CC9A}"/>
    <cellStyle name="Comma 5 2 2 5 2" xfId="3764" xr:uid="{339BAF64-F742-42BB-BFBF-C12469CEB63A}"/>
    <cellStyle name="Comma 5 2 3" xfId="439" xr:uid="{00000000-0005-0000-0000-0000BF010000}"/>
    <cellStyle name="Comma 5 2 3 2" xfId="1645" xr:uid="{4B73A067-13BD-4DBA-A1DD-BDC550DB1B0B}"/>
    <cellStyle name="Comma 5 2 3 2 2" xfId="3945" xr:uid="{D6C742CC-1040-462A-AB9F-73D4DAB63E60}"/>
    <cellStyle name="Comma 5 2 3 3" xfId="2082" xr:uid="{A839F7E5-0F26-4666-8D31-B65929DEE683}"/>
    <cellStyle name="Comma 5 2 3 3 2" xfId="4128" xr:uid="{D5AE13CE-0F04-4E37-8C9E-AC63808F9D33}"/>
    <cellStyle name="Comma 5 2 3 4" xfId="1219" xr:uid="{E26CEB27-AA42-401A-B90D-EC2F56591FF2}"/>
    <cellStyle name="Comma 5 2 3 4 2" xfId="3766" xr:uid="{51C229A1-3DE2-4513-A59F-67F153A88021}"/>
    <cellStyle name="Comma 5 2 3 5" xfId="3377" xr:uid="{D49B6967-85BD-46E9-A8F3-E3B795947A23}"/>
    <cellStyle name="Comma 5 2 4" xfId="1642" xr:uid="{A0D747CA-BFA7-43CE-9348-921EBA6CE557}"/>
    <cellStyle name="Comma 5 2 4 2" xfId="3942" xr:uid="{551840D0-C0A3-46AA-8A85-2C131E2B04E4}"/>
    <cellStyle name="Comma 5 2 5" xfId="1456" xr:uid="{2DBEF6CB-BC8A-4FB0-925B-7D0692912C15}"/>
    <cellStyle name="Comma 5 2 5 2" xfId="3885" xr:uid="{2F928A2B-CC27-40B6-80A6-EA829492C36C}"/>
    <cellStyle name="Comma 5 2 6" xfId="2081" xr:uid="{3CF1E7EA-D0EA-438F-A88E-B320E91F7BB6}"/>
    <cellStyle name="Comma 5 2 6 2" xfId="4127" xr:uid="{97D6893C-D0F4-4432-AE97-AF070F60EC0C}"/>
    <cellStyle name="Comma 5 2 7" xfId="1216" xr:uid="{9AF7D128-9E96-48DC-B29F-DFC63B23F924}"/>
    <cellStyle name="Comma 5 2 7 2" xfId="3763" xr:uid="{4071A211-987B-4BFE-A2EC-4B09C09CF176}"/>
    <cellStyle name="Comma 5 2 8" xfId="3376" xr:uid="{260006B1-5773-4C64-9121-7D258A5B50FE}"/>
    <cellStyle name="Comma 5 3" xfId="440" xr:uid="{00000000-0005-0000-0000-0000C0010000}"/>
    <cellStyle name="Comma 5 3 2" xfId="441" xr:uid="{00000000-0005-0000-0000-0000C1010000}"/>
    <cellStyle name="Comma 5 3 2 2" xfId="1646" xr:uid="{D7F50896-B2B1-4662-8000-F1AFADB0D91C}"/>
    <cellStyle name="Comma 5 3 3" xfId="442" xr:uid="{00000000-0005-0000-0000-0000C2010000}"/>
    <cellStyle name="Comma 5 3 3 2" xfId="2084" xr:uid="{527345B2-6637-4255-B896-14BAA668835C}"/>
    <cellStyle name="Comma 5 3 3 2 2" xfId="4130" xr:uid="{893467F2-F77A-4632-97E6-9E0660DECE16}"/>
    <cellStyle name="Comma 5 3 3 3" xfId="1458" xr:uid="{B65130C9-EA91-4325-A977-84605F8D196B}"/>
    <cellStyle name="Comma 5 3 3 4" xfId="3379" xr:uid="{3BBA11E7-EF19-4879-8E9E-14FCEE70F2BF}"/>
    <cellStyle name="Comma 5 3 4" xfId="2083" xr:uid="{DC7DF8A0-7E7E-4A59-8636-61A984DD42A9}"/>
    <cellStyle name="Comma 5 3 4 2" xfId="4129" xr:uid="{BD4677C6-0537-4AA5-A375-42B4458B4E5D}"/>
    <cellStyle name="Comma 5 3 5" xfId="1220" xr:uid="{E45B9404-322C-476F-A818-864E99A21727}"/>
    <cellStyle name="Comma 5 3 5 2" xfId="3767" xr:uid="{8EE18819-1683-40D5-B905-AA108F4BE92F}"/>
    <cellStyle name="Comma 5 3 6" xfId="3378" xr:uid="{A243ADF6-863F-4CD1-A0F1-6FC4168A7B34}"/>
    <cellStyle name="Comma 5 4" xfId="443" xr:uid="{00000000-0005-0000-0000-0000C3010000}"/>
    <cellStyle name="Comma 5 4 2" xfId="1641" xr:uid="{E8D2F0EC-41BD-4312-9A32-24996FD26014}"/>
    <cellStyle name="Comma 5 5" xfId="444" xr:uid="{00000000-0005-0000-0000-0000C4010000}"/>
    <cellStyle name="Comma 5 5 2" xfId="2085" xr:uid="{3F6ECA50-596F-4312-A71E-A229D130D26A}"/>
    <cellStyle name="Comma 5 5 2 2" xfId="4131" xr:uid="{C3F79875-D546-46B1-BDF2-D52AD819AC12}"/>
    <cellStyle name="Comma 5 5 3" xfId="1455" xr:uid="{46388883-56FF-485D-AA06-CB2A9C032970}"/>
    <cellStyle name="Comma 5 5 4" xfId="3380" xr:uid="{716A757C-C540-4FDD-A3F8-FFAC2A476715}"/>
    <cellStyle name="Comma 5 6" xfId="1075" xr:uid="{7E268696-3AA4-4205-BE08-1184E225E09F}"/>
    <cellStyle name="Comma 5 6 2" xfId="1742" xr:uid="{4C0785C7-09D3-40FF-838A-DC1A1758D3EC}"/>
    <cellStyle name="Comma 5 6 3" xfId="3667" xr:uid="{E23CAB09-D4A3-40D7-807D-17FF6C44A540}"/>
    <cellStyle name="Comma 5 7" xfId="1215" xr:uid="{6EB4EBFB-8987-4247-A535-9A9A54CBCE4A}"/>
    <cellStyle name="Comma 5 7 2" xfId="3762" xr:uid="{9BC485C6-537F-48DE-9CA5-E58A394562F7}"/>
    <cellStyle name="Comma 5 8" xfId="3068" xr:uid="{707060DE-9A01-44A9-B816-A8391CDAFD57}"/>
    <cellStyle name="Comma 58" xfId="1459" xr:uid="{DCB97CEF-2464-4807-81DF-9746C3195891}"/>
    <cellStyle name="Comma 58 2" xfId="3887" xr:uid="{054CA610-11D6-425B-A242-DCEFC6C65A96}"/>
    <cellStyle name="Comma 6" xfId="445" xr:uid="{00000000-0005-0000-0000-0000C5010000}"/>
    <cellStyle name="Comma 6 2" xfId="446" xr:uid="{00000000-0005-0000-0000-0000C6010000}"/>
    <cellStyle name="Comma 6 2 2" xfId="447" xr:uid="{00000000-0005-0000-0000-0000C7010000}"/>
    <cellStyle name="Comma 6 2 2 2" xfId="2088" xr:uid="{87891EF8-B56A-4A71-8717-0DB2AA780A0B}"/>
    <cellStyle name="Comma 6 2 2 2 2" xfId="4134" xr:uid="{E4929EA5-DE6D-461B-947B-AC473570FC7B}"/>
    <cellStyle name="Comma 6 2 2 3" xfId="1649" xr:uid="{A4A56085-2BF8-429F-B93C-79E16C38A73B}"/>
    <cellStyle name="Comma 6 2 2 4" xfId="3383" xr:uid="{C3531BE9-0B0D-40A0-921F-8418812BD336}"/>
    <cellStyle name="Comma 6 2 3" xfId="2087" xr:uid="{32AA92A9-1CDF-4DA0-A3C6-FDCBDF4C99B3}"/>
    <cellStyle name="Comma 6 2 3 2" xfId="4133" xr:uid="{0D874A86-98FA-4316-8E35-AA7B8DA2FF63}"/>
    <cellStyle name="Comma 6 2 4" xfId="1222" xr:uid="{C3E44C66-3E7C-4B20-8C2E-2E76A973E8F4}"/>
    <cellStyle name="Comma 6 2 4 2" xfId="3769" xr:uid="{DF013146-06F6-4128-94AA-8336C579C1A8}"/>
    <cellStyle name="Comma 6 2 5" xfId="3382" xr:uid="{209143AA-5912-4D26-A45E-B3BFF2AD4088}"/>
    <cellStyle name="Comma 6 3" xfId="448" xr:uid="{00000000-0005-0000-0000-0000C8010000}"/>
    <cellStyle name="Comma 6 3 2" xfId="449" xr:uid="{00000000-0005-0000-0000-0000C9010000}"/>
    <cellStyle name="Comma 6 3 2 2" xfId="2090" xr:uid="{06B7C03B-9AC6-45DE-9721-7D670F06652D}"/>
    <cellStyle name="Comma 6 3 2 3" xfId="3385" xr:uid="{73DA22A0-596C-400B-B60D-65CAC4D0F02E}"/>
    <cellStyle name="Comma 6 3 3" xfId="2089" xr:uid="{8C025F70-3A40-42BE-A50B-C505AA0A1ADD}"/>
    <cellStyle name="Comma 6 3 3 2" xfId="4135" xr:uid="{68BBA88D-FCB2-4D85-B6C1-95503FD87E24}"/>
    <cellStyle name="Comma 6 3 4" xfId="1648" xr:uid="{2B1DAC49-36A6-4CE7-8CB7-426CE04C450F}"/>
    <cellStyle name="Comma 6 3 5" xfId="3384" xr:uid="{D064720F-82EC-46E2-9B61-FACBBA70AC2C}"/>
    <cellStyle name="Comma 6 4" xfId="450" xr:uid="{00000000-0005-0000-0000-0000CA010000}"/>
    <cellStyle name="Comma 6 4 2" xfId="2091" xr:uid="{48341044-CC15-4805-BB68-DBE00F3B3BF3}"/>
    <cellStyle name="Comma 6 4 2 2" xfId="4136" xr:uid="{00E3BFFE-C960-43F3-BCE2-C3AE700CDE91}"/>
    <cellStyle name="Comma 6 4 3" xfId="1461" xr:uid="{FAEB1957-C4CC-44C4-99B7-C60AA974C547}"/>
    <cellStyle name="Comma 6 4 4" xfId="3386" xr:uid="{269553B4-1DC2-4D38-B48B-D9AF7C1BE573}"/>
    <cellStyle name="Comma 6 5" xfId="451" xr:uid="{00000000-0005-0000-0000-0000CB010000}"/>
    <cellStyle name="Comma 6 5 2" xfId="2092" xr:uid="{996385C5-CB16-4621-A579-E85BD5FE4B46}"/>
    <cellStyle name="Comma 6 5 3" xfId="3387" xr:uid="{05563B74-8735-40E9-8504-B535F9C4A753}"/>
    <cellStyle name="Comma 6 6" xfId="1053" xr:uid="{88DBEF87-47D1-441C-B40E-AA0DC767EA01}"/>
    <cellStyle name="Comma 6 6 2" xfId="2086" xr:uid="{2F8956EF-DC1E-42D9-987A-ACD6E416D3EB}"/>
    <cellStyle name="Comma 6 6 3" xfId="3653" xr:uid="{C570BB8B-9C27-456B-B650-C9C2363C358D}"/>
    <cellStyle name="Comma 6 7" xfId="2562" xr:uid="{2CDD0F38-660B-453A-83F9-D497F67B3F1B}"/>
    <cellStyle name="Comma 6 7 2" xfId="4521" xr:uid="{647C48A3-CD34-49F8-A4DD-859E2096A53B}"/>
    <cellStyle name="Comma 6 8" xfId="1221" xr:uid="{1B470145-EFF2-4E75-A860-59F9D30CB4FF}"/>
    <cellStyle name="Comma 6 8 2" xfId="3768" xr:uid="{C408BEA4-6018-438E-8709-A661771C90C6}"/>
    <cellStyle name="Comma 6 9" xfId="3381" xr:uid="{87157342-ECA8-47E3-AD37-1E503E7052A9}"/>
    <cellStyle name="Comma 7" xfId="452" xr:uid="{00000000-0005-0000-0000-0000CC010000}"/>
    <cellStyle name="Comma 7 2" xfId="453" xr:uid="{00000000-0005-0000-0000-0000CD010000}"/>
    <cellStyle name="Comma 7 2 2" xfId="454" xr:uid="{00000000-0005-0000-0000-0000CE010000}"/>
    <cellStyle name="Comma 7 2 2 2" xfId="2095" xr:uid="{0CFD2CFF-2870-404E-AB0B-6F485251D19E}"/>
    <cellStyle name="Comma 7 2 2 2 2" xfId="4139" xr:uid="{07DFAFA3-1AD8-42C6-A860-BA67942DAF3B}"/>
    <cellStyle name="Comma 7 2 2 3" xfId="1651" xr:uid="{F07ACE01-C817-4204-A0B3-FEFB8CCF0FC7}"/>
    <cellStyle name="Comma 7 2 2 4" xfId="3390" xr:uid="{F29CD038-563E-427E-9A16-A9C1E3D6CDDC}"/>
    <cellStyle name="Comma 7 2 3" xfId="1463" xr:uid="{3A43D2B5-D01A-49EB-B4FF-5AF0FCCE7889}"/>
    <cellStyle name="Comma 7 2 3 2" xfId="3888" xr:uid="{B392B894-5DE3-42EE-8A24-7C49BE751BE4}"/>
    <cellStyle name="Comma 7 2 4" xfId="2094" xr:uid="{6C071229-E398-410B-AFC4-DBA9B25329C7}"/>
    <cellStyle name="Comma 7 2 4 2" xfId="4138" xr:uid="{99B3FC78-7560-415B-8CBB-B47F95C30569}"/>
    <cellStyle name="Comma 7 2 5" xfId="1224" xr:uid="{6C338DF7-53A3-41D8-9903-586FAF50FC3E}"/>
    <cellStyle name="Comma 7 2 5 2" xfId="3771" xr:uid="{46D7DC4A-DDE5-48A0-8D40-53F41D985D23}"/>
    <cellStyle name="Comma 7 2 6" xfId="3389" xr:uid="{A4C52444-8A9F-4585-8C01-3E937C82FD58}"/>
    <cellStyle name="Comma 7 3" xfId="455" xr:uid="{00000000-0005-0000-0000-0000CF010000}"/>
    <cellStyle name="Comma 7 3 2" xfId="456" xr:uid="{00000000-0005-0000-0000-0000D0010000}"/>
    <cellStyle name="Comma 7 3 2 2" xfId="2097" xr:uid="{27F45FA7-5191-4876-9AFF-FE6F45671FE8}"/>
    <cellStyle name="Comma 7 3 2 3" xfId="3392" xr:uid="{F92C1A8F-A496-45DB-87FF-892E32E0B20E}"/>
    <cellStyle name="Comma 7 3 3" xfId="2096" xr:uid="{CACD4EFD-71A7-4D81-8C5C-EE5D6BF57D59}"/>
    <cellStyle name="Comma 7 3 3 2" xfId="4140" xr:uid="{933DEB77-F13F-4C6C-9E4F-D79B56940A68}"/>
    <cellStyle name="Comma 7 3 4" xfId="1650" xr:uid="{A79DFA79-15E3-4779-8C22-E79DBD3EF716}"/>
    <cellStyle name="Comma 7 3 5" xfId="3391" xr:uid="{3BB16B20-940F-4C7B-88D7-F2798A82340C}"/>
    <cellStyle name="Comma 7 4" xfId="457" xr:uid="{00000000-0005-0000-0000-0000D1010000}"/>
    <cellStyle name="Comma 7 4 2" xfId="2098" xr:uid="{937F313F-57D9-4774-A3D7-D0353C081F24}"/>
    <cellStyle name="Comma 7 4 2 2" xfId="4141" xr:uid="{4439AAA8-0059-468B-9123-70ED1B8E12CD}"/>
    <cellStyle name="Comma 7 4 3" xfId="1462" xr:uid="{259DAC46-412D-44B9-B7CE-C4AD72863068}"/>
    <cellStyle name="Comma 7 4 4" xfId="3393" xr:uid="{88F0881F-B9B3-4D01-9B05-60B6F34ADFBF}"/>
    <cellStyle name="Comma 7 5" xfId="458" xr:uid="{00000000-0005-0000-0000-0000D2010000}"/>
    <cellStyle name="Comma 7 5 2" xfId="2099" xr:uid="{89D520D4-76BA-4918-B043-8A6A906D4654}"/>
    <cellStyle name="Comma 7 5 3" xfId="3394" xr:uid="{6B1C889F-40AF-46F4-AD23-4DC462DA7CD6}"/>
    <cellStyle name="Comma 7 6" xfId="2093" xr:uid="{1976468D-DE8C-4731-91EE-A7F13DC7455C}"/>
    <cellStyle name="Comma 7 6 2" xfId="4137" xr:uid="{7C43BE0F-456B-4A51-84EC-16493F0BC5C8}"/>
    <cellStyle name="Comma 7 7" xfId="1223" xr:uid="{8680B4D1-D809-4AA6-AA37-6DACE8C76408}"/>
    <cellStyle name="Comma 7 7 2" xfId="3770" xr:uid="{2DD344AA-C44C-43C2-BC26-BF99D5030FC3}"/>
    <cellStyle name="Comma 7 8" xfId="3388" xr:uid="{C7CDD65E-0B0C-4B37-B8FB-B68BE15FE3A8}"/>
    <cellStyle name="Comma 8" xfId="459" xr:uid="{00000000-0005-0000-0000-0000D3010000}"/>
    <cellStyle name="Comma 8 2" xfId="460" xr:uid="{00000000-0005-0000-0000-0000D4010000}"/>
    <cellStyle name="Comma 8 2 2" xfId="461" xr:uid="{00000000-0005-0000-0000-0000D5010000}"/>
    <cellStyle name="Comma 8 2 2 2" xfId="2102" xr:uid="{79F65092-96B3-4F6A-946C-640E0437A2C9}"/>
    <cellStyle name="Comma 8 2 2 2 2" xfId="4144" xr:uid="{2CEBA69F-2538-4C6D-87CC-BE8799B221EE}"/>
    <cellStyle name="Comma 8 2 2 3" xfId="1583" xr:uid="{A59C766D-8C15-455D-867B-45A671DF1C62}"/>
    <cellStyle name="Comma 8 2 2 4" xfId="3397" xr:uid="{EF4B91FC-ABC9-4AAE-BB48-394ED6F4ABD4}"/>
    <cellStyle name="Comma 8 2 3" xfId="2101" xr:uid="{B65344F5-2A6C-485F-91A8-6940C7E534E1}"/>
    <cellStyle name="Comma 8 2 3 2" xfId="4143" xr:uid="{49E05302-F597-41D1-8AFC-4A03C38E0974}"/>
    <cellStyle name="Comma 8 2 4" xfId="1147" xr:uid="{495572A8-19CD-4692-A765-5E357D0E097C}"/>
    <cellStyle name="Comma 8 2 4 2" xfId="3705" xr:uid="{86F8D77B-2C9E-4801-B137-AE3DF2C076E3}"/>
    <cellStyle name="Comma 8 2 5" xfId="3396" xr:uid="{DC523658-B2B4-4015-BE4A-765082BBC421}"/>
    <cellStyle name="Comma 8 3" xfId="462" xr:uid="{00000000-0005-0000-0000-0000D6010000}"/>
    <cellStyle name="Comma 8 3 2" xfId="463" xr:uid="{00000000-0005-0000-0000-0000D7010000}"/>
    <cellStyle name="Comma 8 3 2 2" xfId="2104" xr:uid="{FF8B7E64-B4DF-4D14-B2C8-C0E85BE80329}"/>
    <cellStyle name="Comma 8 3 2 3" xfId="3399" xr:uid="{646EC6CA-6884-4039-BFCC-CE03409EAB90}"/>
    <cellStyle name="Comma 8 3 3" xfId="2103" xr:uid="{6344BC8F-1EC9-4099-8DD3-39BECA749BB5}"/>
    <cellStyle name="Comma 8 3 3 2" xfId="4145" xr:uid="{2A3783B3-BBBF-4C60-8711-9AB66C6E8676}"/>
    <cellStyle name="Comma 8 3 4" xfId="1652" xr:uid="{23603764-82C5-4896-BB31-6F74F1FA22A5}"/>
    <cellStyle name="Comma 8 3 5" xfId="3398" xr:uid="{0C901305-4DC8-43E8-B027-892DE5C8E7AA}"/>
    <cellStyle name="Comma 8 4" xfId="464" xr:uid="{00000000-0005-0000-0000-0000D8010000}"/>
    <cellStyle name="Comma 8 4 2" xfId="2105" xr:uid="{6A44C18C-53E0-4A14-9CB4-9195B6BE7012}"/>
    <cellStyle name="Comma 8 4 2 2" xfId="4146" xr:uid="{49484D7A-97E9-47FC-B70C-BAD22BDC5C00}"/>
    <cellStyle name="Comma 8 4 3" xfId="1465" xr:uid="{F5094F6F-7B0E-499B-B204-EC070411630D}"/>
    <cellStyle name="Comma 8 4 4" xfId="3400" xr:uid="{85696DD9-4284-450A-B9F7-4E2E63FA13CD}"/>
    <cellStyle name="Comma 8 5" xfId="465" xr:uid="{00000000-0005-0000-0000-0000D9010000}"/>
    <cellStyle name="Comma 8 5 2" xfId="2106" xr:uid="{07CB28DE-295D-4863-B237-67D5270EA5F0}"/>
    <cellStyle name="Comma 8 5 3" xfId="3401" xr:uid="{E6797762-E50B-4D6C-9254-F36A645EA13D}"/>
    <cellStyle name="Comma 8 6" xfId="2100" xr:uid="{9FBFFC10-95F4-4267-99E7-D68DA70A14C0}"/>
    <cellStyle name="Comma 8 6 2" xfId="4142" xr:uid="{2E21633B-1751-435A-9E1C-5405DDD4862D}"/>
    <cellStyle name="Comma 8 7" xfId="1226" xr:uid="{329BDB29-0C51-4F97-B4AB-9BCAEC43B11E}"/>
    <cellStyle name="Comma 8 7 2" xfId="3772" xr:uid="{7BDDBD96-4343-443B-A4BF-8A199732CD4A}"/>
    <cellStyle name="Comma 8 8" xfId="3395" xr:uid="{08E0E217-651E-4CBE-8359-3B331ECEBF89}"/>
    <cellStyle name="Comma 84" xfId="466" xr:uid="{00000000-0005-0000-0000-0000DA010000}"/>
    <cellStyle name="Comma 84 2" xfId="467" xr:uid="{00000000-0005-0000-0000-0000DB010000}"/>
    <cellStyle name="Comma 84 2 2" xfId="468" xr:uid="{00000000-0005-0000-0000-0000DC010000}"/>
    <cellStyle name="Comma 84 2 2 2" xfId="469" xr:uid="{00000000-0005-0000-0000-0000DD010000}"/>
    <cellStyle name="Comma 84 2 2 2 2" xfId="2110" xr:uid="{B01648B3-D0CF-4001-A78E-5197188AFE2F}"/>
    <cellStyle name="Comma 84 2 2 2 3" xfId="3405" xr:uid="{CD8326ED-853A-4119-9205-5A33B8EB1A76}"/>
    <cellStyle name="Comma 84 2 2 3" xfId="2109" xr:uid="{4CE9A536-10D6-47EE-B41D-C7B342F861E6}"/>
    <cellStyle name="Comma 84 2 2 4" xfId="3404" xr:uid="{D4998CF3-5DB0-4321-B300-ECA6ECE59B69}"/>
    <cellStyle name="Comma 84 2 3" xfId="470" xr:uid="{00000000-0005-0000-0000-0000DE010000}"/>
    <cellStyle name="Comma 84 2 3 2" xfId="471" xr:uid="{00000000-0005-0000-0000-0000DF010000}"/>
    <cellStyle name="Comma 84 2 3 2 2" xfId="2112" xr:uid="{678A4409-21B4-482B-893B-113441F90F5F}"/>
    <cellStyle name="Comma 84 2 3 2 3" xfId="3407" xr:uid="{670C6A3B-0D0F-4E5E-B3C6-D1927E8F3B3B}"/>
    <cellStyle name="Comma 84 2 3 3" xfId="2111" xr:uid="{FB3B1F9A-7C8B-4F01-B8E1-D14DE5D7EE0C}"/>
    <cellStyle name="Comma 84 2 3 4" xfId="3406" xr:uid="{3F76DFDE-3E68-4186-A0D8-9AAC63D6236D}"/>
    <cellStyle name="Comma 84 2 4" xfId="472" xr:uid="{00000000-0005-0000-0000-0000E0010000}"/>
    <cellStyle name="Comma 84 2 4 2" xfId="2113" xr:uid="{D56D1834-E5C9-4C18-9BB3-8C730F43CE4C}"/>
    <cellStyle name="Comma 84 2 4 3" xfId="3408" xr:uid="{03DD4339-0177-4D09-8A15-CA53DE6C37C3}"/>
    <cellStyle name="Comma 84 2 5" xfId="2108" xr:uid="{D54125CF-C601-459A-9CAD-C3ACF7893EFC}"/>
    <cellStyle name="Comma 84 2 6" xfId="3403" xr:uid="{FBF7B694-1688-439C-AEB7-79129702EB72}"/>
    <cellStyle name="Comma 84 3" xfId="473" xr:uid="{00000000-0005-0000-0000-0000E1010000}"/>
    <cellStyle name="Comma 84 3 2" xfId="474" xr:uid="{00000000-0005-0000-0000-0000E2010000}"/>
    <cellStyle name="Comma 84 3 2 2" xfId="2115" xr:uid="{801EB26C-2BB1-4DDE-94AE-8D36E2E52493}"/>
    <cellStyle name="Comma 84 3 2 3" xfId="3410" xr:uid="{2312B6FD-9D31-461A-8726-6D6EEB45024E}"/>
    <cellStyle name="Comma 84 3 3" xfId="2114" xr:uid="{A1EE9579-4326-4A5D-8179-3D5487B369FA}"/>
    <cellStyle name="Comma 84 3 4" xfId="3409" xr:uid="{63CF8776-D2C7-4AF8-89CD-A677141E9B35}"/>
    <cellStyle name="Comma 84 4" xfId="475" xr:uid="{00000000-0005-0000-0000-0000E3010000}"/>
    <cellStyle name="Comma 84 4 2" xfId="2116" xr:uid="{03181B62-74F4-4ECF-9FB8-218678C4A6D4}"/>
    <cellStyle name="Comma 84 4 3" xfId="3411" xr:uid="{0189FDFB-4C47-40BF-A159-12C3F8E8E053}"/>
    <cellStyle name="Comma 84 5" xfId="2107" xr:uid="{06BAAC0B-8483-43EA-BF9C-E830C191E43E}"/>
    <cellStyle name="Comma 84 6" xfId="3402" xr:uid="{D896C5F9-208B-4C85-9EB1-C3B4318F6388}"/>
    <cellStyle name="Comma 9" xfId="476" xr:uid="{00000000-0005-0000-0000-0000E4010000}"/>
    <cellStyle name="Comma 9 2" xfId="477" xr:uid="{00000000-0005-0000-0000-0000E5010000}"/>
    <cellStyle name="Comma 9 2 2" xfId="478" xr:uid="{00000000-0005-0000-0000-0000E6010000}"/>
    <cellStyle name="Comma 9 2 2 2" xfId="2119" xr:uid="{8055A2A1-5C90-40FC-A07A-4F0928847BDC}"/>
    <cellStyle name="Comma 9 2 2 3" xfId="3414" xr:uid="{565A45E1-ED0C-4BB8-B1AC-801ACA8E5E81}"/>
    <cellStyle name="Comma 9 2 3" xfId="2118" xr:uid="{F6942B34-D437-47D3-B262-A38E685CC412}"/>
    <cellStyle name="Comma 9 2 3 2" xfId="4152" xr:uid="{94E1ABE7-8485-40AE-A336-E1895E0C5172}"/>
    <cellStyle name="Comma 9 2 4" xfId="1545" xr:uid="{62735EC8-A094-42E3-8E44-68BAFC60B239}"/>
    <cellStyle name="Comma 9 2 5" xfId="3413" xr:uid="{0108C33D-2E56-4140-9FE5-B67BF5F0BE60}"/>
    <cellStyle name="Comma 9 3" xfId="479" xr:uid="{00000000-0005-0000-0000-0000E7010000}"/>
    <cellStyle name="Comma 9 3 2" xfId="480" xr:uid="{00000000-0005-0000-0000-0000E8010000}"/>
    <cellStyle name="Comma 9 3 2 2" xfId="2121" xr:uid="{BF6C38C0-1411-468E-8A1D-A336A163E339}"/>
    <cellStyle name="Comma 9 3 2 3" xfId="3416" xr:uid="{9C209DEA-89FD-45B3-8B80-F363BB07CC12}"/>
    <cellStyle name="Comma 9 3 3" xfId="2120" xr:uid="{EB30E14E-1C51-468A-B223-4A78F9366E83}"/>
    <cellStyle name="Comma 9 3 4" xfId="3415" xr:uid="{03BC47DE-9786-432F-A39A-00856A174752}"/>
    <cellStyle name="Comma 9 4" xfId="481" xr:uid="{00000000-0005-0000-0000-0000E9010000}"/>
    <cellStyle name="Comma 9 4 2" xfId="2122" xr:uid="{B76E915D-AF99-4D3B-AA86-D2EF9F6C7224}"/>
    <cellStyle name="Comma 9 4 3" xfId="3417" xr:uid="{979A067C-DDE8-4962-AB1C-559817C16C0C}"/>
    <cellStyle name="Comma 9 5" xfId="2117" xr:uid="{5E4F3015-4142-4E89-A9C5-0B176C9D1437}"/>
    <cellStyle name="Comma 9 5 2" xfId="4151" xr:uid="{4C1EAA33-99B1-4BDA-951E-917865EFA2A9}"/>
    <cellStyle name="Comma 9 6" xfId="1466" xr:uid="{A5B560BC-2DAC-4332-AE0F-5C059843827F}"/>
    <cellStyle name="Comma 9 7" xfId="3412" xr:uid="{13409D79-5D18-4BDF-9B00-0CE6097B965F}"/>
    <cellStyle name="comma zerodec" xfId="482" xr:uid="{00000000-0005-0000-0000-0000EA010000}"/>
    <cellStyle name="Comma,0" xfId="483" xr:uid="{00000000-0005-0000-0000-0000EB010000}"/>
    <cellStyle name="Comma,1" xfId="484" xr:uid="{00000000-0005-0000-0000-0000EC010000}"/>
    <cellStyle name="Comma,2" xfId="485" xr:uid="{00000000-0005-0000-0000-0000ED010000}"/>
    <cellStyle name="consultationStyle" xfId="486" xr:uid="{00000000-0005-0000-0000-0000EE010000}"/>
    <cellStyle name="Currency 2" xfId="1067" xr:uid="{AEFE3FDD-D8DE-4B67-93C5-AEDB59C9AB70}"/>
    <cellStyle name="Currency 2 2" xfId="1057" xr:uid="{4F9EE34E-C6B5-4CB0-86BF-7C131EAF9018}"/>
    <cellStyle name="Currency 3" xfId="1065" xr:uid="{0AA2B396-A5FD-4EA7-81D1-BB531A744684}"/>
    <cellStyle name="Currency 4" xfId="1069" xr:uid="{D8A9D00A-150B-4479-A420-5A3683E4793C}"/>
    <cellStyle name="Currency 4 2" xfId="1079" xr:uid="{9981BDAC-4257-40AF-8F8F-86AFAD66C4AA}"/>
    <cellStyle name="Currency 5" xfId="1076" xr:uid="{C7653744-0663-441C-90B4-2E15F3C3CCE1}"/>
    <cellStyle name="Currency 6" xfId="1058" xr:uid="{95CA02AD-347B-433C-95C8-17E1D94AFE59}"/>
    <cellStyle name="Currency 9" xfId="1090" xr:uid="{15595568-5C55-4FE1-BE23-315C3212D701}"/>
    <cellStyle name="Currency,0" xfId="487" xr:uid="{00000000-0005-0000-0000-0000EF010000}"/>
    <cellStyle name="Currency,2" xfId="488" xr:uid="{00000000-0005-0000-0000-0000F0010000}"/>
    <cellStyle name="Currency1" xfId="489" xr:uid="{00000000-0005-0000-0000-0000F1010000}"/>
    <cellStyle name="dataStyle" xfId="490" xr:uid="{00000000-0005-0000-0000-0000F2010000}"/>
    <cellStyle name="dataStyle 10" xfId="2739" xr:uid="{84DEDE67-89B9-415F-89F7-093D605ECC35}"/>
    <cellStyle name="dataStyle 2" xfId="491" xr:uid="{00000000-0005-0000-0000-0000F3010000}"/>
    <cellStyle name="dataStyle 2 2" xfId="492" xr:uid="{00000000-0005-0000-0000-0000F4010000}"/>
    <cellStyle name="dataStyle 2 2 2" xfId="2125" xr:uid="{B134329A-0A1A-47B6-9ADA-7823F84B5C76}"/>
    <cellStyle name="dataStyle 2 2 2 2" xfId="4156" xr:uid="{B49844A0-ECFA-4D37-AFAC-5F44F61893E9}"/>
    <cellStyle name="dataStyle 2 2 2 2 2" xfId="5682" xr:uid="{46A4B60C-A11A-4B80-8492-556250F28F60}"/>
    <cellStyle name="dataStyle 2 2 2 2 3" xfId="6040" xr:uid="{7C8778C4-5440-45E3-8509-632153263E95}"/>
    <cellStyle name="dataStyle 2 2 2 3" xfId="4607" xr:uid="{0F0119E2-7D08-4FEA-AC29-300724E94A3C}"/>
    <cellStyle name="dataStyle 2 2 2 4" xfId="4872" xr:uid="{5B6D0D60-3C2D-4A1B-B11C-3D8306804267}"/>
    <cellStyle name="dataStyle 2 2 2 5" xfId="5442" xr:uid="{031E25D5-2C4B-40C1-A2C3-DBA13006DFD6}"/>
    <cellStyle name="dataStyle 2 2 2 6" xfId="6025" xr:uid="{CC574A56-6DFF-4977-AAC5-E8179E556D97}"/>
    <cellStyle name="dataStyle 2 2 3" xfId="1468" xr:uid="{FA382D93-73B4-434F-8B91-AA05C304A26C}"/>
    <cellStyle name="dataStyle 2 2 3 2" xfId="5455" xr:uid="{28D5D22D-3EAD-42B5-ABE1-736ADB3205A8}"/>
    <cellStyle name="dataStyle 2 2 3 3" xfId="5573" xr:uid="{7BCF3F0A-F72E-4803-9132-429CD9B72D99}"/>
    <cellStyle name="dataStyle 2 2 4" xfId="3420" xr:uid="{687E5B67-67B6-44B9-9654-7F8C0D3F384A}"/>
    <cellStyle name="dataStyle 2 2 4 2" xfId="4894" xr:uid="{E8911CEA-6D92-4B9A-81E0-EF3213AE8045}"/>
    <cellStyle name="dataStyle 2 2 4 3" xfId="4090" xr:uid="{B77B1FE6-C0A2-4B22-8168-452A0B28D5C4}"/>
    <cellStyle name="dataStyle 2 2 5" xfId="5319" xr:uid="{1C25D8B0-F4A7-4198-882F-C50A6C01E972}"/>
    <cellStyle name="dataStyle 2 2 6" xfId="5333" xr:uid="{C8D0EBED-A325-4D9D-9615-9CF06DD59C1C}"/>
    <cellStyle name="dataStyle 2 2 7" xfId="4730" xr:uid="{6ECB3954-2117-4BA6-8FB2-84781082D2CB}"/>
    <cellStyle name="dataStyle 2 2 8" xfId="2767" xr:uid="{33813E3B-1D2C-42BB-838E-483812E163F3}"/>
    <cellStyle name="dataStyle 2 3" xfId="2124" xr:uid="{C167F2A7-0C4D-4643-B6EF-E2131EF5BC2E}"/>
    <cellStyle name="dataStyle 2 3 2" xfId="4155" xr:uid="{C5CC08C4-60C9-4742-880E-EECC388D2B5D}"/>
    <cellStyle name="dataStyle 2 3 2 2" xfId="5681" xr:uid="{87C35D4F-BB23-4025-B3CD-3D064FEDC365}"/>
    <cellStyle name="dataStyle 2 3 2 3" xfId="6039" xr:uid="{CEB86342-0546-474C-A6D0-263789AC81C8}"/>
    <cellStyle name="dataStyle 2 3 3" xfId="4606" xr:uid="{1888EFB9-B9AF-408C-AA0C-36332B34E8A4}"/>
    <cellStyle name="dataStyle 2 3 4" xfId="3946" xr:uid="{256332FF-9C3B-4B5E-89C7-13739716BE2E}"/>
    <cellStyle name="dataStyle 2 3 5" xfId="4935" xr:uid="{979E0A11-771F-4E04-A6DF-2A43232B3E02}"/>
    <cellStyle name="dataStyle 2 3 6" xfId="6447" xr:uid="{B7361521-7CC6-4E94-99A3-B7D9B421ECB6}"/>
    <cellStyle name="dataStyle 2 4" xfId="1467" xr:uid="{622BBD25-A6E7-488F-8C13-7560AD96E023}"/>
    <cellStyle name="dataStyle 2 4 2" xfId="5454" xr:uid="{8B493B85-AA0E-452D-B2A8-2D163C14FC62}"/>
    <cellStyle name="dataStyle 2 4 3" xfId="4828" xr:uid="{1AF61790-CCF3-47B5-84F3-217751B5C9B3}"/>
    <cellStyle name="dataStyle 2 5" xfId="3419" xr:uid="{A12D4F9E-D0FA-4578-8C75-017AE208A019}"/>
    <cellStyle name="dataStyle 2 5 2" xfId="4893" xr:uid="{9599B224-B051-44DA-920C-18EAFF612840}"/>
    <cellStyle name="dataStyle 2 5 3" xfId="2880" xr:uid="{1FED7AF0-728C-4C1B-945C-C0A7933EE49B}"/>
    <cellStyle name="dataStyle 2 6" xfId="5140" xr:uid="{C64D9E25-61DD-4659-8613-8A5B2DFF10EE}"/>
    <cellStyle name="dataStyle 2 7" xfId="5387" xr:uid="{4E83FD65-FEC8-432A-80D4-BF7E6E906EA2}"/>
    <cellStyle name="dataStyle 2 8" xfId="5321" xr:uid="{FA0E4E2A-6857-4223-ACF6-D92A8AA7DB35}"/>
    <cellStyle name="dataStyle 2 9" xfId="5224" xr:uid="{2DA43426-F028-4CC2-B60F-F10B1BA34883}"/>
    <cellStyle name="dataStyle 3" xfId="493" xr:uid="{00000000-0005-0000-0000-0000F5010000}"/>
    <cellStyle name="dataStyle 3 2" xfId="494" xr:uid="{00000000-0005-0000-0000-0000F6010000}"/>
    <cellStyle name="dataStyle 3 2 2" xfId="2127" xr:uid="{1DC14C30-D607-4E00-AD9B-895A67D8B14B}"/>
    <cellStyle name="dataStyle 3 2 2 2" xfId="4158" xr:uid="{845AB633-B25E-448A-AAB3-9AB743C6E99D}"/>
    <cellStyle name="dataStyle 3 2 2 2 2" xfId="5684" xr:uid="{FA1AA769-BC6E-4CDF-8933-116ACD47F7AD}"/>
    <cellStyle name="dataStyle 3 2 2 2 3" xfId="6042" xr:uid="{3228949D-197E-47C3-9118-913617DF7625}"/>
    <cellStyle name="dataStyle 3 2 2 3" xfId="4609" xr:uid="{F40C4A05-09C5-4C09-BAF9-0F02820ACDEB}"/>
    <cellStyle name="dataStyle 3 2 2 4" xfId="5281" xr:uid="{67C87EA9-BC4F-4C44-B1A3-44FD0EE12229}"/>
    <cellStyle name="dataStyle 3 2 2 5" xfId="5363" xr:uid="{0ECD5E7F-4705-4C6D-8618-65E9326724F3}"/>
    <cellStyle name="dataStyle 3 2 2 6" xfId="6472" xr:uid="{6055F239-B46C-4215-9B15-A75428B7C895}"/>
    <cellStyle name="dataStyle 3 2 3" xfId="1470" xr:uid="{A22CD999-9AF8-4917-8DF4-F807D39997B1}"/>
    <cellStyle name="dataStyle 3 2 3 2" xfId="5457" xr:uid="{D3741BCB-9C99-4C47-A2D0-4F52F6100333}"/>
    <cellStyle name="dataStyle 3 2 3 3" xfId="5574" xr:uid="{13E0D959-4545-47B0-BD4C-74625D25E005}"/>
    <cellStyle name="dataStyle 3 2 4" xfId="3422" xr:uid="{70AA13C5-B4C0-43B0-A113-2328A08A344D}"/>
    <cellStyle name="dataStyle 3 2 4 2" xfId="4896" xr:uid="{D2F7618B-4C00-4FF7-ADD0-6581CC3D7182}"/>
    <cellStyle name="dataStyle 3 2 4 3" xfId="5195" xr:uid="{8C487DC8-4C4D-40BF-B585-1CEE3D42F21F}"/>
    <cellStyle name="dataStyle 3 2 5" xfId="2758" xr:uid="{DFA6ECDE-AC84-4885-8D54-5394B5E345CA}"/>
    <cellStyle name="dataStyle 3 2 6" xfId="5337" xr:uid="{9EFDE356-BD96-46D3-9BD1-B5A5F1E61AF9}"/>
    <cellStyle name="dataStyle 3 2 7" xfId="5584" xr:uid="{F4B04761-6B64-4C29-9ACF-EBC928AEDCB6}"/>
    <cellStyle name="dataStyle 3 2 8" xfId="5216" xr:uid="{7E912623-96D4-4CF3-B48B-03898B49A3B7}"/>
    <cellStyle name="dataStyle 3 3" xfId="2126" xr:uid="{796C4C6C-FB86-4899-B524-8DB9A1C6E228}"/>
    <cellStyle name="dataStyle 3 3 2" xfId="4157" xr:uid="{62D8316A-8BFF-412B-B3CF-C4E013628367}"/>
    <cellStyle name="dataStyle 3 3 2 2" xfId="5683" xr:uid="{1642149A-AF33-4851-BBC6-E56E041C5880}"/>
    <cellStyle name="dataStyle 3 3 2 3" xfId="6041" xr:uid="{128CDD55-A627-4766-87FB-AF264A97D144}"/>
    <cellStyle name="dataStyle 3 3 3" xfId="4608" xr:uid="{02B23E7D-B1CF-435C-B429-6DA3ED5BF9EE}"/>
    <cellStyle name="dataStyle 3 3 4" xfId="5022" xr:uid="{D3A161CF-48CA-47AA-A11D-62EB64BA1C82}"/>
    <cellStyle name="dataStyle 3 3 5" xfId="5290" xr:uid="{7ADABB51-0F05-42A0-BED7-AB34BEBA9064}"/>
    <cellStyle name="dataStyle 3 3 6" xfId="5445" xr:uid="{E58EBA3B-BA40-4FD3-A7BA-5EF9501D620A}"/>
    <cellStyle name="dataStyle 3 4" xfId="1469" xr:uid="{01F68FF8-2E74-4EE2-AE1F-F79634EDE913}"/>
    <cellStyle name="dataStyle 3 4 2" xfId="5456" xr:uid="{A1758EFE-7102-4625-ADCC-44A65550362C}"/>
    <cellStyle name="dataStyle 3 4 3" xfId="5052" xr:uid="{FB3C4007-CC20-4D91-ADE7-217E98B1653B}"/>
    <cellStyle name="dataStyle 3 5" xfId="3421" xr:uid="{635F9EEF-5747-43DE-9829-C2672C91D0E8}"/>
    <cellStyle name="dataStyle 3 5 2" xfId="4895" xr:uid="{DB65AD64-A6E7-4947-A9DA-1DCF59894FDE}"/>
    <cellStyle name="dataStyle 3 5 3" xfId="4799" xr:uid="{84E02CCD-262A-4C7F-976A-315CB36D68F7}"/>
    <cellStyle name="dataStyle 3 6" xfId="4653" xr:uid="{B949DE03-FD90-43B9-89F3-85B025AFD7A3}"/>
    <cellStyle name="dataStyle 3 7" xfId="4712" xr:uid="{4AAD7C08-FC7E-429E-A445-FD2808AE5369}"/>
    <cellStyle name="dataStyle 3 8" xfId="5343" xr:uid="{4713E177-370F-4E9B-BB37-29889987DE91}"/>
    <cellStyle name="dataStyle 3 9" xfId="5568" xr:uid="{5F057A34-87CA-425D-97D6-9581A2421137}"/>
    <cellStyle name="dataStyle 4" xfId="495" xr:uid="{00000000-0005-0000-0000-0000F7010000}"/>
    <cellStyle name="dataStyle 4 2" xfId="2128" xr:uid="{D0146108-517C-4A4F-AEE5-ADF6608551ED}"/>
    <cellStyle name="dataStyle 4 2 2" xfId="5685" xr:uid="{0B9BD9CB-45FE-4175-A3BC-1D35E64F33C4}"/>
    <cellStyle name="dataStyle 4 2 3" xfId="6043" xr:uid="{B9F1B88D-E966-4009-B207-EE892E2FE0B2}"/>
    <cellStyle name="dataStyle 4 3" xfId="3423" xr:uid="{FEC6CADA-7DA0-4AA7-875B-7BA124D24F25}"/>
    <cellStyle name="dataStyle 4 3 2" xfId="4897" xr:uid="{9BC4B664-8AB7-40A4-B74C-A5C175965A12}"/>
    <cellStyle name="dataStyle 4 3 3" xfId="4803" xr:uid="{FF7801FB-C4C7-4208-90D2-7F054532B7E1}"/>
    <cellStyle name="dataStyle 4 4" xfId="4610" xr:uid="{4A4B851F-962E-42FF-8F3A-4BA0B70BA7B3}"/>
    <cellStyle name="dataStyle 4 5" xfId="4588" xr:uid="{07FFA03B-FC5A-4DB1-AC0F-BE4B51DB9411}"/>
    <cellStyle name="dataStyle 4 6" xfId="2201" xr:uid="{5818EC37-AC8F-4AF6-8B76-B8563E792EB0}"/>
    <cellStyle name="dataStyle 4 7" xfId="5714" xr:uid="{F0E88D19-9AC1-4A4C-A03F-2CF9A9454745}"/>
    <cellStyle name="dataStyle 5" xfId="2123" xr:uid="{A5630E95-BBCB-4C81-822C-6F786EB3F764}"/>
    <cellStyle name="dataStyle 5 2" xfId="5680" xr:uid="{578329B9-9052-4DE9-B528-A9E2A1A6C47B}"/>
    <cellStyle name="dataStyle 5 3" xfId="6038" xr:uid="{7F85B529-BD0C-4C91-A5B2-402A1EF90ED6}"/>
    <cellStyle name="dataStyle 6" xfId="3418" xr:uid="{A4798E5E-E9A6-4DCE-99D1-42C9A5B37D1C}"/>
    <cellStyle name="dataStyle 6 2" xfId="4892" xr:uid="{65816C91-FCD9-4240-8006-F1EA12541127}"/>
    <cellStyle name="dataStyle 6 3" xfId="2796" xr:uid="{47F2C5D9-96CD-4E55-B053-E6763C6FBACE}"/>
    <cellStyle name="dataStyle 7" xfId="4605" xr:uid="{6640374C-64A0-4EBA-BB77-22299A64BC31}"/>
    <cellStyle name="dataStyle 8" xfId="4048" xr:uid="{29BA15FE-A1B0-4578-BECC-0E61AA044355}"/>
    <cellStyle name="dataStyle 9" xfId="5241" xr:uid="{EC61740C-8F5D-43D9-9EF9-4557A35A8801}"/>
    <cellStyle name="dateStyle" xfId="496" xr:uid="{00000000-0005-0000-0000-0000F8010000}"/>
    <cellStyle name="dateStyle 2" xfId="497" xr:uid="{00000000-0005-0000-0000-0000F9010000}"/>
    <cellStyle name="dateStyle 2 2" xfId="2130" xr:uid="{968CBF44-B113-41F8-ADB9-A19B3EA53DA6}"/>
    <cellStyle name="dateStyle 2 2 2" xfId="5687" xr:uid="{005020B3-E6FB-4F6A-8C6E-7F97EC6078DD}"/>
    <cellStyle name="dateStyle 2 2 3" xfId="6045" xr:uid="{B8349BE5-56BC-479A-9672-C7004B9A69CA}"/>
    <cellStyle name="dateStyle 2 3" xfId="3425" xr:uid="{4D6FBBD0-FB5B-4CD3-887B-4A26AF1B04E8}"/>
    <cellStyle name="dateStyle 2 3 2" xfId="4899" xr:uid="{1C098544-9115-42B5-BC3B-6816BB1614FD}"/>
    <cellStyle name="dateStyle 2 3 3" xfId="1138" xr:uid="{DD5CB749-06F1-45A1-80CA-CB0599B0FD1F}"/>
    <cellStyle name="dateStyle 2 4" xfId="4612" xr:uid="{5EC5C92A-5451-4DD6-89DF-C67E2F0B00C4}"/>
    <cellStyle name="dateStyle 2 5" xfId="2766" xr:uid="{7E372CD3-C91B-4594-AD18-00C6C796ECE2}"/>
    <cellStyle name="dateStyle 2 6" xfId="4555" xr:uid="{3937952C-600B-41A4-A598-8E4D147922E4}"/>
    <cellStyle name="dateStyle 2 7" xfId="2595" xr:uid="{23DB4D28-60B1-46F8-B6FE-8AA1619104E4}"/>
    <cellStyle name="dateStyle 3" xfId="2129" xr:uid="{207729BF-3BA0-4106-86A2-EF821B4CA0E1}"/>
    <cellStyle name="dateStyle 3 2" xfId="5686" xr:uid="{DD4F7195-F844-4DB8-B247-26D715BC4D5F}"/>
    <cellStyle name="dateStyle 3 3" xfId="6044" xr:uid="{44B91AE0-F0BB-49DD-A8DB-E3068197DB30}"/>
    <cellStyle name="dateStyle 4" xfId="3424" xr:uid="{29E2A5FC-538C-476A-BDC8-0E79915AA52B}"/>
    <cellStyle name="dateStyle 4 2" xfId="4898" xr:uid="{575996D0-9665-4E3F-BA90-A7C165F60C70}"/>
    <cellStyle name="dateStyle 4 3" xfId="5200" xr:uid="{45483FE7-C0B2-47C7-94C0-E1EE6168F4FE}"/>
    <cellStyle name="dateStyle 5" xfId="4611" xr:uid="{76ED79A3-4129-4F91-969D-18927A27135A}"/>
    <cellStyle name="dateStyle 6" xfId="5082" xr:uid="{1D77BB1D-2405-4975-817E-974851128639}"/>
    <cellStyle name="dateStyle 7" xfId="4979" xr:uid="{EC5060DB-BDC6-4DC7-ACB5-DFEB348C5CC1}"/>
    <cellStyle name="dateStyle 8" xfId="6449" xr:uid="{62161426-A0E6-4372-B4D4-41E66C49D881}"/>
    <cellStyle name="Dollar (zero dec)" xfId="498" xr:uid="{00000000-0005-0000-0000-0000FA010000}"/>
    <cellStyle name="entry" xfId="499" xr:uid="{00000000-0005-0000-0000-0000FB010000}"/>
    <cellStyle name="entry box" xfId="500" xr:uid="{00000000-0005-0000-0000-0000FC010000}"/>
    <cellStyle name="entry box 2" xfId="501" xr:uid="{00000000-0005-0000-0000-0000FD010000}"/>
    <cellStyle name="entry box 2 2" xfId="2132" xr:uid="{C1FA1A0D-21F9-41CF-B395-4E3C143E9932}"/>
    <cellStyle name="entry box 2 2 2" xfId="4160" xr:uid="{355B5E69-0D32-4572-8A4D-587C1F81CFF8}"/>
    <cellStyle name="entry box 2 2 2 2" xfId="5689" xr:uid="{A7A52A2F-72FB-4602-B00E-352AA062D8A0}"/>
    <cellStyle name="entry box 2 2 2 3" xfId="6047" xr:uid="{49424825-B107-4D3C-AAB9-266C6E7E0BB4}"/>
    <cellStyle name="entry box 2 2 3" xfId="4614" xr:uid="{911FE397-8C39-4013-94F6-495EFA4B1E7E}"/>
    <cellStyle name="entry box 2 2 4" xfId="2206" xr:uid="{F4A808A1-10B8-4386-BFA8-25FD84045E17}"/>
    <cellStyle name="entry box 2 2 5" xfId="5327" xr:uid="{3791E94F-8C9D-40F2-85AC-A582489272E5}"/>
    <cellStyle name="entry box 2 2 6" xfId="6471" xr:uid="{63DA0910-11C1-47E1-85AF-4E950557AA62}"/>
    <cellStyle name="entry box 2 3" xfId="1653" xr:uid="{C22C8712-07FE-46A1-88EC-334E1A59ABCB}"/>
    <cellStyle name="entry box 2 3 2" xfId="5508" xr:uid="{FF8E1148-E07C-4B54-8EA2-794CF7060729}"/>
    <cellStyle name="entry box 2 3 3" xfId="4729" xr:uid="{447E6B55-C410-4086-88C3-A77D31E4794E}"/>
    <cellStyle name="entry box 2 4" xfId="3427" xr:uid="{198510CF-C550-449F-98DC-90FB7129777C}"/>
    <cellStyle name="entry box 2 4 2" xfId="4901" xr:uid="{3AA01D4D-1D4B-47CE-AB2B-053E775297B7}"/>
    <cellStyle name="entry box 2 4 3" xfId="5198" xr:uid="{6A0CF420-F887-47FE-8E39-72892A71454D}"/>
    <cellStyle name="entry box 2 5" xfId="4869" xr:uid="{1361AB09-0B5A-4F30-A32B-84E4B946B7E8}"/>
    <cellStyle name="entry box 2 6" xfId="5429" xr:uid="{B077A3AE-BD72-4731-8F3B-A7D10EEABA23}"/>
    <cellStyle name="entry box 3" xfId="2131" xr:uid="{1748A71D-6002-4AAD-A135-41E1543F9633}"/>
    <cellStyle name="entry box 3 2" xfId="4159" xr:uid="{0F73C1F0-C11C-466D-9361-8C83532129F8}"/>
    <cellStyle name="entry box 3 2 2" xfId="5688" xr:uid="{3D5DB7F0-04E8-4EA9-A95A-4E3956B18819}"/>
    <cellStyle name="entry box 3 2 3" xfId="6046" xr:uid="{0D4E1F7B-51A9-4A3C-9D33-98351C1D6924}"/>
    <cellStyle name="entry box 3 3" xfId="4613" xr:uid="{8C1E2D2B-BCE6-4715-A6DA-BBC9D5BC9185}"/>
    <cellStyle name="entry box 3 4" xfId="5131" xr:uid="{374841F5-B837-4A03-9F43-787D90C61653}"/>
    <cellStyle name="entry box 3 5" xfId="4569" xr:uid="{931F6637-4446-4DF6-ACC0-59D7C132C41C}"/>
    <cellStyle name="entry box 3 6" xfId="5657" xr:uid="{6976F8D5-5825-4AD4-A673-F4577F13C1DC}"/>
    <cellStyle name="entry box 4" xfId="1233" xr:uid="{5EA2E066-AA8F-4CEF-823F-DFDC495008D7}"/>
    <cellStyle name="entry box 4 2" xfId="2631" xr:uid="{6236D7BB-7BD3-4790-A31A-4F43BFB712A0}"/>
    <cellStyle name="entry box 4 3" xfId="5500" xr:uid="{1B9A5220-ACD2-471C-BDC7-F078AE05CEA2}"/>
    <cellStyle name="entry box 5" xfId="3426" xr:uid="{407C791C-FD04-42BC-8341-B1D68906C065}"/>
    <cellStyle name="entry box 5 2" xfId="4900" xr:uid="{DA32E9E9-5A66-4000-9CBD-16A822609292}"/>
    <cellStyle name="entry box 5 3" xfId="4801" xr:uid="{6F08AEAB-7A86-48F3-A2C1-70FC6517FA0F}"/>
    <cellStyle name="Euro" xfId="502" xr:uid="{00000000-0005-0000-0000-0000FE010000}"/>
    <cellStyle name="Euro 2" xfId="1235" xr:uid="{98F17805-9F69-48B0-B796-D7127677DA70}"/>
    <cellStyle name="Euro 2 2" xfId="1655" xr:uid="{44DE0DFC-8D2D-4ABA-8030-CE1F0365B0AA}"/>
    <cellStyle name="Euro 3" xfId="1654" xr:uid="{4A9F5230-4BAD-4C6C-9C19-568D02AB2DD5}"/>
    <cellStyle name="evenStyle" xfId="503" xr:uid="{00000000-0005-0000-0000-0000FF010000}"/>
    <cellStyle name="evenStyle 2" xfId="504" xr:uid="{00000000-0005-0000-0000-000000020000}"/>
    <cellStyle name="evenStyle 2 2" xfId="2134" xr:uid="{B4885663-8D91-4CCB-A4D9-3AECDC987064}"/>
    <cellStyle name="evenStyle 2 2 2" xfId="5691" xr:uid="{79F50211-28B0-47DF-A281-A2B2F345621D}"/>
    <cellStyle name="evenStyle 2 2 3" xfId="6049" xr:uid="{DE44670B-B744-4A5E-94EE-C11C8A413FF0}"/>
    <cellStyle name="evenStyle 2 3" xfId="3429" xr:uid="{BAF6994C-1428-4C84-9EAB-F291BB626DFA}"/>
    <cellStyle name="evenStyle 2 3 2" xfId="4903" xr:uid="{98336FEE-0586-486F-8C85-C7B9A3301A3F}"/>
    <cellStyle name="evenStyle 2 3 3" xfId="5199" xr:uid="{BA47D97F-4528-4B62-A90C-E8F9207CD73F}"/>
    <cellStyle name="evenStyle 2 4" xfId="4616" xr:uid="{60DF07A9-1B50-43E1-93A3-CC1CB358658D}"/>
    <cellStyle name="evenStyle 2 5" xfId="5025" xr:uid="{5FF3BCC6-9501-4F35-8E8E-1553391D5246}"/>
    <cellStyle name="evenStyle 2 6" xfId="5212" xr:uid="{55F0600A-D959-408B-956E-A96C258AF388}"/>
    <cellStyle name="evenStyle 2 7" xfId="6448" xr:uid="{45083347-9502-4A0D-AE48-F9683477C78E}"/>
    <cellStyle name="evenStyle 3" xfId="2133" xr:uid="{BEE2378D-2A9C-4F89-AA2D-13A1804DFF2E}"/>
    <cellStyle name="evenStyle 3 2" xfId="5690" xr:uid="{12009612-B9EA-4C06-971A-C3E8CD2295FF}"/>
    <cellStyle name="evenStyle 3 3" xfId="6048" xr:uid="{88FCFA3C-506E-479B-959A-9CE3BCDBBAB6}"/>
    <cellStyle name="evenStyle 4" xfId="3428" xr:uid="{C2F2FF5D-1E75-46F7-8404-801648F2D296}"/>
    <cellStyle name="evenStyle 4 2" xfId="4902" xr:uid="{59DFCD3F-C567-42EC-B88B-56448F3AD82C}"/>
    <cellStyle name="evenStyle 4 3" xfId="4802" xr:uid="{9E738A5A-9055-45D1-BA7C-AE890F8DD882}"/>
    <cellStyle name="evenStyle 5" xfId="4615" xr:uid="{71FCD483-737D-4D8D-B271-DF5A219BBB6D}"/>
    <cellStyle name="evenStyle 6" xfId="4873" xr:uid="{3E0C40FC-96A1-47C6-82A5-DB346F98BD1F}"/>
    <cellStyle name="evenStyle 7" xfId="5854" xr:uid="{4EF0269A-E7BF-48E7-98C2-08F78381DC08}"/>
    <cellStyle name="evenStyle 8" xfId="6018" xr:uid="{8F55647F-8FC4-468C-9012-5EB56DD7D258}"/>
    <cellStyle name="Good 2" xfId="505" xr:uid="{00000000-0005-0000-0000-000001020000}"/>
    <cellStyle name="Good 2 2" xfId="506" xr:uid="{00000000-0005-0000-0000-000002020000}"/>
    <cellStyle name="Good 2 2 2" xfId="2135" xr:uid="{2AC1C00A-3D66-4DCA-AF6B-5AC7C11803B8}"/>
    <cellStyle name="Good 2 2 3" xfId="1647" xr:uid="{E05F7305-8330-448E-B029-8F948A340EDA}"/>
    <cellStyle name="Good 2 3" xfId="507" xr:uid="{00000000-0005-0000-0000-000003020000}"/>
    <cellStyle name="Good 3" xfId="508" xr:uid="{00000000-0005-0000-0000-000004020000}"/>
    <cellStyle name="Good 4" xfId="509" xr:uid="{00000000-0005-0000-0000-000005020000}"/>
    <cellStyle name="Grey" xfId="510" xr:uid="{00000000-0005-0000-0000-000006020000}"/>
    <cellStyle name="HEADER" xfId="511" xr:uid="{00000000-0005-0000-0000-000007020000}"/>
    <cellStyle name="Header1" xfId="512" xr:uid="{00000000-0005-0000-0000-000008020000}"/>
    <cellStyle name="Header1 2" xfId="1656" xr:uid="{99B71076-052C-4137-BE51-0A8077FC2D38}"/>
    <cellStyle name="Header1 2 2" xfId="2680" xr:uid="{F942009A-BCBA-4507-BC33-0A5CD7FE1B94}"/>
    <cellStyle name="Header1 2 2 2" xfId="5411" xr:uid="{3190E2BF-894E-4D42-9EFE-4B5249C930D5}"/>
    <cellStyle name="Header1 2 2 3" xfId="6006" xr:uid="{B340FA31-AB8F-4835-ABA2-621AD9060280}"/>
    <cellStyle name="Header1 2 2 4" xfId="6345" xr:uid="{93A57E22-0717-4FDC-B488-2D3473A38055}"/>
    <cellStyle name="Header1 2 2 5" xfId="6498" xr:uid="{D07306F7-4CC3-4DC7-B96F-92280C6D5DE4}"/>
    <cellStyle name="Header1 2 3" xfId="3948" xr:uid="{870A0D23-F14F-4733-BE3C-D49C3D272A6A}"/>
    <cellStyle name="Header1 2 3 2" xfId="5137" xr:uid="{3932B442-A393-4B28-891D-74C00D799CF6}"/>
    <cellStyle name="Header1 2 3 3" xfId="5509" xr:uid="{796C6F34-4903-4565-9D46-2D56514197F9}"/>
    <cellStyle name="Header1 2 3 4" xfId="4829" xr:uid="{C16EFAE2-5C0B-4E1E-9232-0741085A8071}"/>
    <cellStyle name="Header1 2 3 5" xfId="6353" xr:uid="{3E5D55C0-400D-4192-90DE-80CA17F6E0EA}"/>
    <cellStyle name="Header1 2 4" xfId="5264" xr:uid="{621EAD75-92EC-4D7F-B022-36A3CEDE4434}"/>
    <cellStyle name="Header1 3" xfId="1728" xr:uid="{F9986CE6-4364-4FBB-A476-BCED50F4E48B}"/>
    <cellStyle name="Header1 3 2" xfId="3977" xr:uid="{7E5B05A2-486E-45D7-B987-4851A93F3D47}"/>
    <cellStyle name="Header1 3 2 2" xfId="5149" xr:uid="{BA25D7D7-83CA-449E-9054-FC31077DFEF0}"/>
    <cellStyle name="Header1 3 2 3" xfId="5529" xr:uid="{4E723B58-F736-42EC-BC23-78BCD7C64601}"/>
    <cellStyle name="Header1 3 2 4" xfId="5044" xr:uid="{82473085-E13E-43EB-85A1-CB4F04CF2E9E}"/>
    <cellStyle name="Header1 3 2 5" xfId="6369" xr:uid="{8194D910-BA78-4062-B1A7-37681E261873}"/>
    <cellStyle name="Header1 4" xfId="2137" xr:uid="{43584B25-D8DA-4D47-A9F7-1F70F85C0DD0}"/>
    <cellStyle name="Header1 4 2" xfId="2755" xr:uid="{458D8099-9B73-4AF2-A823-077A8B718B48}"/>
    <cellStyle name="Header1 4 2 2" xfId="4533" xr:uid="{B1301204-CA4E-462F-BF1E-1C3EEC3CF9A8}"/>
    <cellStyle name="Header1 4 2 3" xfId="5416" xr:uid="{198E8FFE-5360-4C1C-9EB3-832C4665B932}"/>
    <cellStyle name="Header1 4 2 4" xfId="6011" xr:uid="{2754EC59-7516-439F-89E2-5E928F362BC8}"/>
    <cellStyle name="Header1 4 2 5" xfId="6350" xr:uid="{D8B79945-9245-4D9F-9607-5F349CACBCEA}"/>
    <cellStyle name="Header1 4 2 6" xfId="6504" xr:uid="{338FA914-4D75-4D29-B2D5-1B8E4C62E1AD}"/>
    <cellStyle name="Header1 4 3" xfId="4161" xr:uid="{A4DD48D8-A771-430A-B7EE-0DF36AF4C791}"/>
    <cellStyle name="Header1 4 3 2" xfId="5303" xr:uid="{FCB85999-58D3-462F-951E-7034DD150DB9}"/>
    <cellStyle name="Header1 4 3 3" xfId="5692" xr:uid="{BF8F814F-BF2E-497C-8AAA-139EBF8345CA}"/>
    <cellStyle name="Header1 4 3 4" xfId="6050" xr:uid="{461AA41E-0A98-4E84-968F-7BE2E0E3430E}"/>
    <cellStyle name="Header1 4 3 5" xfId="6426" xr:uid="{230A076E-545C-4ECF-B7C6-467D2BB6D34D}"/>
    <cellStyle name="Header1 4 4" xfId="2784" xr:uid="{3DB4161A-E94B-4FA1-9630-79359D75F22D}"/>
    <cellStyle name="Header1 4 5" xfId="2602" xr:uid="{D8D01351-7B6A-41FA-8945-6E1ED88175B2}"/>
    <cellStyle name="Header1 4 6" xfId="2777" xr:uid="{FC4B2EC3-B836-4458-B211-7EF38039D8E1}"/>
    <cellStyle name="Header1 5" xfId="1237" xr:uid="{D7BE577A-0BB5-49B5-B13F-8FF16AFEA83A}"/>
    <cellStyle name="Header1 5 2" xfId="3773" xr:uid="{D8BD3662-CE67-4BEA-AF73-19CB26C0D3C1}"/>
    <cellStyle name="Header1 5 3" xfId="5029" xr:uid="{31B1269D-FA30-4D90-BB38-190BB6AF953B}"/>
    <cellStyle name="Header1 5 4" xfId="4765" xr:uid="{94C9344D-31D6-42A0-8AAE-E5D5B544BDF5}"/>
    <cellStyle name="Header1 5 5" xfId="5596" xr:uid="{707336FF-3291-4110-A2EF-A7D2B1A1E4B4}"/>
    <cellStyle name="Header1 5 6" xfId="4850" xr:uid="{2F678025-8C23-4D5F-824F-B5652BFB4050}"/>
    <cellStyle name="Header2" xfId="513" xr:uid="{00000000-0005-0000-0000-000009020000}"/>
    <cellStyle name="Header2 2" xfId="514" xr:uid="{00000000-0005-0000-0000-00000A020000}"/>
    <cellStyle name="Header2 2 2" xfId="2138" xr:uid="{1A0F6F8D-E1DF-49B4-8F71-CF0B60BB7494}"/>
    <cellStyle name="Header2 2 2 2" xfId="5693" xr:uid="{CA8658BD-C56B-4844-A7DE-593062F16CB0}"/>
    <cellStyle name="Header2 2 2 3" xfId="6051" xr:uid="{2700556F-1309-48C1-BEEA-117FACF72262}"/>
    <cellStyle name="Header2 2 3" xfId="2623" xr:uid="{60E941F5-BB24-4FE4-8BA0-392C3F44730B}"/>
    <cellStyle name="Header2 2 4" xfId="5346" xr:uid="{B11804E0-3A8F-4B9C-BD73-8E54EFE86579}"/>
    <cellStyle name="Header2 3" xfId="1239" xr:uid="{F750E292-348D-451A-8328-544B805CCFD2}"/>
    <cellStyle name="Header2 3 2" xfId="5162" xr:uid="{BB532794-DEED-4CA2-9160-EC1A5F6BB27A}"/>
    <cellStyle name="Header2 3 3" xfId="2857" xr:uid="{B6599032-8DC0-49DC-B22F-1B9987FE6F7F}"/>
    <cellStyle name="Header2 4" xfId="5385" xr:uid="{3B70D0AF-09CF-4D1F-B0EA-58614114192B}"/>
    <cellStyle name="Header2 5" xfId="4999" xr:uid="{6FB5DD35-4027-4EB0-8E38-9D8FC36AA13A}"/>
    <cellStyle name="headStyle" xfId="515" xr:uid="{00000000-0005-0000-0000-00000B020000}"/>
    <cellStyle name="headStyle 2" xfId="516" xr:uid="{00000000-0005-0000-0000-00000C020000}"/>
    <cellStyle name="headStyle 2 2" xfId="2140" xr:uid="{EA2C3597-8EE8-4DCD-B241-FE5B3BD554FF}"/>
    <cellStyle name="headStyle 2 2 2" xfId="5695" xr:uid="{60AA9DED-95DA-4650-82C1-4FA72002BC6A}"/>
    <cellStyle name="headStyle 2 2 3" xfId="6053" xr:uid="{68F3F248-BF05-43C9-B0AB-F478E3F13E23}"/>
    <cellStyle name="headStyle 2 3" xfId="3431" xr:uid="{42581C4D-78EE-4CC8-A44E-787577AA79D2}"/>
    <cellStyle name="headStyle 2 3 2" xfId="4905" xr:uid="{E61B29C8-4BC2-44F8-A63C-E2C1239F85A9}"/>
    <cellStyle name="headStyle 2 3 3" xfId="2821" xr:uid="{E1B9427B-0D17-4A74-A224-BEC5EA0CE72A}"/>
    <cellStyle name="headStyle 2 4" xfId="4619" xr:uid="{09622ABA-D093-4A74-9C59-26A5DF267A27}"/>
    <cellStyle name="headStyle 2 5" xfId="5083" xr:uid="{D25363D6-1AEB-434E-A6FE-9B5F28507F83}"/>
    <cellStyle name="headStyle 2 6" xfId="4596" xr:uid="{21401937-9B01-4DD3-AB1F-960CA10FF9AF}"/>
    <cellStyle name="headStyle 2 7" xfId="4920" xr:uid="{12982AA7-AEFE-4C52-9137-AAC00513696F}"/>
    <cellStyle name="headStyle 3" xfId="2139" xr:uid="{FA70305D-F265-424C-91C7-D6A4AC24697C}"/>
    <cellStyle name="headStyle 3 2" xfId="5694" xr:uid="{F324BD39-8A6B-46E1-A4C3-F56531D460F9}"/>
    <cellStyle name="headStyle 3 3" xfId="6052" xr:uid="{ECC4B9FA-7881-4F85-80C4-664B4DB1CBB2}"/>
    <cellStyle name="headStyle 4" xfId="3430" xr:uid="{86FA0A65-34BE-4BD0-8895-7530359CBCD5}"/>
    <cellStyle name="headStyle 4 2" xfId="4904" xr:uid="{AB07ECF4-611F-4936-95B0-59D2D1ABF128}"/>
    <cellStyle name="headStyle 4 3" xfId="2856" xr:uid="{9F185995-90FF-4493-AF63-33103FDD9C8C}"/>
    <cellStyle name="headStyle 5" xfId="4618" xr:uid="{86AF09B4-93DA-44EF-BFFB-62B28BB42359}"/>
    <cellStyle name="headStyle 6" xfId="5023" xr:uid="{06A57B36-1740-4AC2-8F70-5732AAE416CB}"/>
    <cellStyle name="headStyle 7" xfId="5711" xr:uid="{25FA6DF1-F2E3-4438-A511-1071D9C6A789}"/>
    <cellStyle name="headStyle 8" xfId="5107" xr:uid="{E5EE9050-C3B7-4FBB-A834-9CFEA0FA2F1E}"/>
    <cellStyle name="Hyperlink" xfId="6611" xr:uid="{00000000-000B-0000-0000-000008000000}"/>
    <cellStyle name="Hyperlink 2" xfId="517" xr:uid="{00000000-0005-0000-0000-00000D020000}"/>
    <cellStyle name="Hyperlink 2 2" xfId="518" xr:uid="{00000000-0005-0000-0000-00000E020000}"/>
    <cellStyle name="Hyperlink 2 2 2" xfId="519" xr:uid="{00000000-0005-0000-0000-00000F020000}"/>
    <cellStyle name="Hyperlink 2 2 3" xfId="520" xr:uid="{00000000-0005-0000-0000-000010020000}"/>
    <cellStyle name="Hyperlink 2 2 4" xfId="521" xr:uid="{00000000-0005-0000-0000-000011020000}"/>
    <cellStyle name="Hyperlink 2 2 5" xfId="1091" xr:uid="{89457FF2-1A28-418C-B044-34040EEECF61}"/>
    <cellStyle name="Hyperlink 2 2 5 2" xfId="2141" xr:uid="{B620F28D-FB54-4649-A493-FC5F250F12CC}"/>
    <cellStyle name="Hyperlink 2 2 5 3" xfId="3679" xr:uid="{B8C1D4DD-D2E4-4AF4-8B1A-BC67E581301C}"/>
    <cellStyle name="Hyperlink 2 3" xfId="522" xr:uid="{00000000-0005-0000-0000-000012020000}"/>
    <cellStyle name="Hyperlink 2 3 2" xfId="2143" xr:uid="{F7AD1796-C9AD-4F4D-9DE2-C02CF2FC9E02}"/>
    <cellStyle name="Hyperlink 2 3 3" xfId="1577" xr:uid="{BB8A1C73-9301-4776-8745-1F38BA10C08C}"/>
    <cellStyle name="Hyperlink 2 4" xfId="1084" xr:uid="{8B222464-973B-4DFA-8106-07A0BC5C3B16}"/>
    <cellStyle name="Hyperlink 2 4 2" xfId="1403" xr:uid="{53FF5726-03FC-45DF-B7DF-662EDA51B17D}"/>
    <cellStyle name="Hyperlink 2 4 3" xfId="3674" xr:uid="{BABF88A7-90E7-4EBD-84C9-18E0EB9F6DF1}"/>
    <cellStyle name="Hyperlink 3" xfId="523" xr:uid="{00000000-0005-0000-0000-000013020000}"/>
    <cellStyle name="Hyperlink 3 2" xfId="1097" xr:uid="{DA99D3D6-B421-4C92-9591-F2B067F7DFD7}"/>
    <cellStyle name="Hyperlink 3 2 2" xfId="1579" xr:uid="{EAA8F62F-5C7C-40F1-9D49-7A400730552D}"/>
    <cellStyle name="Hyperlink 3 2 3" xfId="3684" xr:uid="{8BB6835F-07B0-431F-99E2-6C00382A7CC2}"/>
    <cellStyle name="Hyperlink 3 3" xfId="1405" xr:uid="{B70A3998-A73F-4CCF-8301-FB5E9930FFAD}"/>
    <cellStyle name="Hyperlink 3 4" xfId="1129" xr:uid="{896A5082-0511-4172-8D9D-1F1F278E173C}"/>
    <cellStyle name="Hyperlink 4" xfId="524" xr:uid="{00000000-0005-0000-0000-000014020000}"/>
    <cellStyle name="Hyperlink 4 2" xfId="525" xr:uid="{00000000-0005-0000-0000-000015020000}"/>
    <cellStyle name="Hyperlink 4 2 2" xfId="526" xr:uid="{00000000-0005-0000-0000-000016020000}"/>
    <cellStyle name="Hyperlink 4 2 3" xfId="2144" xr:uid="{723A2B6D-75C1-4011-BA01-993C4E40C52E}"/>
    <cellStyle name="Hyperlink 4 3" xfId="1580" xr:uid="{E624FF31-DB5E-4688-A95F-80849B9246C5}"/>
    <cellStyle name="Hyperlink 4 4" xfId="1407" xr:uid="{3A6FCB46-BAC3-4CA1-A72B-3B075958C35F}"/>
    <cellStyle name="Hyperlink 5" xfId="527" xr:uid="{00000000-0005-0000-0000-000017020000}"/>
    <cellStyle name="Hyperlink 5 2" xfId="528" xr:uid="{00000000-0005-0000-0000-000018020000}"/>
    <cellStyle name="Hyperlink 5 3" xfId="2145" xr:uid="{7747C222-3A07-46AF-A4F2-506458EB4641}"/>
    <cellStyle name="Hyperlink 5 4" xfId="1408" xr:uid="{03F54907-FC46-4FF3-8087-FF9A79494419}"/>
    <cellStyle name="Hyperlink 6" xfId="529" xr:uid="{00000000-0005-0000-0000-000019020000}"/>
    <cellStyle name="Hyperlink 7" xfId="1021" xr:uid="{DD97BD69-2E0E-42EF-BB38-A5C654B1B9CB}"/>
    <cellStyle name="Hyperlink 7 2" xfId="6628" xr:uid="{67206F21-4668-46AC-8F42-FDA98F232395}"/>
    <cellStyle name="Hyperlink 8" xfId="2419" xr:uid="{AA9C6282-942A-4104-9B11-E7C28BA81F2E}"/>
    <cellStyle name="Hyperlink 9" xfId="2558" xr:uid="{4580B3BA-FE4F-46CB-8761-9B4A6DA5DD2C}"/>
    <cellStyle name="Input [yellow]" xfId="530" xr:uid="{00000000-0005-0000-0000-00001A020000}"/>
    <cellStyle name="Input [yellow] 2" xfId="531" xr:uid="{00000000-0005-0000-0000-00001B020000}"/>
    <cellStyle name="Input [yellow] 2 2" xfId="2147" xr:uid="{12774E22-00E5-4BBB-A7DE-82108F53CC7C}"/>
    <cellStyle name="Input [yellow] 2 2 2" xfId="4163" xr:uid="{2C73214C-29FC-4280-BDBC-C8A1EA9711B1}"/>
    <cellStyle name="Input [yellow] 2 2 2 2" xfId="5698" xr:uid="{16E75033-4DE5-499F-8071-8798DBCAD0B0}"/>
    <cellStyle name="Input [yellow] 2 2 2 3" xfId="6055" xr:uid="{26AAD6F8-82C3-4A12-B4C2-D5177B145902}"/>
    <cellStyle name="Input [yellow] 2 2 3" xfId="4623" xr:uid="{D78BD68F-B3F5-4687-9CF6-4569608A320F}"/>
    <cellStyle name="Input [yellow] 2 2 4" xfId="5402" xr:uid="{A03E6AD0-5F19-48B7-A2D9-28B83607F122}"/>
    <cellStyle name="Input [yellow] 2 2 5" xfId="2803" xr:uid="{1B7D0481-EB60-461C-B374-8EE213A1B61F}"/>
    <cellStyle name="Input [yellow] 2 2 6" xfId="5494" xr:uid="{85468A6C-364E-4856-9DEB-EF61D8B508D3}"/>
    <cellStyle name="Input [yellow] 2 3" xfId="1659" xr:uid="{BB1C6A12-0F2B-4D31-849A-6A544FF4BB02}"/>
    <cellStyle name="Input [yellow] 2 3 2" xfId="5510" xr:uid="{D19B4D18-DF8D-436F-94E6-569CA13F2C09}"/>
    <cellStyle name="Input [yellow] 2 3 3" xfId="5562" xr:uid="{F1095EE7-B7D5-4D2E-B3D3-3F8359D8267E}"/>
    <cellStyle name="Input [yellow] 2 4" xfId="3433" xr:uid="{3FDD07B4-7E5E-40BA-B13C-69AA537E0DB0}"/>
    <cellStyle name="Input [yellow] 2 4 2" xfId="4907" xr:uid="{03D1D7A6-B554-4D35-8422-9E083488F052}"/>
    <cellStyle name="Input [yellow] 2 4 3" xfId="5196" xr:uid="{11CBD09B-5D9A-4D30-B97B-C63FE7683DB4}"/>
    <cellStyle name="Input [yellow] 2 5" xfId="5382" xr:uid="{6BC40321-5E1E-498A-8892-D69496A62DE7}"/>
    <cellStyle name="Input [yellow] 2 6" xfId="6484" xr:uid="{3944ABA3-18B2-4292-82BF-75D8623BF4F4}"/>
    <cellStyle name="Input [yellow] 3" xfId="2146" xr:uid="{C3E34100-9A20-437A-A721-5C89FB15FA8B}"/>
    <cellStyle name="Input [yellow] 3 2" xfId="4162" xr:uid="{1F791A39-99D4-4992-BA55-F5704BB63430}"/>
    <cellStyle name="Input [yellow] 3 2 2" xfId="5697" xr:uid="{1D2016C9-7235-4537-AE57-D9A579A75542}"/>
    <cellStyle name="Input [yellow] 3 2 3" xfId="6054" xr:uid="{9E80AD47-B591-435D-B416-7A8844C0861F}"/>
    <cellStyle name="Input [yellow] 3 3" xfId="4622" xr:uid="{10AF7C5E-6459-4BBC-B97C-22FDCC2B3784}"/>
    <cellStyle name="Input [yellow] 3 4" xfId="2687" xr:uid="{4B8CFC14-253C-4A2D-8C2C-DCD97D0CD54B}"/>
    <cellStyle name="Input [yellow] 3 5" xfId="4949" xr:uid="{CEEDAC66-9138-4DA5-9BAA-E16E39252FF5}"/>
    <cellStyle name="Input [yellow] 3 6" xfId="6446" xr:uid="{DA8A24E6-DADA-4B6D-837F-B65904398A54}"/>
    <cellStyle name="Input [yellow] 4" xfId="1241" xr:uid="{4E6498E1-9E2D-4B13-966B-A2BC7EB0214D}"/>
    <cellStyle name="Input [yellow] 4 2" xfId="5065" xr:uid="{A6FB548C-0259-4B29-9788-A53FEC1F75FF}"/>
    <cellStyle name="Input [yellow] 4 3" xfId="5030" xr:uid="{7C256849-8A2C-4035-AE50-FDF044096D8F}"/>
    <cellStyle name="Input [yellow] 5" xfId="3432" xr:uid="{86A36062-C8C4-428A-BC27-BB25DEB972A8}"/>
    <cellStyle name="Input [yellow] 5 2" xfId="4906" xr:uid="{819D23F2-AB08-4988-8253-9737521B7299}"/>
    <cellStyle name="Input [yellow] 5 3" xfId="4800" xr:uid="{E63F2782-A947-4A50-9C12-7748D82AFF22}"/>
    <cellStyle name="Model" xfId="532" xr:uid="{00000000-0005-0000-0000-00001C020000}"/>
    <cellStyle name="Model 2" xfId="1243" xr:uid="{DBD6B029-ACBB-42FB-BC6D-CE39B089BD05}"/>
    <cellStyle name="Model 3" xfId="1242" xr:uid="{5193F681-8BBB-485F-84E0-8102937766E9}"/>
    <cellStyle name="Neutral 2" xfId="533" xr:uid="{00000000-0005-0000-0000-00001D020000}"/>
    <cellStyle name="Normal - Style1" xfId="534" xr:uid="{00000000-0005-0000-0000-00001E020000}"/>
    <cellStyle name="Normal 10" xfId="535" xr:uid="{00000000-0005-0000-0000-00001F020000}"/>
    <cellStyle name="Normal 10 10" xfId="7" xr:uid="{00000000-0005-0000-0000-00000D000000}"/>
    <cellStyle name="Normal 10 10 2" xfId="536" xr:uid="{00000000-0005-0000-0000-000020020000}"/>
    <cellStyle name="Normal 10 2" xfId="1036" xr:uid="{F971FF89-54EE-4E05-9107-A85D81C68CC8}"/>
    <cellStyle name="Normal 10 2 2" xfId="537" xr:uid="{00000000-0005-0000-0000-000021020000}"/>
    <cellStyle name="Normal 10 2 2 2" xfId="28" xr:uid="{00000000-0005-0000-0000-000024000000}"/>
    <cellStyle name="Normal 10 2 2 2 2" xfId="6619" xr:uid="{15B0D03F-A895-40EA-A59E-1B444C9D2380}"/>
    <cellStyle name="Normal 10 2 2 3" xfId="2148" xr:uid="{17763666-FF2F-40D2-8F4D-FD926BDDCBFA}"/>
    <cellStyle name="Normal 10 2 2 3 2" xfId="4164" xr:uid="{90FD13C8-35A4-4ABC-9586-EE6A615847E0}"/>
    <cellStyle name="Normal 10 2 2 4" xfId="1723" xr:uid="{1A315644-FEA8-47CC-BBC3-310332F0DC9C}"/>
    <cellStyle name="Normal 10 2 2 5" xfId="3435" xr:uid="{92FAFF77-FC86-47F3-A4E7-3F81D7A56423}"/>
    <cellStyle name="Normal 10 2 3" xfId="1473" xr:uid="{4BBE2896-548F-4206-8090-B5254C8DB70F}"/>
    <cellStyle name="Normal 10 2 4" xfId="2416" xr:uid="{C3A1A24C-AE03-4D0F-9D9D-151AC703D03B}"/>
    <cellStyle name="Normal 10 2 4 2" xfId="4385" xr:uid="{E2F76060-76CF-4C1E-9766-0F2F33B50BE9}"/>
    <cellStyle name="Normal 10 2 5" xfId="2552" xr:uid="{C05057F2-4E93-4637-A949-EB4286C7E96E}"/>
    <cellStyle name="Normal 10 2 5 2" xfId="4516" xr:uid="{6CAE5860-C256-46A4-9BAF-7BEB2EEFDF78}"/>
    <cellStyle name="Normal 10 2 6" xfId="1373" xr:uid="{B768F65C-FDEE-4E3C-AE14-49AC26191415}"/>
    <cellStyle name="Normal 10 2 7" xfId="3645" xr:uid="{DC1D32D4-B222-4896-B8D7-FAD79C6F0CFB}"/>
    <cellStyle name="Normal 10 3" xfId="1717" xr:uid="{61E3C7DB-2F07-4FCF-90BB-E66FA81BB09E}"/>
    <cellStyle name="Normal 10 4" xfId="1472" xr:uid="{D0EA2784-C364-4ED2-ACA2-8B973AEBFE3F}"/>
    <cellStyle name="Normal 10 5" xfId="1359" xr:uid="{F6B0AAE1-774B-4779-B00B-DA854A87C8F8}"/>
    <cellStyle name="Normal 10 6" xfId="3434" xr:uid="{51C24223-0B52-4156-97A7-17806A4D7188}"/>
    <cellStyle name="Normal 103" xfId="1" xr:uid="{00000000-0005-0000-0000-000006000000}"/>
    <cellStyle name="Normal 103 2" xfId="538" xr:uid="{00000000-0005-0000-0000-000022020000}"/>
    <cellStyle name="Normal 103 2 2" xfId="1475" xr:uid="{033977AC-7944-4148-A9B1-7F43B492527B}"/>
    <cellStyle name="Normal 103 2 3" xfId="1718" xr:uid="{AB2E42FF-ED83-4943-B9A5-B04B7CA6DF3B}"/>
    <cellStyle name="Normal 103 2 3 2" xfId="3973" xr:uid="{04B9CC6F-62F3-4E77-BFEB-606FB2C6D577}"/>
    <cellStyle name="Normal 103 2 4" xfId="1474" xr:uid="{C872C90D-90F0-42C4-8395-342FDA6C5DF7}"/>
    <cellStyle name="Normal 103 2 5" xfId="2550" xr:uid="{9AD6103E-CD85-4F9E-B9F7-E72375B4102C}"/>
    <cellStyle name="Normal 103 2 5 2" xfId="4514" xr:uid="{21309A69-9985-476E-82BD-E55F386DBFB7}"/>
    <cellStyle name="Normal 103 2 6" xfId="3436" xr:uid="{B8CFD29A-5AC1-4E7B-88DB-C2DBBEA1F7E1}"/>
    <cellStyle name="Normal 103 3" xfId="1476" xr:uid="{300E4362-BBA0-48D1-B660-89B19CC6F1F2}"/>
    <cellStyle name="Normal 103 4" xfId="2548" xr:uid="{133BDFF1-9F42-421F-8B97-3208ED52BEF5}"/>
    <cellStyle name="Normal 103 4 2" xfId="1544" xr:uid="{11DCB6B4-2737-4B80-BCF9-9BBA96471180}"/>
    <cellStyle name="Normal 103 4 3" xfId="4512" xr:uid="{525FBE75-93AF-4274-87E8-5DF277C6B6FC}"/>
    <cellStyle name="Normal 103 5" xfId="1245" xr:uid="{E163F803-7B8D-4CCE-AE5A-8EB4D84C5CE7}"/>
    <cellStyle name="Normal 103 6" xfId="3051" xr:uid="{B3559817-7346-41BA-B352-D898A569C9F7}"/>
    <cellStyle name="Normal 103 7" xfId="6616" xr:uid="{01BD0C5A-B94F-4CB3-9534-90E8382C90E0}"/>
    <cellStyle name="Normal 106 2" xfId="539" xr:uid="{00000000-0005-0000-0000-000023020000}"/>
    <cellStyle name="Normal 106 2 2" xfId="3437" xr:uid="{4098B30C-F7B6-4DC7-A760-143DDFD38602}"/>
    <cellStyle name="Normal 11" xfId="540" xr:uid="{00000000-0005-0000-0000-000024020000}"/>
    <cellStyle name="Normal 11 2" xfId="1478" xr:uid="{93A63692-DAD9-46D1-8DB0-20A2DDB822B8}"/>
    <cellStyle name="Normal 11 3" xfId="2150" xr:uid="{CABDBF28-85A5-482B-9F11-B68EE0AC67D4}"/>
    <cellStyle name="Normal 11 3 2" xfId="4165" xr:uid="{5CD23620-6F7A-4001-908D-E1DCE66D2C62}"/>
    <cellStyle name="Normal 11 4" xfId="1477" xr:uid="{5E574C7F-3029-4071-9394-3D2E5AC98401}"/>
    <cellStyle name="Normal 11 5" xfId="3438" xr:uid="{CDAAA47E-58EC-4D6E-AA66-68F0236DF02D}"/>
    <cellStyle name="Normal 111 2" xfId="20" xr:uid="{00000000-0005-0000-0000-00001B000000}"/>
    <cellStyle name="Normal 111 2 2" xfId="24" xr:uid="{00000000-0005-0000-0000-00001F000000}"/>
    <cellStyle name="Normal 111 2 2 2" xfId="1740" xr:uid="{F3DBFC9B-24E9-4671-AC18-1DB9788243A4}"/>
    <cellStyle name="Normal 111 2 2 2 2" xfId="3985" xr:uid="{25D06D66-7CC1-43EA-9E5F-3BF1F23A062F}"/>
    <cellStyle name="Normal 111 2 2 3" xfId="1172" xr:uid="{EDC6A1CE-3C71-4D8B-9D28-F2089ADC7DC8}"/>
    <cellStyle name="Normal 111 2 2 4" xfId="3066" xr:uid="{77523921-2766-4C51-B787-F37AFA911DFE}"/>
    <cellStyle name="Normal 111 2 3" xfId="541" xr:uid="{00000000-0005-0000-0000-000025020000}"/>
    <cellStyle name="Normal 111 2 3 2" xfId="542" xr:uid="{00000000-0005-0000-0000-000026020000}"/>
    <cellStyle name="Normal 111 2 3 2 2" xfId="3440" xr:uid="{84F27155-74F8-4E4F-9E6B-1DFB673224B5}"/>
    <cellStyle name="Normal 111 2 3 3" xfId="3439" xr:uid="{88B3E2AE-F5CE-4C61-BB7A-D7A13D264DAE}"/>
    <cellStyle name="Normal 111 2 4" xfId="1170" xr:uid="{636C1472-CC03-4593-A048-96E3629E40F6}"/>
    <cellStyle name="Normal 111 2 5" xfId="3062" xr:uid="{D183DB47-F64C-4BCB-B3D2-B8FAE5EFBB8F}"/>
    <cellStyle name="Normal 118" xfId="13" xr:uid="{00000000-0005-0000-0000-000014000000}"/>
    <cellStyle name="Normal 118 2" xfId="543" xr:uid="{00000000-0005-0000-0000-000027020000}"/>
    <cellStyle name="Normal 118 2 2" xfId="3441" xr:uid="{7C165232-B67D-47CD-9E78-AB896F0FBCEB}"/>
    <cellStyle name="Normal 118 3" xfId="1087" xr:uid="{08B0569F-410E-4D99-9EC9-55DC57BF92FA}"/>
    <cellStyle name="Normal 118 3 2" xfId="2546" xr:uid="{F3F26384-AEA4-4BF8-A00C-44B192D32257}"/>
    <cellStyle name="Normal 118 3 3" xfId="3677" xr:uid="{2910CD14-2F79-4404-BDF4-6132AC92FEB3}"/>
    <cellStyle name="Normal 118 4" xfId="3058" xr:uid="{697CAD24-B24B-47DF-A930-D3AA6BB6DBD2}"/>
    <cellStyle name="Normal 12" xfId="23" xr:uid="{00000000-0005-0000-0000-00001E000000}"/>
    <cellStyle name="Normal 12 2" xfId="1013" xr:uid="{00000000-0005-0000-0000-0000FE030000}"/>
    <cellStyle name="Normal 12 2 2" xfId="2403" xr:uid="{33946A2E-5BAD-4FAE-854D-2B0CBCAC7E36}"/>
    <cellStyle name="Normal 12 2 2 2" xfId="4376" xr:uid="{CFD492BA-A4C0-4328-A868-1F6ECD3BF28F}"/>
    <cellStyle name="Normal 12 2 2 2 2" xfId="1361" xr:uid="{8C7F7C4D-EF20-4996-8FF1-0C95ABFC407B}"/>
    <cellStyle name="Normal 12 2 3" xfId="1146" xr:uid="{C3A76D4E-EC38-4FBA-86D4-BAFEB0F93F31}"/>
    <cellStyle name="Normal 12 2 4" xfId="3631" xr:uid="{30571A42-0411-4DB0-A3B5-87F19E065E73}"/>
    <cellStyle name="Normal 12 3" xfId="1739" xr:uid="{E39A49DD-70BD-44BE-B6C7-DE50D4F4F29A}"/>
    <cellStyle name="Normal 12 3 2" xfId="3984" xr:uid="{D090803D-800E-44D9-98F4-A0EAC5F5874D}"/>
    <cellStyle name="Normal 12 4" xfId="1381" xr:uid="{914C11BA-314D-4CCE-B1DC-F85124E3CBA0}"/>
    <cellStyle name="Normal 12 5" xfId="3065" xr:uid="{34D7F87C-5C7C-4A69-B93C-01DBD6CB4010}"/>
    <cellStyle name="Normal 121" xfId="544" xr:uid="{00000000-0005-0000-0000-000028020000}"/>
    <cellStyle name="Normal 121 2" xfId="11" xr:uid="{00000000-0005-0000-0000-000012000000}"/>
    <cellStyle name="Normal 121 2 2" xfId="15" xr:uid="{00000000-0005-0000-0000-000015000000}"/>
    <cellStyle name="Normal 121 2 2 2" xfId="545" xr:uid="{00000000-0005-0000-0000-000029020000}"/>
    <cellStyle name="Normal 121 2 2 2 2" xfId="546" xr:uid="{00000000-0005-0000-0000-00002A020000}"/>
    <cellStyle name="Normal 121 2 2 2 2 2" xfId="2154" xr:uid="{7939C5A7-C9BC-447F-87A0-A42511818ACF}"/>
    <cellStyle name="Normal 121 2 2 2 2 2 2" xfId="4168" xr:uid="{836CD3D3-76FA-410C-B8BA-DFB9D65B54FD}"/>
    <cellStyle name="Normal 121 2 2 2 2 3" xfId="1248" xr:uid="{D93E3DC1-E390-4459-9BA0-0AAA34016062}"/>
    <cellStyle name="Normal 121 2 2 2 2 4" xfId="3444" xr:uid="{D071DB62-37AF-4FF4-9E6F-94BE99AC9A86}"/>
    <cellStyle name="Normal 121 2 2 2 3" xfId="2153" xr:uid="{261DE423-79CB-4A46-B5CA-EA2DFAADFD62}"/>
    <cellStyle name="Normal 121 2 2 2 3 2" xfId="4167" xr:uid="{81855377-CBE5-402F-8F15-2519BA1A08F6}"/>
    <cellStyle name="Normal 121 2 2 2 4" xfId="1039" xr:uid="{EBD8D31A-8479-48B5-BB2A-C00206D06443}"/>
    <cellStyle name="Normal 121 2 2 2 5" xfId="3443" xr:uid="{9D3ED81F-9BDD-43D3-B6FC-4957B311081C}"/>
    <cellStyle name="Normal 121 2 2 3" xfId="547" xr:uid="{00000000-0005-0000-0000-00002B020000}"/>
    <cellStyle name="Normal 121 2 2 3 2" xfId="3445" xr:uid="{388E0EEC-357D-48C4-833E-D33D400F2657}"/>
    <cellStyle name="Normal 121 2 2 4" xfId="1735" xr:uid="{639F2529-324F-4AC8-815F-8C2CB91D4DA7}"/>
    <cellStyle name="Normal 121 2 2 4 2" xfId="3981" xr:uid="{E2E7CBC3-6F70-4119-A8FA-93CB95A95247}"/>
    <cellStyle name="Normal 121 2 2 5" xfId="3060" xr:uid="{AA245FC7-5FE7-4D71-BFE5-56C95F454AB1}"/>
    <cellStyle name="Normal 121 2 3" xfId="548" xr:uid="{00000000-0005-0000-0000-00002C020000}"/>
    <cellStyle name="Normal 121 2 3 2" xfId="549" xr:uid="{00000000-0005-0000-0000-00002D020000}"/>
    <cellStyle name="Normal 121 2 3 2 2" xfId="3447" xr:uid="{3F5C700C-C404-4953-850A-0881FB1D68EE}"/>
    <cellStyle name="Normal 121 2 3 3" xfId="2155" xr:uid="{6708D769-1199-48CF-8C3C-506B9C3A2EBC}"/>
    <cellStyle name="Normal 121 2 3 3 2" xfId="4169" xr:uid="{E1DA882E-4D85-4BAF-AFC0-F9600D7F4138}"/>
    <cellStyle name="Normal 121 2 3 4" xfId="1249" xr:uid="{17946E0A-E77C-404D-9F3C-CACDB22B8B9B}"/>
    <cellStyle name="Normal 121 2 3 5" xfId="3446" xr:uid="{E15205E2-2BBE-4CDC-8374-D1CD6E48B45D}"/>
    <cellStyle name="Normal 121 2 4" xfId="550" xr:uid="{00000000-0005-0000-0000-00002E020000}"/>
    <cellStyle name="Normal 121 2 4 2" xfId="2157" xr:uid="{6681EF94-18F3-435B-AFBE-F5F28ABC75F3}"/>
    <cellStyle name="Normal 121 2 4 2 2" xfId="4170" xr:uid="{61163E4B-D13D-4964-816C-044AB2125373}"/>
    <cellStyle name="Normal 121 2 4 3" xfId="1142" xr:uid="{4FB90894-E076-44FB-91EF-115A34A4DCCA}"/>
    <cellStyle name="Normal 121 2 4 4" xfId="3448" xr:uid="{E6EFE3E8-B5CC-4CB0-9969-B5B6F6F9E15F}"/>
    <cellStyle name="Normal 121 2 5" xfId="1086" xr:uid="{AFFF1FFA-360C-4385-AED1-DED451BFF975}"/>
    <cellStyle name="Normal 121 2 5 2" xfId="1734" xr:uid="{3AA190C4-4079-439A-9E51-03535F2DDC20}"/>
    <cellStyle name="Normal 121 2 5 3" xfId="3676" xr:uid="{DEDC1F10-53CC-4542-94DA-C11DDA3AC785}"/>
    <cellStyle name="Normal 121 2 6" xfId="3057" xr:uid="{38B0B8D9-4A61-40D9-84E6-5F62183F446B}"/>
    <cellStyle name="Normal 121 2 7" xfId="6623" xr:uid="{665EDBE9-A7E6-45C9-BF29-FA48045D68E3}"/>
    <cellStyle name="Normal 121 3" xfId="2152" xr:uid="{A4A57F1D-A5B2-4E27-A691-92261924B876}"/>
    <cellStyle name="Normal 121 3 2" xfId="4166" xr:uid="{23BD590B-F59E-44EE-9F32-1A7859F14F2E}"/>
    <cellStyle name="Normal 121 4" xfId="1043" xr:uid="{24AB0C55-4F1D-4541-A912-D976A8D917B4}"/>
    <cellStyle name="Normal 121 5" xfId="3442" xr:uid="{985BAB68-490F-4A1D-A78D-975DBB753348}"/>
    <cellStyle name="Normal 124" xfId="551" xr:uid="{00000000-0005-0000-0000-00002F020000}"/>
    <cellStyle name="Normal 124 2" xfId="552" xr:uid="{00000000-0005-0000-0000-000030020000}"/>
    <cellStyle name="Normal 124 2 2" xfId="553" xr:uid="{00000000-0005-0000-0000-000031020000}"/>
    <cellStyle name="Normal 124 2 2 2" xfId="3450" xr:uid="{4571ED2F-A7AA-4078-9937-FF216C9595D7}"/>
    <cellStyle name="Normal 124 2 3" xfId="3449" xr:uid="{A4F95653-53CB-443B-BC54-63A43B4ADE7D}"/>
    <cellStyle name="Normal 125" xfId="554" xr:uid="{00000000-0005-0000-0000-000032020000}"/>
    <cellStyle name="Normal 125 2" xfId="555" xr:uid="{00000000-0005-0000-0000-000033020000}"/>
    <cellStyle name="Normal 125 2 2" xfId="556" xr:uid="{00000000-0005-0000-0000-000034020000}"/>
    <cellStyle name="Normal 125 2 2 2" xfId="3453" xr:uid="{57BC1881-C816-4EC2-BBCE-D8720C702DD1}"/>
    <cellStyle name="Normal 125 2 3" xfId="2160" xr:uid="{F2C81F8D-64DC-4264-8EF4-77799A8FD3A3}"/>
    <cellStyle name="Normal 125 2 3 2" xfId="4172" xr:uid="{108C38A1-32F3-4B82-B1EC-0F123E145F0C}"/>
    <cellStyle name="Normal 125 2 4" xfId="1480" xr:uid="{F1014014-3E01-47DB-B2D2-C846D7379891}"/>
    <cellStyle name="Normal 125 2 5" xfId="3452" xr:uid="{18685DFF-21E6-4F73-85DE-30130B5DACF8}"/>
    <cellStyle name="Normal 125 3" xfId="557" xr:uid="{00000000-0005-0000-0000-000035020000}"/>
    <cellStyle name="Normal 125 3 2" xfId="3454" xr:uid="{C01C0F17-BBC0-4065-BE10-F624A9986505}"/>
    <cellStyle name="Normal 125 4" xfId="2159" xr:uid="{41709ABB-25A2-4F8B-8EA9-F6FFE0A492CC}"/>
    <cellStyle name="Normal 125 4 2" xfId="4171" xr:uid="{AC61C93C-00B2-4AEC-8631-2D22EDE04327}"/>
    <cellStyle name="Normal 125 5" xfId="1399" xr:uid="{57ED0AD3-A490-41C5-B594-08AAB0FED010}"/>
    <cellStyle name="Normal 125 6" xfId="3451" xr:uid="{0574286D-59B7-490C-9B63-15AB5FBA4043}"/>
    <cellStyle name="Normal 126" xfId="558" xr:uid="{00000000-0005-0000-0000-000036020000}"/>
    <cellStyle name="Normal 126 2" xfId="559" xr:uid="{00000000-0005-0000-0000-000037020000}"/>
    <cellStyle name="Normal 126 2 2" xfId="560" xr:uid="{00000000-0005-0000-0000-000038020000}"/>
    <cellStyle name="Normal 126 2 2 2" xfId="3457" xr:uid="{CBEDBE85-2FD7-4FF6-8F0F-1D25D6B4E8E4}"/>
    <cellStyle name="Normal 126 2 3" xfId="2162" xr:uid="{9702CC3E-2AC3-4DC7-A820-7131F1FFB4B4}"/>
    <cellStyle name="Normal 126 2 3 2" xfId="4174" xr:uid="{5BA62C0F-616A-4287-B6F6-0377C86A8255}"/>
    <cellStyle name="Normal 126 2 4" xfId="1481" xr:uid="{280AE720-02B8-46EF-910B-CBDC10D1B7D4}"/>
    <cellStyle name="Normal 126 2 5" xfId="3456" xr:uid="{099F6E1B-E3BB-4E4D-AEC4-90DE44ABB80C}"/>
    <cellStyle name="Normal 126 3" xfId="561" xr:uid="{00000000-0005-0000-0000-000039020000}"/>
    <cellStyle name="Normal 126 3 2" xfId="3458" xr:uid="{B91A168E-D519-4B23-842E-A1A1932AD2F3}"/>
    <cellStyle name="Normal 126 4" xfId="2161" xr:uid="{AE4B1947-4103-476B-879C-4E753B354BE4}"/>
    <cellStyle name="Normal 126 4 2" xfId="4173" xr:uid="{3DC5034E-BA47-4455-8CB1-96ED653170B6}"/>
    <cellStyle name="Normal 126 5" xfId="1113" xr:uid="{63109EAB-DDE7-42A0-A51F-7359C3CB9BB4}"/>
    <cellStyle name="Normal 126 6" xfId="3455" xr:uid="{64C7A488-C45D-4250-B013-A4FD546F3C04}"/>
    <cellStyle name="Normal 129" xfId="562" xr:uid="{00000000-0005-0000-0000-00003A020000}"/>
    <cellStyle name="Normal 129 2" xfId="563" xr:uid="{00000000-0005-0000-0000-00003B020000}"/>
    <cellStyle name="Normal 129 2 2" xfId="3460" xr:uid="{A948C431-36F2-4C76-A563-0F3C227F0F5D}"/>
    <cellStyle name="Normal 129 3" xfId="3459" xr:uid="{2845B173-ED62-4E4C-97A6-17E8B4CCAE73}"/>
    <cellStyle name="Normal 13" xfId="1016" xr:uid="{F0B332F0-BED6-44E2-AC76-EA2ABB9F7DD4}"/>
    <cellStyle name="Normal 13 2" xfId="1028" xr:uid="{1FB9C1DB-064D-4926-9CD2-E7623D41B358}"/>
    <cellStyle name="Normal 13 2 2" xfId="2413" xr:uid="{AC4C937E-746E-4969-A240-1130DAE31C87}"/>
    <cellStyle name="Normal 13 2 2 2" xfId="4382" xr:uid="{1489434C-134C-4215-AA29-EB5D7981AB1D}"/>
    <cellStyle name="Normal 13 2 3" xfId="1660" xr:uid="{594A210E-C89A-441E-A292-BF243556648A}"/>
    <cellStyle name="Normal 13 2 4" xfId="3640" xr:uid="{73C16316-1854-4903-A25A-8D97545CF51A}"/>
    <cellStyle name="Normal 13 3" xfId="1482" xr:uid="{5670E4A1-03C3-41D5-BF39-EDAB64BBF42E}"/>
    <cellStyle name="Normal 13 4" xfId="2404" xr:uid="{0290D9AB-1BE3-41D8-BB24-46FC028A5E7D}"/>
    <cellStyle name="Normal 13 5" xfId="1250" xr:uid="{D8F28844-F4B2-4F8E-9F65-D23F30B06BF4}"/>
    <cellStyle name="Normal 14" xfId="1025" xr:uid="{8A75AE87-2226-4624-8B55-85CA444844C4}"/>
    <cellStyle name="Normal 14 2" xfId="1540" xr:uid="{A8DCF059-28D1-4276-A008-3E90DEBE0BB0}"/>
    <cellStyle name="Normal 14 3" xfId="1555" xr:uid="{784D52B2-E485-4D3C-A05D-87BDDEE6B653}"/>
    <cellStyle name="Normal 14 4" xfId="2411" xr:uid="{AAF54C1A-DA60-4EDF-B373-9DB935375F71}"/>
    <cellStyle name="Normal 14 4 2" xfId="4381" xr:uid="{29DAE51E-E3AB-4468-8A36-9CE317A1969E}"/>
    <cellStyle name="Normal 14 5" xfId="1552" xr:uid="{B5F23B49-8BFB-4EFF-A0EB-85A9BB8C26DB}"/>
    <cellStyle name="Normal 14 6" xfId="3638" xr:uid="{5021BAE8-BF05-4B7C-9072-36D7BCD05189}"/>
    <cellStyle name="Normal 15" xfId="1553" xr:uid="{FBE5A261-2D1C-4363-83A2-19FA4C52A8E3}"/>
    <cellStyle name="Normal 15 2" xfId="1558" xr:uid="{C23FFABC-2000-477A-99E7-8C8BC81B9041}"/>
    <cellStyle name="Normal 15 2 2" xfId="1565" xr:uid="{D3F85557-F90A-42FD-8119-341B1E85D008}"/>
    <cellStyle name="Normal 15 2 3" xfId="3901" xr:uid="{4856D05C-6487-4361-9211-F69DD2C7FE21}"/>
    <cellStyle name="Normal 15 3" xfId="3898" xr:uid="{BFFE94A7-ADB8-41F5-AADF-8DBDC622B4B1}"/>
    <cellStyle name="Normal 16" xfId="1557" xr:uid="{BA17F189-6864-4DC2-B021-2BA04B89268B}"/>
    <cellStyle name="Normal 16 2" xfId="1563" xr:uid="{CECC795E-F4CF-4C39-9BC1-EA6E4D875A24}"/>
    <cellStyle name="Normal 16 2 2" xfId="3903" xr:uid="{E1280155-FE18-4466-9915-969DB1D62151}"/>
    <cellStyle name="Normal 16 3" xfId="3900" xr:uid="{3FAFD318-8F9A-4962-A096-CEE3C995F73D}"/>
    <cellStyle name="Normal 17" xfId="1566" xr:uid="{158B55DF-85BE-459C-8E29-AC3EAE2DD31A}"/>
    <cellStyle name="Normal 17 2" xfId="6626" xr:uid="{3D70FAB3-7266-4FB1-BCD7-5B1CD41A416E}"/>
    <cellStyle name="Normal 18" xfId="2545" xr:uid="{99032F65-13A7-4C6C-A5A7-BD8642DBB176}"/>
    <cellStyle name="Normal 18 2" xfId="4510" xr:uid="{BF8F127C-2A54-4727-BDC5-7953314E1531}"/>
    <cellStyle name="Normal 182" xfId="564" xr:uid="{00000000-0005-0000-0000-00003C020000}"/>
    <cellStyle name="Normal 182 2" xfId="565" xr:uid="{00000000-0005-0000-0000-00003D020000}"/>
    <cellStyle name="Normal 182 2 2" xfId="2165" xr:uid="{49BABB00-5DD8-45DA-A985-A48C0EAA16C5}"/>
    <cellStyle name="Normal 182 2 2 2" xfId="4176" xr:uid="{0097A847-DF20-4AF6-8758-40D3FC2A1839}"/>
    <cellStyle name="Normal 182 2 3" xfId="1252" xr:uid="{97EB0BE7-50D9-402C-8E25-4C3260C8A986}"/>
    <cellStyle name="Normal 182 2 4" xfId="3462" xr:uid="{3508F7E9-BA3C-47E1-A165-24B8AE404E87}"/>
    <cellStyle name="Normal 182 3" xfId="2164" xr:uid="{780F8792-15FC-45B8-AF12-4A6CB8CB393F}"/>
    <cellStyle name="Normal 182 3 2" xfId="4175" xr:uid="{2CAF1184-90DF-43F0-B6E4-E27754D6EEA2}"/>
    <cellStyle name="Normal 182 4" xfId="1251" xr:uid="{B39BC3F2-DE0C-4123-BAD7-D183505C7190}"/>
    <cellStyle name="Normal 182 5" xfId="3461" xr:uid="{EA286F2A-FCB8-419C-887B-30F89CC7F7BC}"/>
    <cellStyle name="Normal 19" xfId="1048" xr:uid="{BC233FD8-9AF8-44DA-BC6F-86A54159805B}"/>
    <cellStyle name="Normal 2" xfId="16" xr:uid="{00000000-0005-0000-0000-000016000000}"/>
    <cellStyle name="Normal 2 10" xfId="1040" xr:uid="{96A2C45E-3575-48CF-B303-B766D066FF86}"/>
    <cellStyle name="Normal 2 10 2" xfId="12" xr:uid="{00000000-0005-0000-0000-000013000000}"/>
    <cellStyle name="Normal 2 10 2 2" xfId="566" xr:uid="{00000000-0005-0000-0000-00003E020000}"/>
    <cellStyle name="Normal 2 10 3" xfId="2418" xr:uid="{722441A1-DFEA-4533-A995-9C48152514B7}"/>
    <cellStyle name="Normal 2 10 4" xfId="1559" xr:uid="{3374A545-60D3-46E2-910F-BD363B78DAB2}"/>
    <cellStyle name="Normal 2 11" xfId="1054" xr:uid="{84B57436-8E31-40E5-958D-74E19B83C771}"/>
    <cellStyle name="Normal 2 12" xfId="1255" xr:uid="{707F3D21-5027-454F-AAC6-4F62CA8152BA}"/>
    <cellStyle name="Normal 2 16" xfId="567" xr:uid="{00000000-0005-0000-0000-00003F020000}"/>
    <cellStyle name="Normal 2 18" xfId="568" xr:uid="{00000000-0005-0000-0000-000040020000}"/>
    <cellStyle name="Normal 2 2" xfId="19" xr:uid="{00000000-0005-0000-0000-00001A000000}"/>
    <cellStyle name="Normal 2 2 2" xfId="34" xr:uid="{00000000-0005-0000-0000-00002A000000}"/>
    <cellStyle name="Normal 2 2 2 2" xfId="569" xr:uid="{00000000-0005-0000-0000-000041020000}"/>
    <cellStyle name="Normal 2 2 2 2 2" xfId="1100" xr:uid="{70127D8E-AE1F-446B-A9B2-4EDCEFE936D8}"/>
    <cellStyle name="Normal 2 2 2 2 2 2" xfId="1375" xr:uid="{AB94A71E-F62C-4186-998E-A94B79796D3F}"/>
    <cellStyle name="Normal 2 2 2 2 2 3" xfId="3687" xr:uid="{CF26BADB-5A00-4442-8FBB-A5B975B38885}"/>
    <cellStyle name="Normal 2 2 2 2 3" xfId="2166" xr:uid="{0F4253DE-2FB6-49EF-8CDB-0F67C93EC2CC}"/>
    <cellStyle name="Normal 2 2 2 2 3 2" xfId="4177" xr:uid="{11778919-F445-4889-98A4-A155D01F0424}"/>
    <cellStyle name="Normal 2 2 2 2 4" xfId="1362" xr:uid="{650C5208-C38D-4367-8DD1-9987FAAE571D}"/>
    <cellStyle name="Normal 2 2 2 2 5" xfId="3463" xr:uid="{153DEFB2-8EF5-4C08-BA2D-FDE89EA9C11F}"/>
    <cellStyle name="Normal 2 2 2 3" xfId="1083" xr:uid="{02B12C05-683A-459A-B63B-7E5CF20B3305}"/>
    <cellStyle name="Normal 2 2 2 3 2" xfId="1484" xr:uid="{58EFFB05-6E9B-41B8-9631-D7C10595A8E0}"/>
    <cellStyle name="Normal 2 2 2 3 3" xfId="3673" xr:uid="{8434E171-573F-4E3D-93BC-40DEEA1071CE}"/>
    <cellStyle name="Normal 2 2 2 4" xfId="1231" xr:uid="{3A7EC2C4-BBF5-44CD-8731-793A243DBB96}"/>
    <cellStyle name="Normal 2 2 3" xfId="570" xr:uid="{00000000-0005-0000-0000-000042020000}"/>
    <cellStyle name="Normal 2 2 3 2" xfId="8" xr:uid="{00000000-0005-0000-0000-00000E000000}"/>
    <cellStyle name="Normal 2 2 3 2 2" xfId="1733" xr:uid="{CB3F3A85-BB7E-4DD2-8F5E-7B182A8C3A34}"/>
    <cellStyle name="Normal 2 2 3 2 3" xfId="1257" xr:uid="{706E85D6-84BA-4DC6-8CAD-3AD2B8AD8E09}"/>
    <cellStyle name="Normal 2 2 3 3" xfId="1093" xr:uid="{1ACA362C-D4B6-40B0-B08E-24B4C7E6C6CB}"/>
    <cellStyle name="Normal 2 2 4" xfId="1042" xr:uid="{48BEE6D7-E0C2-4A42-A688-64EB11E26250}"/>
    <cellStyle name="Normal 2 2 4 2" xfId="6621" xr:uid="{53B95130-0FAB-48A3-A1C2-63DF4DB1D33F}"/>
    <cellStyle name="Normal 2 2 5" xfId="1062" xr:uid="{8A50B2E5-4E1A-4179-B61F-4E9F7FF7B9D5}"/>
    <cellStyle name="Normal 2 2_2" xfId="571" xr:uid="{00000000-0005-0000-0000-000043020000}"/>
    <cellStyle name="Normal 2 24" xfId="27" xr:uid="{00000000-0005-0000-0000-000023000000}"/>
    <cellStyle name="Normal 2 24 2" xfId="6615" xr:uid="{A30655C5-F694-4E6A-9918-917C26C5AF79}"/>
    <cellStyle name="Normal 2 3" xfId="4" xr:uid="{00000000-0005-0000-0000-000009000000}"/>
    <cellStyle name="Normal 2 3 10" xfId="6627" xr:uid="{89CC76F0-3679-493F-B461-0FA90DE582B1}"/>
    <cellStyle name="Normal 2 3 2" xfId="572" xr:uid="{00000000-0005-0000-0000-000044020000}"/>
    <cellStyle name="Normal 2 3 2 2" xfId="9" xr:uid="{00000000-0005-0000-0000-00000F000000}"/>
    <cellStyle name="Normal 2 3 2 2 2" xfId="573" xr:uid="{00000000-0005-0000-0000-000045020000}"/>
    <cellStyle name="Normal 2 3 2 2 2 2" xfId="1376" xr:uid="{A584C9EB-EE13-415C-8D0D-701C77A138F3}"/>
    <cellStyle name="Normal 2 3 2 2 2 2 2" xfId="3856" xr:uid="{F1C1D22A-ED5B-4F74-81D3-11381263640E}"/>
    <cellStyle name="Normal 2 3 2 2 2 3" xfId="1162" xr:uid="{B54A2054-47BA-4181-9DB4-269820F94267}"/>
    <cellStyle name="Normal 2 3 2 2 2 4" xfId="3465" xr:uid="{3A0BB4D8-5451-48AA-B24D-368A8429095E}"/>
    <cellStyle name="Normal 2 3 2 2 3" xfId="574" xr:uid="{00000000-0005-0000-0000-000046020000}"/>
    <cellStyle name="Normal 2 3 2 2 3 2" xfId="2167" xr:uid="{5508E6D6-75D5-4F08-A92C-D78C87C5967A}"/>
    <cellStyle name="Normal 2 3 2 2 3 2 2" xfId="4178" xr:uid="{6FE18C76-B016-4508-A0B9-6F64242C8919}"/>
    <cellStyle name="Normal 2 3 2 2 3 3" xfId="1164" xr:uid="{693380EB-F1F9-4B58-854E-3EF18BDE16D6}"/>
    <cellStyle name="Normal 2 3 2 2 3 4" xfId="3466" xr:uid="{4ADCA072-F318-44AF-A9BC-D81F0FEE3BAC}"/>
    <cellStyle name="Normal 2 3 2 2 4" xfId="1367" xr:uid="{375CF2AD-A8C4-4D05-8DF3-C23D561040C0}"/>
    <cellStyle name="Normal 2 3 2 2 4 2" xfId="3851" xr:uid="{A6E793BC-123A-441D-8584-5E4BB6F29028}"/>
    <cellStyle name="Normal 2 3 2 2 5" xfId="1121" xr:uid="{BB455138-69A7-47FA-A94B-B590ECB3E3EA}"/>
    <cellStyle name="Normal 2 3 2 2 6" xfId="3056" xr:uid="{5C521F96-09BD-4DA3-806E-9C206942D1B1}"/>
    <cellStyle name="Normal 2 3 2 3" xfId="575" xr:uid="{00000000-0005-0000-0000-000047020000}"/>
    <cellStyle name="Normal 2 3 2 3 2" xfId="2168" xr:uid="{A94C118E-2027-4EB7-9E90-1663189D00CE}"/>
    <cellStyle name="Normal 2 3 2 3 2 2" xfId="4179" xr:uid="{AF95C09A-ADB9-4148-B635-178D6F8CB1E8}"/>
    <cellStyle name="Normal 2 3 2 3 3" xfId="1423" xr:uid="{55D9238B-5FB3-4325-822F-D69D721B32F5}"/>
    <cellStyle name="Normal 2 3 2 3 4" xfId="3467" xr:uid="{F66AB048-A513-4A28-991D-3E27E309E6EE}"/>
    <cellStyle name="Normal 2 3 2 4" xfId="576" xr:uid="{00000000-0005-0000-0000-000048020000}"/>
    <cellStyle name="Normal 2 3 2 4 2" xfId="3468" xr:uid="{72C05180-4CAD-4442-91EB-28F559818A14}"/>
    <cellStyle name="Normal 2 3 2 5" xfId="1259" xr:uid="{56ED1585-B7F3-4879-9865-2AB366A3EBA6}"/>
    <cellStyle name="Normal 2 3 2 6" xfId="3464" xr:uid="{7565393E-C1B3-4D60-8546-3B453E9E6C49}"/>
    <cellStyle name="Normal 2 3 3" xfId="5" xr:uid="{00000000-0005-0000-0000-00000B000000}"/>
    <cellStyle name="Normal 2 3 3 2" xfId="6" xr:uid="{00000000-0005-0000-0000-00000C000000}"/>
    <cellStyle name="Normal 2 3 3 2 2" xfId="1732" xr:uid="{FC9B9BCF-30D2-48A9-A464-1B18BEFD29CC}"/>
    <cellStyle name="Normal 2 3 3 2 2 2" xfId="3980" xr:uid="{538A79AF-2531-4110-BB7B-8F169624A506}"/>
    <cellStyle name="Normal 2 3 3 2 3" xfId="1263" xr:uid="{5823937F-3E7A-466E-A09D-8824CDC8D190}"/>
    <cellStyle name="Normal 2 3 3 2 4" xfId="3055" xr:uid="{7F366687-C956-4995-B08A-783A2A2CF41E}"/>
    <cellStyle name="Normal 2 3 3 3" xfId="1731" xr:uid="{D18DC16F-3BDA-4ED4-B1DA-6AE0A66D4B7F}"/>
    <cellStyle name="Normal 2 3 3 3 2" xfId="3979" xr:uid="{26A83712-85C4-4922-9064-FC05BA234059}"/>
    <cellStyle name="Normal 2 3 3 4" xfId="1261" xr:uid="{4CDEB69C-67CD-4F60-B1E0-EFA95B2037FD}"/>
    <cellStyle name="Normal 2 3 3 5" xfId="3054" xr:uid="{3E30F2E6-1C00-4402-B29C-A36AC90B7866}"/>
    <cellStyle name="Normal 2 3 4" xfId="577" xr:uid="{00000000-0005-0000-0000-000049020000}"/>
    <cellStyle name="Normal 2 3 4 2" xfId="578" xr:uid="{00000000-0005-0000-0000-00004A020000}"/>
    <cellStyle name="Normal 2 3 4 2 2" xfId="1546" xr:uid="{4F26B4EC-674E-4361-AED8-A22108445532}"/>
    <cellStyle name="Normal 2 3 4 2 3" xfId="2171" xr:uid="{CB30400C-89DA-4E51-8DB1-800739EBDC68}"/>
    <cellStyle name="Normal 2 3 4 2 4" xfId="1487" xr:uid="{FEA4F57E-95BB-457F-A422-4F1AD320D2FF}"/>
    <cellStyle name="Normal 2 3 4 3" xfId="2170" xr:uid="{C1E23B3C-BBA0-4665-AE3B-5BD759FA47D1}"/>
    <cellStyle name="Normal 2 3 4 3 2" xfId="4180" xr:uid="{236E1216-7AC3-4B01-BF18-C2C4B0A56A38}"/>
    <cellStyle name="Normal 2 3 4 4" xfId="1486" xr:uid="{5D331F9B-3636-4412-A91C-9784BAF1CD1E}"/>
    <cellStyle name="Normal 2 3 4 5" xfId="3469" xr:uid="{3F1F66A1-118A-440C-8F99-CBDB83416BD3}"/>
    <cellStyle name="Normal 2 3 5" xfId="579" xr:uid="{00000000-0005-0000-0000-00004B020000}"/>
    <cellStyle name="Normal 2 3 5 2" xfId="1541" xr:uid="{305801C9-98E9-45E8-A055-65F6997DF854}"/>
    <cellStyle name="Normal 2 3 5 3" xfId="2172" xr:uid="{FBDB34E7-0523-4BEE-94E1-084101155BD2}"/>
    <cellStyle name="Normal 2 3 5 3 2" xfId="4181" xr:uid="{D03DC0F8-7503-4561-8D2C-F7F1147553C8}"/>
    <cellStyle name="Normal 2 3 5 4" xfId="1483" xr:uid="{C5DCE384-5A8F-4549-9647-D422FD179048}"/>
    <cellStyle name="Normal 2 3 5 5" xfId="3470" xr:uid="{CBE277D6-B5D0-4D0F-A197-5D2128A59078}"/>
    <cellStyle name="Normal 2 3 6" xfId="1071" xr:uid="{7D750236-72EE-4190-B605-4C5D75DA1BAC}"/>
    <cellStyle name="Normal 2 3 6 2" xfId="1045" xr:uid="{FBD97A3B-7A7D-49B6-B9FC-1FDE42477845}"/>
    <cellStyle name="Normal 2 3 6 3" xfId="3663" xr:uid="{B4896141-EA73-4274-9DE3-378907EA2A55}"/>
    <cellStyle name="Normal 2 3 7" xfId="2563" xr:uid="{A068D794-16EF-4DF6-9C8C-B637B4277445}"/>
    <cellStyle name="Normal 2 3 8" xfId="1258" xr:uid="{1CC9328D-4041-4504-A6BD-206B591D6AD3}"/>
    <cellStyle name="Normal 2 3 9" xfId="3052" xr:uid="{BB78321C-7FEB-41D3-B9A2-3FA370976C81}"/>
    <cellStyle name="Normal 2 4" xfId="30" xr:uid="{00000000-0005-0000-0000-000026000000}"/>
    <cellStyle name="Normal 2 4 2" xfId="580" xr:uid="{00000000-0005-0000-0000-00004C020000}"/>
    <cellStyle name="Normal 2 4 2 2" xfId="581" xr:uid="{00000000-0005-0000-0000-00004D020000}"/>
    <cellStyle name="Normal 2 4 2 2 2" xfId="3472" xr:uid="{4DEAB905-EE7D-4CD8-940D-7FA6453204F2}"/>
    <cellStyle name="Normal 2 4 2 3" xfId="2173" xr:uid="{5C0B98AB-85A4-4E5E-9C60-E9819DF6849A}"/>
    <cellStyle name="Normal 2 4 2 3 2" xfId="4182" xr:uid="{55E8BEF0-0E56-482A-8DE6-0A323EFA4E1A}"/>
    <cellStyle name="Normal 2 4 2 4" xfId="1666" xr:uid="{776B74A4-B3AF-4654-A400-794A11A3E8C4}"/>
    <cellStyle name="Normal 2 4 2 5" xfId="3471" xr:uid="{FE20CB5A-0F1D-4B0D-9EFF-9FAFBBBCB67F}"/>
    <cellStyle name="Normal 2 4 3" xfId="582" xr:uid="{00000000-0005-0000-0000-00004E020000}"/>
    <cellStyle name="Normal 2 4 3 2" xfId="2174" xr:uid="{DC8666AD-D237-4923-9477-4161F847162B}"/>
    <cellStyle name="Normal 2 4 3 3" xfId="1488" xr:uid="{7A4763E1-C09B-4733-87A7-1F121340FDC3}"/>
    <cellStyle name="Normal 2 4 4" xfId="583" xr:uid="{00000000-0005-0000-0000-00004F020000}"/>
    <cellStyle name="Normal 2 4 4 2" xfId="3473" xr:uid="{8474FFD5-6150-4960-8BCA-BEB99999C6E2}"/>
    <cellStyle name="Normal 2 4 5" xfId="1078" xr:uid="{D45B1989-77D0-4F23-8842-62E16BDEFBF9}"/>
    <cellStyle name="Normal 2 5" xfId="584" xr:uid="{00000000-0005-0000-0000-000050020000}"/>
    <cellStyle name="Normal 2 5 2" xfId="585" xr:uid="{00000000-0005-0000-0000-000051020000}"/>
    <cellStyle name="Normal 2 5 2 2" xfId="2177" xr:uid="{080D2093-8A32-4D96-95D4-5556D5C5C535}"/>
    <cellStyle name="Normal 2 5 2 2 2" xfId="4183" xr:uid="{AEFD5F03-1124-4B24-8591-48E1E8B14E60}"/>
    <cellStyle name="Normal 2 5 2 3" xfId="1719" xr:uid="{61BCF8B5-D9BD-41C1-B149-3F738EC8F928}"/>
    <cellStyle name="Normal 2 5 2 4" xfId="3474" xr:uid="{85B07CE9-0129-4822-9AFE-5B5964EBF09F}"/>
    <cellStyle name="Normal 2 5 3" xfId="1489" xr:uid="{62E5274C-CAB4-4F4B-B150-D3B511E390BF}"/>
    <cellStyle name="Normal 2 5 4" xfId="2176" xr:uid="{244AF20D-CF86-4552-93E6-E5FDE00244B4}"/>
    <cellStyle name="Normal 2 5 5" xfId="1365" xr:uid="{85EC49D7-398E-4E08-AB31-E6ECADCB462C}"/>
    <cellStyle name="Normal 2 6" xfId="586" xr:uid="{00000000-0005-0000-0000-000052020000}"/>
    <cellStyle name="Normal 2 6 2" xfId="2178" xr:uid="{E65AB0AA-C8D6-44EC-950E-6CC83401128B}"/>
    <cellStyle name="Normal 2 6 3" xfId="1662" xr:uid="{2E5364FF-0679-47CC-BA5E-37993226284F}"/>
    <cellStyle name="Normal 2 7" xfId="587" xr:uid="{00000000-0005-0000-0000-000053020000}"/>
    <cellStyle name="Normal 2 8" xfId="588" xr:uid="{00000000-0005-0000-0000-000054020000}"/>
    <cellStyle name="Normal 2 9" xfId="589" xr:uid="{00000000-0005-0000-0000-000055020000}"/>
    <cellStyle name="Normal 2 9 2" xfId="590" xr:uid="{00000000-0005-0000-0000-000056020000}"/>
    <cellStyle name="Normal 2 9 2 2" xfId="3476" xr:uid="{4A5377E3-E77F-4284-9219-6BDDFB02B7D1}"/>
    <cellStyle name="Normal 2 9 3" xfId="3475" xr:uid="{4B6068A0-0842-4B84-A524-CB3CA3FE4193}"/>
    <cellStyle name="Normal 2_1" xfId="591" xr:uid="{00000000-0005-0000-0000-000057020000}"/>
    <cellStyle name="Normal 3" xfId="592" xr:uid="{00000000-0005-0000-0000-000058020000}"/>
    <cellStyle name="Normal 3 10" xfId="1103" xr:uid="{2CA051D0-98EA-4790-8B38-A71C2BFDFE55}"/>
    <cellStyle name="Normal 3 11" xfId="1264" xr:uid="{3E39FEB8-2877-4028-9930-74FC1F6B0FCF}"/>
    <cellStyle name="Normal 3 12" xfId="3477" xr:uid="{5E6835AE-803C-449E-97D5-119E7A2F0745}"/>
    <cellStyle name="Normal 3 2" xfId="593" xr:uid="{00000000-0005-0000-0000-000059020000}"/>
    <cellStyle name="Normal 3 2 2" xfId="594" xr:uid="{00000000-0005-0000-0000-00005A020000}"/>
    <cellStyle name="Normal 3 2 2 2" xfId="2181" xr:uid="{7718B1D0-A798-4E99-95F2-25DDBAEA325E}"/>
    <cellStyle name="Normal 3 2 2 2 2" xfId="2" xr:uid="{00000000-0005-0000-0000-000007000000}"/>
    <cellStyle name="Normal 3 2 2 2 3" xfId="4184" xr:uid="{236485B5-AC2D-48E2-9CB3-CEB2ED6DDCCC}"/>
    <cellStyle name="Normal 3 2 2 3" xfId="1378" xr:uid="{1D4E67A6-3D3D-4A37-B7CA-696BA48DD6B7}"/>
    <cellStyle name="Normal 3 2 2 4" xfId="3478" xr:uid="{53CAADEE-D0F1-4DFB-B483-FECAA67BE3A1}"/>
    <cellStyle name="Normal 3 2 3" xfId="595" xr:uid="{00000000-0005-0000-0000-00005B020000}"/>
    <cellStyle name="Normal 3 2 3 2" xfId="596" xr:uid="{00000000-0005-0000-0000-00005C020000}"/>
    <cellStyle name="Normal 3 2 3 2 2" xfId="3480" xr:uid="{44BA1F97-066F-45C3-9FB1-05D027DD8162}"/>
    <cellStyle name="Normal 3 2 3 3" xfId="2182" xr:uid="{2F24FC87-CC5B-42C1-B5FD-B3A9283B5337}"/>
    <cellStyle name="Normal 3 2 3 3 2" xfId="4185" xr:uid="{1A0BCADD-4D82-4B7F-86C1-39011B62B510}"/>
    <cellStyle name="Normal 3 2 3 4" xfId="1406" xr:uid="{9F5AF3D6-A971-405B-945C-4466FA018C0D}"/>
    <cellStyle name="Normal 3 2 3 5" xfId="3479" xr:uid="{2B31EC36-8A84-4D94-AF43-DF8DD44ACEF8}"/>
    <cellStyle name="Normal 3 2 4" xfId="597" xr:uid="{00000000-0005-0000-0000-00005D020000}"/>
    <cellStyle name="Normal 3 2 4 2" xfId="2183" xr:uid="{057EF4E1-13B9-4AAF-83B3-D05B0ABA0F89}"/>
    <cellStyle name="Normal 3 2 4 2 2" xfId="4186" xr:uid="{A238CC0A-8BF7-40C5-ADF1-4EDB97A41C80}"/>
    <cellStyle name="Normal 3 2 4 3" xfId="1534" xr:uid="{97596244-6F8E-48B1-A381-300B3E951ACA}"/>
    <cellStyle name="Normal 3 2 4 4" xfId="3481" xr:uid="{0AEF2F21-85D0-4046-AA15-BF8D934FC69E}"/>
    <cellStyle name="Normal 3 2 5" xfId="598" xr:uid="{00000000-0005-0000-0000-00005E020000}"/>
    <cellStyle name="Normal 3 2 5 2" xfId="2184" xr:uid="{B205B567-2733-4FAE-9114-A681788BB277}"/>
    <cellStyle name="Normal 3 2 5 2 2" xfId="4187" xr:uid="{2CC55885-D292-4F1C-A08A-23CFE94CA0FF}"/>
    <cellStyle name="Normal 3 2 5 3" xfId="1490" xr:uid="{1128975C-7B80-48AD-ACD6-74FBCE6BC34C}"/>
    <cellStyle name="Normal 3 2 5 4" xfId="3482" xr:uid="{74071CA7-547E-4D75-91E5-FD60E30D0BE5}"/>
    <cellStyle name="Normal 3 2 6" xfId="1066" xr:uid="{0EB815F7-27F4-40BC-AC0D-2E4C4350441D}"/>
    <cellStyle name="Normal 3 2 6 2" xfId="1536" xr:uid="{9713ACBD-F8EF-4D6F-B270-5E049E90243F}"/>
    <cellStyle name="Normal 3 2 6 3" xfId="3661" xr:uid="{E92EE439-7558-43F4-913A-05CCFA2EF439}"/>
    <cellStyle name="Normal 3 2 7" xfId="2180" xr:uid="{F390135E-E682-40EB-B5C5-C74921D243A7}"/>
    <cellStyle name="Normal 3 2 8" xfId="1265" xr:uid="{A491957F-9723-48A9-B15C-C5D1ABA99440}"/>
    <cellStyle name="Normal 3 2_2" xfId="599" xr:uid="{00000000-0005-0000-0000-00005F020000}"/>
    <cellStyle name="Normal 3 3" xfId="600" xr:uid="{00000000-0005-0000-0000-000060020000}"/>
    <cellStyle name="Normal 3 3 2" xfId="601" xr:uid="{00000000-0005-0000-0000-000061020000}"/>
    <cellStyle name="Normal 3 3 2 2" xfId="2186" xr:uid="{DF8BB8DD-B8D9-4CC5-9963-E97F74D141A6}"/>
    <cellStyle name="Normal 3 3 2 3" xfId="1464" xr:uid="{A7453277-B9E8-4FA1-BD05-8CF1810997F3}"/>
    <cellStyle name="Normal 3 3 3" xfId="1072" xr:uid="{1030CBC6-8835-4408-8651-E6C48A42A3DF}"/>
    <cellStyle name="Normal 3 3 3 2" xfId="2185" xr:uid="{3CE0D486-6FCE-43E6-9622-C2D2246113E0}"/>
    <cellStyle name="Normal 3 3 3 3" xfId="3664" xr:uid="{DDAD1316-A6D6-4D33-9C34-8CA52476D507}"/>
    <cellStyle name="Normal 3 3 4" xfId="1491" xr:uid="{B5525025-54AA-4E92-AF20-339ADF0E31E3}"/>
    <cellStyle name="Normal 3 3 5" xfId="3483" xr:uid="{13C6C5DD-3930-45C8-BF6A-22CEEA98696B}"/>
    <cellStyle name="Normal 3 4" xfId="602" xr:uid="{00000000-0005-0000-0000-000062020000}"/>
    <cellStyle name="Normal 3 4 2" xfId="1080" xr:uid="{89133148-DA0D-4C02-AEDB-B39958BA131C}"/>
    <cellStyle name="Normal 3 4 2 2" xfId="2187" xr:uid="{6439767F-905C-4EFD-AC13-7BBD0FA68770}"/>
    <cellStyle name="Normal 3 4 2 3" xfId="3671" xr:uid="{0BE36187-5798-4FD5-A5FD-FA6CA118E729}"/>
    <cellStyle name="Normal 3 4 3" xfId="1561" xr:uid="{CBAB671C-F9A8-456B-9790-69D81DC6551E}"/>
    <cellStyle name="Normal 3 4 4" xfId="3484" xr:uid="{6B35C3D0-0220-4A94-8EE5-B05504FF2CEA}"/>
    <cellStyle name="Normal 3 5" xfId="603" xr:uid="{00000000-0005-0000-0000-000063020000}"/>
    <cellStyle name="Normal 3 5 2" xfId="1095" xr:uid="{94E478EC-05FE-492B-8C18-18C1324A8784}"/>
    <cellStyle name="Normal 3 5 2 2" xfId="2188" xr:uid="{7489CA98-66B2-4E98-9F03-83C5D9598098}"/>
    <cellStyle name="Normal 3 5 2 3" xfId="3682" xr:uid="{B55A7BBD-8C26-449D-A6EC-BD0730469BC2}"/>
    <cellStyle name="Normal 3 5 3" xfId="1547" xr:uid="{0BF97AF6-C36F-41C6-9025-036827FB0327}"/>
    <cellStyle name="Normal 3 5 4" xfId="3485" xr:uid="{BA32058E-46F1-4C04-AB86-510762D0FE76}"/>
    <cellStyle name="Normal 3 6" xfId="1055" xr:uid="{07F12A9E-0A65-4402-94BC-5CEA52978446}"/>
    <cellStyle name="Normal 3 6 2" xfId="1539" xr:uid="{76EF062F-A2C3-47F3-A4DA-92B0E8E76ED4}"/>
    <cellStyle name="Normal 3 6 3" xfId="1492" xr:uid="{2EEBC247-C5A1-4727-BE92-890010BC95C2}"/>
    <cellStyle name="Normal 3 6 4" xfId="3654" xr:uid="{87AA387A-6CBA-496E-B30B-71AFCBA4EEC1}"/>
    <cellStyle name="Normal 3 7" xfId="1104" xr:uid="{AC764E20-A508-4AFF-B67D-CB4512592699}"/>
    <cellStyle name="Normal 3 7 2" xfId="2179" xr:uid="{49872C20-5961-4914-B8C4-086C0C5B81D4}"/>
    <cellStyle name="Normal 3 7 3" xfId="3689" xr:uid="{3ED5DC6D-919D-4649-94A7-585BB4751B6C}"/>
    <cellStyle name="Normal 3 8" xfId="1107" xr:uid="{F8F7D567-5787-4A3A-8541-D25874C92A77}"/>
    <cellStyle name="Normal 3 9" xfId="1105" xr:uid="{43EAE089-8C5F-457E-8360-BE65473FC340}"/>
    <cellStyle name="Normal 3_1" xfId="604" xr:uid="{00000000-0005-0000-0000-000064020000}"/>
    <cellStyle name="Normal 31" xfId="1427" xr:uid="{F02665F9-BD73-4EF0-8F8C-12B825099874}"/>
    <cellStyle name="Normal 32" xfId="605" xr:uid="{00000000-0005-0000-0000-000065020000}"/>
    <cellStyle name="Normal 32 2" xfId="606" xr:uid="{00000000-0005-0000-0000-000066020000}"/>
    <cellStyle name="Normal 32 2 2" xfId="3487" xr:uid="{7AF75A44-249D-4C3F-81AC-EC787D008792}"/>
    <cellStyle name="Normal 32 3" xfId="3486" xr:uid="{FFD2C73B-6C2F-490C-8B33-F4129B9F080E}"/>
    <cellStyle name="Normal 4" xfId="3" xr:uid="{00000000-0005-0000-0000-000008000000}"/>
    <cellStyle name="Normal 4 2" xfId="29" xr:uid="{00000000-0005-0000-0000-000025000000}"/>
    <cellStyle name="Normal 4 2 2" xfId="607" xr:uid="{00000000-0005-0000-0000-000067020000}"/>
    <cellStyle name="Normal 4 2 2 2" xfId="2189" xr:uid="{6351F096-940D-4014-B021-99352FFA4541}"/>
    <cellStyle name="Normal 4 2 2 3" xfId="1494" xr:uid="{D10F8C3D-809F-4AFB-A62E-ED9318E7AEAE}"/>
    <cellStyle name="Normal 4 2 2 4" xfId="6622" xr:uid="{E9388138-D282-48E0-8740-C8DEA7517A59}"/>
    <cellStyle name="Normal 4 2 3" xfId="608" xr:uid="{00000000-0005-0000-0000-000068020000}"/>
    <cellStyle name="Normal 4 2 3 2" xfId="2190" xr:uid="{4A1B744B-C637-49B2-B9F8-60E2937490DB}"/>
    <cellStyle name="Normal 4 2 3 2 2" xfId="4188" xr:uid="{A5A57574-524E-4516-AE67-6195326E3EC3}"/>
    <cellStyle name="Normal 4 2 3 3" xfId="1724" xr:uid="{7ACA5087-38C8-48D6-8FE7-142429653CFB}"/>
    <cellStyle name="Normal 4 2 3 4" xfId="3488" xr:uid="{E2EE70E2-0DB8-429F-935F-742A74741462}"/>
    <cellStyle name="Normal 4 2 4" xfId="1081" xr:uid="{AD64FFE7-1B28-41A7-AFA2-3B7AE47BC1C0}"/>
    <cellStyle name="Normal 4 2 4 2" xfId="1493" xr:uid="{E0470E21-4BA9-45B9-B5D5-42FA8EC65638}"/>
    <cellStyle name="Normal 4 2 4 3" xfId="3672" xr:uid="{2882DE61-53F1-4543-9243-F5FF5BFE4E2C}"/>
    <cellStyle name="Normal 4 3" xfId="609" xr:uid="{00000000-0005-0000-0000-000069020000}"/>
    <cellStyle name="Normal 4 3 2" xfId="610" xr:uid="{00000000-0005-0000-0000-00006A020000}"/>
    <cellStyle name="Normal 4 3 2 2" xfId="2191" xr:uid="{6BB9B2C8-400E-43D8-9C56-EFA73BADF1D8}"/>
    <cellStyle name="Normal 4 3 2 2 2" xfId="4189" xr:uid="{919DA0A2-F6E4-4FCA-A6F1-7B1AB2D838A0}"/>
    <cellStyle name="Normal 4 3 2 3" xfId="1496" xr:uid="{72B389A1-2D1B-4E60-934C-3ED887877188}"/>
    <cellStyle name="Normal 4 3 2 4" xfId="3489" xr:uid="{96F8B0CE-2A56-45A2-A807-474DD081F2E9}"/>
    <cellStyle name="Normal 4 3 3" xfId="611" xr:uid="{00000000-0005-0000-0000-00006B020000}"/>
    <cellStyle name="Normal 4 3 3 2" xfId="2192" xr:uid="{6C022DE3-F46C-4B10-8B01-81B6A58AE3D6}"/>
    <cellStyle name="Normal 4 3 3 2 2" xfId="4190" xr:uid="{3BD7C4D6-B4A8-4F42-9186-DD47FBEE08EC}"/>
    <cellStyle name="Normal 4 3 3 3" xfId="1377" xr:uid="{9A12D917-2714-481F-9291-C90033D7B6D4}"/>
    <cellStyle name="Normal 4 3 3 4" xfId="3490" xr:uid="{86068B7C-3B6C-424C-BE9C-225B52EF5B1D}"/>
    <cellStyle name="Normal 4 3 4" xfId="1096" xr:uid="{91CB5959-C8CE-414D-B57F-3EF407F6B9C6}"/>
    <cellStyle name="Normal 4 3 4 2" xfId="1668" xr:uid="{64AEAB2A-62CE-42CC-8704-437810D01F99}"/>
    <cellStyle name="Normal 4 3 4 3" xfId="3683" xr:uid="{B761709E-BCA9-4E1E-96DA-EAFF4C9A040E}"/>
    <cellStyle name="Normal 4 3 5" xfId="1495" xr:uid="{C3EE0E3C-2478-4E16-9376-9A52ABC04735}"/>
    <cellStyle name="Normal 4 4" xfId="612" xr:uid="{00000000-0005-0000-0000-00006C020000}"/>
    <cellStyle name="Normal 4 4 2" xfId="2193" xr:uid="{B1BB7733-2E8F-4666-B2E9-94FA05315EAB}"/>
    <cellStyle name="Normal 4 4 2 2" xfId="4191" xr:uid="{F7C775E1-8ECF-4B1B-91C1-4063978142B8}"/>
    <cellStyle name="Normal 4 4 3" xfId="1497" xr:uid="{6D2D826A-4B11-4AA7-887A-B50E07B9CCA8}"/>
    <cellStyle name="Normal 4 4 4" xfId="3491" xr:uid="{F45FFB13-F2F6-436C-8A6B-DEEAAF24FC6F}"/>
    <cellStyle name="Normal 4 4 5" xfId="6620" xr:uid="{95488200-7D0E-479F-ACCC-875A2A546F25}"/>
    <cellStyle name="Normal 4 5" xfId="613" xr:uid="{00000000-0005-0000-0000-00006D020000}"/>
    <cellStyle name="Normal 4 5 2" xfId="2194" xr:uid="{3F426148-800F-403C-91BD-128BA2C06C45}"/>
    <cellStyle name="Normal 4 5 2 2" xfId="4192" xr:uid="{D264E1D2-7391-46D0-BF73-A5D040BB4683}"/>
    <cellStyle name="Normal 4 5 3" xfId="1667" xr:uid="{1A8CB8B0-67AA-4640-A88C-4E2E7A838850}"/>
    <cellStyle name="Normal 4 5 4" xfId="3492" xr:uid="{0A6D4F1D-4AAF-4FD1-8DF6-0C3BE21F4947}"/>
    <cellStyle name="Normal 4 6" xfId="1064" xr:uid="{02389921-4ED8-4200-9187-517A96E27277}"/>
    <cellStyle name="Normal 4 6 2" xfId="1730" xr:uid="{D2758D7A-65D8-45D6-9D8C-7B823EF93466}"/>
    <cellStyle name="Normal 4 6 3" xfId="3660" xr:uid="{F4C24F8C-E3CE-48CE-9574-F79F029405E5}"/>
    <cellStyle name="Normal 5" xfId="25" xr:uid="{00000000-0005-0000-0000-000021000000}"/>
    <cellStyle name="Normal 5 2" xfId="614" xr:uid="{00000000-0005-0000-0000-00006E020000}"/>
    <cellStyle name="Normal 5 2 2" xfId="615" xr:uid="{00000000-0005-0000-0000-00006F020000}"/>
    <cellStyle name="Normal 5 2 2 2" xfId="3493" xr:uid="{8B010046-56DE-49B9-ABB3-949E2B1F8816}"/>
    <cellStyle name="Normal 5 2 3" xfId="1082" xr:uid="{EFE298AF-1718-4724-9AE2-2AC504752E63}"/>
    <cellStyle name="Normal 5 3" xfId="616" xr:uid="{00000000-0005-0000-0000-000070020000}"/>
    <cellStyle name="Normal 5 3 2" xfId="1671" xr:uid="{D70D7D6A-96D6-4182-AA15-31182F5802E8}"/>
    <cellStyle name="Normal 5 3 3" xfId="2195" xr:uid="{D27F1FAA-24C9-4908-AB60-7CF91D598A43}"/>
    <cellStyle name="Normal 5 3 4" xfId="1268" xr:uid="{2538206C-B463-4F36-9FD6-77A0A2B96DAE}"/>
    <cellStyle name="Normal 5 4" xfId="617" xr:uid="{00000000-0005-0000-0000-000071020000}"/>
    <cellStyle name="Normal 5 4 2" xfId="2196" xr:uid="{948B018D-1382-444C-845F-79607CB62B68}"/>
    <cellStyle name="Normal 5 4 3" xfId="1670" xr:uid="{E1203339-E280-466F-972F-A621B8719CE2}"/>
    <cellStyle name="Normal 5 5" xfId="1068" xr:uid="{61DD4DA3-D855-4C09-B750-6D118111BD39}"/>
    <cellStyle name="Normal 5 5 2" xfId="1498" xr:uid="{DFAB7F31-9A30-4466-9C75-58D49C8337F4}"/>
    <cellStyle name="Normal 5 5 3" xfId="3662" xr:uid="{8A21A431-5606-4705-892B-28F5BF675A3E}"/>
    <cellStyle name="Normal 5 6" xfId="2560" xr:uid="{0C965558-0410-4D0F-A431-736543163EF3}"/>
    <cellStyle name="Normal 55" xfId="1088" xr:uid="{526C9B10-91FB-44C3-A1C1-D8E244CA8718}"/>
    <cellStyle name="Normal 56" xfId="618" xr:uid="{00000000-0005-0000-0000-000072020000}"/>
    <cellStyle name="Normal 6" xfId="619" xr:uid="{00000000-0005-0000-0000-000073020000}"/>
    <cellStyle name="Normal 6 2" xfId="620" xr:uid="{00000000-0005-0000-0000-000074020000}"/>
    <cellStyle name="Normal 6 2 2" xfId="621" xr:uid="{00000000-0005-0000-0000-000075020000}"/>
    <cellStyle name="Normal 6 2 2 2" xfId="2198" xr:uid="{674C2F4B-05C2-4E74-9CCF-2E1AB269BD22}"/>
    <cellStyle name="Normal 6 2 2 2 2" xfId="4193" xr:uid="{79E2F286-4D02-47A2-9BFD-BADC5AA3980D}"/>
    <cellStyle name="Normal 6 2 2 3" xfId="1672" xr:uid="{57FD78AA-4612-4100-8237-34B77605832C}"/>
    <cellStyle name="Normal 6 2 2 4" xfId="3494" xr:uid="{085DD7E0-4390-4BDC-9787-8E5320A911D3}"/>
    <cellStyle name="Normal 6 2 3" xfId="1409" xr:uid="{353B601A-A371-46F4-BD9A-6C51E99CECCD}"/>
    <cellStyle name="Normal 6 3" xfId="622" xr:uid="{00000000-0005-0000-0000-000076020000}"/>
    <cellStyle name="Normal 6 3 2" xfId="2199" xr:uid="{43655D77-60E3-42BE-8CA5-0839090C9FDE}"/>
    <cellStyle name="Normal 6 3 3" xfId="1589" xr:uid="{701FFAFE-D6DC-4818-9321-A8AD770119A8}"/>
    <cellStyle name="Normal 6 4" xfId="623" xr:uid="{00000000-0005-0000-0000-000077020000}"/>
    <cellStyle name="Normal 6 4 2" xfId="2200" xr:uid="{DF224696-A50E-4D67-B903-C197B03B4ACB}"/>
    <cellStyle name="Normal 6 4 2 2" xfId="4194" xr:uid="{9489D284-A5C2-4BAA-94E5-F89E411FB2B5}"/>
    <cellStyle name="Normal 6 4 3" xfId="1499" xr:uid="{710B3C15-2BAA-4AFC-8D1E-8DE128A0EF37}"/>
    <cellStyle name="Normal 6 4 4" xfId="3495" xr:uid="{A862D0BC-CFA1-4E04-87C6-1FEF61B85432}"/>
    <cellStyle name="Normal 6 5" xfId="1070" xr:uid="{2130C4F4-B208-4F87-91D0-8302FA80D78F}"/>
    <cellStyle name="Normal 6_3" xfId="624" xr:uid="{00000000-0005-0000-0000-000078020000}"/>
    <cellStyle name="Normal 7" xfId="625" xr:uid="{00000000-0005-0000-0000-000079020000}"/>
    <cellStyle name="Normal 7 10" xfId="1108" xr:uid="{D23AF25E-F37F-4EC0-AA69-76FD679084B6}"/>
    <cellStyle name="Normal 7 11" xfId="1269" xr:uid="{37F823A2-4632-4D0E-8C3A-427B97E3B3E2}"/>
    <cellStyle name="Normal 7 12" xfId="3496" xr:uid="{E50FF974-82B6-4623-A810-529FA637A776}"/>
    <cellStyle name="Normal 7 2" xfId="626" xr:uid="{00000000-0005-0000-0000-00007A020000}"/>
    <cellStyle name="Normal 7 2 10" xfId="2727" xr:uid="{A81F7A63-2C1F-454A-AE0A-131405403FB0}"/>
    <cellStyle name="Normal 7 2 2" xfId="627" xr:uid="{00000000-0005-0000-0000-00007B020000}"/>
    <cellStyle name="Normal 7 2 2 2" xfId="628" xr:uid="{00000000-0005-0000-0000-00007C020000}"/>
    <cellStyle name="Normal 7 2 2 2 2" xfId="3499" xr:uid="{642D567D-F416-440F-BB68-93CCEDA64222}"/>
    <cellStyle name="Normal 7 2 2 3" xfId="3498" xr:uid="{11AD9553-5CD2-4380-B6C7-E8E6E5D61142}"/>
    <cellStyle name="Normal 7 2 2_1" xfId="629" xr:uid="{00000000-0005-0000-0000-00007D020000}"/>
    <cellStyle name="Normal 7 2 3" xfId="630" xr:uid="{00000000-0005-0000-0000-00007E020000}"/>
    <cellStyle name="Normal 7 2 3 2" xfId="3500" xr:uid="{58FA5155-EDF1-4805-ACD3-5ADA5ACEA385}"/>
    <cellStyle name="Normal 7 2 4" xfId="2203" xr:uid="{ADCFAA98-DF8F-42B3-9CCA-FB858FD953ED}"/>
    <cellStyle name="Normal 7 2 4 2" xfId="4195" xr:uid="{F136BAB0-08C8-4EA0-99A5-BDF66558592F}"/>
    <cellStyle name="Normal 7 2 5" xfId="1379" xr:uid="{7496D06A-A1A4-427B-A67C-4023C6E65854}"/>
    <cellStyle name="Normal 7 2 6" xfId="2618" xr:uid="{D874D274-C9A2-4162-B471-CCD3627D4E31}"/>
    <cellStyle name="Normal 7 2 7" xfId="2578" xr:uid="{CB2F1E80-57BA-4808-908F-A6735070B42F}"/>
    <cellStyle name="Normal 7 2 8" xfId="3497" xr:uid="{D8848149-4AF1-4942-917A-41746E8FBD33}"/>
    <cellStyle name="Normal 7 2 9" xfId="1183" xr:uid="{D04D5251-E395-4C96-BCAF-EC4AE170C872}"/>
    <cellStyle name="Normal 7 2_1" xfId="631" xr:uid="{00000000-0005-0000-0000-00007F020000}"/>
    <cellStyle name="Normal 7 3" xfId="632" xr:uid="{00000000-0005-0000-0000-000080020000}"/>
    <cellStyle name="Normal 7 3 10" xfId="2883" xr:uid="{55BE39F9-088C-4AA3-B870-1A5C6B5272E5}"/>
    <cellStyle name="Normal 7 3 2" xfId="633" xr:uid="{00000000-0005-0000-0000-000081020000}"/>
    <cellStyle name="Normal 7 3 2 2" xfId="3502" xr:uid="{2B7C042D-E12D-40C5-B215-90D264AA356C}"/>
    <cellStyle name="Normal 7 3 3" xfId="634" xr:uid="{00000000-0005-0000-0000-000082020000}"/>
    <cellStyle name="Normal 7 3 3 2" xfId="635" xr:uid="{00000000-0005-0000-0000-000083020000}"/>
    <cellStyle name="Normal 7 3 3 2 2" xfId="3504" xr:uid="{3A61FF8C-2969-4AD3-A8E5-D8E7B5EAA5F7}"/>
    <cellStyle name="Normal 7 3 3 3" xfId="3503" xr:uid="{339F7D13-1105-478B-A57E-A193BFC2AAA3}"/>
    <cellStyle name="Normal 7 3 3_1" xfId="636" xr:uid="{00000000-0005-0000-0000-000084020000}"/>
    <cellStyle name="Normal 7 3 4" xfId="637" xr:uid="{00000000-0005-0000-0000-000085020000}"/>
    <cellStyle name="Normal 7 3 4 2" xfId="3505" xr:uid="{B4198903-241D-4DF3-BC68-23338D6E9F4D}"/>
    <cellStyle name="Normal 7 3 5" xfId="2204" xr:uid="{EDD7905A-51C6-4C30-AEC8-F21DD8AF6784}"/>
    <cellStyle name="Normal 7 3 5 2" xfId="4196" xr:uid="{2D500D81-8597-45ED-896F-01EF9ED1995D}"/>
    <cellStyle name="Normal 7 3 6" xfId="1673" xr:uid="{20E1538F-678C-420D-A71E-6EB8058DF786}"/>
    <cellStyle name="Normal 7 3 7" xfId="2686" xr:uid="{8888853B-2A95-49E8-8732-DE14D3413208}"/>
    <cellStyle name="Normal 7 3 8" xfId="2620" xr:uid="{F5493C36-71AA-41D1-B167-9E0E7C3786FA}"/>
    <cellStyle name="Normal 7 3 9" xfId="3501" xr:uid="{27DB19B6-6261-4298-8171-B7E111435BB6}"/>
    <cellStyle name="Normal 7 3_1" xfId="638" xr:uid="{00000000-0005-0000-0000-000086020000}"/>
    <cellStyle name="Normal 7 4" xfId="639" xr:uid="{00000000-0005-0000-0000-000087020000}"/>
    <cellStyle name="Normal 7 4 2" xfId="2207" xr:uid="{699AD918-783A-4D6A-BE56-C26CB63709A6}"/>
    <cellStyle name="Normal 7 4 2 2" xfId="4197" xr:uid="{EFA32AE4-82E0-43D8-B933-30C16E87B5A0}"/>
    <cellStyle name="Normal 7 4 3" xfId="1501" xr:uid="{6D1FE98E-F641-45BA-8BBA-59A4A67FA643}"/>
    <cellStyle name="Normal 7 4 4" xfId="3506" xr:uid="{81D1E92D-C40E-40F6-8639-C45BD4CF267E}"/>
    <cellStyle name="Normal 7 5" xfId="640" xr:uid="{00000000-0005-0000-0000-000088020000}"/>
    <cellStyle name="Normal 7 5 2" xfId="3507" xr:uid="{8EDD94C3-4895-4B88-9E7E-6CAD246BA38D}"/>
    <cellStyle name="Normal 7 6" xfId="641" xr:uid="{00000000-0005-0000-0000-000089020000}"/>
    <cellStyle name="Normal 7 6 2" xfId="2208" xr:uid="{4414DD3D-695F-4DA6-9D5C-85FB39C2BEA7}"/>
    <cellStyle name="Normal 7 7" xfId="642" xr:uid="{00000000-0005-0000-0000-00008A020000}"/>
    <cellStyle name="Normal 7 7 2" xfId="2209" xr:uid="{CA7EC3CF-4918-417F-A2E9-D5C0C82D011D}"/>
    <cellStyle name="Normal 7 8" xfId="1074" xr:uid="{0F17D63D-3834-463A-8561-32A662E5DE9F}"/>
    <cellStyle name="Normal 7 8 2" xfId="2202" xr:uid="{535B1FCB-F7F6-4F50-A9C1-87B498FB62C7}"/>
    <cellStyle name="Normal 7 8 3" xfId="3666" xr:uid="{4FD7AA09-6439-424B-A3C9-E37B6EE4E826}"/>
    <cellStyle name="Normal 7 9" xfId="1106" xr:uid="{506B601E-031C-4270-8645-75918030E929}"/>
    <cellStyle name="Normal 7_1" xfId="643" xr:uid="{00000000-0005-0000-0000-00008B020000}"/>
    <cellStyle name="Normal 8" xfId="644" xr:uid="{00000000-0005-0000-0000-00008C020000}"/>
    <cellStyle name="Normal 8 2" xfId="645" xr:uid="{00000000-0005-0000-0000-00008D020000}"/>
    <cellStyle name="Normal 8 2 2" xfId="1657" xr:uid="{7783B2FA-9920-41A8-ABE0-A0201F9E9681}"/>
    <cellStyle name="Normal 8 2 3" xfId="2210" xr:uid="{BDCF3003-7786-40D4-B358-CD7F36D6BDA1}"/>
    <cellStyle name="Normal 8 2 3 2" xfId="4199" xr:uid="{D333B630-FA20-426B-BC51-94B153EAACE3}"/>
    <cellStyle name="Normal 8 2 4" xfId="1238" xr:uid="{B6011A12-2799-470E-B567-1E0FF5A175B7}"/>
    <cellStyle name="Normal 8 2 5" xfId="3508" xr:uid="{3ABD7474-4702-4BE5-8BD2-DE19F2C7136E}"/>
    <cellStyle name="Normal 8 3" xfId="646" xr:uid="{00000000-0005-0000-0000-00008E020000}"/>
    <cellStyle name="Normal 8 3 2" xfId="2211" xr:uid="{6DA0BC5E-3B4E-414E-ACF3-7A1B9A82168F}"/>
    <cellStyle name="Normal 8 3 2 2" xfId="4200" xr:uid="{D454213B-A3AD-4D25-80C8-42B6780EE2C7}"/>
    <cellStyle name="Normal 8 3 3" xfId="1674" xr:uid="{8614EBA7-AD3D-4D4F-9DDC-93DE675A66F7}"/>
    <cellStyle name="Normal 8 3 4" xfId="3509" xr:uid="{69845441-D4F6-44C1-8ED1-777D240DD3B0}"/>
    <cellStyle name="Normal 8 4" xfId="1052" xr:uid="{E45250A8-8358-4C8C-9354-47D4CB4211E3}"/>
    <cellStyle name="Normal 8 4 2" xfId="1502" xr:uid="{594F5E96-FFA3-498E-85A7-8839B0577A33}"/>
    <cellStyle name="Normal 8 4 3" xfId="3652" xr:uid="{BEEF4B92-C6F4-40EB-84F2-D80F548860CF}"/>
    <cellStyle name="Normal 8 5" xfId="2561" xr:uid="{59AAE4C2-7FAB-47C2-8C3A-22DC60E6B0C9}"/>
    <cellStyle name="Normal 9" xfId="647" xr:uid="{00000000-0005-0000-0000-00008F020000}"/>
    <cellStyle name="Normal 9 2" xfId="648" xr:uid="{00000000-0005-0000-0000-000090020000}"/>
    <cellStyle name="Normal 9 2 2" xfId="1041" xr:uid="{2E4501A9-1E7E-4A56-8CC9-07C5BE8CA435}"/>
    <cellStyle name="Normal 9 2 3" xfId="2212" xr:uid="{3CA132F4-0AAE-454D-9161-B4B3E21FA315}"/>
    <cellStyle name="Normal 9 2 3 2" xfId="4201" xr:uid="{A3E466C8-6096-4495-8FA6-1572DEDDE515}"/>
    <cellStyle name="Normal 9 2 4" xfId="1382" xr:uid="{9DE090CD-DD4B-4388-AA04-A992B0007BC2}"/>
    <cellStyle name="Normal 9 2 5" xfId="3510" xr:uid="{F82E8E00-D7FF-44FE-832A-B6EAEDE394BE}"/>
    <cellStyle name="Normalny_Arkusz1" xfId="649" xr:uid="{00000000-0005-0000-0000-000091020000}"/>
    <cellStyle name="Percent [2]" xfId="650" xr:uid="{00000000-0005-0000-0000-000092020000}"/>
    <cellStyle name="Percent 2" xfId="21" xr:uid="{00000000-0005-0000-0000-00001C000000}"/>
    <cellStyle name="Percent 2 2" xfId="651" xr:uid="{00000000-0005-0000-0000-000093020000}"/>
    <cellStyle name="Percent 2 2 2" xfId="652" xr:uid="{00000000-0005-0000-0000-000094020000}"/>
    <cellStyle name="Percent 2 2 2 2" xfId="3512" xr:uid="{DFBD41D5-D831-4358-A599-DFD9C8F4A12A}"/>
    <cellStyle name="Percent 2 2 3" xfId="653" xr:uid="{00000000-0005-0000-0000-000095020000}"/>
    <cellStyle name="Percent 2 2 3 2" xfId="3513" xr:uid="{75E2B2CA-186A-44FA-9EF4-B58D0AF82275}"/>
    <cellStyle name="Percent 2 2 4" xfId="1098" xr:uid="{40B7A142-B1FE-4BD9-AA1A-6CB6FC617D99}"/>
    <cellStyle name="Percent 2 2 4 2" xfId="2213" xr:uid="{411BF0BF-AED1-4272-AAFC-AC0693B9AF3D}"/>
    <cellStyle name="Percent 2 2 4 3" xfId="3685" xr:uid="{8D7A942E-E477-45A7-B865-83DE836AE8D0}"/>
    <cellStyle name="Percent 2 2 5" xfId="1504" xr:uid="{99896B92-544B-4064-B4B7-BBA77CEE12B0}"/>
    <cellStyle name="Percent 2 2 6" xfId="3511" xr:uid="{E09443FE-9917-4401-AD22-320ED03325C2}"/>
    <cellStyle name="Percent 2 3" xfId="654" xr:uid="{00000000-0005-0000-0000-000096020000}"/>
    <cellStyle name="Percent 2 3 2" xfId="655" xr:uid="{00000000-0005-0000-0000-000097020000}"/>
    <cellStyle name="Percent 2 3 2 2" xfId="656" xr:uid="{00000000-0005-0000-0000-000098020000}"/>
    <cellStyle name="Percent 2 3 2 2 2" xfId="3515" xr:uid="{F63E34B4-8192-4BB8-ACF6-6E2820A1118E}"/>
    <cellStyle name="Percent 2 3 2 3" xfId="3514" xr:uid="{E995DBC0-F236-4D2B-B589-9CD4B97BB796}"/>
    <cellStyle name="Percent 2 3 3" xfId="657" xr:uid="{00000000-0005-0000-0000-000099020000}"/>
    <cellStyle name="Percent 2 3 4" xfId="2215" xr:uid="{51806A11-167C-4E47-8322-84A4F5DFAF47}"/>
    <cellStyle name="Percent 2 3 5" xfId="1676" xr:uid="{1FFDAD4A-A63E-44D3-A81E-02418A8C139F}"/>
    <cellStyle name="Percent 2 4" xfId="658" xr:uid="{00000000-0005-0000-0000-00009A020000}"/>
    <cellStyle name="Percent 2 4 2" xfId="2216" xr:uid="{7D854118-AFDA-47A4-9AFA-CCADC39274DC}"/>
    <cellStyle name="Percent 2 4 2 2" xfId="4202" xr:uid="{B0DF46A9-3830-4E1E-A1D6-DB0FB0D9F85A}"/>
    <cellStyle name="Percent 2 4 3" xfId="1503" xr:uid="{A8817D85-E100-440F-A676-7D16201EA9B5}"/>
    <cellStyle name="Percent 2 4 4" xfId="3516" xr:uid="{694BD412-C8C1-489D-94E8-E57537F76AC2}"/>
    <cellStyle name="Percent 2 5" xfId="659" xr:uid="{00000000-0005-0000-0000-00009B020000}"/>
    <cellStyle name="Percent 2 5 2" xfId="3517" xr:uid="{E127984A-CD67-4989-9BEB-6DF9E5A9924E}"/>
    <cellStyle name="Percent 2 6" xfId="660" xr:uid="{00000000-0005-0000-0000-00009C020000}"/>
    <cellStyle name="Percent 2 6 2" xfId="3518" xr:uid="{12FB2EFC-99A8-4033-9704-A4086CCE62F8}"/>
    <cellStyle name="Percent 2 7" xfId="1737" xr:uid="{B5A1F476-060B-4E12-86AD-95F8DA410E6D}"/>
    <cellStyle name="Percent 2 7 2" xfId="3983" xr:uid="{7FCA4064-865E-4189-AB0D-BBE947024E5F}"/>
    <cellStyle name="Percent 2 8" xfId="1273" xr:uid="{96013052-E464-4F59-AC1F-9BA4792F784F}"/>
    <cellStyle name="Percent 2 9" xfId="3063" xr:uid="{023F85EE-8682-4C53-BB92-0958049A4965}"/>
    <cellStyle name="Percent 2_3" xfId="661" xr:uid="{00000000-0005-0000-0000-00009D020000}"/>
    <cellStyle name="Percent 3" xfId="662" xr:uid="{00000000-0005-0000-0000-00009E020000}"/>
    <cellStyle name="Percent 3 2" xfId="663" xr:uid="{00000000-0005-0000-0000-00009F020000}"/>
    <cellStyle name="Percent 3 2 2" xfId="2218" xr:uid="{98A3D081-E5E6-4D29-AFDD-91C231314848}"/>
    <cellStyle name="Percent 3 2 2 2" xfId="4204" xr:uid="{0CE5B030-0AB5-44D2-9BED-5165CF5FF20D}"/>
    <cellStyle name="Percent 3 2 3" xfId="1393" xr:uid="{1DADA494-487F-4F2D-91D2-6E8B74F4E7B1}"/>
    <cellStyle name="Percent 3 2 4" xfId="3520" xr:uid="{BCB2D4AB-92EF-410E-9165-7E373ED534C4}"/>
    <cellStyle name="Percent 3 3" xfId="1077" xr:uid="{51ACBD26-5797-4CD1-AE07-519B97648CEB}"/>
    <cellStyle name="Percent 3 3 2" xfId="1386" xr:uid="{0700CA9A-F7B3-4C2D-B653-DCE8AEB45AFD}"/>
    <cellStyle name="Percent 3 3 3" xfId="3669" xr:uid="{F6C55FF6-E32E-498B-AF64-983E25B1B38A}"/>
    <cellStyle name="Percent 3 4" xfId="2217" xr:uid="{41A1763F-5C0E-4D93-9F5C-74B22691281D}"/>
    <cellStyle name="Percent 3 4 2" xfId="4203" xr:uid="{230CBFB8-5555-4BE2-AEC1-53394A048D16}"/>
    <cellStyle name="Percent 3 5" xfId="1505" xr:uid="{9D598167-0DAD-4B32-9605-6E6C341B40AB}"/>
    <cellStyle name="Percent 3 6" xfId="3519" xr:uid="{675A387B-BBAE-44D8-B1F7-E3030C24E4E5}"/>
    <cellStyle name="Percent 4" xfId="664" xr:uid="{00000000-0005-0000-0000-0000A0020000}"/>
    <cellStyle name="Percent 4 2" xfId="665" xr:uid="{00000000-0005-0000-0000-0000A1020000}"/>
    <cellStyle name="Percent 4 2 2" xfId="1102" xr:uid="{2710342F-6E8A-4388-869F-1EB9D49451C4}"/>
    <cellStyle name="Percent 4 2 3" xfId="3522" xr:uid="{0A748CC3-F63F-4E17-99E1-22CCBF862E03}"/>
    <cellStyle name="Percent 4 3" xfId="1099" xr:uid="{6A54D3D1-1A97-49CC-AEB3-F494F2FF2DDC}"/>
    <cellStyle name="Percent 4 3 2" xfId="2219" xr:uid="{CE797255-E816-4E65-87D3-48B95974BDCD}"/>
    <cellStyle name="Percent 4 3 3" xfId="3686" xr:uid="{5F59C161-8C16-4FEF-92B9-1687BFDC3200}"/>
    <cellStyle name="Percent 4 4" xfId="1506" xr:uid="{5D5E9C88-3A74-432E-A1FB-2394119F1A7B}"/>
    <cellStyle name="Percent 4 5" xfId="3521" xr:uid="{6EB2D12E-3550-480D-9CC5-0F6ACD89AAF0}"/>
    <cellStyle name="Percent 5" xfId="666" xr:uid="{00000000-0005-0000-0000-0000A2020000}"/>
    <cellStyle name="Percent 5 2" xfId="1508" xr:uid="{A072AAF4-3FD1-4EA6-BC9A-3837F1DC9033}"/>
    <cellStyle name="Percent 5 3" xfId="2221" xr:uid="{EB55D974-AD42-48CC-814E-90B7366786B8}"/>
    <cellStyle name="Percent 5 3 2" xfId="4205" xr:uid="{983973C3-8687-4175-876E-3E2DD836F0AD}"/>
    <cellStyle name="Percent 5 4" xfId="1507" xr:uid="{F2489D49-1B32-4857-A433-93175C0D1E55}"/>
    <cellStyle name="Percent 5 5" xfId="3523" xr:uid="{B8273C66-C33A-4A01-9D04-A036B70311A6}"/>
    <cellStyle name="Percent 6" xfId="667" xr:uid="{00000000-0005-0000-0000-0000A3020000}"/>
    <cellStyle name="Percent 6 2" xfId="1543" xr:uid="{514973C4-57D5-41A2-9465-870AA04230AB}"/>
    <cellStyle name="Percent 6 3" xfId="3524" xr:uid="{C9B2EA7F-ABDD-4D04-965E-9A38F9E01A7D}"/>
    <cellStyle name="Prefilled" xfId="668" xr:uid="{00000000-0005-0000-0000-0000A4020000}"/>
    <cellStyle name="Prefilled 2" xfId="669" xr:uid="{00000000-0005-0000-0000-0000A5020000}"/>
    <cellStyle name="Prefilled 2 2" xfId="2224" xr:uid="{0E709F0A-BB42-46E4-92E1-AE7B506015DD}"/>
    <cellStyle name="Prefilled 2 2 2" xfId="4207" xr:uid="{551F6491-8D4B-43CE-AB40-EF0259E96580}"/>
    <cellStyle name="Prefilled 2 2 2 2" xfId="5719" xr:uid="{55087709-6ADF-4C70-9C3A-5871852D74D1}"/>
    <cellStyle name="Prefilled 2 2 2 3" xfId="6072" xr:uid="{337DDA7F-CE56-4FF3-A0B6-B13D14987683}"/>
    <cellStyle name="Prefilled 2 2 3" xfId="4670" xr:uid="{1CFB4384-85B5-4893-9AEC-CF6A50FB6E2F}"/>
    <cellStyle name="Prefilled 2 2 4" xfId="4580" xr:uid="{313C0AF2-AA7B-4E0E-895C-7A08D0DFB833}"/>
    <cellStyle name="Prefilled 2 2 5" xfId="4584" xr:uid="{3555C451-E644-445C-9DEC-6273914CF516}"/>
    <cellStyle name="Prefilled 2 2 6" xfId="6445" xr:uid="{E599C1C7-584F-4D8B-AFB4-9C64DC46CD07}"/>
    <cellStyle name="Prefilled 2 3" xfId="1675" xr:uid="{4FBF84A9-3695-4E14-94FA-8D30A301D1DF}"/>
    <cellStyle name="Prefilled 2 3 2" xfId="5515" xr:uid="{81471B54-A220-4BF5-BAC0-2D646F374C2D}"/>
    <cellStyle name="Prefilled 2 3 3" xfId="5561" xr:uid="{3572191C-A1AD-4384-929C-7907E27873FD}"/>
    <cellStyle name="Prefilled 2 4" xfId="3526" xr:uid="{9F560464-7CFB-442F-8F55-BB4CFACFDC23}"/>
    <cellStyle name="Prefilled 2 4 2" xfId="4946" xr:uid="{D849C6BA-02C6-4836-81F8-3914FB27A90F}"/>
    <cellStyle name="Prefilled 2 4 3" xfId="2710" xr:uid="{57553051-86DD-413D-855A-5FF89A15106E}"/>
    <cellStyle name="Prefilled 2 5" xfId="2922" xr:uid="{2828EC5D-4AE4-404D-A02F-58DDBE70A50C}"/>
    <cellStyle name="Prefilled 2 6" xfId="6462" xr:uid="{2FB49B01-B8C6-4061-963B-37BEB3DBCA9B}"/>
    <cellStyle name="Prefilled 3" xfId="2223" xr:uid="{6084A304-A6EA-4A65-9DC7-409E7DE1BE80}"/>
    <cellStyle name="Prefilled 3 2" xfId="4206" xr:uid="{6723023A-E4BC-4A6A-B3E8-DB9C5C53ECF3}"/>
    <cellStyle name="Prefilled 3 2 2" xfId="5718" xr:uid="{2AFDB64E-B109-43DB-8C17-285AC14304D1}"/>
    <cellStyle name="Prefilled 3 2 3" xfId="6071" xr:uid="{89DFE3BC-9B6B-4BD4-9D10-6576F676D869}"/>
    <cellStyle name="Prefilled 3 3" xfId="4669" xr:uid="{A08A9529-A52C-4D68-93B2-B576FCFC5A96}"/>
    <cellStyle name="Prefilled 3 4" xfId="5272" xr:uid="{B59BA341-816B-43D3-9592-62ADF3CB97F9}"/>
    <cellStyle name="Prefilled 3 5" xfId="6024" xr:uid="{D315851A-E3FB-42AD-BF3B-B3E4384B311C}"/>
    <cellStyle name="Prefilled 3 6" xfId="4814" xr:uid="{8106C621-59FE-4A50-89A6-28B5A915A8CF}"/>
    <cellStyle name="Prefilled 4" xfId="1272" xr:uid="{0E01BFB5-34E8-4B57-810E-5DF7D8975D84}"/>
    <cellStyle name="Prefilled 4 2" xfId="4148" xr:uid="{70A1E487-0309-4063-9AE5-52C86E91569F}"/>
    <cellStyle name="Prefilled 4 3" xfId="5221" xr:uid="{52AC2D34-81EE-4430-B05D-4DC049BB812D}"/>
    <cellStyle name="Prefilled 5" xfId="3525" xr:uid="{CA2C8C38-1B8C-4B76-97D6-26A24FD840F6}"/>
    <cellStyle name="Prefilled 5 2" xfId="4945" xr:uid="{90F4F2B2-E73D-4898-A4F3-D2C10E2BEFCC}"/>
    <cellStyle name="Prefilled 5 3" xfId="5185" xr:uid="{2B6A2CCC-EBCA-4195-B343-9BDA2888689B}"/>
    <cellStyle name="price" xfId="670" xr:uid="{00000000-0005-0000-0000-0000A6020000}"/>
    <cellStyle name="revised" xfId="671" xr:uid="{00000000-0005-0000-0000-0000A7020000}"/>
    <cellStyle name="row_def_array" xfId="672" xr:uid="{00000000-0005-0000-0000-0000A8020000}"/>
    <cellStyle name="SAPBEXaggData" xfId="673" xr:uid="{00000000-0005-0000-0000-0000A9020000}"/>
    <cellStyle name="SAPBEXaggData 2" xfId="674" xr:uid="{00000000-0005-0000-0000-0000AA020000}"/>
    <cellStyle name="SAPBEXaggData 2 2" xfId="675" xr:uid="{00000000-0005-0000-0000-0000AB020000}"/>
    <cellStyle name="SAPBEXaggData 2 2 2" xfId="2227" xr:uid="{D8A3387A-2317-4467-AA95-EE22785ECF94}"/>
    <cellStyle name="SAPBEXaggData 2 2 2 2" xfId="4210" xr:uid="{7114F481-6824-44A5-AE4C-C3E1AD271168}"/>
    <cellStyle name="SAPBEXaggData 2 2 2 2 2" xfId="5722" xr:uid="{E5B5EF31-5A3D-4819-B209-2CCE02CCCD25}"/>
    <cellStyle name="SAPBEXaggData 2 2 2 2 3" xfId="6075" xr:uid="{4784DFEA-F241-4775-B7BD-EA300EFE9F09}"/>
    <cellStyle name="SAPBEXaggData 2 2 2 2 4" xfId="5488" xr:uid="{CDFFC37A-5990-4771-9956-FE34F778F074}"/>
    <cellStyle name="SAPBEXaggData 2 2 2 3" xfId="2872" xr:uid="{2D8B6BF5-E7A6-4E61-BA67-B389DF50EDBE}"/>
    <cellStyle name="SAPBEXaggData 2 2 2 4" xfId="4723" xr:uid="{C79FBC94-1066-4AF7-8B75-A33BE6FCCD54}"/>
    <cellStyle name="SAPBEXaggData 2 2 2 5" xfId="5522" xr:uid="{3CBEA5F0-4466-473D-992F-112493CB1A05}"/>
    <cellStyle name="SAPBEXaggData 2 2 3" xfId="2423" xr:uid="{37F9A6AE-D9F5-465A-9BD6-C7A704D1B536}"/>
    <cellStyle name="SAPBEXaggData 2 2 3 2" xfId="4388" xr:uid="{B5D1D006-840C-4988-A997-9279213A69D3}"/>
    <cellStyle name="SAPBEXaggData 2 2 3 2 2" xfId="5873" xr:uid="{09EE1CF7-9E35-4FA2-B265-A908A4847EA3}"/>
    <cellStyle name="SAPBEXaggData 2 2 3 2 3" xfId="6215" xr:uid="{600FB57E-3DA7-44D9-BF14-CFA26A854B5E}"/>
    <cellStyle name="SAPBEXaggData 2 2 3 2 4" xfId="5223" xr:uid="{B68F9413-7F69-42C5-BC71-F3021498FE89}"/>
    <cellStyle name="SAPBEXaggData 2 2 3 3" xfId="2925" xr:uid="{851F952C-D282-4959-942B-622113E0D452}"/>
    <cellStyle name="SAPBEXaggData 2 2 3 4" xfId="5316" xr:uid="{F966478F-958E-47FF-A6B8-2806537864EE}"/>
    <cellStyle name="SAPBEXaggData 2 2 3 5" xfId="4931" xr:uid="{4F20FABE-770F-46D7-AB74-0F929283143B}"/>
    <cellStyle name="SAPBEXaggData 2 2 4" xfId="3527" xr:uid="{B1DB5610-9B8C-4017-BC59-FA78AEA9906B}"/>
    <cellStyle name="SAPBEXaggData 2 2 4 2" xfId="4051" xr:uid="{7CB3FAE8-FFB1-46B6-939F-46969917C041}"/>
    <cellStyle name="SAPBEXaggData 2 2 4 3" xfId="4886" xr:uid="{3DEE22F0-D7A1-4335-9875-020846764DDF}"/>
    <cellStyle name="SAPBEXaggData 2 2 4 4" xfId="5066" xr:uid="{2AAF43B9-D3A3-4343-96DA-4AA7D8311325}"/>
    <cellStyle name="SAPBEXaggData 2 2 5" xfId="2617" xr:uid="{10843E55-68B8-400B-8A19-EABB1A08289A}"/>
    <cellStyle name="SAPBEXaggData 2 2 6" xfId="5167" xr:uid="{F3D12CB5-DF9D-4D02-9435-71B2551B0F91}"/>
    <cellStyle name="SAPBEXaggData 2 2 7" xfId="4932" xr:uid="{4F17D895-9919-4354-BCE9-F15F41F2E8BE}"/>
    <cellStyle name="SAPBEXaggData 2 2 8" xfId="4682" xr:uid="{EF436539-F267-41BE-8247-CE10183CA975}"/>
    <cellStyle name="SAPBEXaggData 2 3" xfId="2226" xr:uid="{25FB5583-A988-4B75-A41A-A8509377B618}"/>
    <cellStyle name="SAPBEXaggData 2 3 2" xfId="4209" xr:uid="{3C9B7B10-C65D-44C6-AC02-75A9836A2C71}"/>
    <cellStyle name="SAPBEXaggData 2 3 2 2" xfId="5721" xr:uid="{966F0A1D-69AD-4E15-995A-73773CFC17DB}"/>
    <cellStyle name="SAPBEXaggData 2 3 2 3" xfId="6074" xr:uid="{9C245557-339D-43B9-A29D-5387629CE710}"/>
    <cellStyle name="SAPBEXaggData 2 3 2 4" xfId="4882" xr:uid="{053A5FB4-263F-430C-A5A3-FEFB9B09C712}"/>
    <cellStyle name="SAPBEXaggData 2 3 3" xfId="2656" xr:uid="{48ED54E6-04AA-4C0B-8478-BCFFBEA4F59E}"/>
    <cellStyle name="SAPBEXaggData 2 3 4" xfId="5277" xr:uid="{BFB9DEA8-5B5C-4F94-8264-6D896C3EC418}"/>
    <cellStyle name="SAPBEXaggData 2 3 5" xfId="4543" xr:uid="{54B413EF-7605-460F-A9AC-2D1BFD229418}"/>
    <cellStyle name="SAPBEXaggData 2 4" xfId="2422" xr:uid="{9EB6892C-FEA8-4DE1-BA44-300CE72AF166}"/>
    <cellStyle name="SAPBEXaggData 2 4 2" xfId="4387" xr:uid="{99F967C4-9FB8-45F4-90ED-0448426523F8}"/>
    <cellStyle name="SAPBEXaggData 2 4 2 2" xfId="5872" xr:uid="{FBE59EEB-1247-41D5-84B9-D4CC0BA33B79}"/>
    <cellStyle name="SAPBEXaggData 2 4 2 3" xfId="6214" xr:uid="{289FCE3F-38A5-4720-AA6A-E420EEF9E950}"/>
    <cellStyle name="SAPBEXaggData 2 4 2 4" xfId="2667" xr:uid="{62096EBC-F796-4B60-81F0-953A2144115C}"/>
    <cellStyle name="SAPBEXaggData 2 4 3" xfId="2924" xr:uid="{18EF641F-59F2-4EA0-BA9B-6174DF3937B4}"/>
    <cellStyle name="SAPBEXaggData 2 4 4" xfId="5024" xr:uid="{98B27716-F5B2-48F2-8933-27D8F0A050DD}"/>
    <cellStyle name="SAPBEXaggData 2 4 5" xfId="5642" xr:uid="{865BC15B-CF62-47ED-A2E7-5E79830E906A}"/>
    <cellStyle name="SAPBEXaggData 2 5" xfId="1276" xr:uid="{ABD35095-1D48-404A-BD4F-E6BFDB56F0DD}"/>
    <cellStyle name="SAPBEXaggData 2 5 2" xfId="3785" xr:uid="{B08B778E-EA70-405A-AF32-A9912860D9D2}"/>
    <cellStyle name="SAPBEXaggData 2 5 3" xfId="5593" xr:uid="{E6DC7A1A-9AA7-4948-9B74-F665D8A0267C}"/>
    <cellStyle name="SAPBEXaggData 2 5 4" xfId="5305" xr:uid="{4167A766-7F68-4C07-9750-44E26EE42026}"/>
    <cellStyle name="SAPBEXaggData 2 6" xfId="5344" xr:uid="{B70DF8C1-92FB-444F-A2D0-7FE465E03BDA}"/>
    <cellStyle name="SAPBEXaggData 2 7" xfId="5255" xr:uid="{E2421F83-B16D-4B01-9505-C33F5D6BBC7E}"/>
    <cellStyle name="SAPBEXaggData 2 8" xfId="6469" xr:uid="{BDE87DC9-1F63-4252-8EF1-30AA703D027B}"/>
    <cellStyle name="SAPBEXaggData 3" xfId="676" xr:uid="{00000000-0005-0000-0000-0000AC020000}"/>
    <cellStyle name="SAPBEXaggData 3 2" xfId="2228" xr:uid="{B923D01E-D5EA-40B0-922F-428B5B21C8F3}"/>
    <cellStyle name="SAPBEXaggData 3 2 2" xfId="4211" xr:uid="{054847ED-0470-40CC-84B7-E79AB9A187D5}"/>
    <cellStyle name="SAPBEXaggData 3 2 2 2" xfId="5723" xr:uid="{BFF8660E-5FEC-4BC2-A1E1-31BC72931063}"/>
    <cellStyle name="SAPBEXaggData 3 2 2 3" xfId="6076" xr:uid="{76F9313C-8D57-439D-99DC-6AEEA41AB301}"/>
    <cellStyle name="SAPBEXaggData 3 2 2 4" xfId="5258" xr:uid="{D9767E5C-1F46-426F-9271-8237EE02E0E6}"/>
    <cellStyle name="SAPBEXaggData 3 2 3" xfId="1236" xr:uid="{DEAFC75E-D3B9-430B-AB92-D5CFBA5DF62F}"/>
    <cellStyle name="SAPBEXaggData 3 2 4" xfId="5381" xr:uid="{382D077C-325F-4137-9F34-FD60CFD9A657}"/>
    <cellStyle name="SAPBEXaggData 3 2 5" xfId="4878" xr:uid="{785668FA-5E03-4E4C-969D-463759C086F8}"/>
    <cellStyle name="SAPBEXaggData 3 3" xfId="2424" xr:uid="{F5563B4D-88E5-47C2-A630-9A8A957289DE}"/>
    <cellStyle name="SAPBEXaggData 3 3 2" xfId="4389" xr:uid="{915C84C0-2AE3-43B0-AB79-8CC64D553835}"/>
    <cellStyle name="SAPBEXaggData 3 3 2 2" xfId="5874" xr:uid="{03BBC82C-224E-4D09-803D-F2491528F6E3}"/>
    <cellStyle name="SAPBEXaggData 3 3 2 3" xfId="6216" xr:uid="{487AF234-1C70-449B-8D77-3ED11FF6867E}"/>
    <cellStyle name="SAPBEXaggData 3 3 2 4" xfId="5478" xr:uid="{8537E8E9-CFFA-48D3-AC4F-F21D276DE813}"/>
    <cellStyle name="SAPBEXaggData 3 3 3" xfId="2926" xr:uid="{348973A0-2DA7-4C97-9CF3-DD4B2FAD298B}"/>
    <cellStyle name="SAPBEXaggData 3 3 4" xfId="4774" xr:uid="{9C917B6F-BD50-4F29-B8D2-C26B31051FC2}"/>
    <cellStyle name="SAPBEXaggData 3 3 5" xfId="6034" xr:uid="{00B1B7C5-2DCA-49B2-83AA-D684DE51443F}"/>
    <cellStyle name="SAPBEXaggData 3 4" xfId="3528" xr:uid="{1B2AABBD-8AB5-4DAE-A200-A6DBA386845B}"/>
    <cellStyle name="SAPBEXaggData 3 4 2" xfId="3947" xr:uid="{395B447F-AD6B-4914-9516-E68433A647A9}"/>
    <cellStyle name="SAPBEXaggData 3 4 3" xfId="5291" xr:uid="{C724C8C9-080C-4DBA-B3CF-31A7993E9233}"/>
    <cellStyle name="SAPBEXaggData 3 4 4" xfId="5271" xr:uid="{F1D6BCB8-3723-43C4-B786-E1DD4284368D}"/>
    <cellStyle name="SAPBEXaggData 3 5" xfId="2735" xr:uid="{D98B3A95-A091-48E4-9BA0-70ED12B524C9}"/>
    <cellStyle name="SAPBEXaggData 3 6" xfId="4149" xr:uid="{7F5B470C-7080-4880-A376-ED3313DAF1FA}"/>
    <cellStyle name="SAPBEXaggData 3 7" xfId="6068" xr:uid="{C1D32B37-2B6A-410A-BB89-C2B3E868BAFD}"/>
    <cellStyle name="SAPBEXaggData 3 8" xfId="5645" xr:uid="{6FA7B3DE-ABC7-4E7E-BCA6-78FE0F42AD28}"/>
    <cellStyle name="SAPBEXaggData 4" xfId="2225" xr:uid="{9E8BFC45-5344-461F-98B4-D5E12BB77674}"/>
    <cellStyle name="SAPBEXaggData 4 2" xfId="4208" xr:uid="{E652D6C5-B3C8-4BE6-8C9F-243458E3A69E}"/>
    <cellStyle name="SAPBEXaggData 4 2 2" xfId="5720" xr:uid="{2B731629-2C83-4D9F-ADBD-458E28758CB6}"/>
    <cellStyle name="SAPBEXaggData 4 2 3" xfId="6073" xr:uid="{15F9ECE8-0C97-4116-924A-2194C0EF3973}"/>
    <cellStyle name="SAPBEXaggData 4 2 4" xfId="6374" xr:uid="{AB6FD568-2A83-4E87-90B6-90BEDD8CEFD4}"/>
    <cellStyle name="SAPBEXaggData 4 3" xfId="2653" xr:uid="{61332DF6-9734-4D0E-AF9D-F50FA54A405A}"/>
    <cellStyle name="SAPBEXaggData 4 4" xfId="5708" xr:uid="{51257DE7-003E-4E28-AC69-FD04F221F521}"/>
    <cellStyle name="SAPBEXaggData 4 5" xfId="4568" xr:uid="{1EC4AD03-66B2-4F99-A9A9-A089C58E66CE}"/>
    <cellStyle name="SAPBEXaggData 5" xfId="2421" xr:uid="{205CF52A-6C97-4DF1-89DD-6FDE63541A11}"/>
    <cellStyle name="SAPBEXaggData 5 2" xfId="4386" xr:uid="{4FE2EC72-B0A5-43AD-BA2A-52C9DF702C37}"/>
    <cellStyle name="SAPBEXaggData 5 2 2" xfId="5871" xr:uid="{DF6F27D2-BBFA-4326-820E-6415E30F2403}"/>
    <cellStyle name="SAPBEXaggData 5 2 3" xfId="6213" xr:uid="{F02FFB3B-817F-4392-839C-02C9F12A1958}"/>
    <cellStyle name="SAPBEXaggData 5 2 4" xfId="5489" xr:uid="{7C4D3181-64D3-47C0-8FBE-F8A1D51FFF8E}"/>
    <cellStyle name="SAPBEXaggData 5 3" xfId="2923" xr:uid="{1D18567D-0319-401A-9CF4-CC33D1C0EBDF}"/>
    <cellStyle name="SAPBEXaggData 5 4" xfId="5483" xr:uid="{253B490F-49EA-4209-8E4A-E86D89844230}"/>
    <cellStyle name="SAPBEXaggData 5 5" xfId="5549" xr:uid="{2378D7E0-7F88-4A4F-9003-91439475B95F}"/>
    <cellStyle name="SAPBEXaggData 6" xfId="1156" xr:uid="{A190E877-730C-4767-A312-E0813C511527}"/>
    <cellStyle name="SAPBEXaggData 6 2" xfId="3711" xr:uid="{1D991855-B833-4E09-9E15-D89EB8C160C1}"/>
    <cellStyle name="SAPBEXaggData 6 3" xfId="3881" xr:uid="{03B10777-C40E-4541-AB1F-12F322972133}"/>
    <cellStyle name="SAPBEXaggData 6 4" xfId="4684" xr:uid="{55A21C69-9ECD-4E7D-99CA-21CAB495279E}"/>
    <cellStyle name="SAPBEXaggData 7" xfId="4693" xr:uid="{25259480-DE37-43E8-9811-B9A2F98142D6}"/>
    <cellStyle name="SAPBEXaggData 8" xfId="4851" xr:uid="{6DFC9058-708E-4575-8601-6D92A8DB0F36}"/>
    <cellStyle name="SAPBEXaggData 9" xfId="5261" xr:uid="{39645245-F741-482D-9CF3-50D383AB4E4B}"/>
    <cellStyle name="SAPBEXaggDataEmph" xfId="677" xr:uid="{00000000-0005-0000-0000-0000AD020000}"/>
    <cellStyle name="SAPBEXaggDataEmph 2" xfId="678" xr:uid="{00000000-0005-0000-0000-0000AE020000}"/>
    <cellStyle name="SAPBEXaggDataEmph 2 2" xfId="679" xr:uid="{00000000-0005-0000-0000-0000AF020000}"/>
    <cellStyle name="SAPBEXaggDataEmph 2 2 2" xfId="2231" xr:uid="{CE717FF7-6E83-415D-B021-32FB6536AC4F}"/>
    <cellStyle name="SAPBEXaggDataEmph 2 2 2 2" xfId="4214" xr:uid="{7958DD24-77D8-4560-9905-A1EB989B2DDF}"/>
    <cellStyle name="SAPBEXaggDataEmph 2 2 2 2 2" xfId="5726" xr:uid="{4B3591B1-1BE5-467A-8FB4-C5C7354C393D}"/>
    <cellStyle name="SAPBEXaggDataEmph 2 2 2 2 3" xfId="6079" xr:uid="{3FF0EAF1-4545-4F70-B145-DEC9F4AE336C}"/>
    <cellStyle name="SAPBEXaggDataEmph 2 2 2 2 4" xfId="6391" xr:uid="{915FB691-81C2-48A7-888D-F8C90A446F02}"/>
    <cellStyle name="SAPBEXaggDataEmph 2 2 2 3" xfId="2712" xr:uid="{2CD572F0-5B16-49FE-A8F9-BBA20C293B68}"/>
    <cellStyle name="SAPBEXaggDataEmph 2 2 2 4" xfId="5102" xr:uid="{C78956FB-B811-4026-8930-FB54E5F6FDC1}"/>
    <cellStyle name="SAPBEXaggDataEmph 2 2 2 5" xfId="5027" xr:uid="{BDDB6146-19F9-4FB0-9672-15A9796DFAC6}"/>
    <cellStyle name="SAPBEXaggDataEmph 2 2 3" xfId="2427" xr:uid="{DD153D31-B6D9-415B-91F6-B429CFBBCAFA}"/>
    <cellStyle name="SAPBEXaggDataEmph 2 2 3 2" xfId="4392" xr:uid="{EEB0C5BE-9D6B-44D4-A8B0-FA51732C970C}"/>
    <cellStyle name="SAPBEXaggDataEmph 2 2 3 2 2" xfId="5877" xr:uid="{1C50F919-F739-472D-81CD-C254C6BBAC81}"/>
    <cellStyle name="SAPBEXaggDataEmph 2 2 3 2 3" xfId="6219" xr:uid="{0486BEE7-2F85-40AC-9FEB-2CAA7726E608}"/>
    <cellStyle name="SAPBEXaggDataEmph 2 2 3 2 4" xfId="6207" xr:uid="{7DEBB813-2D9E-4645-A745-0DB7EC890DB7}"/>
    <cellStyle name="SAPBEXaggDataEmph 2 2 3 3" xfId="2929" xr:uid="{2B8145CC-2FBF-4381-BB3B-5F1846937E68}"/>
    <cellStyle name="SAPBEXaggDataEmph 2 2 3 4" xfId="4047" xr:uid="{AABD4AE3-D736-4591-88BB-66FFE05D761C}"/>
    <cellStyle name="SAPBEXaggDataEmph 2 2 3 5" xfId="6355" xr:uid="{4C113489-61B9-434D-AE4C-6C168E838D5C}"/>
    <cellStyle name="SAPBEXaggDataEmph 2 2 4" xfId="3529" xr:uid="{5360CFC0-ECAF-4904-A015-F90658942022}"/>
    <cellStyle name="SAPBEXaggDataEmph 2 2 4 2" xfId="4782" xr:uid="{FFAC778A-78E4-4A8F-A3BE-EF87126A9FF9}"/>
    <cellStyle name="SAPBEXaggDataEmph 2 2 4 3" xfId="4881" xr:uid="{75D3A828-043A-4012-AE7D-A98ADC17499E}"/>
    <cellStyle name="SAPBEXaggDataEmph 2 2 4 4" xfId="4919" xr:uid="{3D3DDFDC-1FE8-4D7D-917F-7872B3F0511E}"/>
    <cellStyle name="SAPBEXaggDataEmph 2 2 5" xfId="2741" xr:uid="{A205BBD8-FE21-4D7A-9AF2-A97EF5DBCC03}"/>
    <cellStyle name="SAPBEXaggDataEmph 2 2 6" xfId="5103" xr:uid="{4F6D34B2-AAB0-4985-A178-635083D0ADEA}"/>
    <cellStyle name="SAPBEXaggDataEmph 2 2 7" xfId="5595" xr:uid="{08BA818D-000D-4C8C-BB13-71E607482A4E}"/>
    <cellStyle name="SAPBEXaggDataEmph 2 2 8" xfId="6483" xr:uid="{CD305693-64E7-4560-AA66-0F3B7069CE48}"/>
    <cellStyle name="SAPBEXaggDataEmph 2 3" xfId="2230" xr:uid="{4BDBD4C7-4404-40EF-A10A-2DBCC99C1ADF}"/>
    <cellStyle name="SAPBEXaggDataEmph 2 3 2" xfId="4213" xr:uid="{701FB994-2BEA-433D-A4A4-007B3162C795}"/>
    <cellStyle name="SAPBEXaggDataEmph 2 3 2 2" xfId="5725" xr:uid="{E155EE52-4FA8-4069-9E7C-D94D737B03FC}"/>
    <cellStyle name="SAPBEXaggDataEmph 2 3 2 3" xfId="6078" xr:uid="{D9FC8AEA-A435-4AE7-BB57-3CCDBC092605}"/>
    <cellStyle name="SAPBEXaggDataEmph 2 3 2 4" xfId="5269" xr:uid="{A624746C-E4CF-48AE-897D-3BBA6FB766C6}"/>
    <cellStyle name="SAPBEXaggDataEmph 2 3 3" xfId="2814" xr:uid="{1C231635-264D-4D6C-BE02-338D8BD864E8}"/>
    <cellStyle name="SAPBEXaggDataEmph 2 3 4" xfId="5234" xr:uid="{1F171BD2-99EF-46C4-95F5-E140D9252F16}"/>
    <cellStyle name="SAPBEXaggDataEmph 2 3 5" xfId="6444" xr:uid="{4529FFA9-F36B-4B22-AC58-46838AEFF39D}"/>
    <cellStyle name="SAPBEXaggDataEmph 2 4" xfId="2426" xr:uid="{125ADB48-61FA-46D3-86C3-40752DEAFBE0}"/>
    <cellStyle name="SAPBEXaggDataEmph 2 4 2" xfId="4391" xr:uid="{3F6A2087-575F-4F5A-B26C-4D0B99C6A93C}"/>
    <cellStyle name="SAPBEXaggDataEmph 2 4 2 2" xfId="5876" xr:uid="{B3DAAB6D-52D2-45E1-BD78-E7EDC0F6A2CC}"/>
    <cellStyle name="SAPBEXaggDataEmph 2 4 2 3" xfId="6218" xr:uid="{2195C238-A367-4C71-84C0-DE645E4677F3}"/>
    <cellStyle name="SAPBEXaggDataEmph 2 4 2 4" xfId="2720" xr:uid="{11AED17E-7C5A-4242-9FE7-A219D60226B2}"/>
    <cellStyle name="SAPBEXaggDataEmph 2 4 3" xfId="2928" xr:uid="{C411AC0D-9DEC-40B2-B15E-6115793D39A6}"/>
    <cellStyle name="SAPBEXaggDataEmph 2 4 4" xfId="4083" xr:uid="{CB3ACEB9-429A-49B4-8D7A-23B6B7CFDF46}"/>
    <cellStyle name="SAPBEXaggDataEmph 2 4 5" xfId="5273" xr:uid="{B450D6B4-AADF-4A31-97A0-DC6FC1D75E42}"/>
    <cellStyle name="SAPBEXaggDataEmph 2 5" xfId="1280" xr:uid="{59E03799-6458-45C5-8D41-F487F0D6ECC2}"/>
    <cellStyle name="SAPBEXaggDataEmph 2 5 2" xfId="3789" xr:uid="{45EA19F1-3AF3-49CF-B2D0-0FEA62977E57}"/>
    <cellStyle name="SAPBEXaggDataEmph 2 5 3" xfId="5592" xr:uid="{8741C499-03E7-4569-AAE5-E7CA5026E181}"/>
    <cellStyle name="SAPBEXaggDataEmph 2 5 4" xfId="5301" xr:uid="{A3F13B36-12AA-494C-ACE8-3D28E7519029}"/>
    <cellStyle name="SAPBEXaggDataEmph 2 6" xfId="5041" xr:uid="{9B68DA4F-DC46-4CF1-95F7-C90E72FD4172}"/>
    <cellStyle name="SAPBEXaggDataEmph 2 7" xfId="4855" xr:uid="{D621D46E-B90F-4024-8449-E0A562C2D4B9}"/>
    <cellStyle name="SAPBEXaggDataEmph 2 8" xfId="6468" xr:uid="{BF9A7189-368B-41B2-9580-28C886DED7BC}"/>
    <cellStyle name="SAPBEXaggDataEmph 3" xfId="680" xr:uid="{00000000-0005-0000-0000-0000B0020000}"/>
    <cellStyle name="SAPBEXaggDataEmph 3 2" xfId="2232" xr:uid="{FC69D823-A7DA-46AC-B8A2-5120DC7549D5}"/>
    <cellStyle name="SAPBEXaggDataEmph 3 2 2" xfId="4215" xr:uid="{E7661B59-2CE9-452E-B7B6-A8C8F3FF5997}"/>
    <cellStyle name="SAPBEXaggDataEmph 3 2 2 2" xfId="5727" xr:uid="{61D92B37-430C-45D0-939C-DCECD4F1395E}"/>
    <cellStyle name="SAPBEXaggDataEmph 3 2 2 3" xfId="6080" xr:uid="{42F321EC-477C-4315-BDF6-5BC04A554246}"/>
    <cellStyle name="SAPBEXaggDataEmph 3 2 2 4" xfId="4769" xr:uid="{D645E37B-7AEA-49E8-8203-215A2AC73694}"/>
    <cellStyle name="SAPBEXaggDataEmph 3 2 3" xfId="2864" xr:uid="{478E6390-1A31-4400-AE49-C28AC5884571}"/>
    <cellStyle name="SAPBEXaggDataEmph 3 2 4" xfId="5474" xr:uid="{CAE70370-EFB1-41B7-9D76-965124AD3685}"/>
    <cellStyle name="SAPBEXaggDataEmph 3 2 5" xfId="5400" xr:uid="{D802DD94-EAE8-473C-A347-1E1F8B7A3529}"/>
    <cellStyle name="SAPBEXaggDataEmph 3 3" xfId="2428" xr:uid="{9BD80D85-11A7-4E6F-971C-FA8AA96D7A32}"/>
    <cellStyle name="SAPBEXaggDataEmph 3 3 2" xfId="4393" xr:uid="{0FC3BE96-9154-4CA2-B5BF-5E849E4DA727}"/>
    <cellStyle name="SAPBEXaggDataEmph 3 3 2 2" xfId="5878" xr:uid="{9712CAE4-AE46-4720-995A-4E1B1229D1F7}"/>
    <cellStyle name="SAPBEXaggDataEmph 3 3 2 3" xfId="6220" xr:uid="{03BC6DA0-F7BB-4B7D-82DA-2E4202EFE75F}"/>
    <cellStyle name="SAPBEXaggDataEmph 3 3 2 4" xfId="4749" xr:uid="{DEEB0EBA-639B-4B71-B9F4-2F6BD476BBFB}"/>
    <cellStyle name="SAPBEXaggDataEmph 3 3 3" xfId="2930" xr:uid="{A7E7B7C0-A844-49C3-9D37-3B161FE3EEF7}"/>
    <cellStyle name="SAPBEXaggDataEmph 3 3 4" xfId="4928" xr:uid="{A2FE8CEA-1164-40E7-8E17-26438358A308}"/>
    <cellStyle name="SAPBEXaggDataEmph 3 3 5" xfId="6434" xr:uid="{5AE3A945-712D-4115-8FA6-AC7D7278EC89}"/>
    <cellStyle name="SAPBEXaggDataEmph 3 4" xfId="3530" xr:uid="{3699170C-C979-4ED5-8D88-C9C7A3347FB4}"/>
    <cellStyle name="SAPBEXaggDataEmph 3 4 2" xfId="4992" xr:uid="{0BA7EE44-A816-40F4-AF58-98C32D1F70C9}"/>
    <cellStyle name="SAPBEXaggDataEmph 3 4 3" xfId="4820" xr:uid="{7365510F-D5F2-47A9-A5DC-EE4460989C39}"/>
    <cellStyle name="SAPBEXaggDataEmph 3 4 4" xfId="6425" xr:uid="{75E20985-105F-436C-AFBF-10B680B4AC35}"/>
    <cellStyle name="SAPBEXaggDataEmph 3 5" xfId="2587" xr:uid="{97739124-0DEC-4A25-AEEF-1852235C3A44}"/>
    <cellStyle name="SAPBEXaggDataEmph 3 6" xfId="4049" xr:uid="{FE82EABB-BC43-4ADF-A154-0E24D48B1550}"/>
    <cellStyle name="SAPBEXaggDataEmph 3 7" xfId="5006" xr:uid="{713B315D-87FF-43CA-B19C-BEA725C0DDC9}"/>
    <cellStyle name="SAPBEXaggDataEmph 3 8" xfId="5610" xr:uid="{F4D9EA46-3BBF-473A-B4AD-2FEFE8FC7310}"/>
    <cellStyle name="SAPBEXaggDataEmph 4" xfId="2229" xr:uid="{5CC5E243-8C02-4D1A-A110-8B7D222A8210}"/>
    <cellStyle name="SAPBEXaggDataEmph 4 2" xfId="4212" xr:uid="{71637D8C-EE67-4CB8-9D72-3A58AED30553}"/>
    <cellStyle name="SAPBEXaggDataEmph 4 2 2" xfId="5724" xr:uid="{597A6B76-6344-4247-84CE-C03C7D89F97B}"/>
    <cellStyle name="SAPBEXaggDataEmph 4 2 3" xfId="6077" xr:uid="{44A14897-E353-44C9-8FBF-D549E39CD176}"/>
    <cellStyle name="SAPBEXaggDataEmph 4 2 4" xfId="5187" xr:uid="{81B673AC-6471-46BC-91F2-5CB878D6D528}"/>
    <cellStyle name="SAPBEXaggDataEmph 4 3" xfId="2830" xr:uid="{9F0FE04B-7239-4A60-A779-5994DA17EB66}"/>
    <cellStyle name="SAPBEXaggDataEmph 4 4" xfId="5995" xr:uid="{8847DF32-C1CC-44A5-9B85-4F906C037B86}"/>
    <cellStyle name="SAPBEXaggDataEmph 4 5" xfId="5031" xr:uid="{17DA9597-F050-4F82-999A-7F740E624D8D}"/>
    <cellStyle name="SAPBEXaggDataEmph 5" xfId="2425" xr:uid="{8B8B2A9C-606C-4616-9FCA-83415AADE7D6}"/>
    <cellStyle name="SAPBEXaggDataEmph 5 2" xfId="4390" xr:uid="{3B1E2A61-8187-4884-BDC3-3E45CC37440C}"/>
    <cellStyle name="SAPBEXaggDataEmph 5 2 2" xfId="5875" xr:uid="{63CE8B33-6582-42D4-A445-CED42A58C1FB}"/>
    <cellStyle name="SAPBEXaggDataEmph 5 2 3" xfId="6217" xr:uid="{BDAD4ED6-9F4F-4A5A-8ECD-5A37FBFA2ECD}"/>
    <cellStyle name="SAPBEXaggDataEmph 5 2 4" xfId="5033" xr:uid="{A3040A42-2A9E-45F4-91D6-D66AA8C96EC4}"/>
    <cellStyle name="SAPBEXaggDataEmph 5 3" xfId="2927" xr:uid="{7D2F7664-AA09-4508-AE5D-E1632FBC3D4C}"/>
    <cellStyle name="SAPBEXaggDataEmph 5 4" xfId="5696" xr:uid="{C451E800-4A79-4E8B-851C-AAE6F47E4717}"/>
    <cellStyle name="SAPBEXaggDataEmph 5 5" xfId="4113" xr:uid="{87CC4C48-2272-433F-9F4A-373B71632ED1}"/>
    <cellStyle name="SAPBEXaggDataEmph 6" xfId="1278" xr:uid="{BC041BEB-B623-4F0B-AF19-3B2F68563AAF}"/>
    <cellStyle name="SAPBEXaggDataEmph 6 2" xfId="3787" xr:uid="{304A56E1-1B71-477E-BA59-3E5CBB0F519C}"/>
    <cellStyle name="SAPBEXaggDataEmph 6 3" xfId="1746" xr:uid="{7D064D7A-7089-476E-B1B3-D5704ED059BC}"/>
    <cellStyle name="SAPBEXaggDataEmph 6 4" xfId="5462" xr:uid="{ED734DEA-FAE1-4487-AE62-A1E3D93EFD9E}"/>
    <cellStyle name="SAPBEXaggDataEmph 7" xfId="2722" xr:uid="{6D7F62C0-9A3B-4247-B778-40AD47FB5CBB}"/>
    <cellStyle name="SAPBEXaggDataEmph 8" xfId="2579" xr:uid="{4C0743B9-6ADD-4D8D-9BB8-DAFA37115CEE}"/>
    <cellStyle name="SAPBEXaggDataEmph 9" xfId="5632" xr:uid="{6DF65DD6-869E-4676-B2B9-EFDA589E90C1}"/>
    <cellStyle name="SAPBEXaggItem" xfId="681" xr:uid="{00000000-0005-0000-0000-0000B1020000}"/>
    <cellStyle name="SAPBEXaggItem 2" xfId="682" xr:uid="{00000000-0005-0000-0000-0000B2020000}"/>
    <cellStyle name="SAPBEXaggItem 2 2" xfId="683" xr:uid="{00000000-0005-0000-0000-0000B3020000}"/>
    <cellStyle name="SAPBEXaggItem 2 2 2" xfId="2235" xr:uid="{BB934CAA-5262-479C-9DF9-E2F340D6B8BF}"/>
    <cellStyle name="SAPBEXaggItem 2 2 2 2" xfId="4218" xr:uid="{0AA15EF2-9106-410B-B8E2-1F2A959286C9}"/>
    <cellStyle name="SAPBEXaggItem 2 2 2 2 2" xfId="5730" xr:uid="{6EF73772-0536-47F0-83DB-0997B9CAEC87}"/>
    <cellStyle name="SAPBEXaggItem 2 2 2 2 3" xfId="6083" xr:uid="{AF1C7F34-7126-49D1-A6D0-23E4E9663ED6}"/>
    <cellStyle name="SAPBEXaggItem 2 2 2 2 4" xfId="2736" xr:uid="{59135FA8-C0CA-4D12-BC57-CD857320096F}"/>
    <cellStyle name="SAPBEXaggItem 2 2 2 3" xfId="2691" xr:uid="{C0859850-8F9F-4070-A0C0-692BD65BE174}"/>
    <cellStyle name="SAPBEXaggItem 2 2 2 4" xfId="4644" xr:uid="{893D9D43-C937-42E3-B915-45DD1C63227F}"/>
    <cellStyle name="SAPBEXaggItem 2 2 2 5" xfId="6493" xr:uid="{2559C17A-A818-4867-84C7-6096C48709AC}"/>
    <cellStyle name="SAPBEXaggItem 2 2 3" xfId="2431" xr:uid="{6D555CDD-8686-4776-8A26-CAE561CDF5E0}"/>
    <cellStyle name="SAPBEXaggItem 2 2 3 2" xfId="4396" xr:uid="{70087539-4695-48D6-AA38-5B52AF2115D0}"/>
    <cellStyle name="SAPBEXaggItem 2 2 3 2 2" xfId="5881" xr:uid="{E28D7E8E-CD95-4B45-9B54-8FDD5A6ABB1E}"/>
    <cellStyle name="SAPBEXaggItem 2 2 3 2 3" xfId="6223" xr:uid="{5EAD7D84-DF7B-47B0-BFD9-B71EC2621942}"/>
    <cellStyle name="SAPBEXaggItem 2 2 3 2 4" xfId="4650" xr:uid="{D08A3E3F-5645-4E32-A561-1AF65C037B7A}"/>
    <cellStyle name="SAPBEXaggItem 2 2 3 3" xfId="2933" xr:uid="{29D6D866-91A9-47FF-A738-EB7A65FDB85C}"/>
    <cellStyle name="SAPBEXaggItem 2 2 3 4" xfId="2163" xr:uid="{3057879C-D8AB-4FE0-98FC-6D9BC11B69D1}"/>
    <cellStyle name="SAPBEXaggItem 2 2 3 5" xfId="2569" xr:uid="{35FFEC9E-8127-45CA-9BFC-B1159720C580}"/>
    <cellStyle name="SAPBEXaggItem 2 2 4" xfId="3531" xr:uid="{DEA694A0-05A8-4CEA-ACFF-72C1428291C8}"/>
    <cellStyle name="SAPBEXaggItem 2 2 4 2" xfId="5176" xr:uid="{6AEFF20E-4432-4E44-AB83-7A06A8BF5D03}"/>
    <cellStyle name="SAPBEXaggItem 2 2 4 3" xfId="5626" xr:uid="{B6FDDC39-698C-4FA5-9D3B-D4F2AC53B6ED}"/>
    <cellStyle name="SAPBEXaggItem 2 2 4 4" xfId="5078" xr:uid="{2D7CF736-1404-44D5-91B2-6C9C32378E2E}"/>
    <cellStyle name="SAPBEXaggItem 2 2 5" xfId="2890" xr:uid="{1311997D-7B89-4D7A-AD9D-CC1C2039A557}"/>
    <cellStyle name="SAPBEXaggItem 2 2 6" xfId="3890" xr:uid="{02A00EE2-F46B-4DBE-BFE4-D62E51E56280}"/>
    <cellStyle name="SAPBEXaggItem 2 2 7" xfId="2205" xr:uid="{82A50284-61A4-4442-A574-32761BBCA144}"/>
    <cellStyle name="SAPBEXaggItem 2 2 8" xfId="6461" xr:uid="{00A52590-56AB-4CBE-B690-41625E1CA2D0}"/>
    <cellStyle name="SAPBEXaggItem 2 3" xfId="2234" xr:uid="{9EAA2E31-B3B8-446F-B7A5-3DF6DC16E201}"/>
    <cellStyle name="SAPBEXaggItem 2 3 2" xfId="4217" xr:uid="{89623BC9-FBAA-4675-95ED-304852C2809E}"/>
    <cellStyle name="SAPBEXaggItem 2 3 2 2" xfId="5729" xr:uid="{C12221FF-CDE1-401B-ADE1-F26A3B777CCB}"/>
    <cellStyle name="SAPBEXaggItem 2 3 2 3" xfId="6082" xr:uid="{A55F32F8-A801-4672-93E5-28B7C427DC28}"/>
    <cellStyle name="SAPBEXaggItem 2 3 2 4" xfId="5357" xr:uid="{84A54639-64FA-44C2-A368-AF67183DC6B0}"/>
    <cellStyle name="SAPBEXaggItem 2 3 3" xfId="2655" xr:uid="{2421B756-C063-411A-899E-BA5D8BE67F2F}"/>
    <cellStyle name="SAPBEXaggItem 2 3 4" xfId="5039" xr:uid="{4B774BDB-CC76-472E-8FB1-E1954A77CB0C}"/>
    <cellStyle name="SAPBEXaggItem 2 3 5" xfId="4581" xr:uid="{8552ECFC-6052-40E3-ACB2-75489DA199A9}"/>
    <cellStyle name="SAPBEXaggItem 2 4" xfId="2430" xr:uid="{7BA5F003-290A-4110-A5F8-EDF42475EB62}"/>
    <cellStyle name="SAPBEXaggItem 2 4 2" xfId="4395" xr:uid="{6E6229DE-2238-43B9-9D9A-4E7ADAFEDAAE}"/>
    <cellStyle name="SAPBEXaggItem 2 4 2 2" xfId="5880" xr:uid="{8C498CBA-C890-481F-B06D-52F63E2A1A85}"/>
    <cellStyle name="SAPBEXaggItem 2 4 2 3" xfId="6222" xr:uid="{468B79CA-7B57-41D8-B3FD-14EB92CD0450}"/>
    <cellStyle name="SAPBEXaggItem 2 4 2 4" xfId="6060" xr:uid="{9EA778B1-C802-4FAD-A774-134FCAD2E2B1}"/>
    <cellStyle name="SAPBEXaggItem 2 4 3" xfId="2932" xr:uid="{A2918799-85AF-4DA0-AE7B-42357AD1D872}"/>
    <cellStyle name="SAPBEXaggItem 2 4 4" xfId="2781" xr:uid="{FE044C88-8E0E-40F4-981E-B7AB77A2CEDC}"/>
    <cellStyle name="SAPBEXaggItem 2 4 5" xfId="5350" xr:uid="{7CAB8D43-C003-4121-99E3-02BB879055C1}"/>
    <cellStyle name="SAPBEXaggItem 2 5" xfId="1282" xr:uid="{9BD0BD61-E682-410E-B4FD-07C5421E7BF6}"/>
    <cellStyle name="SAPBEXaggItem 2 5 2" xfId="3791" xr:uid="{5673C3E1-32D3-454E-BDD2-295414CD0B67}"/>
    <cellStyle name="SAPBEXaggItem 2 5 3" xfId="4656" xr:uid="{C7376706-658C-4F6E-9EBA-2DB8C70FCA82}"/>
    <cellStyle name="SAPBEXaggItem 2 5 4" xfId="6405" xr:uid="{F6D35280-8114-49D1-8203-85F2283BE3E0}"/>
    <cellStyle name="SAPBEXaggItem 2 6" xfId="4720" xr:uid="{9C0851BB-0031-4117-8694-34B670A0A6E8}"/>
    <cellStyle name="SAPBEXaggItem 2 7" xfId="4017" xr:uid="{EA9851BE-7215-4E24-A3D2-114AF109CA3A}"/>
    <cellStyle name="SAPBEXaggItem 2 8" xfId="6058" xr:uid="{C8A029C8-E0FA-4DE1-9706-36DE2CBA6106}"/>
    <cellStyle name="SAPBEXaggItem 3" xfId="684" xr:uid="{00000000-0005-0000-0000-0000B4020000}"/>
    <cellStyle name="SAPBEXaggItem 3 2" xfId="2236" xr:uid="{14D16802-0F8E-4DB8-8107-656014D256C1}"/>
    <cellStyle name="SAPBEXaggItem 3 2 2" xfId="4219" xr:uid="{526FC3B6-DE33-4C9C-AB92-BE1AA17946F4}"/>
    <cellStyle name="SAPBEXaggItem 3 2 2 2" xfId="5731" xr:uid="{E45BC9AE-7CA2-49B5-A2C8-7CCBFC1CDC0B}"/>
    <cellStyle name="SAPBEXaggItem 3 2 2 3" xfId="6084" xr:uid="{4C8DAC74-0897-462C-BD8A-6E79D73F1F8B}"/>
    <cellStyle name="SAPBEXaggItem 3 2 2 4" xfId="6388" xr:uid="{FFF5D499-C176-415C-A2C6-8DBD4A90649C}"/>
    <cellStyle name="SAPBEXaggItem 3 2 3" xfId="1678" xr:uid="{EE5AFB55-860A-48E7-ACC2-08DA2C5F5F62}"/>
    <cellStyle name="SAPBEXaggItem 3 2 4" xfId="5473" xr:uid="{5022A9C0-3BE4-4484-AC7A-09813CD2FBB0}"/>
    <cellStyle name="SAPBEXaggItem 3 2 5" xfId="6499" xr:uid="{BC3C58D9-4835-4773-A540-15220E5D2A08}"/>
    <cellStyle name="SAPBEXaggItem 3 3" xfId="2432" xr:uid="{1A8517E0-A709-4B90-BF2F-C9528913D3B3}"/>
    <cellStyle name="SAPBEXaggItem 3 3 2" xfId="4397" xr:uid="{AE228645-A9E9-44AD-A3EC-89DAE1C64825}"/>
    <cellStyle name="SAPBEXaggItem 3 3 2 2" xfId="5882" xr:uid="{FBCC439A-BCB4-42D2-A68C-F35D620DB34A}"/>
    <cellStyle name="SAPBEXaggItem 3 3 2 3" xfId="6224" xr:uid="{06380843-66F8-4C5D-A608-0B4E933BC694}"/>
    <cellStyle name="SAPBEXaggItem 3 3 2 4" xfId="5171" xr:uid="{AA6B34B2-3C3C-4BA9-9B04-A5D08EC5ED4A}"/>
    <cellStyle name="SAPBEXaggItem 3 3 3" xfId="2934" xr:uid="{5418D8E2-8B20-4E87-BADB-73DCA1E2D780}"/>
    <cellStyle name="SAPBEXaggItem 3 3 4" xfId="5091" xr:uid="{C7BE4C96-94FE-425D-AF96-5BFF689BBFB3}"/>
    <cellStyle name="SAPBEXaggItem 3 3 5" xfId="5092" xr:uid="{D8763E68-B73E-479C-A20A-7648154DD979}"/>
    <cellStyle name="SAPBEXaggItem 3 4" xfId="3532" xr:uid="{81C949CD-BDF0-47C6-8EEF-BA4E7F524EBA}"/>
    <cellStyle name="SAPBEXaggItem 3 4 2" xfId="2900" xr:uid="{2D316600-7287-4BF2-A5BC-BEFC1DF221EA}"/>
    <cellStyle name="SAPBEXaggItem 3 4 3" xfId="2904" xr:uid="{CF439F94-40A4-4B1D-8742-2D0EFAC4734C}"/>
    <cellStyle name="SAPBEXaggItem 3 4 4" xfId="2581" xr:uid="{9357A8CD-938C-4A73-817E-1B7BAD6099C3}"/>
    <cellStyle name="SAPBEXaggItem 3 5" xfId="2729" xr:uid="{6DF882B9-2CA0-4E02-BB37-157C64AB3AA6}"/>
    <cellStyle name="SAPBEXaggItem 3 6" xfId="4857" xr:uid="{9395D2A8-FCFB-41CF-9611-3A9D2A837769}"/>
    <cellStyle name="SAPBEXaggItem 3 7" xfId="6069" xr:uid="{B9CA2A5E-EB6B-4F03-8336-710C01EA7943}"/>
    <cellStyle name="SAPBEXaggItem 3 8" xfId="5317" xr:uid="{66044F3B-83FC-4C22-B46A-C4EBA3D95C98}"/>
    <cellStyle name="SAPBEXaggItem 4" xfId="2233" xr:uid="{07E5DFA8-E998-4ABB-9E84-911B4CAA079A}"/>
    <cellStyle name="SAPBEXaggItem 4 2" xfId="4216" xr:uid="{6F32E519-EA7E-4470-9EB9-453DE52C92D4}"/>
    <cellStyle name="SAPBEXaggItem 4 2 2" xfId="5728" xr:uid="{AAD2C127-9429-4FEB-8E75-A57CB239DB72}"/>
    <cellStyle name="SAPBEXaggItem 4 2 3" xfId="6081" xr:uid="{B5B72817-F2D1-4B0F-8AA1-DA36C089A4A4}"/>
    <cellStyle name="SAPBEXaggItem 4 2 4" xfId="5572" xr:uid="{21BE2A81-964C-4EDF-BB0A-E7EFD29E2D09}"/>
    <cellStyle name="SAPBEXaggItem 4 3" xfId="1578" xr:uid="{4A96D345-327F-479B-854C-0C27061EA031}"/>
    <cellStyle name="SAPBEXaggItem 4 4" xfId="5477" xr:uid="{78D0597F-6B95-495C-A792-52F8496423A7}"/>
    <cellStyle name="SAPBEXaggItem 4 5" xfId="2905" xr:uid="{1712DBE2-55EA-4CBF-88CC-E20629051D0B}"/>
    <cellStyle name="SAPBEXaggItem 5" xfId="2429" xr:uid="{460E106E-5348-450F-A9F0-F32A3051FDA9}"/>
    <cellStyle name="SAPBEXaggItem 5 2" xfId="4394" xr:uid="{3C7CE8A4-E2AD-4236-AA99-E4ED98C7A4DB}"/>
    <cellStyle name="SAPBEXaggItem 5 2 2" xfId="5879" xr:uid="{16397D44-734D-4998-AE74-D1A74DFFF2A8}"/>
    <cellStyle name="SAPBEXaggItem 5 2 3" xfId="6221" xr:uid="{BDD854BC-C33F-4129-A0D9-CC92960529FC}"/>
    <cellStyle name="SAPBEXaggItem 5 2 4" xfId="5274" xr:uid="{EC4231CF-A41A-405B-94F2-605C21017F7D}"/>
    <cellStyle name="SAPBEXaggItem 5 3" xfId="2931" xr:uid="{5ACA5C02-559B-4494-96D9-65F9C3CAC7FD}"/>
    <cellStyle name="SAPBEXaggItem 5 4" xfId="5132" xr:uid="{FF696995-7A57-4E3D-9492-18BD6ACED790}"/>
    <cellStyle name="SAPBEXaggItem 5 5" xfId="4641" xr:uid="{E7F618CE-D41C-4091-8B3F-EA3B695607E3}"/>
    <cellStyle name="SAPBEXaggItem 6" xfId="1128" xr:uid="{6CEB7E70-FEF3-42DC-82AB-0B3DD854BD06}"/>
    <cellStyle name="SAPBEXaggItem 6 2" xfId="3699" xr:uid="{44A2A043-910A-438D-A747-0BEFDA9D7533}"/>
    <cellStyle name="SAPBEXaggItem 6 3" xfId="4691" xr:uid="{2CB5B53C-BD26-459F-96CC-C0C1AFBFD124}"/>
    <cellStyle name="SAPBEXaggItem 6 4" xfId="5300" xr:uid="{215E2A7C-1467-4561-8E6E-ECCF0F8A8780}"/>
    <cellStyle name="SAPBEXaggItem 7" xfId="5397" xr:uid="{C61CB0DE-A5F2-424F-881A-82C6A8554FB4}"/>
    <cellStyle name="SAPBEXaggItem 8" xfId="5482" xr:uid="{B1E20F1F-6E88-4C81-8C4D-87452772D0C7}"/>
    <cellStyle name="SAPBEXaggItem 9" xfId="5236" xr:uid="{AEB0E3D7-6477-4904-81DC-DDA108A58EA1}"/>
    <cellStyle name="SAPBEXaggItemX" xfId="685" xr:uid="{00000000-0005-0000-0000-0000B5020000}"/>
    <cellStyle name="SAPBEXaggItemX 2" xfId="686" xr:uid="{00000000-0005-0000-0000-0000B6020000}"/>
    <cellStyle name="SAPBEXaggItemX 2 2" xfId="687" xr:uid="{00000000-0005-0000-0000-0000B7020000}"/>
    <cellStyle name="SAPBEXaggItemX 2 2 2" xfId="2239" xr:uid="{241AA8D6-D26A-41A6-AC37-8A2C444634F1}"/>
    <cellStyle name="SAPBEXaggItemX 2 2 2 2" xfId="4222" xr:uid="{AFCC4C19-6C92-4301-8B0E-18D8C7675176}"/>
    <cellStyle name="SAPBEXaggItemX 2 2 2 2 2" xfId="5734" xr:uid="{CEF41570-6E93-4104-85DC-EE0BB8CC1E36}"/>
    <cellStyle name="SAPBEXaggItemX 2 2 2 2 3" xfId="6087" xr:uid="{8F4E269F-7F68-48DC-AB62-C785DCBF49EA}"/>
    <cellStyle name="SAPBEXaggItemX 2 2 2 2 4" xfId="5389" xr:uid="{73B1AC3D-EA59-48C2-A6CC-B9BAF2E5AF8A}"/>
    <cellStyle name="SAPBEXaggItemX 2 2 2 3" xfId="2594" xr:uid="{FE15BC9A-23FB-47F4-A851-4CD431AB4B55}"/>
    <cellStyle name="SAPBEXaggItemX 2 2 2 4" xfId="5086" xr:uid="{6C8112F7-7E4C-4D59-8129-7130ADBBB4FD}"/>
    <cellStyle name="SAPBEXaggItemX 2 2 2 5" xfId="5602" xr:uid="{AB2F19C5-671C-43E5-8426-FA6249C0E94F}"/>
    <cellStyle name="SAPBEXaggItemX 2 2 3" xfId="2435" xr:uid="{1DD112E5-7EB7-43F5-B183-D96251EAC802}"/>
    <cellStyle name="SAPBEXaggItemX 2 2 3 2" xfId="4400" xr:uid="{15FDFB48-29BE-40B5-9459-62CF06E97A6E}"/>
    <cellStyle name="SAPBEXaggItemX 2 2 3 2 2" xfId="5885" xr:uid="{148091C2-FE02-4423-B137-A75507A027D9}"/>
    <cellStyle name="SAPBEXaggItemX 2 2 3 2 3" xfId="6227" xr:uid="{18C30846-340E-44BA-AB93-9B41A8508C0E}"/>
    <cellStyle name="SAPBEXaggItemX 2 2 3 2 4" xfId="4973" xr:uid="{A5FE1A4B-D2A8-4417-9678-8D3E1BABEAAA}"/>
    <cellStyle name="SAPBEXaggItemX 2 2 3 3" xfId="2937" xr:uid="{8A752749-63B7-4834-9E1C-382DA6FB7F22}"/>
    <cellStyle name="SAPBEXaggItemX 2 2 3 4" xfId="4686" xr:uid="{85C7A715-778A-4708-9C18-934E1DABF60D}"/>
    <cellStyle name="SAPBEXaggItemX 2 2 3 5" xfId="5565" xr:uid="{400CD592-97B6-455F-884B-A9AE551107B3}"/>
    <cellStyle name="SAPBEXaggItemX 2 2 4" xfId="3533" xr:uid="{18593273-99EF-4A3A-99E7-FDB781372211}"/>
    <cellStyle name="SAPBEXaggItemX 2 2 4 2" xfId="4789" xr:uid="{A89D0F32-A554-40C4-9EC7-F14AA62A5984}"/>
    <cellStyle name="SAPBEXaggItemX 2 2 4 3" xfId="5631" xr:uid="{44777121-B423-421E-9411-1313AEF75036}"/>
    <cellStyle name="SAPBEXaggItemX 2 2 4 4" xfId="5265" xr:uid="{A25FB622-3D21-472C-B5D8-0758078A045E}"/>
    <cellStyle name="SAPBEXaggItemX 2 2 5" xfId="1136" xr:uid="{053361BA-7A96-444D-A826-E741EDC355B1}"/>
    <cellStyle name="SAPBEXaggItemX 2 2 6" xfId="3048" xr:uid="{BE2EC853-169E-4D20-967E-B0FEEAA9F9A9}"/>
    <cellStyle name="SAPBEXaggItemX 2 2 7" xfId="4964" xr:uid="{BFD50569-4AE0-4959-B860-1BC70633C4AA}"/>
    <cellStyle name="SAPBEXaggItemX 2 2 8" xfId="6485" xr:uid="{A0CCF032-FA0D-458F-94FD-7DD077C20648}"/>
    <cellStyle name="SAPBEXaggItemX 2 3" xfId="2238" xr:uid="{BF95B6EA-62D6-436E-92AB-8A17DEC21FB6}"/>
    <cellStyle name="SAPBEXaggItemX 2 3 2" xfId="4221" xr:uid="{370BA4A2-C10F-4C83-B319-3195F1FF3FC7}"/>
    <cellStyle name="SAPBEXaggItemX 2 3 2 2" xfId="5733" xr:uid="{130A4638-89D0-48F5-84D5-28EB361B655A}"/>
    <cellStyle name="SAPBEXaggItemX 2 3 2 3" xfId="6086" xr:uid="{1DBE3DAF-7CB0-4D9D-94A2-6A6C21FDE5C5}"/>
    <cellStyle name="SAPBEXaggItemX 2 3 2 4" xfId="5398" xr:uid="{E2A4C789-4E23-46D0-9CA7-E357CB447D09}"/>
    <cellStyle name="SAPBEXaggItemX 2 3 3" xfId="2807" xr:uid="{DFF66661-3BAF-4D4F-8447-252B46E53A5B}"/>
    <cellStyle name="SAPBEXaggItemX 2 3 4" xfId="4976" xr:uid="{D41D756D-1604-4410-8789-E5CC477B0B3B}"/>
    <cellStyle name="SAPBEXaggItemX 2 3 5" xfId="6443" xr:uid="{D7928A3E-8B2A-4CD7-AF8D-58DFB55279D0}"/>
    <cellStyle name="SAPBEXaggItemX 2 4" xfId="2434" xr:uid="{015F5AEE-A13C-410F-BCE9-95470EE1DF15}"/>
    <cellStyle name="SAPBEXaggItemX 2 4 2" xfId="4399" xr:uid="{FDF83707-D3E0-46C8-BA84-BA3927ED6F6D}"/>
    <cellStyle name="SAPBEXaggItemX 2 4 2 2" xfId="5884" xr:uid="{42C44FB0-4E65-4434-A7C3-A2E3FD796A61}"/>
    <cellStyle name="SAPBEXaggItemX 2 4 2 3" xfId="6226" xr:uid="{5740DD85-6E99-4800-B9AC-914C9CD61927}"/>
    <cellStyle name="SAPBEXaggItemX 2 4 2 4" xfId="5639" xr:uid="{C6B737B9-EB6A-401B-812E-2B42F0A56758}"/>
    <cellStyle name="SAPBEXaggItemX 2 4 3" xfId="2936" xr:uid="{261DDE52-54AD-4EBE-8BC1-768E311E1602}"/>
    <cellStyle name="SAPBEXaggItemX 2 4 4" xfId="5313" xr:uid="{CBF34EB7-C961-451F-805D-0F7573C5626B}"/>
    <cellStyle name="SAPBEXaggItemX 2 4 5" xfId="5514" xr:uid="{87ABDE44-B154-4C6F-AB3F-BCC08BE213B8}"/>
    <cellStyle name="SAPBEXaggItemX 2 5" xfId="1254" xr:uid="{03F742C7-11D6-42C0-B46F-8350827055D2}"/>
    <cellStyle name="SAPBEXaggItemX 2 5 2" xfId="3778" xr:uid="{29501621-0E19-4A71-88BB-77E49375B1CA}"/>
    <cellStyle name="SAPBEXaggItemX 2 5 3" xfId="2839" xr:uid="{9423EFC0-F0D8-446D-B15D-E2CBB5A53D12}"/>
    <cellStyle name="SAPBEXaggItemX 2 5 4" xfId="5605" xr:uid="{511F2D96-0925-4FB7-98F1-6A94AF35A068}"/>
    <cellStyle name="SAPBEXaggItemX 2 6" xfId="4685" xr:uid="{09B5AFDC-1A36-4B8C-9D2D-0197B66E01DD}"/>
    <cellStyle name="SAPBEXaggItemX 2 7" xfId="4957" xr:uid="{A360D0F3-FB10-40D0-A2FC-83FE256A04D3}"/>
    <cellStyle name="SAPBEXaggItemX 2 8" xfId="3992" xr:uid="{6939250B-849D-4267-AB68-A5025ADE8C50}"/>
    <cellStyle name="SAPBEXaggItemX 3" xfId="688" xr:uid="{00000000-0005-0000-0000-0000B8020000}"/>
    <cellStyle name="SAPBEXaggItemX 3 2" xfId="2240" xr:uid="{B006B4DE-767B-488F-A80B-27B38367AFDD}"/>
    <cellStyle name="SAPBEXaggItemX 3 2 2" xfId="4223" xr:uid="{5B58EA22-0E09-454C-B808-5D48C5FF58A7}"/>
    <cellStyle name="SAPBEXaggItemX 3 2 2 2" xfId="5735" xr:uid="{2811496E-BE00-497E-837E-1F89BA8BF48E}"/>
    <cellStyle name="SAPBEXaggItemX 3 2 2 3" xfId="6088" xr:uid="{BBE319EA-13EE-41BF-9285-1A58FF3F6D56}"/>
    <cellStyle name="SAPBEXaggItemX 3 2 2 4" xfId="6390" xr:uid="{65E2177E-477B-4C6D-8AE0-6E5955BCC0EF}"/>
    <cellStyle name="SAPBEXaggItemX 3 2 3" xfId="2906" xr:uid="{D5D7651A-5C43-4E96-A6AB-17FCB73E159E}"/>
    <cellStyle name="SAPBEXaggItemX 3 2 4" xfId="4929" xr:uid="{C9E5421C-CDD5-476A-9222-F878870D4983}"/>
    <cellStyle name="SAPBEXaggItemX 3 2 5" xfId="4772" xr:uid="{7B49E19E-FCDE-4886-BB5B-6B3C84DAA954}"/>
    <cellStyle name="SAPBEXaggItemX 3 3" xfId="2436" xr:uid="{DA18028E-2490-46B7-BCBB-1C777F43A8CE}"/>
    <cellStyle name="SAPBEXaggItemX 3 3 2" xfId="4401" xr:uid="{02033745-D55F-4CDB-9A78-156D815036E4}"/>
    <cellStyle name="SAPBEXaggItemX 3 3 2 2" xfId="5886" xr:uid="{2CA04821-7980-4DAA-B64C-DC1F2F851A93}"/>
    <cellStyle name="SAPBEXaggItemX 3 3 2 3" xfId="6228" xr:uid="{B7E41E4F-56F4-4548-8AF6-C1E8108E2817}"/>
    <cellStyle name="SAPBEXaggItemX 3 3 2 4" xfId="5491" xr:uid="{8F213FBA-216C-4699-8D61-2E47DDDD2D00}"/>
    <cellStyle name="SAPBEXaggItemX 3 3 3" xfId="2938" xr:uid="{A9CCDE80-736A-40F2-A740-91CC95AF08B8}"/>
    <cellStyle name="SAPBEXaggItemX 3 3 4" xfId="4725" xr:uid="{799FDBD9-5D80-48F0-9EB3-31583EB06AF8}"/>
    <cellStyle name="SAPBEXaggItemX 3 3 5" xfId="5399" xr:uid="{63C8EFE8-E553-4851-BF07-F0BB2541E2C3}"/>
    <cellStyle name="SAPBEXaggItemX 3 4" xfId="3534" xr:uid="{5CA34B53-FBBD-46B2-97DB-F1923ED6D86F}"/>
    <cellStyle name="SAPBEXaggItemX 3 4 2" xfId="5059" xr:uid="{AE285922-00C9-4163-B938-84E5DBCD32E4}"/>
    <cellStyle name="SAPBEXaggItemX 3 4 3" xfId="2898" xr:uid="{1B1FAE66-73DD-4DCD-AC42-5C3108F3048A}"/>
    <cellStyle name="SAPBEXaggItemX 3 4 4" xfId="5556" xr:uid="{E500B931-455C-447A-AC8F-0442D03A5B6A}"/>
    <cellStyle name="SAPBEXaggItemX 3 5" xfId="2742" xr:uid="{9D02E3F0-E37E-4139-85F1-C4D432ACB38A}"/>
    <cellStyle name="SAPBEXaggItemX 3 6" xfId="2765" xr:uid="{A20E9CA2-3A7A-4C7A-8DCF-DF403F954F77}"/>
    <cellStyle name="SAPBEXaggItemX 3 7" xfId="4080" xr:uid="{D4377C32-0180-4B8A-8A90-C3D8733BFB45}"/>
    <cellStyle name="SAPBEXaggItemX 3 8" xfId="4739" xr:uid="{D8E54DFB-46A6-4520-B399-7C714721F990}"/>
    <cellStyle name="SAPBEXaggItemX 4" xfId="2237" xr:uid="{5CC83F26-85FF-4C53-B9E4-91424CC32A67}"/>
    <cellStyle name="SAPBEXaggItemX 4 2" xfId="4220" xr:uid="{C7E73F05-1394-42B6-BBCD-F0805837E0A0}"/>
    <cellStyle name="SAPBEXaggItemX 4 2 2" xfId="5732" xr:uid="{8EECA34D-3C19-4D7D-930F-0DC777B024D4}"/>
    <cellStyle name="SAPBEXaggItemX 4 2 3" xfId="6085" xr:uid="{0A6909F7-7398-40D1-A149-CBE1D514AEE3}"/>
    <cellStyle name="SAPBEXaggItemX 4 2 4" xfId="6057" xr:uid="{24B9F2C4-08F8-47AE-8A57-CD298A436EFD}"/>
    <cellStyle name="SAPBEXaggItemX 4 3" xfId="2657" xr:uid="{21A05C99-90D5-4FF9-9947-678AF121C8DC}"/>
    <cellStyle name="SAPBEXaggItemX 4 4" xfId="5475" xr:uid="{99B19A58-0510-40E3-B5D2-D8EA255C8F29}"/>
    <cellStyle name="SAPBEXaggItemX 4 5" xfId="6360" xr:uid="{DE464F81-B102-4F75-B52F-8ADCDC018846}"/>
    <cellStyle name="SAPBEXaggItemX 5" xfId="2433" xr:uid="{E650DCED-1497-4127-8DA9-2F4E49294036}"/>
    <cellStyle name="SAPBEXaggItemX 5 2" xfId="4398" xr:uid="{3B0AD03D-1343-414D-9868-8DDBD070B627}"/>
    <cellStyle name="SAPBEXaggItemX 5 2 2" xfId="5883" xr:uid="{70CA81E1-FCF7-490F-A706-B61E22D239CF}"/>
    <cellStyle name="SAPBEXaggItemX 5 2 3" xfId="6225" xr:uid="{96AE397A-127A-40E0-A8B3-CE0E90CC98D8}"/>
    <cellStyle name="SAPBEXaggItemX 5 2 4" xfId="5448" xr:uid="{643ACD8B-E2AF-43C7-AC19-938E1354879E}"/>
    <cellStyle name="SAPBEXaggItemX 5 3" xfId="2935" xr:uid="{05CD2860-3A39-4A4C-AA43-019C317E921D}"/>
    <cellStyle name="SAPBEXaggItemX 5 4" xfId="4631" xr:uid="{46C909B4-FF14-47F3-8927-6287AA91392E}"/>
    <cellStyle name="SAPBEXaggItemX 5 5" xfId="6200" xr:uid="{59C7CD19-2F48-4C2B-9D5C-1431505EA6F8}"/>
    <cellStyle name="SAPBEXaggItemX 6" xfId="1284" xr:uid="{999A366F-A1A3-429E-8DBD-D2D9FAD262D4}"/>
    <cellStyle name="SAPBEXaggItemX 6 2" xfId="3793" xr:uid="{86D37130-1EE7-4B6E-8D86-6B226C3BA317}"/>
    <cellStyle name="SAPBEXaggItemX 6 3" xfId="5497" xr:uid="{92FC0866-8ABF-4851-9EA0-4E5B21AAFE05}"/>
    <cellStyle name="SAPBEXaggItemX 6 4" xfId="6406" xr:uid="{E9DFAB8F-DF2A-438E-B3BB-AA6EC2F1E1C5}"/>
    <cellStyle name="SAPBEXaggItemX 7" xfId="4678" xr:uid="{0F5C286E-171A-4BE3-85BB-399CDC14CBDC}"/>
    <cellStyle name="SAPBEXaggItemX 8" xfId="4930" xr:uid="{5C8610F4-24C8-4531-A65D-6A805AAF316B}"/>
    <cellStyle name="SAPBEXaggItemX 9" xfId="4657" xr:uid="{634586E2-CFC4-4BD2-801B-3D231A0C46C4}"/>
    <cellStyle name="SAPBEXchaText" xfId="689" xr:uid="{00000000-0005-0000-0000-0000B9020000}"/>
    <cellStyle name="SAPBEXexcBad7" xfId="690" xr:uid="{00000000-0005-0000-0000-0000BA020000}"/>
    <cellStyle name="SAPBEXexcBad7 2" xfId="691" xr:uid="{00000000-0005-0000-0000-0000BB020000}"/>
    <cellStyle name="SAPBEXexcBad7 2 2" xfId="692" xr:uid="{00000000-0005-0000-0000-0000BC020000}"/>
    <cellStyle name="SAPBEXexcBad7 2 2 2" xfId="2243" xr:uid="{E50160D1-B070-4DD9-9FB4-5F9F9454FECC}"/>
    <cellStyle name="SAPBEXexcBad7 2 2 2 2" xfId="4226" xr:uid="{548DD3BD-6B1C-4435-BEC3-8B100E9658F2}"/>
    <cellStyle name="SAPBEXexcBad7 2 2 2 2 2" xfId="5738" xr:uid="{933D98AD-E265-4A7A-A9F8-9E136608CC51}"/>
    <cellStyle name="SAPBEXexcBad7 2 2 2 2 3" xfId="6091" xr:uid="{F18659F3-1F35-460F-900A-982DA833A902}"/>
    <cellStyle name="SAPBEXexcBad7 2 2 2 2 4" xfId="5650" xr:uid="{9BDD03BE-126D-4050-B523-E5EA1BE64C83}"/>
    <cellStyle name="SAPBEXexcBad7 2 2 2 3" xfId="1681" xr:uid="{DEB4B6D6-759D-438D-9919-CEE81ED43C73}"/>
    <cellStyle name="SAPBEXexcBad7 2 2 2 4" xfId="5868" xr:uid="{5B5FACFF-A382-4D1C-9D0C-C4AC127A15C5}"/>
    <cellStyle name="SAPBEXexcBad7 2 2 2 5" xfId="5563" xr:uid="{82E4A05C-C32E-4AA8-815E-AE4F050A9755}"/>
    <cellStyle name="SAPBEXexcBad7 2 2 3" xfId="2439" xr:uid="{F3F78322-74E3-472A-A05C-13592A866A56}"/>
    <cellStyle name="SAPBEXexcBad7 2 2 3 2" xfId="4404" xr:uid="{BB166B0A-BA9F-4C3A-88F9-83196524D247}"/>
    <cellStyle name="SAPBEXexcBad7 2 2 3 2 2" xfId="5889" xr:uid="{7FA3BC1B-D651-4335-ADE4-0F9B6BD338F3}"/>
    <cellStyle name="SAPBEXexcBad7 2 2 3 2 3" xfId="6231" xr:uid="{6B114C41-1BDE-42FE-8B46-3EC356E31E4B}"/>
    <cellStyle name="SAPBEXexcBad7 2 2 3 2 4" xfId="5611" xr:uid="{D26CCF1D-C7AE-4EC6-BFB6-B1581E3980F0}"/>
    <cellStyle name="SAPBEXexcBad7 2 2 3 3" xfId="2941" xr:uid="{2C3D83E8-6EE8-4AB3-A7CD-B9E29C9020DB}"/>
    <cellStyle name="SAPBEXexcBad7 2 2 3 4" xfId="4589" xr:uid="{28AFC89B-365D-4437-BC28-A4904DD5A68F}"/>
    <cellStyle name="SAPBEXexcBad7 2 2 3 5" xfId="5366" xr:uid="{9417D71E-ACD6-4B9E-B9E7-BAC17AC047C8}"/>
    <cellStyle name="SAPBEXexcBad7 2 2 4" xfId="3535" xr:uid="{63FF611A-91AD-476E-8664-A531EEA97B5A}"/>
    <cellStyle name="SAPBEXexcBad7 2 2 4 2" xfId="5183" xr:uid="{61ED2D41-A832-4F88-9AD0-9FFB2B671803}"/>
    <cellStyle name="SAPBEXexcBad7 2 2 4 3" xfId="4819" xr:uid="{C4814D14-CB3B-49B5-852B-055C0C00B4B3}"/>
    <cellStyle name="SAPBEXexcBad7 2 2 4 4" xfId="5090" xr:uid="{6731C67C-BB8B-447F-A57B-E8A00D8648AC}"/>
    <cellStyle name="SAPBEXexcBad7 2 2 5" xfId="2728" xr:uid="{8D9EB52A-CAFC-4AFE-AF0E-40199F47DA0C}"/>
    <cellStyle name="SAPBEXexcBad7 2 2 6" xfId="2633" xr:uid="{2D3D41CC-9CCF-457C-9CBD-C8ADCB1FE12F}"/>
    <cellStyle name="SAPBEXexcBad7 2 2 7" xfId="2761" xr:uid="{65CC8862-FA82-4289-B1E2-99737405D649}"/>
    <cellStyle name="SAPBEXexcBad7 2 2 8" xfId="6467" xr:uid="{95293BF3-5D98-465A-B75B-C94B6936F938}"/>
    <cellStyle name="SAPBEXexcBad7 2 3" xfId="2242" xr:uid="{9C1E3874-6CA6-478C-9BB0-7FBFDA61B7C2}"/>
    <cellStyle name="SAPBEXexcBad7 2 3 2" xfId="4225" xr:uid="{CB75F1CE-4A68-4E55-8578-E8E2ED70B6D6}"/>
    <cellStyle name="SAPBEXexcBad7 2 3 2 2" xfId="5737" xr:uid="{62E8FD9A-03D2-4A88-9843-9DFB1B01A980}"/>
    <cellStyle name="SAPBEXexcBad7 2 3 2 3" xfId="6090" xr:uid="{C315D18A-9DFA-42DA-9996-FCCC19B64AD2}"/>
    <cellStyle name="SAPBEXexcBad7 2 3 2 4" xfId="5106" xr:uid="{CBA6264D-0B21-41E3-835E-C000097DAA63}"/>
    <cellStyle name="SAPBEXexcBad7 2 3 3" xfId="2863" xr:uid="{C831C90F-D2A4-46AE-9293-AE707A9D76E4}"/>
    <cellStyle name="SAPBEXexcBad7 2 3 4" xfId="5472" xr:uid="{45CCEC1B-27BE-4593-BAC9-71C0D22E31C3}"/>
    <cellStyle name="SAPBEXexcBad7 2 3 5" xfId="5011" xr:uid="{73AC6E1E-3B1E-479D-9224-597D3401AD21}"/>
    <cellStyle name="SAPBEXexcBad7 2 4" xfId="2438" xr:uid="{4A5B282D-A97E-41F1-9D4F-195517C46F70}"/>
    <cellStyle name="SAPBEXexcBad7 2 4 2" xfId="4403" xr:uid="{9CBF716C-6CFE-4809-9081-29A7DB2A8A6E}"/>
    <cellStyle name="SAPBEXexcBad7 2 4 2 2" xfId="5888" xr:uid="{71303320-B878-47CE-8D17-771885D50A78}"/>
    <cellStyle name="SAPBEXexcBad7 2 4 2 3" xfId="6230" xr:uid="{07B28167-B601-49AB-9044-B66DAB01F24E}"/>
    <cellStyle name="SAPBEXexcBad7 2 4 2 4" xfId="4198" xr:uid="{B7E4E0CD-5390-46E2-B15A-28642225E638}"/>
    <cellStyle name="SAPBEXexcBad7 2 4 3" xfId="2940" xr:uid="{F42A04E6-937E-40A4-B562-F35AD00AB846}"/>
    <cellStyle name="SAPBEXexcBad7 2 4 4" xfId="5134" xr:uid="{C6970222-11D0-479B-ACEC-F55B695A9376}"/>
    <cellStyle name="SAPBEXexcBad7 2 4 5" xfId="5553" xr:uid="{6FD7901C-C442-48FB-91C1-B7DDF91D289C}"/>
    <cellStyle name="SAPBEXexcBad7 2 5" xfId="1123" xr:uid="{6063E665-7774-4676-A0D0-41A970191D41}"/>
    <cellStyle name="SAPBEXexcBad7 2 5 2" xfId="3696" xr:uid="{F72F756A-4609-45B8-BD26-65F7340E9821}"/>
    <cellStyle name="SAPBEXexcBad7 2 5 3" xfId="5607" xr:uid="{0FF4D4F7-DD84-45D7-B5FE-FBCECBF60B0F}"/>
    <cellStyle name="SAPBEXexcBad7 2 5 4" xfId="4680" xr:uid="{14813857-811D-4849-ABEC-105110EC0DE9}"/>
    <cellStyle name="SAPBEXexcBad7 2 6" xfId="4738" xr:uid="{9BFB16D1-49B0-4112-BC25-6B20BA59E0CB}"/>
    <cellStyle name="SAPBEXexcBad7 2 7" xfId="2775" xr:uid="{D3512A5E-940B-4B46-AC41-37468CCA59A9}"/>
    <cellStyle name="SAPBEXexcBad7 2 8" xfId="5647" xr:uid="{07F050F8-2479-479F-8D06-F53FFD1DC190}"/>
    <cellStyle name="SAPBEXexcBad7 3" xfId="693" xr:uid="{00000000-0005-0000-0000-0000BD020000}"/>
    <cellStyle name="SAPBEXexcBad7 3 2" xfId="2244" xr:uid="{5BC75C42-A567-4E18-A185-FE868AA30E02}"/>
    <cellStyle name="SAPBEXexcBad7 3 2 2" xfId="4227" xr:uid="{66E8B6B9-9914-49EA-AB9D-F257A81787E0}"/>
    <cellStyle name="SAPBEXexcBad7 3 2 2 2" xfId="5739" xr:uid="{395D1F8A-AE4A-4C9E-AD90-6E8C55AED007}"/>
    <cellStyle name="SAPBEXexcBad7 3 2 2 3" xfId="6092" xr:uid="{B836E238-8D46-4587-9FB9-B50D69322BD8}"/>
    <cellStyle name="SAPBEXexcBad7 3 2 2 4" xfId="5859" xr:uid="{FED26DD3-248A-4DE8-B2D7-60977A321FF6}"/>
    <cellStyle name="SAPBEXexcBad7 3 2 3" xfId="2583" xr:uid="{9D5F0759-9883-4EEE-9D3D-5D52FA4A51DF}"/>
    <cellStyle name="SAPBEXexcBad7 3 2 4" xfId="4566" xr:uid="{4282C3EA-3126-4358-A302-27C18F487910}"/>
    <cellStyle name="SAPBEXexcBad7 3 2 5" xfId="5098" xr:uid="{A05A6B4A-C21D-41DE-8044-6302866F92F8}"/>
    <cellStyle name="SAPBEXexcBad7 3 3" xfId="2440" xr:uid="{877AB44C-EC32-4FA9-80AF-8573FD6A9910}"/>
    <cellStyle name="SAPBEXexcBad7 3 3 2" xfId="4405" xr:uid="{EB422B81-BD3B-49C9-B30F-87941507394A}"/>
    <cellStyle name="SAPBEXexcBad7 3 3 2 2" xfId="5890" xr:uid="{7926AD8A-BC5D-4ADE-BC4B-A595703EB5F2}"/>
    <cellStyle name="SAPBEXexcBad7 3 3 2 3" xfId="6232" xr:uid="{319FF789-5DE6-4F04-82BE-447422A6DA8B}"/>
    <cellStyle name="SAPBEXexcBad7 3 3 2 4" xfId="5156" xr:uid="{E55996CC-E550-4E72-BA0F-E2580A41A8B2}"/>
    <cellStyle name="SAPBEXexcBad7 3 3 3" xfId="2942" xr:uid="{A5EDE958-BB65-4579-9C62-DF9E059554C5}"/>
    <cellStyle name="SAPBEXexcBad7 3 3 4" xfId="4654" xr:uid="{990E055A-93BB-4E21-B947-F10667BF2516}"/>
    <cellStyle name="SAPBEXexcBad7 3 3 5" xfId="5306" xr:uid="{5DE9ACA0-6DCA-4E07-8C5E-3C23181CAE61}"/>
    <cellStyle name="SAPBEXexcBad7 3 4" xfId="3536" xr:uid="{8BAB6331-0E2B-4DC8-BDC7-6CED396F1E30}"/>
    <cellStyle name="SAPBEXexcBad7 3 4 2" xfId="2647" xr:uid="{C0513152-4B6B-4040-85A7-B205A9F94C7B}"/>
    <cellStyle name="SAPBEXexcBad7 3 4 3" xfId="5629" xr:uid="{FC28C6B8-7685-4151-9762-07DF2CDB9899}"/>
    <cellStyle name="SAPBEXexcBad7 3 4 4" xfId="2644" xr:uid="{90605597-3CED-46BB-8B81-A06A19C2B4BD}"/>
    <cellStyle name="SAPBEXexcBad7 3 5" xfId="2853" xr:uid="{C3D11052-E104-4317-8B4F-0A54EB85E0AE}"/>
    <cellStyle name="SAPBEXexcBad7 3 6" xfId="3869" xr:uid="{B259AA5E-09A7-4AB1-844D-0F837D995D26}"/>
    <cellStyle name="SAPBEXexcBad7 3 7" xfId="5292" xr:uid="{050957E2-E6A8-414A-AD5A-F1F9CE02CCD3}"/>
    <cellStyle name="SAPBEXexcBad7 3 8" xfId="4843" xr:uid="{921D9DB7-5B79-41F6-9EA5-0C9F4C955347}"/>
    <cellStyle name="SAPBEXexcBad7 4" xfId="2241" xr:uid="{C697C97B-6E1F-4308-BD69-0008E3B419E8}"/>
    <cellStyle name="SAPBEXexcBad7 4 2" xfId="4224" xr:uid="{9D44FFCC-8CA6-4B8A-9F95-C0A2A63348D2}"/>
    <cellStyle name="SAPBEXexcBad7 4 2 2" xfId="5736" xr:uid="{AE28834E-9AF1-4E3D-BD29-4C77702C45AE}"/>
    <cellStyle name="SAPBEXexcBad7 4 2 3" xfId="6089" xr:uid="{54C88204-5DF1-4FC6-AFF4-DD5189B205E3}"/>
    <cellStyle name="SAPBEXexcBad7 4 2 4" xfId="5268" xr:uid="{1FA91169-EACE-4D27-94CC-4DEB0362DC3B}"/>
    <cellStyle name="SAPBEXexcBad7 4 3" xfId="2690" xr:uid="{062685F5-461B-4E32-B8C5-184EB0951606}"/>
    <cellStyle name="SAPBEXexcBad7 4 4" xfId="5174" xr:uid="{7A94538E-278F-4024-A0B2-E10C1AD787FA}"/>
    <cellStyle name="SAPBEXexcBad7 4 5" xfId="6028" xr:uid="{93532F41-A49C-4F56-90E2-4AFBC2B1327F}"/>
    <cellStyle name="SAPBEXexcBad7 5" xfId="2437" xr:uid="{30221E43-ACAB-45F4-B71B-4376A7B21FB5}"/>
    <cellStyle name="SAPBEXexcBad7 5 2" xfId="4402" xr:uid="{A4097E3A-A552-4018-93B8-FA701AA63A78}"/>
    <cellStyle name="SAPBEXexcBad7 5 2 2" xfId="5887" xr:uid="{159582D7-5EC6-4906-8612-C6D6B510913E}"/>
    <cellStyle name="SAPBEXexcBad7 5 2 3" xfId="6229" xr:uid="{6AE4ADA6-2BF8-43F7-97EC-8D1D1EB535F2}"/>
    <cellStyle name="SAPBEXexcBad7 5 2 4" xfId="5467" xr:uid="{F135060A-F2EF-44BA-9D5C-E78C932D9D0A}"/>
    <cellStyle name="SAPBEXexcBad7 5 3" xfId="2939" xr:uid="{4739F695-629B-4BF5-9137-0F9111A7CA65}"/>
    <cellStyle name="SAPBEXexcBad7 5 4" xfId="5043" xr:uid="{FB1CE8D9-092D-4572-BD34-D8AB4D3334C6}"/>
    <cellStyle name="SAPBEXexcBad7 5 5" xfId="5386" xr:uid="{F36D4101-3710-4BFC-816A-5CA731EF243C}"/>
    <cellStyle name="SAPBEXexcBad7 6" xfId="1285" xr:uid="{D574D489-FA64-428B-9D90-E2577FBED15F}"/>
    <cellStyle name="SAPBEXexcBad7 6 2" xfId="3794" xr:uid="{8F1FC682-D48D-4EA5-A7FB-E951AD170932}"/>
    <cellStyle name="SAPBEXexcBad7 6 3" xfId="5590" xr:uid="{65676A15-2193-48FC-879F-581D4F00600A}"/>
    <cellStyle name="SAPBEXexcBad7 6 4" xfId="4975" xr:uid="{4568418F-A637-43BE-BCB5-462053EE4A2F}"/>
    <cellStyle name="SAPBEXexcBad7 7" xfId="5377" xr:uid="{AA6F88AB-E8EE-4ED1-B781-42254A34E152}"/>
    <cellStyle name="SAPBEXexcBad7 8" xfId="4092" xr:uid="{346D1318-9ACF-4C12-AF3D-42319E065B22}"/>
    <cellStyle name="SAPBEXexcBad7 9" xfId="2634" xr:uid="{AB8096EE-8354-4B60-B324-7EB3C4FDCA90}"/>
    <cellStyle name="SAPBEXexcBad8" xfId="694" xr:uid="{00000000-0005-0000-0000-0000BE020000}"/>
    <cellStyle name="SAPBEXexcBad8 2" xfId="695" xr:uid="{00000000-0005-0000-0000-0000BF020000}"/>
    <cellStyle name="SAPBEXexcBad8 2 2" xfId="696" xr:uid="{00000000-0005-0000-0000-0000C0020000}"/>
    <cellStyle name="SAPBEXexcBad8 2 2 2" xfId="2247" xr:uid="{AE2A4A47-7C26-4134-85FC-D251CE82896A}"/>
    <cellStyle name="SAPBEXexcBad8 2 2 2 2" xfId="4230" xr:uid="{AC6C0F96-9937-4108-B8B3-2C5FC2B5812F}"/>
    <cellStyle name="SAPBEXexcBad8 2 2 2 2 2" xfId="5742" xr:uid="{0BA5A5E1-91D8-454C-A959-536E313BD87A}"/>
    <cellStyle name="SAPBEXexcBad8 2 2 2 2 3" xfId="6095" xr:uid="{85A71793-366C-4FF3-A8FB-67D0722EA2A1}"/>
    <cellStyle name="SAPBEXexcBad8 2 2 2 2 4" xfId="5422" xr:uid="{B9D862C8-A839-4541-97CA-2706E9BC8F61}"/>
    <cellStyle name="SAPBEXexcBad8 2 2 2 3" xfId="2797" xr:uid="{C9E114C4-610F-4D92-BA15-08C159D82B8E}"/>
    <cellStyle name="SAPBEXexcBad8 2 2 2 4" xfId="2676" xr:uid="{B12F4218-50AD-4C16-964F-58F441A030D6}"/>
    <cellStyle name="SAPBEXexcBad8 2 2 2 5" xfId="5652" xr:uid="{1D094757-A4A8-43AD-A037-D1FFB25F55AE}"/>
    <cellStyle name="SAPBEXexcBad8 2 2 3" xfId="2443" xr:uid="{6C5D8B92-4F04-4F27-A3A0-CFF6024A7077}"/>
    <cellStyle name="SAPBEXexcBad8 2 2 3 2" xfId="4408" xr:uid="{2C9A18D9-8AE4-4EE1-B27C-20559271CEE0}"/>
    <cellStyle name="SAPBEXexcBad8 2 2 3 2 2" xfId="5893" xr:uid="{1D04DC2E-1AAC-4BAA-8F65-76EEC916FBAC}"/>
    <cellStyle name="SAPBEXexcBad8 2 2 3 2 3" xfId="6235" xr:uid="{053B50E3-A514-4B30-BDCD-4410EF48BEE4}"/>
    <cellStyle name="SAPBEXexcBad8 2 2 3 2 4" xfId="6509" xr:uid="{B654DEBE-F7A7-4DB1-8084-0C4EE0BFB135}"/>
    <cellStyle name="SAPBEXexcBad8 2 2 3 3" xfId="2945" xr:uid="{963E8496-0248-4CA9-BDF8-01D378BDA94C}"/>
    <cellStyle name="SAPBEXexcBad8 2 2 3 4" xfId="2800" xr:uid="{CAAF02D4-C496-4F65-9C27-6297B46AB46F}"/>
    <cellStyle name="SAPBEXexcBad8 2 2 3 5" xfId="6035" xr:uid="{1CB08B8E-451E-4283-9852-FDE09DC4533E}"/>
    <cellStyle name="SAPBEXexcBad8 2 2 4" xfId="3537" xr:uid="{FB2F1209-6301-4B76-8A5E-C73AA6B0AD54}"/>
    <cellStyle name="SAPBEXexcBad8 2 2 4 2" xfId="4099" xr:uid="{91BCAF67-B673-436F-92B0-AEE126F1BE46}"/>
    <cellStyle name="SAPBEXexcBad8 2 2 4 3" xfId="5214" xr:uid="{05F33BD5-6202-4A18-A533-245D5C2FA272}"/>
    <cellStyle name="SAPBEXexcBad8 2 2 4 4" xfId="6367" xr:uid="{FEF66A07-02AA-40B3-8D9E-20F287D7A89C}"/>
    <cellStyle name="SAPBEXexcBad8 2 2 5" xfId="2711" xr:uid="{A4FDB868-BBAE-4925-9CDD-0A0592833843}"/>
    <cellStyle name="SAPBEXexcBad8 2 2 6" xfId="4635" xr:uid="{DA2CF438-509B-43EE-BB00-D2DF3C7F9215}"/>
    <cellStyle name="SAPBEXexcBad8 2 2 7" xfId="4647" xr:uid="{D76FA715-F0DC-4E2F-A159-071C9D322588}"/>
    <cellStyle name="SAPBEXexcBad8 2 2 8" xfId="6478" xr:uid="{4AD1F181-0430-447A-AF94-BAA07B21474A}"/>
    <cellStyle name="SAPBEXexcBad8 2 3" xfId="2246" xr:uid="{50A1374B-400A-4585-804D-70EB018F5063}"/>
    <cellStyle name="SAPBEXexcBad8 2 3 2" xfId="4229" xr:uid="{2C6E2F78-04C2-4D35-AF3E-637054D56446}"/>
    <cellStyle name="SAPBEXexcBad8 2 3 2 2" xfId="5741" xr:uid="{0D43A2D0-ECEE-42DE-825A-CF57913F2183}"/>
    <cellStyle name="SAPBEXexcBad8 2 3 2 3" xfId="6094" xr:uid="{73C879A2-A5E9-48EC-A555-6F9EEA203907}"/>
    <cellStyle name="SAPBEXexcBad8 2 3 2 4" xfId="4549" xr:uid="{6DC65AC2-0F9A-47C1-9F16-3B4D5AB1459A}"/>
    <cellStyle name="SAPBEXexcBad8 2 3 3" xfId="2701" xr:uid="{AE3CBBD2-B56F-4672-A20C-BF4D49D65B54}"/>
    <cellStyle name="SAPBEXexcBad8 2 3 4" xfId="2886" xr:uid="{671150BA-55AE-401A-BE85-DEB4F301A603}"/>
    <cellStyle name="SAPBEXexcBad8 2 3 5" xfId="3938" xr:uid="{892F07EF-1B07-4CB8-A6EB-02613DB3FD33}"/>
    <cellStyle name="SAPBEXexcBad8 2 4" xfId="2442" xr:uid="{03A73652-AF80-4AE6-BBB6-72E957EBC1B8}"/>
    <cellStyle name="SAPBEXexcBad8 2 4 2" xfId="4407" xr:uid="{B3E1A094-81B3-4541-B080-A40A39B1598E}"/>
    <cellStyle name="SAPBEXexcBad8 2 4 2 2" xfId="5892" xr:uid="{58AE4691-4F28-42BE-BA9C-B601F8558358}"/>
    <cellStyle name="SAPBEXexcBad8 2 4 2 3" xfId="6234" xr:uid="{49CB8A8A-A9FA-440D-B432-380BC4BB9134}"/>
    <cellStyle name="SAPBEXexcBad8 2 4 2 4" xfId="6508" xr:uid="{2DFAF4BE-3FA8-41B0-AE25-238E3A955AC6}"/>
    <cellStyle name="SAPBEXexcBad8 2 4 3" xfId="2944" xr:uid="{98086324-551F-4A19-9AD2-70BAE70EF039}"/>
    <cellStyle name="SAPBEXexcBad8 2 4 4" xfId="5282" xr:uid="{55C14366-62C8-44ED-8601-0D76BD499A68}"/>
    <cellStyle name="SAPBEXexcBad8 2 4 5" xfId="6433" xr:uid="{D4A150DE-8838-4659-9B86-B7E69FC8DF2A}"/>
    <cellStyle name="SAPBEXexcBad8 2 5" xfId="1286" xr:uid="{DB2237EC-B660-4013-BCB0-394328FF87C9}"/>
    <cellStyle name="SAPBEXexcBad8 2 5 2" xfId="3795" xr:uid="{E84A2807-2722-436A-8D80-E8B46D4B3AF4}"/>
    <cellStyle name="SAPBEXexcBad8 2 5 3" xfId="5112" xr:uid="{5BF7A41A-E600-4045-B19F-68CC3DD96AAB}"/>
    <cellStyle name="SAPBEXexcBad8 2 5 4" xfId="5250" xr:uid="{0F12C881-D69C-46CD-BF1E-63794C4E03B1}"/>
    <cellStyle name="SAPBEXexcBad8 2 6" xfId="5342" xr:uid="{76E7F094-B281-4FB9-95C6-B8A3E028E320}"/>
    <cellStyle name="SAPBEXexcBad8 2 7" xfId="5469" xr:uid="{2F3030C9-A928-4527-AF37-F018F4DC3754}"/>
    <cellStyle name="SAPBEXexcBad8 2 8" xfId="5547" xr:uid="{C5992DD3-75DC-474B-ABFF-7A22F16408EF}"/>
    <cellStyle name="SAPBEXexcBad8 3" xfId="697" xr:uid="{00000000-0005-0000-0000-0000C1020000}"/>
    <cellStyle name="SAPBEXexcBad8 3 2" xfId="2248" xr:uid="{42393599-3FCC-4111-8662-27E1730D7485}"/>
    <cellStyle name="SAPBEXexcBad8 3 2 2" xfId="4231" xr:uid="{B17AF7A2-B9E6-4F47-88C2-03F432BBB472}"/>
    <cellStyle name="SAPBEXexcBad8 3 2 2 2" xfId="5743" xr:uid="{9D2EA06B-57C2-43E4-B123-A872FCC83573}"/>
    <cellStyle name="SAPBEXexcBad8 3 2 2 3" xfId="6096" xr:uid="{B2624792-D8DE-481A-A46D-6413E4A2EC85}"/>
    <cellStyle name="SAPBEXexcBad8 3 2 2 4" xfId="4824" xr:uid="{30E9446B-2A6C-42BA-94F9-21EA655CA96F}"/>
    <cellStyle name="SAPBEXexcBad8 3 2 3" xfId="2836" xr:uid="{FCFA535C-C065-4760-BBD1-C0C3B13B81C0}"/>
    <cellStyle name="SAPBEXexcBad8 3 2 4" xfId="5161" xr:uid="{C4C57EC7-DA45-4EFB-9E4C-E56F8877D1EA}"/>
    <cellStyle name="SAPBEXexcBad8 3 2 5" xfId="6027" xr:uid="{DEE96D97-DB7B-4077-BF40-937971125A5C}"/>
    <cellStyle name="SAPBEXexcBad8 3 3" xfId="2444" xr:uid="{D1DFC974-8ABA-4FAB-A8F9-F2F4640CF036}"/>
    <cellStyle name="SAPBEXexcBad8 3 3 2" xfId="4409" xr:uid="{30CFEDFE-84F8-409E-AD9D-81B5BB4E92BD}"/>
    <cellStyle name="SAPBEXexcBad8 3 3 2 2" xfId="5894" xr:uid="{D68B48B0-7CB3-4236-8F50-B1F99396FE4C}"/>
    <cellStyle name="SAPBEXexcBad8 3 3 2 3" xfId="6236" xr:uid="{F397316D-D329-4155-A27C-F7729671369A}"/>
    <cellStyle name="SAPBEXexcBad8 3 3 2 4" xfId="6510" xr:uid="{B8A41504-B552-487B-A9D8-5D9FBEB4574A}"/>
    <cellStyle name="SAPBEXexcBad8 3 3 3" xfId="2946" xr:uid="{D6F9AE06-AF57-40BE-BD63-56AADD67E150}"/>
    <cellStyle name="SAPBEXexcBad8 3 3 4" xfId="4688" xr:uid="{B93B4E91-D84F-42F4-80A4-B0232E58A7C6}"/>
    <cellStyle name="SAPBEXexcBad8 3 3 5" xfId="5450" xr:uid="{7A0C5880-482F-4992-8748-6D4B722811A5}"/>
    <cellStyle name="SAPBEXexcBad8 3 4" xfId="3538" xr:uid="{D05C0814-31B4-4C57-915C-8125255392EF}"/>
    <cellStyle name="SAPBEXexcBad8 3 4 2" xfId="4787" xr:uid="{0233C096-ECE0-4FF8-9CB8-17FC32B92470}"/>
    <cellStyle name="SAPBEXexcBad8 3 4 3" xfId="5630" xr:uid="{2B5B5A8E-C31F-43ED-989D-FD2268699BAE}"/>
    <cellStyle name="SAPBEXexcBad8 3 4 4" xfId="4908" xr:uid="{B8B2DA9C-250B-4C0A-AC3F-06CCBCFA68DE}"/>
    <cellStyle name="SAPBEXexcBad8 3 5" xfId="2567" xr:uid="{C6BBC8ED-7DE2-49BA-979F-AA9A3854B20B}"/>
    <cellStyle name="SAPBEXexcBad8 3 6" xfId="1125" xr:uid="{3D67520D-E719-4C74-9151-32DEB67EE294}"/>
    <cellStyle name="SAPBEXexcBad8 3 7" xfId="5571" xr:uid="{E400B6C1-B739-446E-BEA7-F1BE545FA669}"/>
    <cellStyle name="SAPBEXexcBad8 3 8" xfId="6482" xr:uid="{7EB47FD2-CE24-447C-BE23-38BDE79AC157}"/>
    <cellStyle name="SAPBEXexcBad8 4" xfId="2245" xr:uid="{87C9ACFC-BC78-450F-A81D-9515A1B9F265}"/>
    <cellStyle name="SAPBEXexcBad8 4 2" xfId="4228" xr:uid="{4464EF91-225F-422E-8699-04D9C6C53808}"/>
    <cellStyle name="SAPBEXexcBad8 4 2 2" xfId="5740" xr:uid="{73BE7A53-2215-4D03-836E-BB339043920F}"/>
    <cellStyle name="SAPBEXexcBad8 4 2 3" xfId="6093" xr:uid="{C80AD9FD-9CFC-4A3C-91F1-74A4ACB36BF8}"/>
    <cellStyle name="SAPBEXexcBad8 4 2 4" xfId="6389" xr:uid="{ABBBF620-AF1A-49C0-ABC0-DEECE0411A20}"/>
    <cellStyle name="SAPBEXexcBad8 4 3" xfId="2854" xr:uid="{AA79572E-EC9C-43C2-BD9C-9E04BFBE35CB}"/>
    <cellStyle name="SAPBEXexcBad8 4 4" xfId="4977" xr:uid="{A41A89DE-0467-486D-BF95-936B7D699BF3}"/>
    <cellStyle name="SAPBEXexcBad8 4 5" xfId="5211" xr:uid="{FB599E68-E06F-4D7F-A786-619F7CBD3DEE}"/>
    <cellStyle name="SAPBEXexcBad8 5" xfId="2441" xr:uid="{42446605-0B4A-43BF-8958-5D54CD823F8B}"/>
    <cellStyle name="SAPBEXexcBad8 5 2" xfId="4406" xr:uid="{D99F75EC-D911-4DC0-8C75-B505EDD3450B}"/>
    <cellStyle name="SAPBEXexcBad8 5 2 2" xfId="5891" xr:uid="{2D42EB5E-3CD0-4E73-B153-0E94F2C4C860}"/>
    <cellStyle name="SAPBEXexcBad8 5 2 3" xfId="6233" xr:uid="{848EE8D2-422E-499B-AC69-EA0D6698B0AE}"/>
    <cellStyle name="SAPBEXexcBad8 5 2 4" xfId="6507" xr:uid="{5DE13E33-6EE2-4A6F-A8B7-840172D8169E}"/>
    <cellStyle name="SAPBEXexcBad8 5 3" xfId="2943" xr:uid="{2EC73DBE-785F-48EB-8C9C-934E9BECD46F}"/>
    <cellStyle name="SAPBEXexcBad8 5 4" xfId="5506" xr:uid="{258207DD-3CA7-4AB5-AEE8-88BB39759592}"/>
    <cellStyle name="SAPBEXexcBad8 5 5" xfId="5655" xr:uid="{26887234-B1EF-45CC-AF3A-ABA0139E6245}"/>
    <cellStyle name="SAPBEXexcBad8 6" xfId="1275" xr:uid="{C9D55821-B05C-4C1C-8818-B6011FFE82EC}"/>
    <cellStyle name="SAPBEXexcBad8 6 2" xfId="3784" xr:uid="{EBF6BE81-07EF-4C8A-B787-436C16211D5A}"/>
    <cellStyle name="SAPBEXexcBad8 6 3" xfId="4825" xr:uid="{61D5AEF6-4688-433B-A6D0-0B104B4108A3}"/>
    <cellStyle name="SAPBEXexcBad8 6 4" xfId="5466" xr:uid="{1480E107-0B7D-409B-A0CA-2BBA09FDF68A}"/>
    <cellStyle name="SAPBEXexcBad8 7" xfId="4722" xr:uid="{49BF9DEF-0897-4937-9333-89EAF48338AF}"/>
    <cellStyle name="SAPBEXexcBad8 8" xfId="5851" xr:uid="{B550AF26-CD24-4BC4-8AE2-33451662DAE7}"/>
    <cellStyle name="SAPBEXexcBad8 9" xfId="4553" xr:uid="{3B525671-C351-405D-B236-4688726388CD}"/>
    <cellStyle name="SAPBEXexcBad9" xfId="698" xr:uid="{00000000-0005-0000-0000-0000C2020000}"/>
    <cellStyle name="SAPBEXexcBad9 2" xfId="699" xr:uid="{00000000-0005-0000-0000-0000C3020000}"/>
    <cellStyle name="SAPBEXexcBad9 2 2" xfId="700" xr:uid="{00000000-0005-0000-0000-0000C4020000}"/>
    <cellStyle name="SAPBEXexcBad9 2 2 2" xfId="2251" xr:uid="{FE253D37-06E1-4E71-9096-9DAF147147BA}"/>
    <cellStyle name="SAPBEXexcBad9 2 2 2 2" xfId="4234" xr:uid="{4712898D-F62E-4012-8C6A-A1C5C05CBA4C}"/>
    <cellStyle name="SAPBEXexcBad9 2 2 2 2 2" xfId="5746" xr:uid="{58082FF4-E439-44A8-899A-ADD198F929B5}"/>
    <cellStyle name="SAPBEXexcBad9 2 2 2 2 3" xfId="6099" xr:uid="{72D755F4-DA55-4782-BC9F-298A3EC844A5}"/>
    <cellStyle name="SAPBEXexcBad9 2 2 2 2 4" xfId="6385" xr:uid="{E92C1CC2-518D-4EE9-B8FE-21DBFEB460C7}"/>
    <cellStyle name="SAPBEXexcBad9 2 2 2 3" xfId="2809" xr:uid="{C7CA89A2-C352-4900-ACA0-B26F3D446919}"/>
    <cellStyle name="SAPBEXexcBad9 2 2 2 4" xfId="2759" xr:uid="{4DA16075-BF38-438E-B504-1B81B1A21AC4}"/>
    <cellStyle name="SAPBEXexcBad9 2 2 2 5" xfId="5550" xr:uid="{1F0CE204-7372-4C2B-AFF1-EE9333C98B35}"/>
    <cellStyle name="SAPBEXexcBad9 2 2 3" xfId="2447" xr:uid="{FA839E45-4DAF-449F-850A-F27E413C9610}"/>
    <cellStyle name="SAPBEXexcBad9 2 2 3 2" xfId="4412" xr:uid="{6DE3C913-03AE-40C5-832E-E7F65EDA8741}"/>
    <cellStyle name="SAPBEXexcBad9 2 2 3 2 2" xfId="5897" xr:uid="{F40B5BCC-D389-4250-89F5-625D46AB3372}"/>
    <cellStyle name="SAPBEXexcBad9 2 2 3 2 3" xfId="6239" xr:uid="{2E528064-7B74-46AC-87CC-3D6A73ADB1FA}"/>
    <cellStyle name="SAPBEXexcBad9 2 2 3 2 4" xfId="6513" xr:uid="{9F69E1B7-B6FF-4295-ABD0-C78558489D7A}"/>
    <cellStyle name="SAPBEXexcBad9 2 2 3 3" xfId="2949" xr:uid="{1FC3A5CE-1108-49A0-A457-F0C7B5D1E788}"/>
    <cellStyle name="SAPBEXexcBad9 2 2 3 4" xfId="2574" xr:uid="{F830EFBC-5F4D-420C-B908-F506FAFE0FE3}"/>
    <cellStyle name="SAPBEXexcBad9 2 2 3 5" xfId="5555" xr:uid="{DE323770-DE62-4AD4-92E2-1A8F6CE4B630}"/>
    <cellStyle name="SAPBEXexcBad9 2 2 4" xfId="3539" xr:uid="{1FEFD7A1-DECF-4EBA-A9E9-EF09C891D722}"/>
    <cellStyle name="SAPBEXexcBad9 2 2 4 2" xfId="5111" xr:uid="{7B653DAA-C428-4910-8D42-33B507D5E7AB}"/>
    <cellStyle name="SAPBEXexcBad9 2 2 4 3" xfId="4069" xr:uid="{FBC21B7D-FF0D-40E1-92C5-3E21A7143766}"/>
    <cellStyle name="SAPBEXexcBad9 2 2 4 4" xfId="4552" xr:uid="{3E90229C-C724-4902-9680-E690D8C4D349}"/>
    <cellStyle name="SAPBEXexcBad9 2 2 5" xfId="2816" xr:uid="{0E9EEB02-2E11-40E8-BAF5-BDCAEEADB88D}"/>
    <cellStyle name="SAPBEXexcBad9 2 2 6" xfId="5014" xr:uid="{5D3817D6-118A-44B2-9818-C3F64328A3AD}"/>
    <cellStyle name="SAPBEXexcBad9 2 2 7" xfId="4939" xr:uid="{BF08D3E0-7F81-4EAE-AE23-0EAF09776789}"/>
    <cellStyle name="SAPBEXexcBad9 2 2 8" xfId="1330" xr:uid="{916F2222-81E6-4325-B0BE-B28577F0F169}"/>
    <cellStyle name="SAPBEXexcBad9 2 3" xfId="2250" xr:uid="{61A8851D-2A1E-4DA3-8750-7BF209457F27}"/>
    <cellStyle name="SAPBEXexcBad9 2 3 2" xfId="4233" xr:uid="{DC6FFCB4-6AEB-48B0-AEE6-BC23634ECF8D}"/>
    <cellStyle name="SAPBEXexcBad9 2 3 2 2" xfId="5745" xr:uid="{E9312CD5-14B3-4349-9386-3D68FABE1BC0}"/>
    <cellStyle name="SAPBEXexcBad9 2 3 2 3" xfId="6098" xr:uid="{82A3D480-D26A-4580-AEAC-E85A1B00508D}"/>
    <cellStyle name="SAPBEXexcBad9 2 3 2 4" xfId="4704" xr:uid="{16BAC65C-3A19-46CC-A858-DE80B39F33D4}"/>
    <cellStyle name="SAPBEXexcBad9 2 3 3" xfId="2787" xr:uid="{ACD815A6-4966-4E93-9929-544EF18C872E}"/>
    <cellStyle name="SAPBEXexcBad9 2 3 4" xfId="2757" xr:uid="{3054E0DD-DF47-44A0-973A-21EF05D8CC35}"/>
    <cellStyle name="SAPBEXexcBad9 2 3 5" xfId="4594" xr:uid="{248D672F-0213-40BB-A868-33BE1A6394EE}"/>
    <cellStyle name="SAPBEXexcBad9 2 4" xfId="2446" xr:uid="{5D2D8081-C818-4285-9B15-5EA671F7294A}"/>
    <cellStyle name="SAPBEXexcBad9 2 4 2" xfId="4411" xr:uid="{180F9D4E-E3D3-4B09-8C7D-73B18856A909}"/>
    <cellStyle name="SAPBEXexcBad9 2 4 2 2" xfId="5896" xr:uid="{C9A6BB32-228D-4B00-B843-EDC222753A03}"/>
    <cellStyle name="SAPBEXexcBad9 2 4 2 3" xfId="6238" xr:uid="{3AD9ABB8-B433-4F99-B560-111E80EDD458}"/>
    <cellStyle name="SAPBEXexcBad9 2 4 2 4" xfId="6512" xr:uid="{29C42A71-881C-462B-A08E-41D8F7F36C42}"/>
    <cellStyle name="SAPBEXexcBad9 2 4 3" xfId="2948" xr:uid="{352BDDF8-B6F4-49AC-BB9F-A27EDFAD45A5}"/>
    <cellStyle name="SAPBEXexcBad9 2 4 4" xfId="5068" xr:uid="{2C96BCE7-71F1-4716-A91B-E112E05A80F1}"/>
    <cellStyle name="SAPBEXexcBad9 2 4 5" xfId="4731" xr:uid="{C1EFFE7D-7367-4C25-A7FD-7A019A13C44F}"/>
    <cellStyle name="SAPBEXexcBad9 2 5" xfId="1158" xr:uid="{FA581036-AE0F-413F-A461-827E7ECDCF0D}"/>
    <cellStyle name="SAPBEXexcBad9 2 5 2" xfId="3712" xr:uid="{1009C524-69FB-41AC-840D-58D6C09AB90C}"/>
    <cellStyle name="SAPBEXexcBad9 2 5 3" xfId="5219" xr:uid="{168BD83C-4A0F-4CEB-B28E-0132A30C3B47}"/>
    <cellStyle name="SAPBEXexcBad9 2 5 4" xfId="6409" xr:uid="{AD12111E-7744-4318-B78C-CDA1357C0F46}"/>
    <cellStyle name="SAPBEXexcBad9 2 6" xfId="5396" xr:uid="{6C243632-1FE0-4D2E-ADD7-F9F7C8E6A3BD}"/>
    <cellStyle name="SAPBEXexcBad9 2 7" xfId="4922" xr:uid="{94BA1109-2849-4465-988C-B2292236EBFB}"/>
    <cellStyle name="SAPBEXexcBad9 2 8" xfId="5646" xr:uid="{4900F8E4-C3C3-470D-923D-1475F7F0393E}"/>
    <cellStyle name="SAPBEXexcBad9 3" xfId="701" xr:uid="{00000000-0005-0000-0000-0000C5020000}"/>
    <cellStyle name="SAPBEXexcBad9 3 2" xfId="2252" xr:uid="{E588ECE4-379F-47B3-B74E-B67B2A2E930E}"/>
    <cellStyle name="SAPBEXexcBad9 3 2 2" xfId="4235" xr:uid="{64CE77FC-844E-486D-9CC2-A6F719EC477A}"/>
    <cellStyle name="SAPBEXexcBad9 3 2 2 2" xfId="5747" xr:uid="{0FD7BAEB-24AD-4CCE-98C8-6EFD916600D1}"/>
    <cellStyle name="SAPBEXexcBad9 3 2 2 3" xfId="6100" xr:uid="{737FBDF3-49BA-4819-98F0-0F50C200E2C0}"/>
    <cellStyle name="SAPBEXexcBad9 3 2 2 4" xfId="2805" xr:uid="{AD49ED89-9439-4539-9D4B-DDCB58C3CD47}"/>
    <cellStyle name="SAPBEXexcBad9 3 2 3" xfId="2222" xr:uid="{79E68EE0-A995-4487-8F14-8D6E66AE2D39}"/>
    <cellStyle name="SAPBEXexcBad9 3 2 4" xfId="5511" xr:uid="{63EF4644-8768-4A11-9F2C-4124DAEA6180}"/>
    <cellStyle name="SAPBEXexcBad9 3 2 5" xfId="6490" xr:uid="{403806E0-85F8-40F4-BEF2-693EFD0769FB}"/>
    <cellStyle name="SAPBEXexcBad9 3 3" xfId="2448" xr:uid="{BB2F1B2C-8AC9-4350-9F07-DF8CD598F86B}"/>
    <cellStyle name="SAPBEXexcBad9 3 3 2" xfId="4413" xr:uid="{7BFEAEF8-B058-4618-BA46-4C1C3C208196}"/>
    <cellStyle name="SAPBEXexcBad9 3 3 2 2" xfId="5898" xr:uid="{5FC0BC5B-B6E4-43AA-B0F0-C79EABE40B4D}"/>
    <cellStyle name="SAPBEXexcBad9 3 3 2 3" xfId="6240" xr:uid="{E6BE8E99-3130-4016-A601-DD64B7DE5AA1}"/>
    <cellStyle name="SAPBEXexcBad9 3 3 2 4" xfId="6514" xr:uid="{654DB5E7-D209-4137-B123-47882CF34195}"/>
    <cellStyle name="SAPBEXexcBad9 3 3 3" xfId="2950" xr:uid="{FC3E7ED2-7C64-4927-92DE-0656ED00C092}"/>
    <cellStyle name="SAPBEXexcBad9 3 3 4" xfId="3883" xr:uid="{9CCA0283-D2E9-4717-85B1-7529C03F1694}"/>
    <cellStyle name="SAPBEXexcBad9 3 3 5" xfId="6432" xr:uid="{25775AC3-0A98-45E8-B6C7-B4897D379B13}"/>
    <cellStyle name="SAPBEXexcBad9 3 4" xfId="3540" xr:uid="{B36C269F-B64F-4788-B1EE-909B58C8F929}"/>
    <cellStyle name="SAPBEXexcBad9 3 4 2" xfId="5181" xr:uid="{DE1A1FCD-28EA-4430-8FF5-C313802CDFBC}"/>
    <cellStyle name="SAPBEXexcBad9 3 4 3" xfId="4601" xr:uid="{C56FBD1B-2289-49C2-B295-27E5215BE30E}"/>
    <cellStyle name="SAPBEXexcBad9 3 4 4" xfId="5210" xr:uid="{340B7B08-790B-44BE-B95A-94EE3C2D7E74}"/>
    <cellStyle name="SAPBEXexcBad9 3 5" xfId="2860" xr:uid="{40260983-BA16-4606-AC2E-73410231852D}"/>
    <cellStyle name="SAPBEXexcBad9 3 6" xfId="2665" xr:uid="{1F7B4EB4-491D-466D-8952-CE8618DFC63F}"/>
    <cellStyle name="SAPBEXexcBad9 3 7" xfId="5520" xr:uid="{85450DDE-8E62-4748-BE18-9B1021BE379A}"/>
    <cellStyle name="SAPBEXexcBad9 3 8" xfId="4121" xr:uid="{D095076A-B1D4-4658-8E40-F31D34345BCD}"/>
    <cellStyle name="SAPBEXexcBad9 4" xfId="2249" xr:uid="{572964CC-C9AE-4C70-86BA-B169797785D9}"/>
    <cellStyle name="SAPBEXexcBad9 4 2" xfId="4232" xr:uid="{CAB0B3B5-587E-4E9F-9ACF-E9C0F731993B}"/>
    <cellStyle name="SAPBEXexcBad9 4 2 2" xfId="5744" xr:uid="{E5E5DE7D-49DA-4601-B5E2-B7383896077A}"/>
    <cellStyle name="SAPBEXexcBad9 4 2 3" xfId="6097" xr:uid="{B8FF74C5-DFB9-46A5-9250-5183A4961691}"/>
    <cellStyle name="SAPBEXexcBad9 4 2 4" xfId="4740" xr:uid="{3EEEABB3-0D60-44A6-8E3C-91A733EE8E2F}"/>
    <cellStyle name="SAPBEXexcBad9 4 3" xfId="2688" xr:uid="{3B3C026B-CA33-4877-924C-3A96D81FF307}"/>
    <cellStyle name="SAPBEXexcBad9 4 4" xfId="4567" xr:uid="{C858B903-1D63-4E75-AD31-B41FFA2037AF}"/>
    <cellStyle name="SAPBEXexcBad9 4 5" xfId="5513" xr:uid="{18379ABD-9E03-4EBD-9F8C-F563DA162420}"/>
    <cellStyle name="SAPBEXexcBad9 5" xfId="2445" xr:uid="{AAA6D0EE-790F-4E64-AB86-184D68B21FE1}"/>
    <cellStyle name="SAPBEXexcBad9 5 2" xfId="4410" xr:uid="{F7EC130D-50BB-4499-8538-291C3BCD64F4}"/>
    <cellStyle name="SAPBEXexcBad9 5 2 2" xfId="5895" xr:uid="{7491CD18-EA04-4036-8F43-AC5103A254E8}"/>
    <cellStyle name="SAPBEXexcBad9 5 2 3" xfId="6237" xr:uid="{596FF1C9-A6AE-4A6C-8AD0-71AF30BCB7E9}"/>
    <cellStyle name="SAPBEXexcBad9 5 2 4" xfId="6511" xr:uid="{D133BE7F-704A-4389-8470-843FAE60A576}"/>
    <cellStyle name="SAPBEXexcBad9 5 3" xfId="2947" xr:uid="{DA4DC866-7DC1-4C7D-AD1D-D506E04F77FE}"/>
    <cellStyle name="SAPBEXexcBad9 5 4" xfId="4924" xr:uid="{8A08D9F3-377E-4F44-9A1E-E978CDEC93B3}"/>
    <cellStyle name="SAPBEXexcBad9 5 5" xfId="5525" xr:uid="{B9EC2AD4-2099-4782-BD12-DBFB321BDA81}"/>
    <cellStyle name="SAPBEXexcBad9 6" xfId="1287" xr:uid="{C587490A-43E6-4159-807F-2975A94B4F11}"/>
    <cellStyle name="SAPBEXexcBad9 6 2" xfId="3796" xr:uid="{404A6641-1588-40B0-8B4D-CAE0D6F9F725}"/>
    <cellStyle name="SAPBEXexcBad9 6 3" xfId="5220" xr:uid="{EAC449BD-2D43-41BC-B742-8A2321D79470}"/>
    <cellStyle name="SAPBEXexcBad9 6 4" xfId="2588" xr:uid="{57CAA2CF-93F4-43E7-A8B7-4A3BC12A9A55}"/>
    <cellStyle name="SAPBEXexcBad9 7" xfId="2641" xr:uid="{A2B919BE-ABFE-487D-9BD8-77E8A4A3D980}"/>
    <cellStyle name="SAPBEXexcBad9 8" xfId="4572" xr:uid="{80C24646-91C8-49F9-8D32-DBB87A070F43}"/>
    <cellStyle name="SAPBEXexcBad9 9" xfId="4574" xr:uid="{16E7B1E8-7D8F-43B3-B79D-2A5BD10F3BBF}"/>
    <cellStyle name="SAPBEXexcCritical4" xfId="702" xr:uid="{00000000-0005-0000-0000-0000C6020000}"/>
    <cellStyle name="SAPBEXexcCritical4 2" xfId="703" xr:uid="{00000000-0005-0000-0000-0000C7020000}"/>
    <cellStyle name="SAPBEXexcCritical4 2 2" xfId="704" xr:uid="{00000000-0005-0000-0000-0000C8020000}"/>
    <cellStyle name="SAPBEXexcCritical4 2 2 2" xfId="2255" xr:uid="{715C89ED-7835-4410-A309-7BE254063614}"/>
    <cellStyle name="SAPBEXexcCritical4 2 2 2 2" xfId="4238" xr:uid="{421AD14C-E8AA-48EC-95F7-2383D6FEB24B}"/>
    <cellStyle name="SAPBEXexcCritical4 2 2 2 2 2" xfId="5750" xr:uid="{2CE6F8E9-00B9-488D-A7DB-8E788330F346}"/>
    <cellStyle name="SAPBEXexcCritical4 2 2 2 2 3" xfId="6103" xr:uid="{D0BCAC27-CF42-4EAB-8FB7-8BFBA4D19686}"/>
    <cellStyle name="SAPBEXexcCritical4 2 2 2 2 4" xfId="5501" xr:uid="{4ABBA23F-C8EF-4AF8-84EC-C5E0E5AB5066}"/>
    <cellStyle name="SAPBEXexcCritical4 2 2 2 3" xfId="2689" xr:uid="{56EC7F3E-5E28-47C3-8357-A51A0A2B6F59}"/>
    <cellStyle name="SAPBEXexcCritical4 2 2 2 4" xfId="2909" xr:uid="{C65340BF-8395-4A14-AB28-B478CC99A444}"/>
    <cellStyle name="SAPBEXexcCritical4 2 2 2 5" xfId="6442" xr:uid="{A17B64BC-180E-4AC4-B3C9-1874BFE3B3D9}"/>
    <cellStyle name="SAPBEXexcCritical4 2 2 3" xfId="2451" xr:uid="{AA91EA59-AD1F-4A65-9B8D-F61B12FEB764}"/>
    <cellStyle name="SAPBEXexcCritical4 2 2 3 2" xfId="4416" xr:uid="{4D79EFB3-FEBC-433B-B162-C37D479DAF2C}"/>
    <cellStyle name="SAPBEXexcCritical4 2 2 3 2 2" xfId="5901" xr:uid="{0D780780-8745-4D48-B9B1-8597AEAF494D}"/>
    <cellStyle name="SAPBEXexcCritical4 2 2 3 2 3" xfId="6243" xr:uid="{B3D622B4-D785-4B5C-8A19-068066F3E85A}"/>
    <cellStyle name="SAPBEXexcCritical4 2 2 3 2 4" xfId="6517" xr:uid="{24D553D6-A7A6-471A-B28C-8FDAE4474299}"/>
    <cellStyle name="SAPBEXexcCritical4 2 2 3 3" xfId="2953" xr:uid="{AA0400C7-7316-453A-AA9E-389D165F2D5F}"/>
    <cellStyle name="SAPBEXexcCritical4 2 2 3 4" xfId="5360" xr:uid="{3AB988CF-D807-4D0F-8786-0248DEC539AC}"/>
    <cellStyle name="SAPBEXexcCritical4 2 2 3 5" xfId="4815" xr:uid="{0094ABAA-586C-4570-ADED-C82D40AC1BFD}"/>
    <cellStyle name="SAPBEXexcCritical4 2 2 4" xfId="3541" xr:uid="{672F3860-2E08-416D-A8C5-6D2E927D54BC}"/>
    <cellStyle name="SAPBEXexcCritical4 2 2 4 2" xfId="2752" xr:uid="{C4369A84-CC29-4ACE-87DE-BEC5A3183038}"/>
    <cellStyle name="SAPBEXexcCritical4 2 2 4 3" xfId="5215" xr:uid="{CADDB55C-BA63-4574-A6F8-36018574B792}"/>
    <cellStyle name="SAPBEXexcCritical4 2 2 4 4" xfId="2642" xr:uid="{B336A42F-3626-4D1A-91A9-81BEC02D82CB}"/>
    <cellStyle name="SAPBEXexcCritical4 2 2 5" xfId="2733" xr:uid="{BE14E37A-5A44-4C17-994A-10ED01C43B3D}"/>
    <cellStyle name="SAPBEXexcCritical4 2 2 6" xfId="4858" xr:uid="{01B90DBE-6FB4-4F7F-AE61-DDBC9C7A8A6B}"/>
    <cellStyle name="SAPBEXexcCritical4 2 2 7" xfId="5109" xr:uid="{F02FE670-80E7-4489-AE1D-09C633D9058B}"/>
    <cellStyle name="SAPBEXexcCritical4 2 2 8" xfId="3859" xr:uid="{6BEEE806-B184-48CA-AA29-CC39D8F3FDF9}"/>
    <cellStyle name="SAPBEXexcCritical4 2 3" xfId="2254" xr:uid="{01B3365F-E626-4356-9F22-F8CBD501FBE4}"/>
    <cellStyle name="SAPBEXexcCritical4 2 3 2" xfId="4237" xr:uid="{3420DC28-C1EB-4E73-B8F6-FC404813F962}"/>
    <cellStyle name="SAPBEXexcCritical4 2 3 2 2" xfId="5749" xr:uid="{97D85D31-FF7E-4E91-B72F-4FA1292E94B6}"/>
    <cellStyle name="SAPBEXexcCritical4 2 3 2 3" xfId="6102" xr:uid="{989444AD-55F5-4358-BEAA-064230BB6B7F}"/>
    <cellStyle name="SAPBEXexcCritical4 2 3 2 4" xfId="5050" xr:uid="{36CF5CC0-BF7B-436D-968B-F42CA9502A90}"/>
    <cellStyle name="SAPBEXexcCritical4 2 3 3" xfId="2808" xr:uid="{14C97E2D-0DB2-4174-8294-4917209455D8}"/>
    <cellStyle name="SAPBEXexcCritical4 2 3 4" xfId="5251" xr:uid="{8218A0A9-A495-4346-8DA6-F68FE9E4E88C}"/>
    <cellStyle name="SAPBEXexcCritical4 2 3 5" xfId="5432" xr:uid="{016C235F-7679-42D4-9214-D515F685D2B9}"/>
    <cellStyle name="SAPBEXexcCritical4 2 4" xfId="2450" xr:uid="{31E1661C-20C0-409B-8838-B3D9CBB91435}"/>
    <cellStyle name="SAPBEXexcCritical4 2 4 2" xfId="4415" xr:uid="{DA63B49E-6B11-450A-932B-CFF824453B9C}"/>
    <cellStyle name="SAPBEXexcCritical4 2 4 2 2" xfId="5900" xr:uid="{6B585FC9-7951-44E4-8906-45A03DC6A93E}"/>
    <cellStyle name="SAPBEXexcCritical4 2 4 2 3" xfId="6242" xr:uid="{81C59A57-3F94-4EED-86E1-025A96A4B73A}"/>
    <cellStyle name="SAPBEXexcCritical4 2 4 2 4" xfId="6516" xr:uid="{ACDC5920-E56B-4286-A9D4-03A546066AFC}"/>
    <cellStyle name="SAPBEXexcCritical4 2 4 3" xfId="2952" xr:uid="{7D9498F7-63A3-42F1-A609-12574D5E44D8}"/>
    <cellStyle name="SAPBEXexcCritical4 2 4 4" xfId="2826" xr:uid="{AE732256-681E-4A9C-8924-ABDDD03DC528}"/>
    <cellStyle name="SAPBEXexcCritical4 2 4 5" xfId="5270" xr:uid="{56BA020F-7BE9-4716-9357-62116EFDF016}"/>
    <cellStyle name="SAPBEXexcCritical4 2 5" xfId="1152" xr:uid="{9E240626-747B-40A8-9CC6-F989E56A2883}"/>
    <cellStyle name="SAPBEXexcCritical4 2 5 2" xfId="3708" xr:uid="{5A39101A-5BC0-44E5-B2F4-97FEF8F45716}"/>
    <cellStyle name="SAPBEXexcCritical4 2 5 3" xfId="4936" xr:uid="{3CB34F07-FE89-432C-BFD2-B1EF04A2AE4A}"/>
    <cellStyle name="SAPBEXexcCritical4 2 5 4" xfId="6408" xr:uid="{D997DCD4-7A50-4463-A87D-301ADA552C22}"/>
    <cellStyle name="SAPBEXexcCritical4 2 6" xfId="2772" xr:uid="{A5D244E7-3336-44BF-868D-D8D8AFF21434}"/>
    <cellStyle name="SAPBEXexcCritical4 2 7" xfId="2624" xr:uid="{7D9AFDCF-A43B-4888-B32E-A8C90B64C47E}"/>
    <cellStyle name="SAPBEXexcCritical4 2 8" xfId="5318" xr:uid="{8E05E68A-3A2E-4919-94F1-BD02E3AE9E27}"/>
    <cellStyle name="SAPBEXexcCritical4 3" xfId="705" xr:uid="{00000000-0005-0000-0000-0000C9020000}"/>
    <cellStyle name="SAPBEXexcCritical4 3 2" xfId="2256" xr:uid="{B9126EB4-DBF8-4B01-849A-33E4DD2A88C9}"/>
    <cellStyle name="SAPBEXexcCritical4 3 2 2" xfId="4239" xr:uid="{2D46223F-AF88-4A01-91BC-26D58551A16B}"/>
    <cellStyle name="SAPBEXexcCritical4 3 2 2 2" xfId="5751" xr:uid="{5B267894-C732-40E5-9252-852B7BAC36E3}"/>
    <cellStyle name="SAPBEXexcCritical4 3 2 2 3" xfId="6104" xr:uid="{47E85E87-FCD9-49B9-929A-C63ECBE2B1BD}"/>
    <cellStyle name="SAPBEXexcCritical4 3 2 2 4" xfId="5521" xr:uid="{01310716-0073-4D3D-ABBE-CA1508BF5047}"/>
    <cellStyle name="SAPBEXexcCritical4 3 2 3" xfId="2596" xr:uid="{D3802F02-5812-42EB-A258-D18A16617624}"/>
    <cellStyle name="SAPBEXexcCritical4 3 2 4" xfId="5042" xr:uid="{13EED697-99F5-451F-B6DE-8DA498B34333}"/>
    <cellStyle name="SAPBEXexcCritical4 3 2 5" xfId="5461" xr:uid="{6864C9DC-86FD-47A9-8AED-BA2F42DFD0D2}"/>
    <cellStyle name="SAPBEXexcCritical4 3 3" xfId="2452" xr:uid="{2A62F209-81E1-448F-8427-A9DD2B7E8FAB}"/>
    <cellStyle name="SAPBEXexcCritical4 3 3 2" xfId="4417" xr:uid="{09B0A78B-EE04-410A-BB4D-5B82C6E29C04}"/>
    <cellStyle name="SAPBEXexcCritical4 3 3 2 2" xfId="5902" xr:uid="{0EBD88D0-2B4F-48F3-9AC4-7D8F91842AFA}"/>
    <cellStyle name="SAPBEXexcCritical4 3 3 2 3" xfId="6244" xr:uid="{98E759FC-8879-4485-B43A-A1D36A2A3BEF}"/>
    <cellStyle name="SAPBEXexcCritical4 3 3 2 4" xfId="6518" xr:uid="{48F152B3-3907-4DA6-9F6F-23721C6B5AAC}"/>
    <cellStyle name="SAPBEXexcCritical4 3 3 3" xfId="2954" xr:uid="{494C0187-C283-4680-A96A-A6F0C5A6F1E0}"/>
    <cellStyle name="SAPBEXexcCritical4 3 3 4" xfId="4690" xr:uid="{8249EA83-D1C0-4D71-B957-83A58319D11C}"/>
    <cellStyle name="SAPBEXexcCritical4 3 3 5" xfId="6070" xr:uid="{C5915B0D-EE04-4F4D-A0E1-41FA55147212}"/>
    <cellStyle name="SAPBEXexcCritical4 3 4" xfId="3542" xr:uid="{963E8DC8-8D80-4DD8-B15F-9C1402D0C9AA}"/>
    <cellStyle name="SAPBEXexcCritical4 3 4 2" xfId="4788" xr:uid="{E1C86C09-C908-4029-9B3D-422DC5657062}"/>
    <cellStyle name="SAPBEXexcCritical4 3 4 3" xfId="5627" xr:uid="{C1B0FFE2-6A6C-4C8F-9B30-CA2A4AC44022}"/>
    <cellStyle name="SAPBEXexcCritical4 3 4 4" xfId="6488" xr:uid="{1D9A287D-33B2-4078-9ACB-132141C093A2}"/>
    <cellStyle name="SAPBEXexcCritical4 3 5" xfId="2609" xr:uid="{62131804-5795-4F0C-B61C-F51F05E05CC8}"/>
    <cellStyle name="SAPBEXexcCritical4 3 6" xfId="4860" xr:uid="{CFB24C47-A099-4EAF-97CB-FDDC7DA25634}"/>
    <cellStyle name="SAPBEXexcCritical4 3 7" xfId="5393" xr:uid="{7BC3CCBD-011B-4A5C-A87D-14981AC2C91E}"/>
    <cellStyle name="SAPBEXexcCritical4 3 8" xfId="5347" xr:uid="{45680521-FE04-4B82-9469-FBAD5F64D5ED}"/>
    <cellStyle name="SAPBEXexcCritical4 4" xfId="2253" xr:uid="{FDC01ED3-569D-400D-822C-4F0F074BA6AB}"/>
    <cellStyle name="SAPBEXexcCritical4 4 2" xfId="4236" xr:uid="{87E1C6A4-19C0-4DB1-A012-3A1A4D690071}"/>
    <cellStyle name="SAPBEXexcCritical4 4 2 2" xfId="5748" xr:uid="{44A423E9-5DC2-4D30-9B52-5637AC84223C}"/>
    <cellStyle name="SAPBEXexcCritical4 4 2 3" xfId="6101" xr:uid="{871FE842-A462-4BA5-BFD2-53A18B10720A}"/>
    <cellStyle name="SAPBEXexcCritical4 4 2 4" xfId="5157" xr:uid="{A95993A6-8D51-4F62-9767-4BA022DD60AA}"/>
    <cellStyle name="SAPBEXexcCritical4 4 3" xfId="2696" xr:uid="{79BBDE2F-8CAA-4F25-BBD4-45418803E138}"/>
    <cellStyle name="SAPBEXexcCritical4 4 4" xfId="5869" xr:uid="{AF7841F0-B0D7-4189-A622-160D37E74DF0}"/>
    <cellStyle name="SAPBEXexcCritical4 4 5" xfId="6492" xr:uid="{5916BEB4-2AFA-44D4-A2B6-1C6C0A6BCD27}"/>
    <cellStyle name="SAPBEXexcCritical4 5" xfId="2449" xr:uid="{5A891182-AEC0-457C-952E-97999481B0B3}"/>
    <cellStyle name="SAPBEXexcCritical4 5 2" xfId="4414" xr:uid="{09395AA9-A8AC-4666-B508-51BC549E635D}"/>
    <cellStyle name="SAPBEXexcCritical4 5 2 2" xfId="5899" xr:uid="{FE766D9F-50D7-4706-9E42-BAF96437298B}"/>
    <cellStyle name="SAPBEXexcCritical4 5 2 3" xfId="6241" xr:uid="{BAB57E72-7C85-47BF-8DB0-CC37BD129690}"/>
    <cellStyle name="SAPBEXexcCritical4 5 2 4" xfId="6515" xr:uid="{981DC49B-246B-400E-A0AE-271ABCB13EA0}"/>
    <cellStyle name="SAPBEXexcCritical4 5 3" xfId="2951" xr:uid="{82477A68-9351-4C56-B662-324C53EE5DD9}"/>
    <cellStyle name="SAPBEXexcCritical4 5 4" xfId="4637" xr:uid="{514BB30A-381D-4A83-AD86-98E4E5CDA443}"/>
    <cellStyle name="SAPBEXexcCritical4 5 5" xfId="6032" xr:uid="{8A5A2B1E-354C-4F1A-B437-978AB87DE125}"/>
    <cellStyle name="SAPBEXexcCritical4 6" xfId="1289" xr:uid="{985AA09F-CB23-4735-B6C6-435F474759CE}"/>
    <cellStyle name="SAPBEXexcCritical4 6 2" xfId="3798" xr:uid="{C210ABFE-04B4-4CAE-9791-57271EB00BB2}"/>
    <cellStyle name="SAPBEXexcCritical4 6 3" xfId="4621" xr:uid="{ADE54265-05DA-43F8-BF6D-29988361B42B}"/>
    <cellStyle name="SAPBEXexcCritical4 6 4" xfId="5717" xr:uid="{62A2EF9C-C397-488F-B801-F4E36DB2D290}"/>
    <cellStyle name="SAPBEXexcCritical4 7" xfId="5375" xr:uid="{CC6274E7-2884-4D92-8CD0-3323D0032CAA}"/>
    <cellStyle name="SAPBEXexcCritical4 8" xfId="4726" xr:uid="{90E63E00-A4D6-4BE7-9D1B-8E5996E74CA1}"/>
    <cellStyle name="SAPBEXexcCritical4 9" xfId="2694" xr:uid="{FE141CE3-9137-470A-83AB-A60F33F14724}"/>
    <cellStyle name="SAPBEXexcCritical5" xfId="706" xr:uid="{00000000-0005-0000-0000-0000CA020000}"/>
    <cellStyle name="SAPBEXexcCritical5 2" xfId="707" xr:uid="{00000000-0005-0000-0000-0000CB020000}"/>
    <cellStyle name="SAPBEXexcCritical5 2 2" xfId="708" xr:uid="{00000000-0005-0000-0000-0000CC020000}"/>
    <cellStyle name="SAPBEXexcCritical5 2 2 2" xfId="2259" xr:uid="{656E8B53-0B99-404A-8C6D-8C47ADB78FBA}"/>
    <cellStyle name="SAPBEXexcCritical5 2 2 2 2" xfId="4242" xr:uid="{0C1964D5-33CF-4434-8B58-5987B3328FE9}"/>
    <cellStyle name="SAPBEXexcCritical5 2 2 2 2 2" xfId="5754" xr:uid="{2F69835D-8FC0-4653-85B5-2574D4445504}"/>
    <cellStyle name="SAPBEXexcCritical5 2 2 2 2 3" xfId="6107" xr:uid="{0039E2EF-77EA-496B-8941-0AAB23C496E4}"/>
    <cellStyle name="SAPBEXexcCritical5 2 2 2 2 4" xfId="4620" xr:uid="{6A76273E-ACA4-48FF-8FE8-BABB866613B3}"/>
    <cellStyle name="SAPBEXexcCritical5 2 2 2 3" xfId="2810" xr:uid="{02F089C2-0872-4929-B7CB-7C305B14DBB7}"/>
    <cellStyle name="SAPBEXexcCritical5 2 2 2 4" xfId="4744" xr:uid="{C067BC25-2772-4CDB-B2C8-8812D7FDE32E}"/>
    <cellStyle name="SAPBEXexcCritical5 2 2 2 5" xfId="2674" xr:uid="{E387AA40-42AB-42F0-A600-6E4640C44FE9}"/>
    <cellStyle name="SAPBEXexcCritical5 2 2 3" xfId="2455" xr:uid="{C84A0FFF-B779-46EF-BE4A-D23F0330809A}"/>
    <cellStyle name="SAPBEXexcCritical5 2 2 3 2" xfId="4420" xr:uid="{8B863DC8-089A-46D7-BC45-CD6E729F0499}"/>
    <cellStyle name="SAPBEXexcCritical5 2 2 3 2 2" xfId="5905" xr:uid="{D8E8702B-A261-4AFD-9EE5-50269B8FFF29}"/>
    <cellStyle name="SAPBEXexcCritical5 2 2 3 2 3" xfId="6247" xr:uid="{31EDC57A-1518-436A-8FBC-ABA863B9C0D2}"/>
    <cellStyle name="SAPBEXexcCritical5 2 2 3 2 4" xfId="6521" xr:uid="{899A7D25-D10C-4F65-9BDC-9B4455B172A7}"/>
    <cellStyle name="SAPBEXexcCritical5 2 2 3 3" xfId="2957" xr:uid="{E261690D-239A-461A-92EE-F9D8A59B17B1}"/>
    <cellStyle name="SAPBEXexcCritical5 2 2 3 4" xfId="4955" xr:uid="{EFE85794-7B13-44F0-B3C1-85AE2C77671D}"/>
    <cellStyle name="SAPBEXexcCritical5 2 2 3 5" xfId="5323" xr:uid="{46B77D83-DEEE-4630-B88F-E83431CB9952}"/>
    <cellStyle name="SAPBEXexcCritical5 2 2 4" xfId="3543" xr:uid="{1345AA2D-5545-4D15-8CD3-C051DEF20211}"/>
    <cellStyle name="SAPBEXexcCritical5 2 2 4 2" xfId="5182" xr:uid="{7DD06F23-4CC9-4915-9AE3-567C0C78CC8F}"/>
    <cellStyle name="SAPBEXexcCritical5 2 2 4 3" xfId="1301" xr:uid="{32843D13-7E3A-4E19-9F5D-97330C1EEEC5}"/>
    <cellStyle name="SAPBEXexcCritical5 2 2 4 4" xfId="4965" xr:uid="{3ABD5F50-9B9A-47B8-B5AC-5F8359517B79}"/>
    <cellStyle name="SAPBEXexcCritical5 2 2 5" xfId="2881" xr:uid="{CB8C730B-E421-45B9-8359-A5640CC500C9}"/>
    <cellStyle name="SAPBEXexcCritical5 2 2 6" xfId="5073" xr:uid="{4760E655-FF94-4906-B30D-3E02C4FB6265}"/>
    <cellStyle name="SAPBEXexcCritical5 2 2 7" xfId="5633" xr:uid="{64E439DC-9875-446D-8079-3A5ECB0E67EB}"/>
    <cellStyle name="SAPBEXexcCritical5 2 2 8" xfId="6463" xr:uid="{BF80B89B-0454-40B4-91DC-2CD2906EF5FB}"/>
    <cellStyle name="SAPBEXexcCritical5 2 3" xfId="2258" xr:uid="{8ECBB1E8-B60B-4429-BD4A-C0B457B3A4CD}"/>
    <cellStyle name="SAPBEXexcCritical5 2 3 2" xfId="4241" xr:uid="{EE395F68-E241-4229-8B28-AEAD00356ACB}"/>
    <cellStyle name="SAPBEXexcCritical5 2 3 2 2" xfId="5753" xr:uid="{BEB14557-8F09-490E-BA66-779EFB09F698}"/>
    <cellStyle name="SAPBEXexcCritical5 2 3 2 3" xfId="6106" xr:uid="{CB10391F-623E-4F69-B6A8-C4EF48643C3F}"/>
    <cellStyle name="SAPBEXexcCritical5 2 3 2 4" xfId="4733" xr:uid="{CC2E6490-127E-4752-8534-41354B331C9E}"/>
    <cellStyle name="SAPBEXexcCritical5 2 3 3" xfId="2865" xr:uid="{F93B6C3C-E13C-4797-B4BF-B64ADA5C96F9}"/>
    <cellStyle name="SAPBEXexcCritical5 2 3 4" xfId="5069" xr:uid="{CB0D7192-2991-46C6-B07A-33FB9D47B9AA}"/>
    <cellStyle name="SAPBEXexcCritical5 2 3 5" xfId="3656" xr:uid="{CD16C918-290B-4010-A7F8-12C8DEE7098C}"/>
    <cellStyle name="SAPBEXexcCritical5 2 4" xfId="2454" xr:uid="{F70B8BCD-AA79-4D27-BC47-D4EDAFE1D4A4}"/>
    <cellStyle name="SAPBEXexcCritical5 2 4 2" xfId="4419" xr:uid="{DC7ECA8A-C9E4-4BC3-8751-5F5C05120769}"/>
    <cellStyle name="SAPBEXexcCritical5 2 4 2 2" xfId="5904" xr:uid="{AC472DC1-5AB3-4415-B5BE-893FF7599613}"/>
    <cellStyle name="SAPBEXexcCritical5 2 4 2 3" xfId="6246" xr:uid="{26D75E74-2DBD-456F-8156-E8437890CE51}"/>
    <cellStyle name="SAPBEXexcCritical5 2 4 2 4" xfId="6520" xr:uid="{EBA0A162-3F57-4D4A-8BFD-8CDC6C0CB3DE}"/>
    <cellStyle name="SAPBEXexcCritical5 2 4 3" xfId="2956" xr:uid="{D486E351-F31E-4A32-9874-72686D717B6B}"/>
    <cellStyle name="SAPBEXexcCritical5 2 4 4" xfId="5388" xr:uid="{68F815BB-A811-44B7-86EF-5C94F294BA2C}"/>
    <cellStyle name="SAPBEXexcCritical5 2 4 5" xfId="4941" xr:uid="{38F97C01-AF6A-470B-9B23-A5FE843B5A7C}"/>
    <cellStyle name="SAPBEXexcCritical5 2 5" xfId="1247" xr:uid="{790325CB-3E8D-4565-97B1-071E7CA67EF4}"/>
    <cellStyle name="SAPBEXexcCritical5 2 5 2" xfId="3776" xr:uid="{521C642C-B1ED-4E40-BE59-CD404CD7CADD}"/>
    <cellStyle name="SAPBEXexcCritical5 2 5 3" xfId="2589" xr:uid="{F8A3C94E-9EB8-4920-999F-1A6E0C0CD0EE}"/>
    <cellStyle name="SAPBEXexcCritical5 2 5 4" xfId="5640" xr:uid="{D6E21CF9-7114-4140-8BF6-E950563577CC}"/>
    <cellStyle name="SAPBEXexcCritical5 2 6" xfId="4060" xr:uid="{678A302A-6FF8-428E-A352-935A86DB063E}"/>
    <cellStyle name="SAPBEXexcCritical5 2 7" xfId="5314" xr:uid="{332FCBBE-93B2-48E1-8061-ACA433DC34F7}"/>
    <cellStyle name="SAPBEXexcCritical5 2 8" xfId="4524" xr:uid="{D7C257DE-81A7-4D58-BA6D-A2D40991BA40}"/>
    <cellStyle name="SAPBEXexcCritical5 3" xfId="709" xr:uid="{00000000-0005-0000-0000-0000CD020000}"/>
    <cellStyle name="SAPBEXexcCritical5 3 2" xfId="2260" xr:uid="{2B941474-B676-40E9-8D55-F840316636A2}"/>
    <cellStyle name="SAPBEXexcCritical5 3 2 2" xfId="4243" xr:uid="{181E74CB-6283-471B-B6AC-7C92BE7DF905}"/>
    <cellStyle name="SAPBEXexcCritical5 3 2 2 2" xfId="5755" xr:uid="{FD90B8CE-E0A5-463F-8410-A883BD8C8167}"/>
    <cellStyle name="SAPBEXexcCritical5 3 2 2 3" xfId="6108" xr:uid="{DF9AB7F9-BBA9-46D1-B9F8-27875565BB0F}"/>
    <cellStyle name="SAPBEXexcCritical5 3 2 2 4" xfId="5002" xr:uid="{9E9E091E-2170-4E8E-A02B-9DB0210DEBAF}"/>
    <cellStyle name="SAPBEXexcCritical5 3 2 3" xfId="2597" xr:uid="{E40BC84F-056F-4970-9590-B1AE70430AC8}"/>
    <cellStyle name="SAPBEXexcCritical5 3 2 4" xfId="5403" xr:uid="{BBD99DED-4600-4B73-AACC-7709287A6460}"/>
    <cellStyle name="SAPBEXexcCritical5 3 2 5" xfId="5184" xr:uid="{CCFDA656-1E9D-47D0-A0F1-4B9C645A1EF4}"/>
    <cellStyle name="SAPBEXexcCritical5 3 3" xfId="2456" xr:uid="{58BF5982-1510-46B4-98D4-73DDA7474804}"/>
    <cellStyle name="SAPBEXexcCritical5 3 3 2" xfId="4421" xr:uid="{201617B9-46EC-4F1C-9891-1FFE64F17ED4}"/>
    <cellStyle name="SAPBEXexcCritical5 3 3 2 2" xfId="5906" xr:uid="{F3B05399-DCBE-4334-AE06-B7BCE9293592}"/>
    <cellStyle name="SAPBEXexcCritical5 3 3 2 3" xfId="6248" xr:uid="{C25B74E5-1506-4132-8EA9-01FB0D9195AA}"/>
    <cellStyle name="SAPBEXexcCritical5 3 3 2 4" xfId="6522" xr:uid="{B0BC2955-9BAA-4A39-9170-1F6B41039E96}"/>
    <cellStyle name="SAPBEXexcCritical5 3 3 3" xfId="2958" xr:uid="{FE2AE040-972D-40BD-87DC-582D7D058AF6}"/>
    <cellStyle name="SAPBEXexcCritical5 3 3 4" xfId="2714" xr:uid="{69DA193B-35B2-4D39-8167-30563890B6CD}"/>
    <cellStyle name="SAPBEXexcCritical5 3 3 5" xfId="4537" xr:uid="{9F948CA1-2DD9-4740-855D-097672D6253B}"/>
    <cellStyle name="SAPBEXexcCritical5 3 4" xfId="3544" xr:uid="{B2E98910-4020-4BA3-956A-9AF9CC42B8FD}"/>
    <cellStyle name="SAPBEXexcCritical5 3 4 2" xfId="2719" xr:uid="{A6530E5C-CBC5-4B04-AA32-682E259991B3}"/>
    <cellStyle name="SAPBEXexcCritical5 3 4 3" xfId="5628" xr:uid="{35910426-4C4C-4DD0-8956-05D4063DE125}"/>
    <cellStyle name="SAPBEXexcCritical5 3 4 4" xfId="4102" xr:uid="{6B37219D-EC8C-4E05-91CA-A1D0973DB8C5}"/>
    <cellStyle name="SAPBEXexcCritical5 3 5" xfId="2740" xr:uid="{A45D70F2-DAEB-4895-8383-3BBFF37AD7B8}"/>
    <cellStyle name="SAPBEXexcCritical5 3 6" xfId="2763" xr:uid="{F13B521E-A683-4829-AD0F-346FC9027C59}"/>
    <cellStyle name="SAPBEXexcCritical5 3 7" xfId="4593" xr:uid="{A8A67FED-868E-4EC5-8312-BA71B7C89441}"/>
    <cellStyle name="SAPBEXexcCritical5 3 8" xfId="5286" xr:uid="{D1DA6F15-8E4E-4126-81C1-B4295ED6A384}"/>
    <cellStyle name="SAPBEXexcCritical5 4" xfId="2257" xr:uid="{2D350CBF-57B1-4BC6-98A9-30001104949B}"/>
    <cellStyle name="SAPBEXexcCritical5 4 2" xfId="4240" xr:uid="{EBFB2566-770E-4AC6-AB0A-191F38655F69}"/>
    <cellStyle name="SAPBEXexcCritical5 4 2 2" xfId="5752" xr:uid="{B3C2395E-8964-4B59-9BEE-974629279B5E}"/>
    <cellStyle name="SAPBEXexcCritical5 4 2 3" xfId="6105" xr:uid="{78545C61-759B-422C-8E5F-928359A0FFDB}"/>
    <cellStyle name="SAPBEXexcCritical5 4 2 4" xfId="6387" xr:uid="{FB814317-D0C9-4467-B37F-6F4CE35CA65F}"/>
    <cellStyle name="SAPBEXexcCritical5 4 3" xfId="2889" xr:uid="{5AD4606A-5C2A-4029-8D7C-12C9656F5861}"/>
    <cellStyle name="SAPBEXexcCritical5 4 4" xfId="4792" xr:uid="{AE8A6C7A-9CC9-4675-8643-B30D93D28D9C}"/>
    <cellStyle name="SAPBEXexcCritical5 4 5" xfId="5486" xr:uid="{6E51D8FD-9B7B-44B9-8354-C15CCB846CAC}"/>
    <cellStyle name="SAPBEXexcCritical5 5" xfId="2453" xr:uid="{49790E77-1A50-4AAD-8B32-A8E0F084134A}"/>
    <cellStyle name="SAPBEXexcCritical5 5 2" xfId="4418" xr:uid="{94907E79-83ED-48BC-8C54-A6C7F824ED5D}"/>
    <cellStyle name="SAPBEXexcCritical5 5 2 2" xfId="5903" xr:uid="{F30B4C8C-C2A0-47AA-B31F-AAC486E35F45}"/>
    <cellStyle name="SAPBEXexcCritical5 5 2 3" xfId="6245" xr:uid="{4CC291AA-BC98-4B78-B23A-8B8FF17D996D}"/>
    <cellStyle name="SAPBEXexcCritical5 5 2 4" xfId="6519" xr:uid="{4FBF38EB-700A-4F04-AA6B-66F73BC385D8}"/>
    <cellStyle name="SAPBEXexcCritical5 5 3" xfId="2955" xr:uid="{01329445-F8A8-4FE8-9167-DBF0366DAE4E}"/>
    <cellStyle name="SAPBEXexcCritical5 5 4" xfId="4728" xr:uid="{65D33763-B1AF-4E8D-AEA9-3A80003D46E5}"/>
    <cellStyle name="SAPBEXexcCritical5 5 5" xfId="5256" xr:uid="{D7B26DA0-8714-4642-9B4B-53CA8C15D5DF}"/>
    <cellStyle name="SAPBEXexcCritical5 6" xfId="1246" xr:uid="{2FE15867-5223-450E-BA56-17BF3398F366}"/>
    <cellStyle name="SAPBEXexcCritical5 6 2" xfId="3775" xr:uid="{84265B63-D224-4CEC-99D2-2A95345ACD7B}"/>
    <cellStyle name="SAPBEXexcCritical5 6 3" xfId="5597" xr:uid="{B0BF11EC-9D8E-4EAA-A4E4-E54A09C9EAB7}"/>
    <cellStyle name="SAPBEXexcCritical5 6 4" xfId="5710" xr:uid="{F6983A09-EDD1-435F-9EDF-31F9F7456148}"/>
    <cellStyle name="SAPBEXexcCritical5 7" xfId="5348" xr:uid="{F8D1D9A5-6FAA-4B8E-ABF6-7D21E6D67713}"/>
    <cellStyle name="SAPBEXexcCritical5 8" xfId="4570" xr:uid="{08BA4067-38B8-4FF4-A985-B7435032888C}"/>
    <cellStyle name="SAPBEXexcCritical5 9" xfId="6364" xr:uid="{F6D2FD15-83DA-443F-A8A4-3BC6D81BE1FC}"/>
    <cellStyle name="SAPBEXexcCritical6" xfId="710" xr:uid="{00000000-0005-0000-0000-0000CE020000}"/>
    <cellStyle name="SAPBEXexcCritical6 2" xfId="711" xr:uid="{00000000-0005-0000-0000-0000CF020000}"/>
    <cellStyle name="SAPBEXexcCritical6 2 2" xfId="712" xr:uid="{00000000-0005-0000-0000-0000D0020000}"/>
    <cellStyle name="SAPBEXexcCritical6 2 2 2" xfId="2263" xr:uid="{24661B16-D3FE-4CD0-9C3E-9054BFA4E27B}"/>
    <cellStyle name="SAPBEXexcCritical6 2 2 2 2" xfId="4246" xr:uid="{7F033544-7FE6-4524-82C0-FF5F73DA3998}"/>
    <cellStyle name="SAPBEXexcCritical6 2 2 2 2 2" xfId="5758" xr:uid="{DE74EAF6-F94B-458D-AB1A-3794645E5618}"/>
    <cellStyle name="SAPBEXexcCritical6 2 2 2 2 3" xfId="6111" xr:uid="{038DB56D-FB5A-4277-95DD-F75E1C1998F2}"/>
    <cellStyle name="SAPBEXexcCritical6 2 2 2 2 4" xfId="5293" xr:uid="{F973B635-A973-4133-BDA5-6370CAA90112}"/>
    <cellStyle name="SAPBEXexcCritical6 2 2 2 3" xfId="2601" xr:uid="{1FBB5D6B-25CC-46DB-BD48-FC464DB7642C}"/>
    <cellStyle name="SAPBEXexcCritical6 2 2 2 4" xfId="5706" xr:uid="{797919E8-0F79-41EE-B8CB-2609DC61C652}"/>
    <cellStyle name="SAPBEXexcCritical6 2 2 2 5" xfId="1266" xr:uid="{347C39D9-C3D8-433E-A701-7F7C8AF28802}"/>
    <cellStyle name="SAPBEXexcCritical6 2 2 3" xfId="2459" xr:uid="{54A14484-FB33-4976-A9F4-DB0478B526FE}"/>
    <cellStyle name="SAPBEXexcCritical6 2 2 3 2" xfId="4424" xr:uid="{30405C75-AA84-4381-B4CB-94DC2F51F40E}"/>
    <cellStyle name="SAPBEXexcCritical6 2 2 3 2 2" xfId="5909" xr:uid="{A0037CDC-1580-496E-9297-A7FB0F83D0C1}"/>
    <cellStyle name="SAPBEXexcCritical6 2 2 3 2 3" xfId="6251" xr:uid="{5FFE0546-9EB4-4CCD-B33E-B72A4C77ABF4}"/>
    <cellStyle name="SAPBEXexcCritical6 2 2 3 2 4" xfId="6525" xr:uid="{DCF7DC59-198C-44CA-BBE5-1CE6B98997A9}"/>
    <cellStyle name="SAPBEXexcCritical6 2 2 3 3" xfId="2961" xr:uid="{CBECAD8F-9D40-498B-96E3-634350CDBBEE}"/>
    <cellStyle name="SAPBEXexcCritical6 2 2 3 4" xfId="4775" xr:uid="{21117088-8905-4F0F-8B78-117D1CCD3628}"/>
    <cellStyle name="SAPBEXexcCritical6 2 2 3 5" xfId="4659" xr:uid="{3708A58E-A243-48BE-855C-BBE5E6C0B52D}"/>
    <cellStyle name="SAPBEXexcCritical6 2 2 4" xfId="3545" xr:uid="{C23838F8-E29E-4AC9-84C5-32606BA8044F}"/>
    <cellStyle name="SAPBEXexcCritical6 2 2 4 2" xfId="4064" xr:uid="{E73D9EE0-A6C8-4162-9BE1-A037B09202BC}"/>
    <cellStyle name="SAPBEXexcCritical6 2 2 4 3" xfId="5296" xr:uid="{1123B937-9228-466C-ABAC-6613260F198C}"/>
    <cellStyle name="SAPBEXexcCritical6 2 2 4 4" xfId="6422" xr:uid="{0D04AD75-D2E8-4635-97C4-8C18653EEE70}"/>
    <cellStyle name="SAPBEXexcCritical6 2 2 5" xfId="2734" xr:uid="{CA271122-A07F-45AC-89ED-BB48EF56DCFF}"/>
    <cellStyle name="SAPBEXexcCritical6 2 2 6" xfId="5262" xr:uid="{52A0D13B-661C-483F-82EA-2E8EB1886763}"/>
    <cellStyle name="SAPBEXexcCritical6 2 2 7" xfId="4885" xr:uid="{51C9A386-8445-49B4-9F62-37FFFBC4F8BB}"/>
    <cellStyle name="SAPBEXexcCritical6 2 2 8" xfId="5648" xr:uid="{635FA032-E42B-446F-971B-2DFBEAA25553}"/>
    <cellStyle name="SAPBEXexcCritical6 2 3" xfId="2262" xr:uid="{26D847B3-B74B-4073-9CC5-F056A4F8AAA6}"/>
    <cellStyle name="SAPBEXexcCritical6 2 3 2" xfId="4245" xr:uid="{B5862FF4-A8D0-4A55-9DF6-6A2100331626}"/>
    <cellStyle name="SAPBEXexcCritical6 2 3 2 2" xfId="5757" xr:uid="{7E13F2EE-B1A7-4DA9-A26B-6C3E4C59A917}"/>
    <cellStyle name="SAPBEXexcCritical6 2 3 2 3" xfId="6110" xr:uid="{93D6E56D-566F-4DB2-89F3-682E66CCF3BC}"/>
    <cellStyle name="SAPBEXexcCritical6 2 3 2 4" xfId="6386" xr:uid="{41B10D7B-B122-4EF1-BB11-8A151A5CFC48}"/>
    <cellStyle name="SAPBEXexcCritical6 2 3 3" xfId="1335" xr:uid="{B777C83E-CA8C-4709-8E94-8B3F3A5B4962}"/>
    <cellStyle name="SAPBEXexcCritical6 2 3 4" xfId="5170" xr:uid="{0171AE98-291D-4E8A-B86C-F3631B69BDAF}"/>
    <cellStyle name="SAPBEXexcCritical6 2 3 5" xfId="6029" xr:uid="{C05742D1-B3C7-4DDC-8F85-81ACD3C6F05F}"/>
    <cellStyle name="SAPBEXexcCritical6 2 4" xfId="2458" xr:uid="{2B41EDA1-E68B-41EC-82A9-1039A5059DEF}"/>
    <cellStyle name="SAPBEXexcCritical6 2 4 2" xfId="4423" xr:uid="{66434F40-44D9-426E-8292-DD2DFD52BF09}"/>
    <cellStyle name="SAPBEXexcCritical6 2 4 2 2" xfId="5908" xr:uid="{B7575098-E6D0-482C-BD3A-39447971E8DB}"/>
    <cellStyle name="SAPBEXexcCritical6 2 4 2 3" xfId="6250" xr:uid="{2E1FF34B-9795-49D1-B212-7C89F3FFA0EA}"/>
    <cellStyle name="SAPBEXexcCritical6 2 4 2 4" xfId="6524" xr:uid="{E63B792B-7010-4550-8A00-625EEEF65D8E}"/>
    <cellStyle name="SAPBEXexcCritical6 2 4 3" xfId="2960" xr:uid="{A730F931-202E-43AC-AA1C-47D28B37B032}"/>
    <cellStyle name="SAPBEXexcCritical6 2 4 4" xfId="5007" xr:uid="{41923606-F59F-4909-9EFF-B706D0C9140B}"/>
    <cellStyle name="SAPBEXexcCritical6 2 4 5" xfId="1157" xr:uid="{ACC85818-F712-47C8-ACD5-D243E034A62A}"/>
    <cellStyle name="SAPBEXexcCritical6 2 5" xfId="1154" xr:uid="{D6CFF0C8-9EDF-4EEA-B231-924FB2AEC2A9}"/>
    <cellStyle name="SAPBEXexcCritical6 2 5 2" xfId="3709" xr:uid="{B1A0A8FB-7FB6-4650-B3A4-44B12C4C2755}"/>
    <cellStyle name="SAPBEXexcCritical6 2 5 3" xfId="5496" xr:uid="{816FB005-A484-48FE-BEE3-FEA516CCEC6E}"/>
    <cellStyle name="SAPBEXexcCritical6 2 5 4" xfId="6411" xr:uid="{E8FD27BB-1E29-4124-8DFA-BCB7B172A86D}"/>
    <cellStyle name="SAPBEXexcCritical6 2 6" xfId="5395" xr:uid="{9C88EA64-C9BF-4B81-B674-451514135CF7}"/>
    <cellStyle name="SAPBEXexcCritical6 2 7" xfId="4780" xr:uid="{683C08E8-F057-4B20-962C-0421F013047E}"/>
    <cellStyle name="SAPBEXexcCritical6 2 8" xfId="5849" xr:uid="{6C9F71B3-79FF-4863-8EE7-D8860D0C5D4A}"/>
    <cellStyle name="SAPBEXexcCritical6 3" xfId="713" xr:uid="{00000000-0005-0000-0000-0000D1020000}"/>
    <cellStyle name="SAPBEXexcCritical6 3 2" xfId="2264" xr:uid="{A44EE798-93EA-4CEB-BAE0-72375F3C1B74}"/>
    <cellStyle name="SAPBEXexcCritical6 3 2 2" xfId="4247" xr:uid="{7724A440-BED4-4007-AABE-4BFA8904F3A6}"/>
    <cellStyle name="SAPBEXexcCritical6 3 2 2 2" xfId="5759" xr:uid="{1592C8C7-48BA-4E6B-BA73-C0F1DA02C48E}"/>
    <cellStyle name="SAPBEXexcCritical6 3 2 2 3" xfId="6112" xr:uid="{19E5874C-8206-4802-8F80-1FCE1267AE0D}"/>
    <cellStyle name="SAPBEXexcCritical6 3 2 2 4" xfId="4753" xr:uid="{D3886001-079C-40BE-AFA7-76D55007FA6F}"/>
    <cellStyle name="SAPBEXexcCritical6 3 2 3" xfId="2919" xr:uid="{E1D68550-A0FF-4F46-A657-0F4C648F5520}"/>
    <cellStyle name="SAPBEXexcCritical6 3 2 4" xfId="2799" xr:uid="{6D6F768B-E9D6-4318-841B-DA1BEB96C064}"/>
    <cellStyle name="SAPBEXexcCritical6 3 2 5" xfId="5490" xr:uid="{AEF30A6A-E45D-410C-AE08-24D7B05ADDFE}"/>
    <cellStyle name="SAPBEXexcCritical6 3 3" xfId="2460" xr:uid="{5F7EEA05-AE7C-4F48-B6DC-DA77A819DCEF}"/>
    <cellStyle name="SAPBEXexcCritical6 3 3 2" xfId="4425" xr:uid="{E372104B-2773-4735-80E4-BADB002BE3BA}"/>
    <cellStyle name="SAPBEXexcCritical6 3 3 2 2" xfId="5910" xr:uid="{F2C887E4-B412-4542-B33A-115EABC12740}"/>
    <cellStyle name="SAPBEXexcCritical6 3 3 2 3" xfId="6252" xr:uid="{8F80CE8F-E219-41E9-9985-8BF1131FB133}"/>
    <cellStyle name="SAPBEXexcCritical6 3 3 2 4" xfId="6526" xr:uid="{D6D76F1C-6802-4216-8187-8E8077EDB6BF}"/>
    <cellStyle name="SAPBEXexcCritical6 3 3 3" xfId="2962" xr:uid="{D9528F44-A4E4-4BD8-8AB7-D1B741BEC685}"/>
    <cellStyle name="SAPBEXexcCritical6 3 3 4" xfId="4777" xr:uid="{22F21724-BB2D-4880-84F3-475B474A6F90}"/>
    <cellStyle name="SAPBEXexcCritical6 3 3 5" xfId="5858" xr:uid="{9A10A221-DDDC-4E24-9C04-ADA9773D73ED}"/>
    <cellStyle name="SAPBEXexcCritical6 3 4" xfId="3546" xr:uid="{1F97BDD9-12CF-4948-A50B-EB6932FF88E6}"/>
    <cellStyle name="SAPBEXexcCritical6 3 4 2" xfId="5001" xr:uid="{447C5310-9A13-4F72-AB1A-F78E38AF0BC7}"/>
    <cellStyle name="SAPBEXexcCritical6 3 4 3" xfId="4888" xr:uid="{23FA95FE-3B23-4CAC-A79C-29C4B0D9627F}"/>
    <cellStyle name="SAPBEXexcCritical6 3 4 4" xfId="5315" xr:uid="{A328C7EA-2A9C-4338-B57A-390403AE9E12}"/>
    <cellStyle name="SAPBEXexcCritical6 3 5" xfId="2731" xr:uid="{3563F86A-63A6-417A-9E2B-1D842D3BC1D2}"/>
    <cellStyle name="SAPBEXexcCritical6 3 6" xfId="4576" xr:uid="{758FFCC0-0055-471E-9FCF-FC4D5B85E503}"/>
    <cellStyle name="SAPBEXexcCritical6 3 7" xfId="4709" xr:uid="{41099A19-A796-4DA4-80C3-264B5A76EC56}"/>
    <cellStyle name="SAPBEXexcCritical6 3 8" xfId="6466" xr:uid="{0BF41BC7-AD74-4199-8996-B20B5835AD2D}"/>
    <cellStyle name="SAPBEXexcCritical6 4" xfId="2261" xr:uid="{2E68A9C1-411C-415A-9A3D-2C7AF6CA151B}"/>
    <cellStyle name="SAPBEXexcCritical6 4 2" xfId="4244" xr:uid="{F5226920-1F1C-4495-B4E6-F7971CC56F18}"/>
    <cellStyle name="SAPBEXexcCritical6 4 2 2" xfId="5756" xr:uid="{A7C465A0-1184-456A-8975-371AC949D14A}"/>
    <cellStyle name="SAPBEXexcCritical6 4 2 3" xfId="6109" xr:uid="{D44CFA39-F476-4C3C-9AD1-A35EB58C0395}"/>
    <cellStyle name="SAPBEXexcCritical6 4 2 4" xfId="5312" xr:uid="{2E3BE1E2-6C05-4201-8C0C-2FEE8529DC6A}"/>
    <cellStyle name="SAPBEXexcCritical6 4 3" xfId="2598" xr:uid="{CC4ADA0B-0237-4617-A122-D6226C316386}"/>
    <cellStyle name="SAPBEXexcCritical6 4 4" xfId="5191" xr:uid="{611CA1DE-33D7-448F-806B-A8E715C2ADED}"/>
    <cellStyle name="SAPBEXexcCritical6 4 5" xfId="4750" xr:uid="{869441E7-3E9A-4EA5-A60B-883A321DE6F6}"/>
    <cellStyle name="SAPBEXexcCritical6 5" xfId="2457" xr:uid="{37632344-CF8D-4CC2-89EC-D0FC43948C70}"/>
    <cellStyle name="SAPBEXexcCritical6 5 2" xfId="4422" xr:uid="{8604D662-8218-4BBC-B3F5-98B3CC5B4062}"/>
    <cellStyle name="SAPBEXexcCritical6 5 2 2" xfId="5907" xr:uid="{E725B602-5891-4560-BF02-07E56A955C0D}"/>
    <cellStyle name="SAPBEXexcCritical6 5 2 3" xfId="6249" xr:uid="{B51F28BE-F279-4854-B4FF-C4F8580950C8}"/>
    <cellStyle name="SAPBEXexcCritical6 5 2 4" xfId="6523" xr:uid="{FF650BA5-3126-4618-A120-C3874CF35350}"/>
    <cellStyle name="SAPBEXexcCritical6 5 3" xfId="2959" xr:uid="{1FF486F0-5DEB-402D-A887-053D353D057A}"/>
    <cellStyle name="SAPBEXexcCritical6 5 4" xfId="2802" xr:uid="{3D69BDDA-09A0-4C87-9D14-D54ED3095585}"/>
    <cellStyle name="SAPBEXexcCritical6 5 5" xfId="6372" xr:uid="{38253BA9-B06A-4411-B875-A32E73F9BBE1}"/>
    <cellStyle name="SAPBEXexcCritical6 6" xfId="1145" xr:uid="{2633284E-96A9-4663-8F42-C8C4DD193909}"/>
    <cellStyle name="SAPBEXexcCritical6 6 2" xfId="3704" xr:uid="{F888DFCA-D57C-4160-B016-FD30DACCC62F}"/>
    <cellStyle name="SAPBEXexcCritical6 6 3" xfId="5603" xr:uid="{8E98854D-D42E-4177-95F4-281D0D2AA982}"/>
    <cellStyle name="SAPBEXexcCritical6 6 4" xfId="5641" xr:uid="{476675FA-2F3B-4DBE-96F5-F80C4928A8B1}"/>
    <cellStyle name="SAPBEXexcCritical6 7" xfId="4696" xr:uid="{2AB6F086-B263-49AB-859D-63A6EC69690B}"/>
    <cellStyle name="SAPBEXexcCritical6 8" xfId="5160" xr:uid="{5788C403-CB3A-49D0-94B7-FAAE7B7B0F95}"/>
    <cellStyle name="SAPBEXexcCritical6 9" xfId="4086" xr:uid="{467A921B-FC76-4CCE-868D-E79325EEC228}"/>
    <cellStyle name="SAPBEXexcGood1" xfId="714" xr:uid="{00000000-0005-0000-0000-0000D2020000}"/>
    <cellStyle name="SAPBEXexcGood1 2" xfId="715" xr:uid="{00000000-0005-0000-0000-0000D3020000}"/>
    <cellStyle name="SAPBEXexcGood1 2 2" xfId="716" xr:uid="{00000000-0005-0000-0000-0000D4020000}"/>
    <cellStyle name="SAPBEXexcGood1 2 2 2" xfId="2267" xr:uid="{09C626F7-59BC-40FE-977B-38E4A1875929}"/>
    <cellStyle name="SAPBEXexcGood1 2 2 2 2" xfId="4250" xr:uid="{33CEF045-9093-4034-9AB2-27E4CF876764}"/>
    <cellStyle name="SAPBEXexcGood1 2 2 2 2 2" xfId="5762" xr:uid="{0B9A72A8-FB70-436E-9BF3-9DBF747101EC}"/>
    <cellStyle name="SAPBEXexcGood1 2 2 2 2 3" xfId="6115" xr:uid="{04DC87A6-AB06-4E61-A497-03BF0071C3B9}"/>
    <cellStyle name="SAPBEXexcGood1 2 2 2 2 4" xfId="5527" xr:uid="{AB41F6BF-7CE3-4DDF-AA0D-63D86437D1EA}"/>
    <cellStyle name="SAPBEXexcGood1 2 2 2 3" xfId="2835" xr:uid="{A57C34A5-BA6D-4BC1-929F-037A9B66A509}"/>
    <cellStyle name="SAPBEXexcGood1 2 2 2 4" xfId="2840" xr:uid="{F9E1C869-333B-46CD-99F2-474965E0DA09}"/>
    <cellStyle name="SAPBEXexcGood1 2 2 2 5" xfId="5038" xr:uid="{FA83DD20-2D8D-4284-94FF-F891E28B0A84}"/>
    <cellStyle name="SAPBEXexcGood1 2 2 3" xfId="2463" xr:uid="{D35D93AF-FD98-4C7E-A580-BDD14D144C70}"/>
    <cellStyle name="SAPBEXexcGood1 2 2 3 2" xfId="4428" xr:uid="{868FC11D-8480-44E2-8500-00E58BD93563}"/>
    <cellStyle name="SAPBEXexcGood1 2 2 3 2 2" xfId="5913" xr:uid="{E7FFC998-2E57-4249-AE60-5416B66AA396}"/>
    <cellStyle name="SAPBEXexcGood1 2 2 3 2 3" xfId="6255" xr:uid="{3DA4A288-D349-43A1-BA47-D38ECF9AAB84}"/>
    <cellStyle name="SAPBEXexcGood1 2 2 3 2 4" xfId="6529" xr:uid="{8F9EC4F8-7E3F-4F1C-A953-C0960F8A3CA7}"/>
    <cellStyle name="SAPBEXexcGood1 2 2 3 3" xfId="2965" xr:uid="{2BF848CF-0BAC-461C-97F4-0EC19044559B}"/>
    <cellStyle name="SAPBEXexcGood1 2 2 3 4" xfId="5172" xr:uid="{5C7E86CE-377B-42D1-815B-6E3F1FABED14}"/>
    <cellStyle name="SAPBEXexcGood1 2 2 3 5" xfId="5096" xr:uid="{39C94898-D131-4818-B6B5-0947E0BC8A41}"/>
    <cellStyle name="SAPBEXexcGood1 2 2 4" xfId="3547" xr:uid="{7D1AAEC4-D18F-4209-8C8C-147951D3D5DE}"/>
    <cellStyle name="SAPBEXexcGood1 2 2 4 2" xfId="5177" xr:uid="{F9A53BF6-9E2D-4C7F-93EE-593D9941D5E0}"/>
    <cellStyle name="SAPBEXexcGood1 2 2 4 3" xfId="4600" xr:uid="{A6ADC761-A0F7-43DD-B790-555DB2C33030}"/>
    <cellStyle name="SAPBEXexcGood1 2 2 4 4" xfId="2568" xr:uid="{79C40160-D1C1-4AB4-9708-F5E874C57915}"/>
    <cellStyle name="SAPBEXexcGood1 2 2 5" xfId="2622" xr:uid="{1D05413A-5CB5-44AE-9D63-070F9E49C314}"/>
    <cellStyle name="SAPBEXexcGood1 2 2 6" xfId="5128" xr:uid="{AD31ED87-67DA-48E8-A27D-F3F0F0A7BEE8}"/>
    <cellStyle name="SAPBEXexcGood1 2 2 7" xfId="4883" xr:uid="{E6D92296-8519-4A62-814D-DAE4278D8671}"/>
    <cellStyle name="SAPBEXexcGood1 2 2 8" xfId="6481" xr:uid="{9E5E6549-4240-41BA-AED0-291C688896FB}"/>
    <cellStyle name="SAPBEXexcGood1 2 3" xfId="2266" xr:uid="{D0CFFE17-3363-4EE9-8BB6-AD8F4A95A605}"/>
    <cellStyle name="SAPBEXexcGood1 2 3 2" xfId="4249" xr:uid="{FC3E154E-49A2-4357-945B-97579677D6F6}"/>
    <cellStyle name="SAPBEXexcGood1 2 3 2 2" xfId="5761" xr:uid="{049F9213-3BC9-4819-B972-FD2CD0A87CA9}"/>
    <cellStyle name="SAPBEXexcGood1 2 3 2 3" xfId="6114" xr:uid="{C502B0FC-E3CB-4621-8670-79993ABE93DD}"/>
    <cellStyle name="SAPBEXexcGood1 2 3 2 4" xfId="4746" xr:uid="{48B81142-5CA2-4F97-A12B-99FAF01A63F2}"/>
    <cellStyle name="SAPBEXexcGood1 2 3 3" xfId="2786" xr:uid="{40972014-BFF6-4087-8677-F16850013D8E}"/>
    <cellStyle name="SAPBEXexcGood1 2 3 4" xfId="5079" xr:uid="{E7BC4E51-A59B-4E8E-9810-AD76016D3BD8}"/>
    <cellStyle name="SAPBEXexcGood1 2 3 5" xfId="5240" xr:uid="{076AC0BB-9D97-4942-9F16-BE59B61D62A1}"/>
    <cellStyle name="SAPBEXexcGood1 2 4" xfId="2462" xr:uid="{2DBDDE17-C06A-49B2-BE5B-A01925F1AEB8}"/>
    <cellStyle name="SAPBEXexcGood1 2 4 2" xfId="4427" xr:uid="{84DEC7DA-BA4F-4C39-AC44-A3DB7090E0A3}"/>
    <cellStyle name="SAPBEXexcGood1 2 4 2 2" xfId="5912" xr:uid="{B05BFD69-C58A-432C-A364-B2CA0D643DE4}"/>
    <cellStyle name="SAPBEXexcGood1 2 4 2 3" xfId="6254" xr:uid="{54D0B7BC-4746-4A09-A031-1F7BCA3E6D32}"/>
    <cellStyle name="SAPBEXexcGood1 2 4 2 4" xfId="6528" xr:uid="{859D2BEA-4B6A-44E1-AA4C-BD2A8DC9EAA6}"/>
    <cellStyle name="SAPBEXexcGood1 2 4 3" xfId="2964" xr:uid="{7BACC8DF-8718-411F-9EEE-E86E0E543B5C}"/>
    <cellStyle name="SAPBEXexcGood1 2 4 4" xfId="5173" xr:uid="{FACBA974-5426-4C41-BA28-CD36120D127C}"/>
    <cellStyle name="SAPBEXexcGood1 2 4 5" xfId="5570" xr:uid="{D7C094E4-9D85-4C95-9F53-E264FA85A27D}"/>
    <cellStyle name="SAPBEXexcGood1 2 5" xfId="1291" xr:uid="{C0D25663-D027-4B50-BC83-CBD34A5A6DDB}"/>
    <cellStyle name="SAPBEXexcGood1 2 5 2" xfId="3800" xr:uid="{A63009C1-8A2D-4919-A4AE-4731B7C8BA95}"/>
    <cellStyle name="SAPBEXexcGood1 2 5 3" xfId="4097" xr:uid="{A7869C98-9ADA-4303-9283-08F3235BA7B0}"/>
    <cellStyle name="SAPBEXexcGood1 2 5 4" xfId="5559" xr:uid="{D2E9CDB6-6FA2-42FA-9143-72EC351F96EF}"/>
    <cellStyle name="SAPBEXexcGood1 2 6" xfId="5340" xr:uid="{48EF7C21-B6FA-4CBC-BCED-A28FAA40C47F}"/>
    <cellStyle name="SAPBEXexcGood1 2 7" xfId="4667" xr:uid="{A7E094E0-E4DE-470E-9C4B-FC72533F6453}"/>
    <cellStyle name="SAPBEXexcGood1 2 8" xfId="5302" xr:uid="{537E4EE4-74C1-40BC-AA34-D3CD15C6F77C}"/>
    <cellStyle name="SAPBEXexcGood1 3" xfId="717" xr:uid="{00000000-0005-0000-0000-0000D5020000}"/>
    <cellStyle name="SAPBEXexcGood1 3 2" xfId="2268" xr:uid="{5435A29B-5ECB-46C6-971E-6F967582EF7A}"/>
    <cellStyle name="SAPBEXexcGood1 3 2 2" xfId="4251" xr:uid="{8F41F98F-218A-40D8-8368-C459A9449C9F}"/>
    <cellStyle name="SAPBEXexcGood1 3 2 2 2" xfId="5763" xr:uid="{E9E2F90E-40A1-4E85-B802-FE216B7D67F4}"/>
    <cellStyle name="SAPBEXexcGood1 3 2 2 3" xfId="6116" xr:uid="{98916C9D-F1FF-45BB-A554-4ED2A0A43B5E}"/>
    <cellStyle name="SAPBEXexcGood1 3 2 2 4" xfId="5431" xr:uid="{38A00BEB-B234-45F8-9E51-2F2282F7D7D9}"/>
    <cellStyle name="SAPBEXexcGood1 3 2 3" xfId="1460" xr:uid="{AA8856AA-39DA-40B5-96D5-0EF1CDC9556D}"/>
    <cellStyle name="SAPBEXexcGood1 3 2 4" xfId="5459" xr:uid="{F9D50EC7-D52D-4837-B784-14F80ABD5AE1}"/>
    <cellStyle name="SAPBEXexcGood1 3 2 5" xfId="5058" xr:uid="{D7943F59-4206-4DEA-A71A-C94A4F7E6384}"/>
    <cellStyle name="SAPBEXexcGood1 3 3" xfId="2464" xr:uid="{0FE62603-7899-448A-B700-1FF9755DD6E9}"/>
    <cellStyle name="SAPBEXexcGood1 3 3 2" xfId="4429" xr:uid="{815011B7-8177-49BE-A55B-E848CA4B0BFF}"/>
    <cellStyle name="SAPBEXexcGood1 3 3 2 2" xfId="5914" xr:uid="{EC28B432-30EA-4AD4-BD8E-6363439D95A7}"/>
    <cellStyle name="SAPBEXexcGood1 3 3 2 3" xfId="6256" xr:uid="{03B03A58-2189-4A78-9724-9CDF7DC5011C}"/>
    <cellStyle name="SAPBEXexcGood1 3 3 2 4" xfId="6530" xr:uid="{3DA2511D-4E09-484C-A31C-00EA77E753BC}"/>
    <cellStyle name="SAPBEXexcGood1 3 3 3" xfId="2966" xr:uid="{031F5E65-B197-4CC8-8823-33D10480F2C1}"/>
    <cellStyle name="SAPBEXexcGood1 3 3 4" xfId="5135" xr:uid="{BF9E6117-1022-4BC7-971E-1436C6BB6589}"/>
    <cellStyle name="SAPBEXexcGood1 3 3 5" xfId="5247" xr:uid="{7655FCDB-938A-4C71-ADE5-36D570CCCDE1}"/>
    <cellStyle name="SAPBEXexcGood1 3 4" xfId="3548" xr:uid="{BBAF0510-2E0C-4D87-BBCE-246E71461725}"/>
    <cellStyle name="SAPBEXexcGood1 3 4 2" xfId="2585" xr:uid="{3547D274-59A5-4229-BB61-162A300245FC}"/>
    <cellStyle name="SAPBEXexcGood1 3 4 3" xfId="5295" xr:uid="{F4AB5DC7-B6DA-4592-8199-9DAE92E0ECD2}"/>
    <cellStyle name="SAPBEXexcGood1 3 4 4" xfId="6424" xr:uid="{CC339388-52A3-463A-91C4-4AA87B3BAD62}"/>
    <cellStyle name="SAPBEXexcGood1 3 5" xfId="2610" xr:uid="{BF7C5590-D369-4929-8AC8-C0CE30B67D7B}"/>
    <cellStyle name="SAPBEXexcGood1 3 6" xfId="4558" xr:uid="{C11A8416-46F4-48CA-8442-6C9D955A9312}"/>
    <cellStyle name="SAPBEXexcGood1 3 7" xfId="5051" xr:uid="{E49C3E99-103D-4ACF-A4CC-FCD8DAB21350}"/>
    <cellStyle name="SAPBEXexcGood1 3 8" xfId="4849" xr:uid="{0BB42E67-DD7E-441C-B274-11EFF1A209F2}"/>
    <cellStyle name="SAPBEXexcGood1 4" xfId="2265" xr:uid="{60BC435C-69EE-4F9B-9062-65A81770D35D}"/>
    <cellStyle name="SAPBEXexcGood1 4 2" xfId="4248" xr:uid="{419AFD3C-DA43-4C7B-906B-230C24CF9FA9}"/>
    <cellStyle name="SAPBEXexcGood1 4 2 2" xfId="5760" xr:uid="{78A407D9-7AB0-46D5-94DF-CE07F025ADCC}"/>
    <cellStyle name="SAPBEXexcGood1 4 2 3" xfId="6113" xr:uid="{13486591-7427-4CF3-82F3-2D3D4FD99F6E}"/>
    <cellStyle name="SAPBEXexcGood1 4 2 4" xfId="6066" xr:uid="{A472669E-9BAD-4428-A37D-975D6E4DD59C}"/>
    <cellStyle name="SAPBEXexcGood1 4 3" xfId="2638" xr:uid="{82B68180-BD94-4443-A2A3-063737F3C2BE}"/>
    <cellStyle name="SAPBEXexcGood1 4 4" xfId="2672" xr:uid="{581C51E4-D2DC-4B4F-8F95-0357D6A7A393}"/>
    <cellStyle name="SAPBEXexcGood1 4 5" xfId="4812" xr:uid="{34977BD1-7825-4CD3-9E2C-D014A0CC8593}"/>
    <cellStyle name="SAPBEXexcGood1 5" xfId="2461" xr:uid="{B47CD90A-B9D4-48E4-A8DF-295673973F2C}"/>
    <cellStyle name="SAPBEXexcGood1 5 2" xfId="4426" xr:uid="{5F230E5C-9CDF-43A8-B6B9-324760B483C0}"/>
    <cellStyle name="SAPBEXexcGood1 5 2 2" xfId="5911" xr:uid="{BF6648DF-9F77-495C-8BF2-98B52EA7F400}"/>
    <cellStyle name="SAPBEXexcGood1 5 2 3" xfId="6253" xr:uid="{25575649-E7E7-4087-BE36-FA6B372B2585}"/>
    <cellStyle name="SAPBEXexcGood1 5 2 4" xfId="6527" xr:uid="{14F04498-6A00-4260-A3E3-696F5A1050F8}"/>
    <cellStyle name="SAPBEXexcGood1 5 3" xfId="2963" xr:uid="{88C99023-EF79-4C2C-A2F5-93F4C5096713}"/>
    <cellStyle name="SAPBEXexcGood1 5 4" xfId="4776" xr:uid="{752528B5-9699-4650-A44F-F1BD12B88B67}"/>
    <cellStyle name="SAPBEXexcGood1 5 5" xfId="6373" xr:uid="{728ABBD9-EA29-431C-B114-8B0AB77DAB8A}"/>
    <cellStyle name="SAPBEXexcGood1 6" xfId="1290" xr:uid="{9E843E01-53D9-4A5C-AEED-E10726266676}"/>
    <cellStyle name="SAPBEXexcGood1 6 2" xfId="3799" xr:uid="{F871BCFA-FF5B-4F9F-8EED-AF4064416883}"/>
    <cellStyle name="SAPBEXexcGood1 6 3" xfId="5094" xr:uid="{73B3DAC2-DEE0-4511-A1BC-1D0F80B56169}"/>
    <cellStyle name="SAPBEXexcGood1 6 4" xfId="6404" xr:uid="{2C759893-9ABF-4845-BC1C-017DB8F6D897}"/>
    <cellStyle name="SAPBEXexcGood1 7" xfId="4721" xr:uid="{FA6C2FF6-44D7-45E8-AD05-5935D9C10FEF}"/>
    <cellStyle name="SAPBEXexcGood1 8" xfId="4072" xr:uid="{4B173907-CBE4-4883-9890-C547AD321DBC}"/>
    <cellStyle name="SAPBEXexcGood1 9" xfId="5552" xr:uid="{C414DBE1-9170-469A-AA18-4652DE037DC5}"/>
    <cellStyle name="SAPBEXexcGood2" xfId="718" xr:uid="{00000000-0005-0000-0000-0000D6020000}"/>
    <cellStyle name="SAPBEXexcGood2 2" xfId="719" xr:uid="{00000000-0005-0000-0000-0000D7020000}"/>
    <cellStyle name="SAPBEXexcGood2 2 2" xfId="720" xr:uid="{00000000-0005-0000-0000-0000D8020000}"/>
    <cellStyle name="SAPBEXexcGood2 2 2 2" xfId="2271" xr:uid="{597E7108-2A4D-43D7-8427-F2FD305E2553}"/>
    <cellStyle name="SAPBEXexcGood2 2 2 2 2" xfId="4254" xr:uid="{48A7ACE9-9905-4E20-96E7-8A2D59022699}"/>
    <cellStyle name="SAPBEXexcGood2 2 2 2 2 2" xfId="5766" xr:uid="{42CCF8BE-5030-47B5-9491-18D103392489}"/>
    <cellStyle name="SAPBEXexcGood2 2 2 2 2 3" xfId="6119" xr:uid="{4FCDFFD9-07F1-4D12-B8FA-44012033E173}"/>
    <cellStyle name="SAPBEXexcGood2 2 2 2 2 4" xfId="4816" xr:uid="{5B65A462-2375-44F0-8671-51182B879293}"/>
    <cellStyle name="SAPBEXexcGood2 2 2 2 3" xfId="2788" xr:uid="{CE4A9052-D8CC-46E3-8A0F-A135334F23C4}"/>
    <cellStyle name="SAPBEXexcGood2 2 2 2 4" xfId="2726" xr:uid="{999085D1-1062-4D86-8089-3E7BD34AB003}"/>
    <cellStyle name="SAPBEXexcGood2 2 2 2 5" xfId="4536" xr:uid="{7EA94E51-CA21-4F68-8BF1-5597256B2F14}"/>
    <cellStyle name="SAPBEXexcGood2 2 2 3" xfId="2467" xr:uid="{935737F3-EABD-4339-9686-BB45B9EAA34D}"/>
    <cellStyle name="SAPBEXexcGood2 2 2 3 2" xfId="4432" xr:uid="{1BEC2231-09BA-4BB2-B6D7-7F9432E09276}"/>
    <cellStyle name="SAPBEXexcGood2 2 2 3 2 2" xfId="5917" xr:uid="{3ED6A288-4FDC-4510-8244-2971E40294A2}"/>
    <cellStyle name="SAPBEXexcGood2 2 2 3 2 3" xfId="6259" xr:uid="{252681FD-CA59-4691-803F-3B1495C8D4A0}"/>
    <cellStyle name="SAPBEXexcGood2 2 2 3 2 4" xfId="6533" xr:uid="{BA61F0A8-AB29-461D-821A-5F1C5A4CC68D}"/>
    <cellStyle name="SAPBEXexcGood2 2 2 3 3" xfId="2969" xr:uid="{DA645AFA-4413-4FE3-85C1-68E77BDF8F73}"/>
    <cellStyle name="SAPBEXexcGood2 2 2 3 4" xfId="4727" xr:uid="{D71A94D3-E037-443B-AFDF-4292EED6A147}"/>
    <cellStyle name="SAPBEXexcGood2 2 2 3 5" xfId="5168" xr:uid="{2EA30869-AF25-4063-8FF0-C97BC7A61353}"/>
    <cellStyle name="SAPBEXexcGood2 2 2 4" xfId="3549" xr:uid="{624E0F3B-6B93-4B12-97BC-6BB37B24DEDB}"/>
    <cellStyle name="SAPBEXexcGood2 2 2 4 2" xfId="5067" xr:uid="{9EF51F7C-DAA1-4C80-8AF9-5D0BA6B53F0C}"/>
    <cellStyle name="SAPBEXexcGood2 2 2 4 3" xfId="5213" xr:uid="{4445F90E-9685-4776-AF2F-C1E3271BD9BB}"/>
    <cellStyle name="SAPBEXexcGood2 2 2 4 4" xfId="2627" xr:uid="{48CCA008-CE2C-4D06-9ACA-4493953497C4}"/>
    <cellStyle name="SAPBEXexcGood2 2 2 5" xfId="1139" xr:uid="{803EA021-FF43-4BAB-9DA6-4A4DB22164E3}"/>
    <cellStyle name="SAPBEXexcGood2 2 2 6" xfId="4844" xr:uid="{A1C106FD-6EAC-4C65-8E2F-095511E7C562}"/>
    <cellStyle name="SAPBEXexcGood2 2 2 7" xfId="5278" xr:uid="{6F9ABC9B-F014-4CE6-91B7-2CFD2CEA4782}"/>
    <cellStyle name="SAPBEXexcGood2 2 2 8" xfId="6338" xr:uid="{78F243A2-C4DC-40F2-A2EA-E9260C8A9470}"/>
    <cellStyle name="SAPBEXexcGood2 2 3" xfId="2270" xr:uid="{58A9AB93-F899-428F-AAE4-6B842B544EFA}"/>
    <cellStyle name="SAPBEXexcGood2 2 3 2" xfId="4253" xr:uid="{20B57AAE-48FF-4711-95C8-06742AC51F22}"/>
    <cellStyle name="SAPBEXexcGood2 2 3 2 2" xfId="5765" xr:uid="{C03E4C7B-DD8E-4FF6-8E97-C6CEE717D388}"/>
    <cellStyle name="SAPBEXexcGood2 2 3 2 3" xfId="6118" xr:uid="{DDA48E8D-A24C-43EE-B06F-74FD36939CDB}"/>
    <cellStyle name="SAPBEXexcGood2 2 3 2 4" xfId="6375" xr:uid="{36CEA9A4-DE42-4286-9ACA-EC202B887246}"/>
    <cellStyle name="SAPBEXexcGood2 2 3 3" xfId="2870" xr:uid="{114F774D-EB44-46C6-9102-A71E265D41A4}"/>
    <cellStyle name="SAPBEXexcGood2 2 3 4" xfId="2702" xr:uid="{DF299390-DB45-4D29-A838-6568D66204A2}"/>
    <cellStyle name="SAPBEXexcGood2 2 3 5" xfId="5715" xr:uid="{5A637BBD-282C-43BF-931B-22E78C60B8F3}"/>
    <cellStyle name="SAPBEXexcGood2 2 4" xfId="2466" xr:uid="{A95BF695-0AB3-4341-9411-B392CD4A0C45}"/>
    <cellStyle name="SAPBEXexcGood2 2 4 2" xfId="4431" xr:uid="{3BF2109D-F6EA-4996-B4F2-BD69C21F10BD}"/>
    <cellStyle name="SAPBEXexcGood2 2 4 2 2" xfId="5916" xr:uid="{614F27F5-47D3-4F1A-BD3A-A8032BF32C0C}"/>
    <cellStyle name="SAPBEXexcGood2 2 4 2 3" xfId="6258" xr:uid="{AD7D13FA-88FA-43C9-AE20-C9F6153171D4}"/>
    <cellStyle name="SAPBEXexcGood2 2 4 2 4" xfId="6532" xr:uid="{6484F716-AA4E-4B14-9F8F-BD409F61850A}"/>
    <cellStyle name="SAPBEXexcGood2 2 4 3" xfId="2968" xr:uid="{EF53D27D-E928-4ED9-9CA2-460EE5311C5E}"/>
    <cellStyle name="SAPBEXexcGood2 2 4 4" xfId="4689" xr:uid="{3FB568E0-DD8D-4137-88BC-C52EE993D2FE}"/>
    <cellStyle name="SAPBEXexcGood2 2 4 5" xfId="5159" xr:uid="{21316D17-A5FF-4F29-BC8B-E816037199E8}"/>
    <cellStyle name="SAPBEXexcGood2 2 5" xfId="1293" xr:uid="{591DC0C9-B621-4445-AD42-BDFB3174C526}"/>
    <cellStyle name="SAPBEXexcGood2 2 5 2" xfId="3802" xr:uid="{93BB4C4E-1138-44D6-8655-205D0C037994}"/>
    <cellStyle name="SAPBEXexcGood2 2 5 3" xfId="4059" xr:uid="{F51B5C7B-CA00-4082-8F5D-624D8CC5DBA4}"/>
    <cellStyle name="SAPBEXexcGood2 2 5 4" xfId="5209" xr:uid="{DDDF42F8-EC6B-4A40-864D-D5636981F631}"/>
    <cellStyle name="SAPBEXexcGood2 2 6" xfId="5376" xr:uid="{5F468F12-BB30-419C-9207-B0C3E6BA7FDC}"/>
    <cellStyle name="SAPBEXexcGood2 2 7" xfId="5423" xr:uid="{FB40359D-C06B-4E4E-B2BD-BFF353DBA691}"/>
    <cellStyle name="SAPBEXexcGood2 2 8" xfId="4972" xr:uid="{C26B91D6-116C-4B67-A02F-B9B12302E69A}"/>
    <cellStyle name="SAPBEXexcGood2 3" xfId="721" xr:uid="{00000000-0005-0000-0000-0000D9020000}"/>
    <cellStyle name="SAPBEXexcGood2 3 2" xfId="2272" xr:uid="{C2B53463-819E-459F-9A0A-B8A894E8475E}"/>
    <cellStyle name="SAPBEXexcGood2 3 2 2" xfId="4255" xr:uid="{F3BEF282-CC03-40FA-8907-F45D59A7B961}"/>
    <cellStyle name="SAPBEXexcGood2 3 2 2 2" xfId="5767" xr:uid="{0DCCB176-F861-45A3-B8CA-91868CA98DE7}"/>
    <cellStyle name="SAPBEXexcGood2 3 2 2 3" xfId="6120" xr:uid="{4D34CF66-150F-4470-BAA9-389537EAA88E}"/>
    <cellStyle name="SAPBEXexcGood2 3 2 2 4" xfId="4698" xr:uid="{C6D866FE-57E8-4C05-89F3-EB5BFCFBA7A1}"/>
    <cellStyle name="SAPBEXexcGood2 3 2 3" xfId="2654" xr:uid="{8BEEC5A4-93D1-47D6-A4FB-9DBC58C1E16B}"/>
    <cellStyle name="SAPBEXexcGood2 3 2 4" xfId="4868" xr:uid="{C8159746-1198-4462-9B51-819418B19DF3}"/>
    <cellStyle name="SAPBEXexcGood2 3 2 5" xfId="5158" xr:uid="{2E2D19CC-171F-41A9-8F0E-476AD74493B6}"/>
    <cellStyle name="SAPBEXexcGood2 3 3" xfId="2468" xr:uid="{33D0FF6D-1697-4A94-BFEC-B76CDDDD317F}"/>
    <cellStyle name="SAPBEXexcGood2 3 3 2" xfId="4433" xr:uid="{22F63BC8-F0E1-46C7-A50C-483E481B9BA1}"/>
    <cellStyle name="SAPBEXexcGood2 3 3 2 2" xfId="5918" xr:uid="{150A1A08-0417-4D8F-8439-0AFED12B681C}"/>
    <cellStyle name="SAPBEXexcGood2 3 3 2 3" xfId="6260" xr:uid="{6B15A8F1-414E-4615-8D5D-F414FBEE9F42}"/>
    <cellStyle name="SAPBEXexcGood2 3 3 2 4" xfId="6534" xr:uid="{C1E259C2-C1BE-46D5-BFAF-40ABDEEB9EBC}"/>
    <cellStyle name="SAPBEXexcGood2 3 3 3" xfId="2970" xr:uid="{DDDAFF9B-C3E4-4CE1-9E1C-88E25E49400B}"/>
    <cellStyle name="SAPBEXexcGood2 3 3 4" xfId="5034" xr:uid="{C9CAC2B3-0BB3-47BA-AB3D-C6AB673DF46E}"/>
    <cellStyle name="SAPBEXexcGood2 3 3 5" xfId="5136" xr:uid="{188CB259-10BF-4ABD-8D72-EBEAE398E20E}"/>
    <cellStyle name="SAPBEXexcGood2 3 4" xfId="3550" xr:uid="{3626A485-E62F-425E-9789-42270DF3BC83}"/>
    <cellStyle name="SAPBEXexcGood2 3 4 2" xfId="2590" xr:uid="{6C775A7F-C673-48A0-8796-49630FF7F0BC}"/>
    <cellStyle name="SAPBEXexcGood2 3 4 3" xfId="5427" xr:uid="{A67BCB6F-95D0-4793-90F2-D0E6CB87D76E}"/>
    <cellStyle name="SAPBEXexcGood2 3 4 4" xfId="4911" xr:uid="{5AF06E9F-59CC-47F0-AA88-3AE1B86E0E42}"/>
    <cellStyle name="SAPBEXexcGood2 3 5" xfId="2916" xr:uid="{A1532DD6-6C01-49D6-9E28-859B85F2BB98}"/>
    <cellStyle name="SAPBEXexcGood2 3 6" xfId="2149" xr:uid="{A555E235-65A6-463C-9085-FB38007357E2}"/>
    <cellStyle name="SAPBEXexcGood2 3 7" xfId="6064" xr:uid="{98536EE8-A461-4133-9889-CCA1256389D3}"/>
    <cellStyle name="SAPBEXexcGood2 3 8" xfId="6459" xr:uid="{FB1A9B87-7114-4C56-924C-2D9521AA68EA}"/>
    <cellStyle name="SAPBEXexcGood2 4" xfId="2269" xr:uid="{5FEB1A4B-F148-4622-A3B4-4D528B5F4288}"/>
    <cellStyle name="SAPBEXexcGood2 4 2" xfId="4252" xr:uid="{3217D448-09C7-46C2-BCEF-00ADBCE27AE9}"/>
    <cellStyle name="SAPBEXexcGood2 4 2 2" xfId="5764" xr:uid="{AFF086A9-BF9C-499D-8A67-BDD712C7F988}"/>
    <cellStyle name="SAPBEXexcGood2 4 2 3" xfId="6117" xr:uid="{01F03373-5FEF-437A-8421-C909C6D8EBDF}"/>
    <cellStyle name="SAPBEXexcGood2 4 2 4" xfId="3670" xr:uid="{D119ED7B-929A-4CE8-8AE0-339C58489FAA}"/>
    <cellStyle name="SAPBEXexcGood2 4 3" xfId="2907" xr:uid="{6A1BFF8C-8F58-4638-AC0E-1614F9A95904}"/>
    <cellStyle name="SAPBEXexcGood2 4 4" xfId="5707" xr:uid="{2389ABDE-D9DD-4506-AAA1-DFA7A34E62CC}"/>
    <cellStyle name="SAPBEXexcGood2 4 5" xfId="5093" xr:uid="{33EA5FA6-749C-4360-A157-FDAB8E0AE1A3}"/>
    <cellStyle name="SAPBEXexcGood2 5" xfId="2465" xr:uid="{1CEBF11F-6968-428B-9790-A36DECC0E55C}"/>
    <cellStyle name="SAPBEXexcGood2 5 2" xfId="4430" xr:uid="{D9B13055-8945-42D8-AC6C-E438FF1529F1}"/>
    <cellStyle name="SAPBEXexcGood2 5 2 2" xfId="5915" xr:uid="{7CDA82BA-EB39-4980-BFF6-5DEEFAE0F861}"/>
    <cellStyle name="SAPBEXexcGood2 5 2 3" xfId="6257" xr:uid="{9FEC7ABE-E2A7-448D-9873-3F2C5E52B9CC}"/>
    <cellStyle name="SAPBEXexcGood2 5 2 4" xfId="6531" xr:uid="{1E71AD5B-B37A-4B64-964D-5CDB4375FB2E}"/>
    <cellStyle name="SAPBEXexcGood2 5 3" xfId="2967" xr:uid="{626EA8F4-BBBC-4F48-9B9D-9EFAD482FCDA}"/>
    <cellStyle name="SAPBEXexcGood2 5 4" xfId="5225" xr:uid="{7BE1B6B0-F13B-401B-AE83-DFB157041F26}"/>
    <cellStyle name="SAPBEXexcGood2 5 5" xfId="4912" xr:uid="{BF4B940A-D4AD-414A-A9B9-017C5809A5B0}"/>
    <cellStyle name="SAPBEXexcGood2 6" xfId="1292" xr:uid="{D3388D4B-0CCB-4A84-83AC-8C4BD7E80A57}"/>
    <cellStyle name="SAPBEXexcGood2 6 2" xfId="3801" xr:uid="{99169F65-C708-49C1-8CC2-5B9BE4052BCA}"/>
    <cellStyle name="SAPBEXexcGood2 6 3" xfId="4826" xr:uid="{A005BB61-D898-4684-B4C7-BE27C599580B}"/>
    <cellStyle name="SAPBEXexcGood2 6 4" xfId="4710" xr:uid="{848BC51E-79F4-4601-8920-89CC705E8C27}"/>
    <cellStyle name="SAPBEXexcGood2 7" xfId="4951" xr:uid="{937A895C-3EDA-4C6E-A44A-33288C332FA7}"/>
    <cellStyle name="SAPBEXexcGood2 8" xfId="4056" xr:uid="{05F2F96D-BD79-4CDB-AD8E-2CDF73BC80CD}"/>
    <cellStyle name="SAPBEXexcGood2 9" xfId="6211" xr:uid="{2B501179-C1B0-443C-90D3-86D85552EAC9}"/>
    <cellStyle name="SAPBEXexcGood3" xfId="722" xr:uid="{00000000-0005-0000-0000-0000DA020000}"/>
    <cellStyle name="SAPBEXexcGood3 2" xfId="723" xr:uid="{00000000-0005-0000-0000-0000DB020000}"/>
    <cellStyle name="SAPBEXexcGood3 2 2" xfId="724" xr:uid="{00000000-0005-0000-0000-0000DC020000}"/>
    <cellStyle name="SAPBEXexcGood3 2 2 2" xfId="2275" xr:uid="{D324D552-EA6F-4FA9-AA02-ABE8D70EDEE9}"/>
    <cellStyle name="SAPBEXexcGood3 2 2 2 2" xfId="4258" xr:uid="{A7DD7369-69DE-4309-A830-18F2C5373EA1}"/>
    <cellStyle name="SAPBEXexcGood3 2 2 2 2 2" xfId="5770" xr:uid="{C6389FE7-CD32-461B-AAE2-FF26882350F9}"/>
    <cellStyle name="SAPBEXexcGood3 2 2 2 2 3" xfId="6123" xr:uid="{32F40885-3E8E-4F87-8CE8-68DAC871D776}"/>
    <cellStyle name="SAPBEXexcGood3 2 2 2 2 4" xfId="4565" xr:uid="{535F611E-AD76-47C4-B4C4-68595B284C30}"/>
    <cellStyle name="SAPBEXexcGood3 2 2 2 3" xfId="1234" xr:uid="{18AF04F7-B330-40DF-A565-B9F0A5D69397}"/>
    <cellStyle name="SAPBEXexcGood3 2 2 2 4" xfId="2912" xr:uid="{A2C779D7-B7C8-4AC7-9B7F-B86158F1A5B4}"/>
    <cellStyle name="SAPBEXexcGood3 2 2 2 5" xfId="4847" xr:uid="{1DFC9372-CA1B-4CD5-8F40-B3B395678100}"/>
    <cellStyle name="SAPBEXexcGood3 2 2 3" xfId="2471" xr:uid="{B0F450E2-392D-4ACF-9144-5CAE2B5C6D87}"/>
    <cellStyle name="SAPBEXexcGood3 2 2 3 2" xfId="4436" xr:uid="{09C6C2CA-254D-41A8-AAAC-36D499C28E39}"/>
    <cellStyle name="SAPBEXexcGood3 2 2 3 2 2" xfId="5921" xr:uid="{B00E8309-4F70-4227-B7D7-0FFF32D59276}"/>
    <cellStyle name="SAPBEXexcGood3 2 2 3 2 3" xfId="6263" xr:uid="{4E533951-977E-42F6-B1E1-10AF00A97394}"/>
    <cellStyle name="SAPBEXexcGood3 2 2 3 2 4" xfId="6537" xr:uid="{274E7278-4198-4DE3-8BA2-F5F5F71FE602}"/>
    <cellStyle name="SAPBEXexcGood3 2 2 3 3" xfId="2973" xr:uid="{630B466C-40AA-4E26-8D6B-AD2E36C1F7BF}"/>
    <cellStyle name="SAPBEXexcGood3 2 2 3 4" xfId="5453" xr:uid="{4D58E56D-0620-453A-A944-BFECB32D4CF7}"/>
    <cellStyle name="SAPBEXexcGood3 2 2 3 5" xfId="6431" xr:uid="{DFEB3553-7217-4DA5-ACCF-09D65DE03EFD}"/>
    <cellStyle name="SAPBEXexcGood3 2 2 4" xfId="3551" xr:uid="{034C52A7-6B68-484D-A054-BF8F8924EF99}"/>
    <cellStyle name="SAPBEXexcGood3 2 2 4 2" xfId="5116" xr:uid="{82E883D7-0B0D-4EB2-A799-99540C8BD48F}"/>
    <cellStyle name="SAPBEXexcGood3 2 2 4 3" xfId="5624" xr:uid="{91662759-D3CA-456F-A02B-E1B81AD23330}"/>
    <cellStyle name="SAPBEXexcGood3 2 2 4 4" xfId="6423" xr:uid="{EA8294F0-1140-40BB-B7BE-07F00B4B2753}"/>
    <cellStyle name="SAPBEXexcGood3 2 2 5" xfId="2744" xr:uid="{337627F9-1716-4393-B82E-6E9C596F8D89}"/>
    <cellStyle name="SAPBEXexcGood3 2 2 6" xfId="5036" xr:uid="{5C7248F2-4D66-4BAE-82BC-C63F76255AC5}"/>
    <cellStyle name="SAPBEXexcGood3 2 2 7" xfId="6063" xr:uid="{56731489-40E6-4504-8801-6B76BF79BEE7}"/>
    <cellStyle name="SAPBEXexcGood3 2 2 8" xfId="6457" xr:uid="{AD92D7D1-4767-4284-A030-AEDDFB451E38}"/>
    <cellStyle name="SAPBEXexcGood3 2 3" xfId="2274" xr:uid="{8FA6C5C4-8BD6-4C3F-8519-DD6F2EED5F06}"/>
    <cellStyle name="SAPBEXexcGood3 2 3 2" xfId="4257" xr:uid="{F0EB0E95-5B50-4148-ABAB-68BBCA90B905}"/>
    <cellStyle name="SAPBEXexcGood3 2 3 2 2" xfId="5769" xr:uid="{56B4050F-D744-4F14-B41B-8523618187DC}"/>
    <cellStyle name="SAPBEXexcGood3 2 3 2 3" xfId="6122" xr:uid="{4B355171-0589-49E6-96F7-3021C0C1160D}"/>
    <cellStyle name="SAPBEXexcGood3 2 3 2 4" xfId="2917" xr:uid="{A6E34F5F-E692-4174-A3E2-DCB67ADD12EC}"/>
    <cellStyle name="SAPBEXexcGood3 2 3 3" xfId="2891" xr:uid="{C593A465-3CED-4D8D-8BE0-0B9C4A1009AA}"/>
    <cellStyle name="SAPBEXexcGood3 2 3 4" xfId="1591" xr:uid="{6DE8A17E-D28D-4860-B50D-2FB121DED300}"/>
    <cellStyle name="SAPBEXexcGood3 2 3 5" xfId="5643" xr:uid="{B02AA578-0F6A-4CFC-B4A3-F1EDB12DBBA6}"/>
    <cellStyle name="SAPBEXexcGood3 2 4" xfId="2470" xr:uid="{6A4773E0-4DEE-4659-AB03-D085D3A31251}"/>
    <cellStyle name="SAPBEXexcGood3 2 4 2" xfId="4435" xr:uid="{6F60F369-4260-4FE6-A5EA-FCA8ED2346E8}"/>
    <cellStyle name="SAPBEXexcGood3 2 4 2 2" xfId="5920" xr:uid="{842A6A98-2E5D-461C-8492-FEDF9D0E2B0B}"/>
    <cellStyle name="SAPBEXexcGood3 2 4 2 3" xfId="6262" xr:uid="{7614954C-5DBF-440D-9253-03D475E7078B}"/>
    <cellStyle name="SAPBEXexcGood3 2 4 2 4" xfId="6536" xr:uid="{CA059F0E-A2B5-4A73-BF92-DE52200FB9B3}"/>
    <cellStyle name="SAPBEXexcGood3 2 4 3" xfId="2972" xr:uid="{709C2F04-9CE5-48A0-9C68-831305F4A920}"/>
    <cellStyle name="SAPBEXexcGood3 2 4 4" xfId="2818" xr:uid="{148D4882-CA42-4623-9850-AB434AF69AD8}"/>
    <cellStyle name="SAPBEXexcGood3 2 4 5" xfId="1661" xr:uid="{54E28159-C158-485C-A3ED-28E266E7370C}"/>
    <cellStyle name="SAPBEXexcGood3 2 5" xfId="1297" xr:uid="{1256526E-67B8-49DC-B98F-52E4365CD165}"/>
    <cellStyle name="SAPBEXexcGood3 2 5 2" xfId="3804" xr:uid="{5AB864F0-4558-429F-B1DE-F1632E5F5711}"/>
    <cellStyle name="SAPBEXexcGood3 2 5 3" xfId="5589" xr:uid="{9801C6BF-997E-454A-B7A5-68C8C6E50FDE}"/>
    <cellStyle name="SAPBEXexcGood3 2 5 4" xfId="6401" xr:uid="{BE9357F9-5D13-4245-8F0A-7ED85791D4DD}"/>
    <cellStyle name="SAPBEXexcGood3 2 6" xfId="2762" xr:uid="{F650B754-D244-46AC-8E24-468FC872B23B}"/>
    <cellStyle name="SAPBEXexcGood3 2 7" xfId="5009" xr:uid="{00367167-7AF6-4A2A-8B65-2ED319404F3B}"/>
    <cellStyle name="SAPBEXexcGood3 2 8" xfId="5186" xr:uid="{D83C77AF-B162-40E8-B096-15079BEAE389}"/>
    <cellStyle name="SAPBEXexcGood3 3" xfId="725" xr:uid="{00000000-0005-0000-0000-0000DD020000}"/>
    <cellStyle name="SAPBEXexcGood3 3 2" xfId="2276" xr:uid="{1E619215-4776-45DD-AA39-FBDEBEA1BD80}"/>
    <cellStyle name="SAPBEXexcGood3 3 2 2" xfId="4259" xr:uid="{9950A68F-4ECF-4EC5-AC8A-3C78124E2C58}"/>
    <cellStyle name="SAPBEXexcGood3 3 2 2 2" xfId="5771" xr:uid="{E09905C7-DE81-4A70-B86D-0A7859130D0E}"/>
    <cellStyle name="SAPBEXexcGood3 3 2 2 3" xfId="6124" xr:uid="{6B7CC22C-7C9B-4373-8A5D-48540F9BF4EC}"/>
    <cellStyle name="SAPBEXexcGood3 3 2 2 4" xfId="6384" xr:uid="{A09524CE-49C8-4BE6-AF26-06F5586741A9}"/>
    <cellStyle name="SAPBEXexcGood3 3 2 3" xfId="2862" xr:uid="{CD819998-96AB-4DBC-99FC-CC48ECFFA7C8}"/>
    <cellStyle name="SAPBEXexcGood3 3 2 4" xfId="5430" xr:uid="{CBC83594-B8E4-4A7A-8FCA-D432CED78B6F}"/>
    <cellStyle name="SAPBEXexcGood3 3 2 5" xfId="4989" xr:uid="{4553EBF3-C647-4602-A7F9-1278C04AFDB5}"/>
    <cellStyle name="SAPBEXexcGood3 3 3" xfId="2472" xr:uid="{9D834714-951E-476E-9650-412704E7CC38}"/>
    <cellStyle name="SAPBEXexcGood3 3 3 2" xfId="4437" xr:uid="{ABBF23A4-3135-4602-93BC-1BDD6404AAE1}"/>
    <cellStyle name="SAPBEXexcGood3 3 3 2 2" xfId="5922" xr:uid="{25CE5211-B97B-42E5-85CE-02B5EB480553}"/>
    <cellStyle name="SAPBEXexcGood3 3 3 2 3" xfId="6264" xr:uid="{DB29D8C0-DB07-4924-AC1B-08234A4E14F7}"/>
    <cellStyle name="SAPBEXexcGood3 3 3 2 4" xfId="6538" xr:uid="{5A376196-9FC1-4AA5-A34F-A3293A365140}"/>
    <cellStyle name="SAPBEXexcGood3 3 3 3" xfId="2974" xr:uid="{264AD901-D5AE-4F81-8E35-A98E42FEEB24}"/>
    <cellStyle name="SAPBEXexcGood3 3 3 4" xfId="5674" xr:uid="{3CE58F83-090B-47E1-AE85-37F19C719B2C}"/>
    <cellStyle name="SAPBEXexcGood3 3 3 5" xfId="4959" xr:uid="{BBED1841-7862-4D27-8281-8A3C98BCF04E}"/>
    <cellStyle name="SAPBEXexcGood3 3 4" xfId="3552" xr:uid="{71F7DE72-DAEB-4C92-977D-D795665EA517}"/>
    <cellStyle name="SAPBEXexcGood3 3 4 2" xfId="2760" xr:uid="{6D56F8D1-EA5B-4C57-B362-4FA1A9AB577B}"/>
    <cellStyle name="SAPBEXexcGood3 3 4 3" xfId="4887" xr:uid="{B28C0A9C-C40A-421A-904B-EC4578F66F60}"/>
    <cellStyle name="SAPBEXexcGood3 3 4 4" xfId="2724" xr:uid="{A94F429F-F783-419A-99A1-3BD206329723}"/>
    <cellStyle name="SAPBEXexcGood3 3 5" xfId="2838" xr:uid="{92E99CDC-7E39-4E2F-AAD2-DED0E137CA70}"/>
    <cellStyle name="SAPBEXexcGood3 3 6" xfId="4557" xr:uid="{9B7DC446-201E-4469-8158-E310B71815E3}"/>
    <cellStyle name="SAPBEXexcGood3 3 7" xfId="5294" xr:uid="{BBA5F02D-6A24-4097-AC6A-191AF796396A}"/>
    <cellStyle name="SAPBEXexcGood3 3 8" xfId="6479" xr:uid="{5FF44870-4210-4959-A43C-B51CEA3F3F4F}"/>
    <cellStyle name="SAPBEXexcGood3 4" xfId="2273" xr:uid="{106D6153-36DB-4D50-A9E5-2B226CB6DDCD}"/>
    <cellStyle name="SAPBEXexcGood3 4 2" xfId="4256" xr:uid="{438D314D-DAAC-4357-9F88-6F80F7D02651}"/>
    <cellStyle name="SAPBEXexcGood3 4 2 2" xfId="5768" xr:uid="{9E6F263C-08A1-4AEB-BA92-7ED2BA09B1DD}"/>
    <cellStyle name="SAPBEXexcGood3 4 2 3" xfId="6121" xr:uid="{0CE1F5F2-4774-4D54-8A2E-7E8874ABFAD0}"/>
    <cellStyle name="SAPBEXexcGood3 4 2 4" xfId="5401" xr:uid="{64B58FBE-D063-4D2D-A30A-5D9664A03639}"/>
    <cellStyle name="SAPBEXexcGood3 4 3" xfId="2611" xr:uid="{12286C8C-D8AF-4F3B-9C98-8C952F9D7D87}"/>
    <cellStyle name="SAPBEXexcGood3 4 4" xfId="4651" xr:uid="{1AF60789-5044-420D-B79F-1DB9A1890F07}"/>
    <cellStyle name="SAPBEXexcGood3 4 5" xfId="6441" xr:uid="{51D2F1A8-C310-4926-942D-9087A6631B2A}"/>
    <cellStyle name="SAPBEXexcGood3 5" xfId="2469" xr:uid="{9A518AC2-9965-4356-AC8B-852547E1B457}"/>
    <cellStyle name="SAPBEXexcGood3 5 2" xfId="4434" xr:uid="{EFFA2A8F-9B8F-4F02-91E9-66187C098D35}"/>
    <cellStyle name="SAPBEXexcGood3 5 2 2" xfId="5919" xr:uid="{74CFE73E-D609-4BFE-87D2-1DF181A86712}"/>
    <cellStyle name="SAPBEXexcGood3 5 2 3" xfId="6261" xr:uid="{EEB85CF1-9D34-4DDF-B767-AB6C65BE8C03}"/>
    <cellStyle name="SAPBEXexcGood3 5 2 4" xfId="6535" xr:uid="{DA815077-D63E-4490-B562-163E3BA9AA4A}"/>
    <cellStyle name="SAPBEXexcGood3 5 3" xfId="2971" xr:uid="{F78CA313-7DA8-442A-AF17-22ECEDA7D597}"/>
    <cellStyle name="SAPBEXexcGood3 5 4" xfId="2850" xr:uid="{D37EFF6B-8045-481C-83A6-6D3168A65809}"/>
    <cellStyle name="SAPBEXexcGood3 5 5" xfId="5426" xr:uid="{39BC5569-3D1A-4C77-8BF6-1A6CF6631B97}"/>
    <cellStyle name="SAPBEXexcGood3 6" xfId="1295" xr:uid="{0044C2F5-764A-4EDA-971B-3A7A0F6316C7}"/>
    <cellStyle name="SAPBEXexcGood3 6 2" xfId="3803" xr:uid="{F625931C-0F5E-4E49-B439-1651F547CE4E}"/>
    <cellStyle name="SAPBEXexcGood3 6 3" xfId="4986" xr:uid="{316FD54A-C74B-4385-9F0F-69EE9C2D32FC}"/>
    <cellStyle name="SAPBEXexcGood3 6 4" xfId="6396" xr:uid="{B4C1DE35-CD7B-42DA-B88E-46F4DD2CC5BB}"/>
    <cellStyle name="SAPBEXexcGood3 7" xfId="5341" xr:uid="{AFF0EA0F-EBB3-4A72-A448-050D85E2B1D9}"/>
    <cellStyle name="SAPBEXexcGood3 8" xfId="5479" xr:uid="{ACF184E3-CC96-4903-AE6F-C3AE7ED0F27D}"/>
    <cellStyle name="SAPBEXexcGood3 9" xfId="6198" xr:uid="{16D10197-F988-4002-A3EC-00DC73307F34}"/>
    <cellStyle name="SAPBEXfilterDrill" xfId="726" xr:uid="{00000000-0005-0000-0000-0000DE020000}"/>
    <cellStyle name="SAPBEXfilterDrill 10" xfId="2709" xr:uid="{060051B1-0984-4A00-89E6-CEF68DCB2450}"/>
    <cellStyle name="SAPBEXfilterDrill 11" xfId="2703" xr:uid="{515890DD-A581-4BAE-ADB9-A1866CCBB9CF}"/>
    <cellStyle name="SAPBEXfilterDrill 12" xfId="2773" xr:uid="{BF756898-AEED-431D-AC11-8B1DE1D1D468}"/>
    <cellStyle name="SAPBEXfilterDrill 13" xfId="4743" xr:uid="{1367BE23-31AE-4EB1-9C28-845873C9D0DA}"/>
    <cellStyle name="SAPBEXfilterDrill 14" xfId="5512" xr:uid="{A28BF161-4CE8-498A-B8F6-D7E1BEE4929A}"/>
    <cellStyle name="SAPBEXfilterDrill 2" xfId="1298" xr:uid="{37136AC6-76AD-475D-AB09-77CCADC8DD64}"/>
    <cellStyle name="SAPBEXfilterDrill 2 10" xfId="5419" xr:uid="{760C2BDF-D8B0-463F-9CF1-60485087B890}"/>
    <cellStyle name="SAPBEXfilterDrill 2 11" xfId="5353" xr:uid="{96639512-F586-4451-922A-0552687B5B4B}"/>
    <cellStyle name="SAPBEXfilterDrill 2 2" xfId="1685" xr:uid="{B08EC33D-7330-4E62-8CBC-F46D295CA7CA}"/>
    <cellStyle name="SAPBEXfilterDrill 2 2 2" xfId="2693" xr:uid="{B61ED055-9E6A-4270-A434-4DFE2CB8223E}"/>
    <cellStyle name="SAPBEXfilterDrill 2 2 2 2" xfId="4529" xr:uid="{44A8AB6A-1E76-4B72-A8C4-6DBD8541B4BA}"/>
    <cellStyle name="SAPBEXfilterDrill 2 2 2 3" xfId="5412" xr:uid="{F7230534-F0E2-4C96-8E56-BC67342D400A}"/>
    <cellStyle name="SAPBEXfilterDrill 2 2 2 4" xfId="6007" xr:uid="{B2DA9444-C8A7-47A9-92C3-90D01CADBDEA}"/>
    <cellStyle name="SAPBEXfilterDrill 2 2 2 5" xfId="6346" xr:uid="{9E1E987A-B8DE-4BF8-A27D-74B0EBF594B9}"/>
    <cellStyle name="SAPBEXfilterDrill 2 2 2 6" xfId="6500" xr:uid="{8F5CE365-F72F-4400-8F5F-155972AC55A8}"/>
    <cellStyle name="SAPBEXfilterDrill 2 2 3" xfId="1160" xr:uid="{28703AA0-936F-4875-9FA8-CA728A6CB2D9}"/>
    <cellStyle name="SAPBEXfilterDrill 2 2 3 2" xfId="3713" xr:uid="{B65BDB99-860B-424E-9408-BAAE498478E0}"/>
    <cellStyle name="SAPBEXfilterDrill 2 2 3 3" xfId="5000" xr:uid="{9B4AC357-6E41-4FF5-A1CF-C7DE5884FA90}"/>
    <cellStyle name="SAPBEXfilterDrill 2 2 3 4" xfId="3912" xr:uid="{CDF5E6A8-C29B-4AED-BAD8-066886375C0A}"/>
    <cellStyle name="SAPBEXfilterDrill 2 2 3 5" xfId="5601" xr:uid="{F21945D3-1EA3-477C-B1C0-F81D718B05B9}"/>
    <cellStyle name="SAPBEXfilterDrill 2 2 3 6" xfId="4748" xr:uid="{EA7F74D7-346D-42AD-ACC2-974948FA5353}"/>
    <cellStyle name="SAPBEXfilterDrill 2 2 4" xfId="3953" xr:uid="{FD9392A3-0ACB-4A13-80FD-5ACFA23180FF}"/>
    <cellStyle name="SAPBEXfilterDrill 2 2 4 2" xfId="5141" xr:uid="{397A7981-72DA-4513-BC64-E5C47419407C}"/>
    <cellStyle name="SAPBEXfilterDrill 2 2 4 3" xfId="5516" xr:uid="{25F40E3B-DB5D-4450-8798-1E65B8F29CA1}"/>
    <cellStyle name="SAPBEXfilterDrill 2 2 4 4" xfId="4120" xr:uid="{2072893F-6C3A-4662-9A99-162B8E1F307E}"/>
    <cellStyle name="SAPBEXfilterDrill 2 2 4 5" xfId="6361" xr:uid="{8242D2FA-69BD-4D74-AD75-46F74E576EBF}"/>
    <cellStyle name="SAPBEXfilterDrill 2 2 5" xfId="2837" xr:uid="{9873FFB3-5C11-42A7-9184-EEFA7872E0F4}"/>
    <cellStyle name="SAPBEXfilterDrill 2 2 6" xfId="2756" xr:uid="{18527F7B-9195-40D0-AC86-7F6F7DAE6F84}"/>
    <cellStyle name="SAPBEXfilterDrill 2 2 7" xfId="2828" xr:uid="{ED417695-2C0C-4102-93A2-36CB5BA92038}"/>
    <cellStyle name="SAPBEXfilterDrill 2 2 8" xfId="2151" xr:uid="{5953FC0D-8EA9-4473-92FE-548B0E41F857}"/>
    <cellStyle name="SAPBEXfilterDrill 2 2 9" xfId="5709" xr:uid="{973C04F8-119C-48EB-9DE4-48B009A5D885}"/>
    <cellStyle name="SAPBEXfilterDrill 2 3" xfId="1729" xr:uid="{DEDCD369-0B95-451E-9CBF-C7AA7B07661A}"/>
    <cellStyle name="SAPBEXfilterDrill 2 3 2" xfId="2705" xr:uid="{7329FC61-90E0-4E14-9B41-2B223A6092EE}"/>
    <cellStyle name="SAPBEXfilterDrill 2 3 2 2" xfId="4531" xr:uid="{85F64AED-AF11-4220-95DE-EAFFB4A4554F}"/>
    <cellStyle name="SAPBEXfilterDrill 2 3 2 3" xfId="5414" xr:uid="{4B680ACA-AB44-4D55-B578-2222545C318E}"/>
    <cellStyle name="SAPBEXfilterDrill 2 3 2 4" xfId="6009" xr:uid="{5C1877ED-E7BD-4D63-A5B6-03AFBAF26B9A}"/>
    <cellStyle name="SAPBEXfilterDrill 2 3 2 5" xfId="6348" xr:uid="{DE5B1101-578D-4DDF-BBB0-1BB87518AD64}"/>
    <cellStyle name="SAPBEXfilterDrill 2 3 2 6" xfId="6502" xr:uid="{54ACD929-0EB6-4390-9408-FE146AF3C4DA}"/>
    <cellStyle name="SAPBEXfilterDrill 2 3 3" xfId="2625" xr:uid="{7951449D-17D9-4E0F-9275-6E61A414A6B9}"/>
    <cellStyle name="SAPBEXfilterDrill 2 3 3 2" xfId="4525" xr:uid="{9C1BB1F6-F42C-4AB4-86A4-113E8BF05AB1}"/>
    <cellStyle name="SAPBEXfilterDrill 2 3 3 3" xfId="5407" xr:uid="{65F77AB4-9ACC-4183-AAEB-644218D77E84}"/>
    <cellStyle name="SAPBEXfilterDrill 2 3 3 4" xfId="6002" xr:uid="{FBC1D38B-7CC0-46B1-8103-DA099D5AD2C6}"/>
    <cellStyle name="SAPBEXfilterDrill 2 3 3 5" xfId="6341" xr:uid="{71CE8E2F-4292-4DF6-8E0A-4B99039ABD50}"/>
    <cellStyle name="SAPBEXfilterDrill 2 3 3 6" xfId="6494" xr:uid="{81067D9D-0A78-48BB-88B1-3590783C7BE7}"/>
    <cellStyle name="SAPBEXfilterDrill 2 3 4" xfId="3978" xr:uid="{A43FBDBE-E6ED-4D4E-AC87-8DE732D25E07}"/>
    <cellStyle name="SAPBEXfilterDrill 2 3 4 2" xfId="5150" xr:uid="{70DFAF93-F389-46A1-B3A5-2EF48666B025}"/>
    <cellStyle name="SAPBEXfilterDrill 2 3 4 3" xfId="5530" xr:uid="{2827745D-B8B7-44EC-8ED3-AA54B352223D}"/>
    <cellStyle name="SAPBEXfilterDrill 2 3 4 4" xfId="4692" xr:uid="{E63910D1-7F21-4C4B-B6D9-0167A34A29E3}"/>
    <cellStyle name="SAPBEXfilterDrill 2 3 4 5" xfId="6370" xr:uid="{5A310040-9630-49E0-9C4E-08AAB5698652}"/>
    <cellStyle name="SAPBEXfilterDrill 2 3 5" xfId="2851" xr:uid="{7DE69FA3-CCA5-4389-A873-54C176CAC81C}"/>
    <cellStyle name="SAPBEXfilterDrill 2 3 6" xfId="3993" xr:uid="{ABE60AAB-5966-41A6-B221-07DAB684A4B5}"/>
    <cellStyle name="SAPBEXfilterDrill 2 3 7" xfId="4916" xr:uid="{6025E067-3778-4361-9818-1ABA5E13276D}"/>
    <cellStyle name="SAPBEXfilterDrill 2 3 8" xfId="2713" xr:uid="{6787207D-AF7C-45A7-A62D-CADB100FFEAB}"/>
    <cellStyle name="SAPBEXfilterDrill 2 3 9" xfId="2572" xr:uid="{A640300D-1B07-4A2D-84E4-5316A12B3723}"/>
    <cellStyle name="SAPBEXfilterDrill 2 4" xfId="2565" xr:uid="{DD50224B-8FD8-4A29-875D-B649468CCDE1}"/>
    <cellStyle name="SAPBEXfilterDrill 2 4 2" xfId="4522" xr:uid="{621F2662-CA7F-4CB4-B17F-94EAD24707A1}"/>
    <cellStyle name="SAPBEXfilterDrill 2 4 3" xfId="5404" xr:uid="{28497A67-416F-4031-8987-C6FD5787CD60}"/>
    <cellStyle name="SAPBEXfilterDrill 2 4 4" xfId="6000" xr:uid="{E7342356-66F1-47E4-9FF0-ED48164DD235}"/>
    <cellStyle name="SAPBEXfilterDrill 2 4 5" xfId="6339" xr:uid="{2A43B62A-72AA-4E3E-B2AC-4BD119976ADF}"/>
    <cellStyle name="SAPBEXfilterDrill 2 4 6" xfId="6489" xr:uid="{83ECF06D-097B-4BE7-9973-903494F406D2}"/>
    <cellStyle name="SAPBEXfilterDrill 2 5" xfId="2584" xr:uid="{B73C8A4D-96CB-4A4E-8361-8ED1BFDC3859}"/>
    <cellStyle name="SAPBEXfilterDrill 2 5 2" xfId="4523" xr:uid="{E5A78261-FD13-41F5-8397-711AC2DF5C08}"/>
    <cellStyle name="SAPBEXfilterDrill 2 5 3" xfId="5405" xr:uid="{DC265410-3440-4594-8858-33069027E6CF}"/>
    <cellStyle name="SAPBEXfilterDrill 2 5 4" xfId="6001" xr:uid="{79AE7E41-CD50-4AAB-9808-C9C3BE8496C8}"/>
    <cellStyle name="SAPBEXfilterDrill 2 5 5" xfId="6340" xr:uid="{3B9AA495-462A-443F-B476-0F1A00BE572C}"/>
    <cellStyle name="SAPBEXfilterDrill 2 5 6" xfId="6491" xr:uid="{1739943E-FAD5-4D0C-ACBD-BBE184989764}"/>
    <cellStyle name="SAPBEXfilterDrill 2 6" xfId="3805" xr:uid="{17E77FF4-1EFA-4FC3-8BA0-DAE9507C5037}"/>
    <cellStyle name="SAPBEXfilterDrill 2 6 2" xfId="5046" xr:uid="{5E4FA30C-691C-4125-A96C-69CE5CA505C6}"/>
    <cellStyle name="SAPBEXfilterDrill 2 6 3" xfId="5155" xr:uid="{2D424B2A-48E8-4D68-98AF-56EE8D2F23A2}"/>
    <cellStyle name="SAPBEXfilterDrill 2 6 4" xfId="5063" xr:uid="{98B71168-ECBB-4373-9C3A-9407BA2A332D}"/>
    <cellStyle name="SAPBEXfilterDrill 2 6 5" xfId="4539" xr:uid="{DE9725AF-3900-494D-A64D-8E360D0B711E}"/>
    <cellStyle name="SAPBEXfilterDrill 2 7" xfId="1329" xr:uid="{37D34F23-6149-4E39-8985-F923B28EC92E}"/>
    <cellStyle name="SAPBEXfilterDrill 2 8" xfId="2801" xr:uid="{3C148EE9-B35E-419D-ABCB-91CCFFEE40B6}"/>
    <cellStyle name="SAPBEXfilterDrill 2 9" xfId="2636" xr:uid="{79146A5C-80FF-4055-9964-CAA1EF18DD7C}"/>
    <cellStyle name="SAPBEXfilterDrill 3" xfId="1584" xr:uid="{365F73AE-6D4F-4ED0-AFC2-A94314233962}"/>
    <cellStyle name="SAPBEXfilterDrill 3 2" xfId="2663" xr:uid="{F0785EAB-1CE1-4FFD-A670-30896815E01F}"/>
    <cellStyle name="SAPBEXfilterDrill 3 2 2" xfId="4527" xr:uid="{ABB784FA-DECE-4F8D-93A6-FDCDF1B886FA}"/>
    <cellStyle name="SAPBEXfilterDrill 3 2 3" xfId="5409" xr:uid="{277187D2-5045-4C7F-8414-0ABA76E96F35}"/>
    <cellStyle name="SAPBEXfilterDrill 3 2 4" xfId="6004" xr:uid="{9BF62D30-1852-44B9-8C7A-F0B1B0C0730D}"/>
    <cellStyle name="SAPBEXfilterDrill 3 2 5" xfId="6343" xr:uid="{524F52DF-9BCD-4FFF-9C69-F704BB06978E}"/>
    <cellStyle name="SAPBEXfilterDrill 3 2 6" xfId="6496" xr:uid="{71897CA1-AA65-46A9-AD78-30A089E41D24}"/>
    <cellStyle name="SAPBEXfilterDrill 3 3" xfId="2660" xr:uid="{3CA50DEE-D21D-4395-A3F6-A1C036C18868}"/>
    <cellStyle name="SAPBEXfilterDrill 3 3 2" xfId="4526" xr:uid="{C4FB7991-DCF2-45BF-A928-269D2D7817C6}"/>
    <cellStyle name="SAPBEXfilterDrill 3 3 3" xfId="5408" xr:uid="{84DAF6EC-6D51-45F8-B56D-3BF4F869BB96}"/>
    <cellStyle name="SAPBEXfilterDrill 3 3 4" xfId="6003" xr:uid="{39F44D86-B851-4714-B321-3DEDC11635DE}"/>
    <cellStyle name="SAPBEXfilterDrill 3 3 5" xfId="6342" xr:uid="{848052FA-13F2-4577-AFDA-4D9FE6EC1CE1}"/>
    <cellStyle name="SAPBEXfilterDrill 3 3 6" xfId="6495" xr:uid="{68F770B0-5490-4770-AA2A-33ABA7F62FEC}"/>
    <cellStyle name="SAPBEXfilterDrill 3 4" xfId="3913" xr:uid="{DF357875-F694-4E83-A9ED-AFF022E55F39}"/>
    <cellStyle name="SAPBEXfilterDrill 3 4 2" xfId="5115" xr:uid="{E73ACB10-55D1-4BFF-94A1-4831ADA65E14}"/>
    <cellStyle name="SAPBEXfilterDrill 3 4 3" xfId="5485" xr:uid="{494D812C-A0B2-448F-9B63-26A4FC404576}"/>
    <cellStyle name="SAPBEXfilterDrill 3 4 4" xfId="5567" xr:uid="{FECCDCC5-E729-4557-BA14-6A6944C6022C}"/>
    <cellStyle name="SAPBEXfilterDrill 3 4 5" xfId="5061" xr:uid="{E05C26DB-A889-4E6E-9FEC-1AC6E2D36A54}"/>
    <cellStyle name="SAPBEXfilterDrill 3 5" xfId="2646" xr:uid="{0B4B81F2-A0D0-4E80-927B-450D9219C4DD}"/>
    <cellStyle name="SAPBEXfilterDrill 3 6" xfId="2843" xr:uid="{A0360378-0E12-4CC7-8CB4-4F6F5C02965E}"/>
    <cellStyle name="SAPBEXfilterDrill 3 7" xfId="2778" xr:uid="{A9BC2CCF-2601-4912-968D-1558B5ADA66A}"/>
    <cellStyle name="SAPBEXfilterDrill 3 8" xfId="4840" xr:uid="{BD4F5F41-72FD-4EC2-AF2E-64B6A69F057F}"/>
    <cellStyle name="SAPBEXfilterDrill 3 9" xfId="5054" xr:uid="{D74075A7-A1FD-4C9D-8C66-C47094E7CC7C}"/>
    <cellStyle name="SAPBEXfilterDrill 4" xfId="1727" xr:uid="{155F09CF-3B22-4959-98E8-1C3930EB357F}"/>
    <cellStyle name="SAPBEXfilterDrill 4 2" xfId="2704" xr:uid="{25E24B5D-2E94-4C69-99FE-8A09B4557E58}"/>
    <cellStyle name="SAPBEXfilterDrill 4 2 2" xfId="4530" xr:uid="{4DAC94A0-0C79-4AF2-AA65-7D146352A384}"/>
    <cellStyle name="SAPBEXfilterDrill 4 2 3" xfId="5413" xr:uid="{8A2447EC-C376-486D-9ECB-20EC94E7EF1B}"/>
    <cellStyle name="SAPBEXfilterDrill 4 2 4" xfId="6008" xr:uid="{6461D30A-D075-42BD-BBA5-8E2C08E91E0D}"/>
    <cellStyle name="SAPBEXfilterDrill 4 2 5" xfId="6347" xr:uid="{4C62CF87-B74F-4BAD-9019-F79E3FB43981}"/>
    <cellStyle name="SAPBEXfilterDrill 4 2 6" xfId="6501" xr:uid="{C02A84AD-0AAB-4E46-A043-4F13E3A9C5B0}"/>
    <cellStyle name="SAPBEXfilterDrill 4 3" xfId="2798" xr:uid="{38143D1C-DD09-46CC-8F16-FA552E16EA85}"/>
    <cellStyle name="SAPBEXfilterDrill 4 3 2" xfId="4534" xr:uid="{F62CE630-15F1-4247-BFA9-02CA6FB7D704}"/>
    <cellStyle name="SAPBEXfilterDrill 4 3 3" xfId="5417" xr:uid="{2566D73E-C90A-4D5C-91F1-555B2E557E41}"/>
    <cellStyle name="SAPBEXfilterDrill 4 3 4" xfId="6012" xr:uid="{56A44625-74FB-44AE-B417-D4BB4F28B848}"/>
    <cellStyle name="SAPBEXfilterDrill 4 3 5" xfId="6351" xr:uid="{8BC2DF53-292C-498D-9DA7-50DD3617B6CE}"/>
    <cellStyle name="SAPBEXfilterDrill 4 3 6" xfId="6505" xr:uid="{7D9B8CC7-2C79-4EBD-84B6-2F7FAC8841B9}"/>
    <cellStyle name="SAPBEXfilterDrill 4 4" xfId="3976" xr:uid="{6B7B4E5F-57E6-49BD-8A28-10DE6C490690}"/>
    <cellStyle name="SAPBEXfilterDrill 4 4 2" xfId="5148" xr:uid="{F7437C7B-7376-4FF2-9B9A-53FC03057A7A}"/>
    <cellStyle name="SAPBEXfilterDrill 4 4 3" xfId="5528" xr:uid="{A8C99D92-7DB8-47FC-925D-1D8F087DAF40}"/>
    <cellStyle name="SAPBEXfilterDrill 4 4 4" xfId="5139" xr:uid="{459F178E-4D7E-4E63-9E38-83A314B77978}"/>
    <cellStyle name="SAPBEXfilterDrill 4 4 5" xfId="6368" xr:uid="{D7C94AE8-17A7-4938-8217-B55214021322}"/>
    <cellStyle name="SAPBEXfilterDrill 4 5" xfId="1133" xr:uid="{3D3D7C0D-BFA0-4659-8BE0-17E0055C4631}"/>
    <cellStyle name="SAPBEXfilterDrill 4 6" xfId="2841" xr:uid="{A194687E-0937-461A-A001-710C89B63AF6}"/>
    <cellStyle name="SAPBEXfilterDrill 4 7" xfId="4918" xr:uid="{16F7E1E2-2629-4F47-BC72-173EFB41EDE1}"/>
    <cellStyle name="SAPBEXfilterDrill 4 8" xfId="5064" xr:uid="{41F2BF57-0064-4B28-898C-F836E95A9B0B}"/>
    <cellStyle name="SAPBEXfilterDrill 4 9" xfId="4672" xr:uid="{91651771-AA40-4175-A0A8-E6B085838C1B}"/>
    <cellStyle name="SAPBEXfilterDrill 5" xfId="2277" xr:uid="{5B6BC5CE-78E6-4924-B0EC-0DC31CCE385C}"/>
    <cellStyle name="SAPBEXfilterDrill 5 2" xfId="2825" xr:uid="{43CE993C-6B4B-4A8B-9310-9016A31F31BB}"/>
    <cellStyle name="SAPBEXfilterDrill 5 2 2" xfId="4535" xr:uid="{154AC874-20B9-4962-8EF2-976F4F2F3E51}"/>
    <cellStyle name="SAPBEXfilterDrill 5 2 3" xfId="5418" xr:uid="{B2E0E9B4-8F5D-4AC2-B9D4-B3511FD29A5E}"/>
    <cellStyle name="SAPBEXfilterDrill 5 2 4" xfId="6014" xr:uid="{0D2C559D-0959-4A27-A66C-5536F848A85D}"/>
    <cellStyle name="SAPBEXfilterDrill 5 2 5" xfId="6352" xr:uid="{C1CEAB4D-6FFC-41E4-93BC-EE93F360013D}"/>
    <cellStyle name="SAPBEXfilterDrill 5 2 6" xfId="6506" xr:uid="{1DE02901-F4E0-4BB2-B3B2-0C0CDC72351C}"/>
    <cellStyle name="SAPBEXfilterDrill 5 3" xfId="2717" xr:uid="{810BCDF9-CBF9-47BB-A322-447A1E03C233}"/>
    <cellStyle name="SAPBEXfilterDrill 5 3 2" xfId="4532" xr:uid="{FFAD8C42-DDAD-4193-A3C1-5D34FF318233}"/>
    <cellStyle name="SAPBEXfilterDrill 5 3 3" xfId="5415" xr:uid="{DD1C92AA-EA1C-435B-AD4D-3CECF3D35B31}"/>
    <cellStyle name="SAPBEXfilterDrill 5 3 4" xfId="6010" xr:uid="{A4AF6958-A29B-4585-9CAF-CF1128DD3EF8}"/>
    <cellStyle name="SAPBEXfilterDrill 5 3 5" xfId="6349" xr:uid="{1DF7BBBC-30F4-437C-8E19-C4EFEA71ED4F}"/>
    <cellStyle name="SAPBEXfilterDrill 5 3 6" xfId="6503" xr:uid="{52C5AE7E-5125-4690-8B08-9D404F8AB01C}"/>
    <cellStyle name="SAPBEXfilterDrill 5 4" xfId="4260" xr:uid="{2FDA326F-DBC5-4C80-892D-8BB062874C52}"/>
    <cellStyle name="SAPBEXfilterDrill 5 4 2" xfId="5356" xr:uid="{273D2973-385D-4198-92AB-D86B77AFA53B}"/>
    <cellStyle name="SAPBEXfilterDrill 5 4 3" xfId="5772" xr:uid="{2946B5FE-4BC4-4E0D-8BFE-713F2BA5540E}"/>
    <cellStyle name="SAPBEXfilterDrill 5 4 4" xfId="6125" xr:uid="{E1F36C2F-6909-4FA5-B3C3-9809146467BD}"/>
    <cellStyle name="SAPBEXfilterDrill 5 4 5" xfId="6450" xr:uid="{4C893C6C-6C22-47E1-8872-96D5AFFF4BB2}"/>
    <cellStyle name="SAPBEXfilterDrill 5 5" xfId="2829" xr:uid="{EF9B51D7-74B5-42C9-A222-2811861D5977}"/>
    <cellStyle name="SAPBEXfilterDrill 5 6" xfId="4694" xr:uid="{96CE0042-3B7E-43BD-A35B-50710C402292}"/>
    <cellStyle name="SAPBEXfilterDrill 5 7" xfId="5076" xr:uid="{26058192-A9F4-4E39-B50E-DF03A729C451}"/>
    <cellStyle name="SAPBEXfilterDrill 5 8" xfId="5704" xr:uid="{CA7E1DC0-CA98-4754-8893-0B69B117B2BA}"/>
    <cellStyle name="SAPBEXfilterDrill 5 9" xfId="6023" xr:uid="{D1DCA8F0-1B1D-439A-A609-AD6A3735483C}"/>
    <cellStyle name="SAPBEXfilterDrill 6" xfId="1151" xr:uid="{8FD8A4B0-E144-466D-ABC6-0908CEBBE3BB}"/>
    <cellStyle name="SAPBEXfilterDrill 6 2" xfId="3707" xr:uid="{E5681D66-7DAC-4204-81BF-44888E813DFB}"/>
    <cellStyle name="SAPBEXfilterDrill 6 3" xfId="4998" xr:uid="{BE1A024B-9388-44FE-816E-F79728352B63}"/>
    <cellStyle name="SAPBEXfilterDrill 6 4" xfId="2681" xr:uid="{46B03CA9-351C-4D3B-ADB1-4E104B96D4BE}"/>
    <cellStyle name="SAPBEXfilterDrill 6 5" xfId="5440" xr:uid="{582A8B5F-C20E-41FB-92D7-45DC6781E7A5}"/>
    <cellStyle name="SAPBEXfilterDrill 6 6" xfId="5145" xr:uid="{13E2C97A-B260-4C6C-83A7-1833CFBDCE05}"/>
    <cellStyle name="SAPBEXfilterDrill 7" xfId="1687" xr:uid="{13BDAE11-D503-42B0-AEE4-F3C4365202B1}"/>
    <cellStyle name="SAPBEXfilterDrill 7 2" xfId="3954" xr:uid="{4D84F5C1-A473-4A3A-81E3-DF5D68D0E2ED}"/>
    <cellStyle name="SAPBEXfilterDrill 7 3" xfId="5142" xr:uid="{E0F2A52D-E543-47E7-AAD0-69BA8FA1186E}"/>
    <cellStyle name="SAPBEXfilterDrill 7 4" xfId="5517" xr:uid="{98519740-7406-4D11-BECC-B4E378F9AF39}"/>
    <cellStyle name="SAPBEXfilterDrill 7 5" xfId="5492" xr:uid="{A1265A05-756A-4F66-A7FA-950F4F5E75CD}"/>
    <cellStyle name="SAPBEXfilterDrill 7 6" xfId="6362" xr:uid="{FCB2EBF1-BDF5-4D17-A9DB-F04CF9E24EE5}"/>
    <cellStyle name="SAPBEXfilterDrill 8" xfId="2675" xr:uid="{EC9692D0-0687-40C7-8178-BCFD4600F0E3}"/>
    <cellStyle name="SAPBEXfilterDrill 8 2" xfId="4528" xr:uid="{C7912406-7178-48CC-B5DB-48BC5C3F5DCF}"/>
    <cellStyle name="SAPBEXfilterDrill 8 3" xfId="5410" xr:uid="{E1B13DA5-F2A7-4149-B1A5-55775D3701E9}"/>
    <cellStyle name="SAPBEXfilterDrill 8 4" xfId="6005" xr:uid="{AD7CDB4B-B31F-4642-8AB6-DCEE3A7B884D}"/>
    <cellStyle name="SAPBEXfilterDrill 8 5" xfId="6344" xr:uid="{990903F9-6ADA-4BAE-B66F-D7AF1D50CD51}"/>
    <cellStyle name="SAPBEXfilterDrill 8 6" xfId="6497" xr:uid="{63A0B01F-43BF-48FE-BE24-386DB89D5597}"/>
    <cellStyle name="SAPBEXfilterDrill 9" xfId="3553" xr:uid="{C9AF9096-23DD-46E2-A346-F4177BE40340}"/>
    <cellStyle name="SAPBEXfilterDrill 9 2" xfId="4962" xr:uid="{FD19FAB4-3AAA-4F57-AE4A-22AC8A9D5F17}"/>
    <cellStyle name="SAPBEXfilterDrill 9 3" xfId="4969" xr:uid="{A789A48B-2533-4A93-A6A1-D34BA2AF837B}"/>
    <cellStyle name="SAPBEXfilterDrill 9 4" xfId="2844" xr:uid="{AD5796EB-302A-405C-9F1C-8B67C7C34219}"/>
    <cellStyle name="SAPBEXfilterDrill 9 5" xfId="5654" xr:uid="{09F943CE-C5F5-4F36-B28D-D50124D02D86}"/>
    <cellStyle name="SAPBEXfilterItem" xfId="727" xr:uid="{00000000-0005-0000-0000-0000DF020000}"/>
    <cellStyle name="SAPBEXfilterText" xfId="728" xr:uid="{00000000-0005-0000-0000-0000E0020000}"/>
    <cellStyle name="SAPBEXformats" xfId="729" xr:uid="{00000000-0005-0000-0000-0000E1020000}"/>
    <cellStyle name="SAPBEXformats 2" xfId="730" xr:uid="{00000000-0005-0000-0000-0000E2020000}"/>
    <cellStyle name="SAPBEXformats 2 2" xfId="731" xr:uid="{00000000-0005-0000-0000-0000E3020000}"/>
    <cellStyle name="SAPBEXformats 2 2 2" xfId="2280" xr:uid="{84AD31C5-DC71-4007-978F-BF70D5A69D46}"/>
    <cellStyle name="SAPBEXformats 2 2 2 2" xfId="4263" xr:uid="{FEED7F43-5808-41A9-9923-CDBBEABD423C}"/>
    <cellStyle name="SAPBEXformats 2 2 2 2 2" xfId="5775" xr:uid="{C1AF332E-8293-4578-8897-1B871C4DDA56}"/>
    <cellStyle name="SAPBEXformats 2 2 2 2 3" xfId="6128" xr:uid="{89F84941-F3A2-41DB-A876-42DF8606F35D}"/>
    <cellStyle name="SAPBEXformats 2 2 2 2 4" xfId="2684" xr:uid="{5D6017F1-4B98-4368-83DE-57ECBC4C2838}"/>
    <cellStyle name="SAPBEXformats 2 2 2 3" xfId="2790" xr:uid="{87A015F6-BA31-417F-836C-9153623D0B96}"/>
    <cellStyle name="SAPBEXformats 2 2 2 4" xfId="5147" xr:uid="{00DE8009-0125-4814-B095-69088A7DC39A}"/>
    <cellStyle name="SAPBEXformats 2 2 2 5" xfId="4625" xr:uid="{B363407D-34D8-4454-85C5-FAEA5D4B96D7}"/>
    <cellStyle name="SAPBEXformats 2 2 3" xfId="2475" xr:uid="{473A24EF-4D78-4101-B424-7E86ECBCD843}"/>
    <cellStyle name="SAPBEXformats 2 2 3 2" xfId="4440" xr:uid="{8CDF2C58-FE4F-4146-9A5E-CAACC60D5C43}"/>
    <cellStyle name="SAPBEXformats 2 2 3 2 2" xfId="5925" xr:uid="{2BE39A8D-9208-4AD0-823B-EE95517B9F78}"/>
    <cellStyle name="SAPBEXformats 2 2 3 2 3" xfId="6267" xr:uid="{BD2EEB21-BD70-4794-A827-33CA63EA829A}"/>
    <cellStyle name="SAPBEXformats 2 2 3 2 4" xfId="6541" xr:uid="{EC36715E-6DBE-460D-B667-0730BB90A4BC}"/>
    <cellStyle name="SAPBEXformats 2 2 3 3" xfId="2977" xr:uid="{A78A2670-E038-4405-AC61-2C52F0D6DF05}"/>
    <cellStyle name="SAPBEXformats 2 2 3 4" xfId="5679" xr:uid="{20A9BE2A-36C4-493A-BC82-0628B986715D}"/>
    <cellStyle name="SAPBEXformats 2 2 3 5" xfId="4832" xr:uid="{547A41CC-E197-4C82-965A-51BCEF91E994}"/>
    <cellStyle name="SAPBEXformats 2 2 4" xfId="3554" xr:uid="{77F62572-0F86-4FA2-8583-87C98E8A2EBE}"/>
    <cellStyle name="SAPBEXformats 2 2 4 2" xfId="5016" xr:uid="{452BF708-0A95-4A07-BCC7-066DFC978125}"/>
    <cellStyle name="SAPBEXformats 2 2 4 3" xfId="5625" xr:uid="{5ABCB544-35D1-485A-A0B5-24530D06392E}"/>
    <cellStyle name="SAPBEXformats 2 2 4 4" xfId="4909" xr:uid="{D6A61AD9-5B7E-4B14-BC00-3D4A6053B01F}"/>
    <cellStyle name="SAPBEXformats 2 2 5" xfId="2861" xr:uid="{2B789BC2-97FF-4BC4-90AE-1D3761C7DFEF}"/>
    <cellStyle name="SAPBEXformats 2 2 6" xfId="5075" xr:uid="{92BA5DC5-E947-48E9-9CAB-D321988E9004}"/>
    <cellStyle name="SAPBEXformats 2 2 7" xfId="4948" xr:uid="{D33017C5-FD37-40E2-A3FD-88101439B772}"/>
    <cellStyle name="SAPBEXformats 2 2 8" xfId="6480" xr:uid="{19FB3349-C3D2-4BD4-92A3-7489C0D5BA71}"/>
    <cellStyle name="SAPBEXformats 2 3" xfId="2279" xr:uid="{F3F2B6DC-9679-458C-AF7B-1DF9E8E6E379}"/>
    <cellStyle name="SAPBEXformats 2 3 2" xfId="4262" xr:uid="{90C72B80-F5E0-4965-A2F4-02DFCA9C0B8A}"/>
    <cellStyle name="SAPBEXformats 2 3 2 2" xfId="5774" xr:uid="{B2A30982-383A-4704-9A42-0BE8C9B898E4}"/>
    <cellStyle name="SAPBEXformats 2 3 2 3" xfId="6127" xr:uid="{BD75C448-D6DF-4C90-B502-1A0D660818A9}"/>
    <cellStyle name="SAPBEXformats 2 3 2 4" xfId="5151" xr:uid="{FA590DE8-13AC-403C-9E4E-A0FCDE3B17CB}"/>
    <cellStyle name="SAPBEXformats 2 3 3" xfId="1334" xr:uid="{4968027D-9182-4094-B0BD-A9D589F16A46}"/>
    <cellStyle name="SAPBEXformats 2 3 4" xfId="4795" xr:uid="{065234AE-C21C-41A6-85B7-C29DB21CC9F9}"/>
    <cellStyle name="SAPBEXformats 2 3 5" xfId="4856" xr:uid="{CC2A5933-396B-4C1D-9168-AC64EF857CA9}"/>
    <cellStyle name="SAPBEXformats 2 4" xfId="2474" xr:uid="{31BDEB0D-B3FC-4738-9E5C-5910836D3041}"/>
    <cellStyle name="SAPBEXformats 2 4 2" xfId="4439" xr:uid="{06285BF3-9419-41F1-9D74-4F989EF0DFEA}"/>
    <cellStyle name="SAPBEXformats 2 4 2 2" xfId="5924" xr:uid="{2970CD16-BD4F-4FBB-A13E-0403FC564A45}"/>
    <cellStyle name="SAPBEXformats 2 4 2 3" xfId="6266" xr:uid="{0D0BDA3F-9771-418A-9B9E-C5458A78F128}"/>
    <cellStyle name="SAPBEXformats 2 4 2 4" xfId="6540" xr:uid="{BBC4754C-7286-4555-AF9D-76DF018EC6E0}"/>
    <cellStyle name="SAPBEXformats 2 4 3" xfId="2976" xr:uid="{D29350C3-1ABE-446D-99D1-27629A114A01}"/>
    <cellStyle name="SAPBEXformats 2 4 4" xfId="2878" xr:uid="{7FAC379D-24B6-4C11-8290-2364463828B6}"/>
    <cellStyle name="SAPBEXformats 2 4 5" xfId="5232" xr:uid="{94CA082F-55D1-4369-82FA-F3F707F74456}"/>
    <cellStyle name="SAPBEXformats 2 5" xfId="1300" xr:uid="{4D09D1C7-7721-44A3-800D-7077CEF8D99F}"/>
    <cellStyle name="SAPBEXformats 2 5 2" xfId="3807" xr:uid="{E8B42E73-1C84-4C5E-AB46-39F170CAB124}"/>
    <cellStyle name="SAPBEXformats 2 5 3" xfId="5588" xr:uid="{65412C80-24E4-4514-B61F-2781796EE802}"/>
    <cellStyle name="SAPBEXformats 2 5 4" xfId="6399" xr:uid="{F7486374-F000-42C4-926E-3328D48D7F3D}"/>
    <cellStyle name="SAPBEXformats 2 6" xfId="4716" xr:uid="{CBAB04EF-B489-4A3B-A607-885779C5F470}"/>
    <cellStyle name="SAPBEXformats 2 7" xfId="5326" xr:uid="{66ABA2D8-3C0B-4357-81B2-4153A454AD2B}"/>
    <cellStyle name="SAPBEXformats 2 8" xfId="5870" xr:uid="{46E73C3B-60CF-4918-8A24-6D8B1B184467}"/>
    <cellStyle name="SAPBEXformats 3" xfId="732" xr:uid="{00000000-0005-0000-0000-0000E4020000}"/>
    <cellStyle name="SAPBEXformats 3 2" xfId="2281" xr:uid="{A232BE63-1617-4B1D-AB7B-06735DC1A8BF}"/>
    <cellStyle name="SAPBEXformats 3 2 2" xfId="4264" xr:uid="{4C4FD0AE-FD3C-4D08-B06F-BF628DFB43BD}"/>
    <cellStyle name="SAPBEXformats 3 2 2 2" xfId="5776" xr:uid="{78C78709-9096-4DD4-99DD-318EBC4C619F}"/>
    <cellStyle name="SAPBEXformats 3 2 2 3" xfId="6129" xr:uid="{B69518EF-1D96-4E27-AC3A-6C03D8C9509A}"/>
    <cellStyle name="SAPBEXformats 3 2 2 4" xfId="6383" xr:uid="{9C99A81C-75F7-49B6-A828-7BC54CFBBEF4}"/>
    <cellStyle name="SAPBEXformats 3 2 3" xfId="2789" xr:uid="{59203519-A954-48B8-A002-8D195F97F5F3}"/>
    <cellStyle name="SAPBEXformats 3 2 4" xfId="4794" xr:uid="{52EDA592-D4FA-490B-ABE3-D539E93D9951}"/>
    <cellStyle name="SAPBEXformats 3 2 5" xfId="6359" xr:uid="{86BE7DD9-8CE2-48D1-8144-528101CC303B}"/>
    <cellStyle name="SAPBEXformats 3 3" xfId="2476" xr:uid="{CCC596B6-7CA6-4158-B1FB-9CA20AD4B785}"/>
    <cellStyle name="SAPBEXformats 3 3 2" xfId="4441" xr:uid="{4C8C6709-499B-4E64-B854-132F904EFE61}"/>
    <cellStyle name="SAPBEXformats 3 3 2 2" xfId="5926" xr:uid="{7F62B116-442D-4321-A21E-0748F80FBF5F}"/>
    <cellStyle name="SAPBEXformats 3 3 2 3" xfId="6268" xr:uid="{4B233F77-78DF-4CFF-9FD4-9C5AC107AEC8}"/>
    <cellStyle name="SAPBEXformats 3 3 2 4" xfId="6542" xr:uid="{02AA701A-7C54-41D3-ABB9-158A0A36BB7D}"/>
    <cellStyle name="SAPBEXformats 3 3 3" xfId="2978" xr:uid="{081B52C4-A085-4A2E-BBF5-6F2E9B9EC23E}"/>
    <cellStyle name="SAPBEXformats 3 3 4" xfId="2827" xr:uid="{00870A05-B481-47E3-A43A-82DE03DFFFFE}"/>
    <cellStyle name="SAPBEXformats 3 3 5" xfId="4617" xr:uid="{C93AB14D-A332-4253-A8EE-4EB0A778B780}"/>
    <cellStyle name="SAPBEXformats 3 4" xfId="3555" xr:uid="{BBA9EB1E-6210-4FE7-96E7-75C14FEE5CE5}"/>
    <cellStyle name="SAPBEXformats 3 4 2" xfId="5364" xr:uid="{C11F93E0-2BB4-4E2F-9F95-99E735536A2A}"/>
    <cellStyle name="SAPBEXformats 3 4 3" xfId="5104" xr:uid="{A781DBD4-79CB-4A7E-8606-764D11A5F83B}"/>
    <cellStyle name="SAPBEXformats 3 4 4" xfId="4921" xr:uid="{CBCC531C-F4B7-4791-9E38-2090D96E1AB6}"/>
    <cellStyle name="SAPBEXformats 3 5" xfId="2901" xr:uid="{FDEB4EB3-6557-4D43-861A-7C9559608AA1}"/>
    <cellStyle name="SAPBEXformats 3 6" xfId="5056" xr:uid="{0D980269-0643-46C9-82FC-1BF2FC19E644}"/>
    <cellStyle name="SAPBEXformats 3 7" xfId="5154" xr:uid="{69E15BB2-D6B7-4D87-A26D-F2449ED5F9B8}"/>
    <cellStyle name="SAPBEXformats 3 8" xfId="4862" xr:uid="{3A0F5960-6C85-416C-8D25-3605414EF279}"/>
    <cellStyle name="SAPBEXformats 4" xfId="2278" xr:uid="{E71242AD-FFAE-4E06-879A-2D93977CD503}"/>
    <cellStyle name="SAPBEXformats 4 2" xfId="4261" xr:uid="{09F047A3-71B6-4AAE-AF72-38C7EA7D0133}"/>
    <cellStyle name="SAPBEXformats 4 2 2" xfId="5773" xr:uid="{884DB666-5AB3-4CFE-9694-42C88051CBB2}"/>
    <cellStyle name="SAPBEXformats 4 2 3" xfId="6126" xr:uid="{12218993-B801-4656-B888-D75EB17DB4C6}"/>
    <cellStyle name="SAPBEXformats 4 2 4" xfId="5845" xr:uid="{E07F515D-8EDC-46E9-B2FF-8FE3B867C6BC}"/>
    <cellStyle name="SAPBEXformats 4 3" xfId="2910" xr:uid="{0E9DC208-D5C5-45E4-9B4D-AC2467210E98}"/>
    <cellStyle name="SAPBEXformats 4 4" xfId="5053" xr:uid="{3CFA6BD0-207A-4FD3-866D-2CD43399C1B5}"/>
    <cellStyle name="SAPBEXformats 4 5" xfId="5847" xr:uid="{201B4309-C93A-4DB9-997F-F408A0DD9B14}"/>
    <cellStyle name="SAPBEXformats 5" xfId="2473" xr:uid="{620687CC-16B9-4A76-92DC-8DA08B7F11AC}"/>
    <cellStyle name="SAPBEXformats 5 2" xfId="4438" xr:uid="{D9EE9423-D0D6-4F9A-9B63-E3FAE77AA56D}"/>
    <cellStyle name="SAPBEXformats 5 2 2" xfId="5923" xr:uid="{55718D48-B361-429D-8CAD-4B80727CF5DB}"/>
    <cellStyle name="SAPBEXformats 5 2 3" xfId="6265" xr:uid="{E5FC9B1B-BA4F-4B30-9252-37E6470C0303}"/>
    <cellStyle name="SAPBEXformats 5 2 4" xfId="6539" xr:uid="{BE4DF424-10C8-4646-8B38-C78F9012E823}"/>
    <cellStyle name="SAPBEXformats 5 3" xfId="2975" xr:uid="{0A9CCCB4-9968-43B0-AE88-B3ADA4FE5C2B}"/>
    <cellStyle name="SAPBEXformats 5 4" xfId="4590" xr:uid="{285629EE-6614-4453-A334-A527F6D33380}"/>
    <cellStyle name="SAPBEXformats 5 5" xfId="5352" xr:uid="{7DBD3B66-B702-4073-90DA-AB758173B9F7}"/>
    <cellStyle name="SAPBEXformats 6" xfId="1299" xr:uid="{2306882F-D6A2-4109-80DF-7E3771433DED}"/>
    <cellStyle name="SAPBEXformats 6 2" xfId="3806" xr:uid="{994D4959-CCE1-4549-B26E-96716E5694FC}"/>
    <cellStyle name="SAPBEXformats 6 3" xfId="2902" xr:uid="{CBF7DBFA-E7E5-43C7-AD1B-86E886FF59AF}"/>
    <cellStyle name="SAPBEXformats 6 4" xfId="4790" xr:uid="{2EC04ECA-32D6-46B6-AB76-495202EB92F0}"/>
    <cellStyle name="SAPBEXformats 7" xfId="5370" xr:uid="{7497563E-4FD6-4FA0-8E2F-E637A0AF9EC6}"/>
    <cellStyle name="SAPBEXformats 8" xfId="4632" xr:uid="{E36BDE17-FEF2-4BBE-9077-F949824565EA}"/>
    <cellStyle name="SAPBEXformats 9" xfId="5476" xr:uid="{D70EA518-CBAE-471A-9604-C7E22FFBEFED}"/>
    <cellStyle name="SAPBEXheaderItem" xfId="733" xr:uid="{00000000-0005-0000-0000-0000E5020000}"/>
    <cellStyle name="SAPBEXheaderText" xfId="734" xr:uid="{00000000-0005-0000-0000-0000E6020000}"/>
    <cellStyle name="SAPBEXHLevel0" xfId="735" xr:uid="{00000000-0005-0000-0000-0000E7020000}"/>
    <cellStyle name="SAPBEXHLevel0 2" xfId="736" xr:uid="{00000000-0005-0000-0000-0000E8020000}"/>
    <cellStyle name="SAPBEXHLevel0 2 2" xfId="737" xr:uid="{00000000-0005-0000-0000-0000E9020000}"/>
    <cellStyle name="SAPBEXHLevel0 2 2 2" xfId="2284" xr:uid="{5E194F56-6517-4B0B-89FE-ADC9FD80DDA3}"/>
    <cellStyle name="SAPBEXHLevel0 2 2 2 2" xfId="4267" xr:uid="{DF32B7FD-0D35-40E9-89D8-B0DABCCA96DC}"/>
    <cellStyle name="SAPBEXHLevel0 2 2 2 2 2" xfId="5779" xr:uid="{F75B79DF-4675-40A4-AE8C-EC9A994D3889}"/>
    <cellStyle name="SAPBEXHLevel0 2 2 2 2 3" xfId="6132" xr:uid="{34EAB869-9BDE-4391-9FF5-2E8C045C17B0}"/>
    <cellStyle name="SAPBEXHLevel0 2 2 2 2 4" xfId="4838" xr:uid="{CB9EB27B-640C-4297-A320-AB3E598F725B}"/>
    <cellStyle name="SAPBEXHLevel0 2 2 2 3" xfId="2908" xr:uid="{786EFDCA-A5CD-44BC-A299-D28B6BF341C9}"/>
    <cellStyle name="SAPBEXHLevel0 2 2 2 4" xfId="5080" xr:uid="{329CCE87-9069-48A1-8383-C4748137655F}"/>
    <cellStyle name="SAPBEXHLevel0 2 2 2 5" xfId="4571" xr:uid="{BD869347-64EC-41EA-B4B1-9FF02A4D16E9}"/>
    <cellStyle name="SAPBEXHLevel0 2 2 3" xfId="2479" xr:uid="{9BF61A3F-B2F8-4901-B30D-33B7EC6F7DC2}"/>
    <cellStyle name="SAPBEXHLevel0 2 2 3 2" xfId="4444" xr:uid="{238303F1-882D-43C6-A20B-905A11A8BC5B}"/>
    <cellStyle name="SAPBEXHLevel0 2 2 3 2 2" xfId="5929" xr:uid="{71DC509B-1DF9-4EAB-9D8E-915CDBA93CA8}"/>
    <cellStyle name="SAPBEXHLevel0 2 2 3 2 3" xfId="6271" xr:uid="{D8543D1F-46CC-4F5C-ACE0-49CFC982C29C}"/>
    <cellStyle name="SAPBEXHLevel0 2 2 3 2 4" xfId="6545" xr:uid="{396B06FE-8C7D-4735-B243-0122F4BF3FD7}"/>
    <cellStyle name="SAPBEXHLevel0 2 2 3 3" xfId="2981" xr:uid="{966CAEC6-2B1D-4829-8D1B-EF5894A1F896}"/>
    <cellStyle name="SAPBEXHLevel0 2 2 3 4" xfId="5203" xr:uid="{C047345B-12E5-42CD-A5E7-1338498E41B4}"/>
    <cellStyle name="SAPBEXHLevel0 2 2 3 5" xfId="5503" xr:uid="{7752B171-5301-4E1B-B18E-10964ABFC956}"/>
    <cellStyle name="SAPBEXHLevel0 2 2 4" xfId="3556" xr:uid="{4BE5F034-7DFB-439D-80E8-3DC49EA35EFC}"/>
    <cellStyle name="SAPBEXHLevel0 2 2 4 2" xfId="4705" xr:uid="{AC848C1F-9F75-4B2F-91DD-982A76ABD6EE}"/>
    <cellStyle name="SAPBEXHLevel0 2 2 4 3" xfId="4971" xr:uid="{3E225042-7CF9-4C5A-9101-925C970BD514}"/>
    <cellStyle name="SAPBEXHLevel0 2 2 4 4" xfId="6419" xr:uid="{BF277E69-F9E4-455F-A14C-D9158EEA8799}"/>
    <cellStyle name="SAPBEXHLevel0 2 2 5" xfId="2745" xr:uid="{7A09DD67-F272-48EA-AC97-FD35ED880D13}"/>
    <cellStyle name="SAPBEXHLevel0 2 2 6" xfId="5311" xr:uid="{80759EDA-C3E5-40C5-8798-5ECE84401BF3}"/>
    <cellStyle name="SAPBEXHLevel0 2 2 7" xfId="5242" xr:uid="{D9411E66-C5B2-48BF-8524-4B04B12DA406}"/>
    <cellStyle name="SAPBEXHLevel0 2 2 8" xfId="5855" xr:uid="{60642D9B-85E8-4DAC-9C1E-EAE8425D617D}"/>
    <cellStyle name="SAPBEXHLevel0 2 3" xfId="2283" xr:uid="{39D9AAEA-B840-4C54-A185-31A8AECFDB72}"/>
    <cellStyle name="SAPBEXHLevel0 2 3 2" xfId="4266" xr:uid="{7524B0BC-7B15-4711-A961-DA9796AA1F70}"/>
    <cellStyle name="SAPBEXHLevel0 2 3 2 2" xfId="5778" xr:uid="{4BCC77B2-6235-4B82-B696-ACF4C03B64AC}"/>
    <cellStyle name="SAPBEXHLevel0 2 3 2 3" xfId="6131" xr:uid="{58DC367E-D70A-494A-A7A8-829571CFEC1C}"/>
    <cellStyle name="SAPBEXHLevel0 2 3 2 4" xfId="4752" xr:uid="{E44BE129-C849-4839-AA68-9C634C89253F}"/>
    <cellStyle name="SAPBEXHLevel0 2 3 3" xfId="2599" xr:uid="{21F9480C-36D2-43DB-86C9-8EF783C8EB2C}"/>
    <cellStyle name="SAPBEXHLevel0 2 3 4" xfId="5705" xr:uid="{732C8A55-DE3A-402A-80EE-F25281EC4C2F}"/>
    <cellStyle name="SAPBEXHLevel0 2 3 5" xfId="5713" xr:uid="{D9D0668F-CE7A-4DB3-BFE6-F92C83559EC7}"/>
    <cellStyle name="SAPBEXHLevel0 2 4" xfId="2478" xr:uid="{C8CCC7FC-2AAF-4A8A-BAD5-5341B1EB089B}"/>
    <cellStyle name="SAPBEXHLevel0 2 4 2" xfId="4443" xr:uid="{D3840B29-B2B7-4561-B675-3D5978270BB4}"/>
    <cellStyle name="SAPBEXHLevel0 2 4 2 2" xfId="5928" xr:uid="{7EB61FEF-909E-4657-B1D7-C40920DCF927}"/>
    <cellStyle name="SAPBEXHLevel0 2 4 2 3" xfId="6270" xr:uid="{96E27D2E-1F19-410F-98FA-6B8C667FBFB4}"/>
    <cellStyle name="SAPBEXHLevel0 2 4 2 4" xfId="6544" xr:uid="{535791EE-B54D-4A4A-91E7-B0040209BF75}"/>
    <cellStyle name="SAPBEXHLevel0 2 4 3" xfId="2980" xr:uid="{D46A2CD7-CD2E-441D-AD32-777BA640B095}"/>
    <cellStyle name="SAPBEXHLevel0 2 4 4" xfId="5677" xr:uid="{58D38D04-F101-4595-A8EA-57054AD920DD}"/>
    <cellStyle name="SAPBEXHLevel0 2 4 5" xfId="5864" xr:uid="{6F1DD1AD-9B20-40FB-8D7E-B58D3679B4CF}"/>
    <cellStyle name="SAPBEXHLevel0 2 5" xfId="1303" xr:uid="{647597B2-8991-422B-B8C9-B3C26F1CC682}"/>
    <cellStyle name="SAPBEXHLevel0 2 5 2" xfId="3809" xr:uid="{8007D33C-3AD7-4BC6-BB25-2DD4F6B09639}"/>
    <cellStyle name="SAPBEXHLevel0 2 5 3" xfId="2842" xr:uid="{A40A22B9-69A3-473A-83E0-A8003C31EEFC}"/>
    <cellStyle name="SAPBEXHLevel0 2 5 4" xfId="6400" xr:uid="{12260CE4-326A-408D-8100-BA701FDD94B8}"/>
    <cellStyle name="SAPBEXHLevel0 2 6" xfId="4719" xr:uid="{FC104753-813D-40BB-9E85-B02CB473B19A}"/>
    <cellStyle name="SAPBEXHLevel0 2 7" xfId="4736" xr:uid="{3EA713D6-0FFA-41D2-92C8-D7F6442AAA32}"/>
    <cellStyle name="SAPBEXHLevel0 2 8" xfId="5361" xr:uid="{51E3722C-33D1-4FE5-BBE4-53962B7D8B0C}"/>
    <cellStyle name="SAPBEXHLevel0 3" xfId="738" xr:uid="{00000000-0005-0000-0000-0000EA020000}"/>
    <cellStyle name="SAPBEXHLevel0 3 2" xfId="2285" xr:uid="{DB67B8DA-92BE-42E9-AE90-052758D63580}"/>
    <cellStyle name="SAPBEXHLevel0 3 2 2" xfId="4268" xr:uid="{E610925F-951B-40B3-A3FD-A97C76A3B6FC}"/>
    <cellStyle name="SAPBEXHLevel0 3 2 2 2" xfId="5780" xr:uid="{FD7AEC72-103A-4243-8F75-74E8E5BDD077}"/>
    <cellStyle name="SAPBEXHLevel0 3 2 2 3" xfId="6133" xr:uid="{1128343A-87CF-454D-A42D-4CAE5DCE0FF9}"/>
    <cellStyle name="SAPBEXHLevel0 3 2 2 4" xfId="2780" xr:uid="{9F0D04C5-0332-4D97-A1B2-2F5BB51038CB}"/>
    <cellStyle name="SAPBEXHLevel0 3 2 3" xfId="2156" xr:uid="{ED62E701-67B6-47D8-A7D7-375798C09705}"/>
    <cellStyle name="SAPBEXHLevel0 3 2 4" xfId="5190" xr:uid="{73DA9043-09B1-47CD-8710-EF3205BE0411}"/>
    <cellStyle name="SAPBEXHLevel0 3 2 5" xfId="5518" xr:uid="{9F2567AF-6526-46CA-8D80-273A50D9A4E7}"/>
    <cellStyle name="SAPBEXHLevel0 3 3" xfId="2480" xr:uid="{EEF8C21A-9AB5-40E5-A715-9D801ED349C1}"/>
    <cellStyle name="SAPBEXHLevel0 3 3 2" xfId="4445" xr:uid="{4A4E3913-F65E-4574-A8A6-6D793641EFB0}"/>
    <cellStyle name="SAPBEXHLevel0 3 3 2 2" xfId="5930" xr:uid="{0563B2B5-FEDB-4759-83E3-8E6684950467}"/>
    <cellStyle name="SAPBEXHLevel0 3 3 2 3" xfId="6272" xr:uid="{1C04ADB3-B0C6-4AC3-9E64-9681F76F1E68}"/>
    <cellStyle name="SAPBEXHLevel0 3 3 2 4" xfId="6546" xr:uid="{372FF6BC-A1C7-4076-B44F-958605BC56BF}"/>
    <cellStyle name="SAPBEXHLevel0 3 3 3" xfId="2982" xr:uid="{7669C569-B622-4482-9315-BF9374EAAEED}"/>
    <cellStyle name="SAPBEXHLevel0 3 3 4" xfId="5678" xr:uid="{FED56F6D-5BCF-4179-9BEC-8D25E5896747}"/>
    <cellStyle name="SAPBEXHLevel0 3 3 5" xfId="6430" xr:uid="{6FBB9D4E-249B-4238-9C8F-E2158DF972B4}"/>
    <cellStyle name="SAPBEXHLevel0 3 4" xfId="3557" xr:uid="{1B1155E5-0C07-4068-96DB-EE193B4FF7BF}"/>
    <cellStyle name="SAPBEXHLevel0 3 4 2" xfId="5125" xr:uid="{534DFBDA-C2BE-45E2-94DE-935081786127}"/>
    <cellStyle name="SAPBEXHLevel0 3 4 3" xfId="5480" xr:uid="{A33F9D58-B126-4507-8983-6713C16596D2}"/>
    <cellStyle name="SAPBEXHLevel0 3 4 4" xfId="4867" xr:uid="{47C00F13-9718-42E2-8F77-D26D78E419E5}"/>
    <cellStyle name="SAPBEXHLevel0 3 5" xfId="2743" xr:uid="{22426DBC-AF08-4BA0-BDC0-4DCAADF339AC}"/>
    <cellStyle name="SAPBEXHLevel0 3 6" xfId="5267" xr:uid="{8022B4CF-B1C5-4A5F-9C44-9E83FE225C88}"/>
    <cellStyle name="SAPBEXHLevel0 3 7" xfId="5152" xr:uid="{6CE06181-BB44-43B7-A621-F22F0E7BD92A}"/>
    <cellStyle name="SAPBEXHLevel0 3 8" xfId="6458" xr:uid="{15B8B3A4-E4DB-47A6-9031-865B711044BA}"/>
    <cellStyle name="SAPBEXHLevel0 4" xfId="2282" xr:uid="{4E010789-4592-4E3F-930C-8DCC9974798B}"/>
    <cellStyle name="SAPBEXHLevel0 4 2" xfId="4265" xr:uid="{3984C17A-C002-4FBE-B346-AAC85E837D24}"/>
    <cellStyle name="SAPBEXHLevel0 4 2 2" xfId="5777" xr:uid="{5F48FEA4-EEB7-4319-A70D-D33865F78233}"/>
    <cellStyle name="SAPBEXHLevel0 4 2 3" xfId="6130" xr:uid="{EA18EBA4-4AA2-4254-9F44-26FA4777B35A}"/>
    <cellStyle name="SAPBEXHLevel0 4 2 4" xfId="5580" xr:uid="{3EF684DD-00A3-4D6F-A01C-85DECE36C1A9}"/>
    <cellStyle name="SAPBEXHLevel0 4 3" xfId="2666" xr:uid="{D79B1B50-0B91-4F93-92DD-B338BA686CC4}"/>
    <cellStyle name="SAPBEXHLevel0 4 4" xfId="5458" xr:uid="{3C0BE488-25F4-4F70-BCC5-470480D800C6}"/>
    <cellStyle name="SAPBEXHLevel0 4 5" xfId="6440" xr:uid="{977478D2-DE2E-4F3C-B953-9B5BA08F3982}"/>
    <cellStyle name="SAPBEXHLevel0 5" xfId="2477" xr:uid="{07B143CA-7551-485E-AD79-B7F498DD40C9}"/>
    <cellStyle name="SAPBEXHLevel0 5 2" xfId="4442" xr:uid="{E9C4119A-6CD2-4E80-A768-A3F09942E007}"/>
    <cellStyle name="SAPBEXHLevel0 5 2 2" xfId="5927" xr:uid="{6E3F7109-B154-4244-8241-799C8E5A224A}"/>
    <cellStyle name="SAPBEXHLevel0 5 2 3" xfId="6269" xr:uid="{03160EC9-E611-40D2-BD35-1DF03B114701}"/>
    <cellStyle name="SAPBEXHLevel0 5 2 4" xfId="6543" xr:uid="{B0F279B7-56FF-48A6-B0B5-849D7490C5CE}"/>
    <cellStyle name="SAPBEXHLevel0 5 3" xfId="2979" xr:uid="{06A440CF-11B3-48B7-B270-AA686E44084D}"/>
    <cellStyle name="SAPBEXHLevel0 5 4" xfId="4806" xr:uid="{6E1BA80D-F663-42AA-A836-60AC7EDC4F6F}"/>
    <cellStyle name="SAPBEXHLevel0 5 5" xfId="5535" xr:uid="{2E7DF733-73C4-4071-88ED-ECDFB5AF45B1}"/>
    <cellStyle name="SAPBEXHLevel0 6" xfId="1302" xr:uid="{3411BCF1-DC01-4417-A903-07D95839533C}"/>
    <cellStyle name="SAPBEXHLevel0 6 2" xfId="3808" xr:uid="{8F5D0C01-8036-45B2-9C9A-48ECA7105D6D}"/>
    <cellStyle name="SAPBEXHLevel0 6 3" xfId="4983" xr:uid="{F0561E2D-7A80-44C9-94F9-59C6FEA6D8BC}"/>
    <cellStyle name="SAPBEXHLevel0 6 4" xfId="4666" xr:uid="{F18E6030-815C-41FB-BD57-3B43743A9615}"/>
    <cellStyle name="SAPBEXHLevel0 7" xfId="5373" xr:uid="{5624073C-EA6A-4879-937D-9464BD848478}"/>
    <cellStyle name="SAPBEXHLevel0 8" xfId="5383" xr:uid="{A31C3E72-9686-4809-BA65-55B142A002D7}"/>
    <cellStyle name="SAPBEXHLevel0 9" xfId="6365" xr:uid="{09829F7E-7641-44C8-89FD-137E0377F865}"/>
    <cellStyle name="SAPBEXHLevel0X" xfId="739" xr:uid="{00000000-0005-0000-0000-0000EB020000}"/>
    <cellStyle name="SAPBEXHLevel0X 2" xfId="740" xr:uid="{00000000-0005-0000-0000-0000EC020000}"/>
    <cellStyle name="SAPBEXHLevel0X 2 2" xfId="741" xr:uid="{00000000-0005-0000-0000-0000ED020000}"/>
    <cellStyle name="SAPBEXHLevel0X 2 2 2" xfId="2288" xr:uid="{6BA0154A-A905-40C4-AF11-729524C99C49}"/>
    <cellStyle name="SAPBEXHLevel0X 2 2 2 2" xfId="4271" xr:uid="{E61A76C6-1FA5-400B-93CA-1F0E297B8951}"/>
    <cellStyle name="SAPBEXHLevel0X 2 2 2 2 2" xfId="5783" xr:uid="{E1BC153F-1DC0-4D68-A728-99AD2F04B7D3}"/>
    <cellStyle name="SAPBEXHLevel0X 2 2 2 2 3" xfId="6136" xr:uid="{605F9945-0C99-494B-8D5C-868F5FF3529A}"/>
    <cellStyle name="SAPBEXHLevel0X 2 2 2 2 4" xfId="4879" xr:uid="{B2E52F37-ABB9-4008-83E2-8053D6AD22F8}"/>
    <cellStyle name="SAPBEXHLevel0X 2 2 2 3" xfId="2637" xr:uid="{03FD9D4C-D9D5-4233-92E9-AA704DE69960}"/>
    <cellStyle name="SAPBEXHLevel0X 2 2 2 4" xfId="5324" xr:uid="{F311202E-AB50-4703-ACFD-9E389EDB3260}"/>
    <cellStyle name="SAPBEXHLevel0X 2 2 2 5" xfId="4968" xr:uid="{5CE292CD-33EA-4324-A042-DD8C7C3A661E}"/>
    <cellStyle name="SAPBEXHLevel0X 2 2 3" xfId="2483" xr:uid="{25B08066-D935-4555-A3A6-2B86F8B71FE8}"/>
    <cellStyle name="SAPBEXHLevel0X 2 2 3 2" xfId="4448" xr:uid="{AC2E847A-23F9-457D-A742-BC31AADDDCE8}"/>
    <cellStyle name="SAPBEXHLevel0X 2 2 3 2 2" xfId="5933" xr:uid="{DD4CD3C6-A891-43EB-A35D-E1C6326ACDCC}"/>
    <cellStyle name="SAPBEXHLevel0X 2 2 3 2 3" xfId="6275" xr:uid="{CB38E3E6-91DA-4328-BD0F-747E8EFF1CFB}"/>
    <cellStyle name="SAPBEXHLevel0X 2 2 3 2 4" xfId="6549" xr:uid="{38A21F90-77D2-4932-91ED-D70F88D6357F}"/>
    <cellStyle name="SAPBEXHLevel0X 2 2 3 3" xfId="2985" xr:uid="{9AA43378-DF25-43E0-AE58-932D02977630}"/>
    <cellStyle name="SAPBEXHLevel0X 2 2 3 4" xfId="4805" xr:uid="{769A2A39-DA1A-4B0E-8946-0461BF1F357A}"/>
    <cellStyle name="SAPBEXHLevel0X 2 2 3 5" xfId="5126" xr:uid="{6439AA73-E2A4-4D20-A3F9-1099C12BAA97}"/>
    <cellStyle name="SAPBEXHLevel0X 2 2 4" xfId="3558" xr:uid="{9885BA96-9458-465C-A0B0-50FD5088BD54}"/>
    <cellStyle name="SAPBEXHLevel0X 2 2 4 2" xfId="2142" xr:uid="{F0253A4E-A310-413E-B87B-7E72C10D6AE9}"/>
    <cellStyle name="SAPBEXHLevel0X 2 2 4 3" xfId="5623" xr:uid="{78FED9EC-ACE7-498F-8459-250CF3F95DBF}"/>
    <cellStyle name="SAPBEXHLevel0X 2 2 4 4" xfId="5062" xr:uid="{6F7AAC9E-DAD0-4891-8B8E-336A56FE245C}"/>
    <cellStyle name="SAPBEXHLevel0X 2 2 5" xfId="2214" xr:uid="{EBA8EE03-1A62-4E4F-BF92-A746593B2F05}"/>
    <cellStyle name="SAPBEXHLevel0X 2 2 6" xfId="4562" xr:uid="{2DE247D3-D462-4832-A663-43F1E74F4953}"/>
    <cellStyle name="SAPBEXHLevel0X 2 2 7" xfId="2884" xr:uid="{45579180-72C1-43F2-A3D3-1E1C2F04FB0B}"/>
    <cellStyle name="SAPBEXHLevel0X 2 2 8" xfId="5867" xr:uid="{51561E4F-C8E5-44B2-9475-7EE659D3E7E1}"/>
    <cellStyle name="SAPBEXHLevel0X 2 3" xfId="2287" xr:uid="{0E9AB4CC-91C5-4542-A36F-AACD28C4D391}"/>
    <cellStyle name="SAPBEXHLevel0X 2 3 2" xfId="4270" xr:uid="{BBE869F9-3B06-4273-AF32-D35F6630B74F}"/>
    <cellStyle name="SAPBEXHLevel0X 2 3 2 2" xfId="5782" xr:uid="{EC247D6C-04CA-4BF7-8E8E-886CA1EF6418}"/>
    <cellStyle name="SAPBEXHLevel0X 2 3 2 3" xfId="6135" xr:uid="{6A09F316-30D4-44EC-B835-B9A8A9450BD2}"/>
    <cellStyle name="SAPBEXHLevel0X 2 3 2 4" xfId="6204" xr:uid="{179DED3D-FB58-4CF6-B92F-F1E4B598FE1F}"/>
    <cellStyle name="SAPBEXHLevel0X 2 3 3" xfId="2895" xr:uid="{F9FCA525-8B19-43E9-8EF6-146C8650257C}"/>
    <cellStyle name="SAPBEXHLevel0X 2 3 4" xfId="5040" xr:uid="{10BB2DF7-A477-4D3E-87F2-2B49EF2AC014}"/>
    <cellStyle name="SAPBEXHLevel0X 2 3 5" xfId="6030" xr:uid="{48564636-7335-4706-ADD5-245BA8744A5D}"/>
    <cellStyle name="SAPBEXHLevel0X 2 4" xfId="2482" xr:uid="{7D9653E8-AF16-4ECE-A1C5-998DEF926DA9}"/>
    <cellStyle name="SAPBEXHLevel0X 2 4 2" xfId="4447" xr:uid="{F41D6B3B-329B-499C-A640-7F294E4BF101}"/>
    <cellStyle name="SAPBEXHLevel0X 2 4 2 2" xfId="5932" xr:uid="{17B3F996-D817-435B-ACD9-EFAF9EB51603}"/>
    <cellStyle name="SAPBEXHLevel0X 2 4 2 3" xfId="6274" xr:uid="{A0AE6B43-180E-4D89-9056-71EA85375739}"/>
    <cellStyle name="SAPBEXHLevel0X 2 4 2 4" xfId="6548" xr:uid="{E78DAB93-F9FE-42D2-8349-587A1AA4BC8E}"/>
    <cellStyle name="SAPBEXHLevel0X 2 4 3" xfId="2984" xr:uid="{17771985-68D8-4BBD-BE2C-F4A36AADE589}"/>
    <cellStyle name="SAPBEXHLevel0X 2 4 4" xfId="5284" xr:uid="{18907E68-8C6F-44D2-965E-6BBB920F5137}"/>
    <cellStyle name="SAPBEXHLevel0X 2 4 5" xfId="4662" xr:uid="{9FEA6B7D-420A-4DEA-96BE-023F78F50543}"/>
    <cellStyle name="SAPBEXHLevel0X 2 5" xfId="1305" xr:uid="{0688FA17-6B2B-4F26-89FB-2B6D554B4CE0}"/>
    <cellStyle name="SAPBEXHLevel0X 2 5 2" xfId="3811" xr:uid="{B821FC55-BE16-4558-9A5B-231431FE0980}"/>
    <cellStyle name="SAPBEXHLevel0X 2 5 3" xfId="2785" xr:uid="{5DCB52C1-DB1E-4258-92C5-C531B9629743}"/>
    <cellStyle name="SAPBEXHLevel0X 2 5 4" xfId="5117" xr:uid="{9990426C-DC5C-44B7-83BB-33472A18DDA9}"/>
    <cellStyle name="SAPBEXHLevel0X 2 6" xfId="4042" xr:uid="{03711901-4C94-449F-A3DE-984EDD6F3882}"/>
    <cellStyle name="SAPBEXHLevel0X 2 7" xfId="5331" xr:uid="{C016DE33-93BD-4211-B005-1C4082A4CE84}"/>
    <cellStyle name="SAPBEXHLevel0X 2 8" xfId="4915" xr:uid="{E51D6966-E91F-4E32-AE58-29D0C579F4EC}"/>
    <cellStyle name="SAPBEXHLevel0X 3" xfId="742" xr:uid="{00000000-0005-0000-0000-0000EE020000}"/>
    <cellStyle name="SAPBEXHLevel0X 3 2" xfId="2289" xr:uid="{A88E99D5-7192-4F5E-9D48-F316E632A197}"/>
    <cellStyle name="SAPBEXHLevel0X 3 2 2" xfId="4272" xr:uid="{5FEED1B0-5E66-4710-AE94-8D3A6B0AA2D1}"/>
    <cellStyle name="SAPBEXHLevel0X 3 2 2 2" xfId="5784" xr:uid="{A0B93668-B6B8-4390-9004-1A283C4F35F2}"/>
    <cellStyle name="SAPBEXHLevel0X 3 2 2 3" xfId="6137" xr:uid="{C9890EB8-1D07-4A69-93AF-D6362E1F3A03}"/>
    <cellStyle name="SAPBEXHLevel0X 3 2 2 4" xfId="2169" xr:uid="{EECCF320-B32F-418C-A565-A1426E974019}"/>
    <cellStyle name="SAPBEXHLevel0X 3 2 3" xfId="2614" xr:uid="{275A4A87-FE7F-4CA1-805E-6573D06B1700}"/>
    <cellStyle name="SAPBEXHLevel0X 3 2 4" xfId="5193" xr:uid="{F06B6ABF-3BBE-47FF-871B-CA5FC7E59203}"/>
    <cellStyle name="SAPBEXHLevel0X 3 2 5" xfId="6015" xr:uid="{FC079812-416E-48AE-A10F-A975DDAE9448}"/>
    <cellStyle name="SAPBEXHLevel0X 3 3" xfId="2484" xr:uid="{3339332A-82F7-43BA-84F7-6C008B73B096}"/>
    <cellStyle name="SAPBEXHLevel0X 3 3 2" xfId="4449" xr:uid="{4D67029A-9F72-4515-8C98-C2363E2D3D60}"/>
    <cellStyle name="SAPBEXHLevel0X 3 3 2 2" xfId="5934" xr:uid="{8C6D14A3-E8E2-4129-9BD2-936F63AFA20F}"/>
    <cellStyle name="SAPBEXHLevel0X 3 3 2 3" xfId="6276" xr:uid="{A101AB27-27AF-4AC4-83E4-6398DF713B62}"/>
    <cellStyle name="SAPBEXHLevel0X 3 3 2 4" xfId="6550" xr:uid="{BDB85C54-4881-4841-A4C1-C48DD1D02A3F}"/>
    <cellStyle name="SAPBEXHLevel0X 3 3 3" xfId="2986" xr:uid="{3B8DD3E1-4604-412A-BB02-CDFA774705AF}"/>
    <cellStyle name="SAPBEXHLevel0X 3 3 4" xfId="5470" xr:uid="{CE6BFA1D-09A2-4EDE-A3AD-DB04EEAB134A}"/>
    <cellStyle name="SAPBEXHLevel0X 3 3 5" xfId="5554" xr:uid="{EA2078FD-D3F1-4E1A-B467-0643A06C21B5}"/>
    <cellStyle name="SAPBEXHLevel0X 3 4" xfId="3559" xr:uid="{E260CDBE-104E-46BC-B809-B2DC68B66558}"/>
    <cellStyle name="SAPBEXHLevel0X 3 4 2" xfId="2779" xr:uid="{EA4E3429-6852-40E2-88A3-DF25851D6484}"/>
    <cellStyle name="SAPBEXHLevel0X 3 4 3" xfId="4602" xr:uid="{F2C8DA2A-32BC-4DA6-9B5E-ED7BF6B41B49}"/>
    <cellStyle name="SAPBEXHLevel0X 3 4 4" xfId="4947" xr:uid="{E8B3440A-0BEC-4821-8819-AEABAFB4E29F}"/>
    <cellStyle name="SAPBEXHLevel0X 3 5" xfId="2918" xr:uid="{7CB7C6DC-099C-4E61-9C1C-6134F0239E8B}"/>
    <cellStyle name="SAPBEXHLevel0X 3 6" xfId="2754" xr:uid="{17818813-94F6-4B9B-8CCE-18B71B69FBE7}"/>
    <cellStyle name="SAPBEXHLevel0X 3 7" xfId="5637" xr:uid="{F682B688-FF96-4308-A266-723BCA98BE46}"/>
    <cellStyle name="SAPBEXHLevel0X 3 8" xfId="4781" xr:uid="{2D92DFAC-0371-4C5C-BF6E-5D72EC092000}"/>
    <cellStyle name="SAPBEXHLevel0X 4" xfId="2286" xr:uid="{E7ECBD70-F929-46FF-B767-79149C6CB866}"/>
    <cellStyle name="SAPBEXHLevel0X 4 2" xfId="4269" xr:uid="{886276D7-AE39-4915-8A02-AE0152BD5B26}"/>
    <cellStyle name="SAPBEXHLevel0X 4 2 2" xfId="5781" xr:uid="{FF3593F4-7DED-4E37-B3EE-180A717FCEE4}"/>
    <cellStyle name="SAPBEXHLevel0X 4 2 3" xfId="6134" xr:uid="{F01D5179-5D52-4513-ABD8-2EB1BACD26D8}"/>
    <cellStyle name="SAPBEXHLevel0X 4 2 4" xfId="5634" xr:uid="{D1F8ECD9-A4C2-4E39-94A1-85672A642403}"/>
    <cellStyle name="SAPBEXHLevel0X 4 3" xfId="2604" xr:uid="{6CCCA3FB-017F-4EFE-B8E1-663047F49893}"/>
    <cellStyle name="SAPBEXHLevel0X 4 4" xfId="4082" xr:uid="{1B073370-B7B1-4215-81CC-D0B86FC42C08}"/>
    <cellStyle name="SAPBEXHLevel0X 4 5" xfId="1360" xr:uid="{E060F514-6BC0-490F-BB98-48A3C23979EC}"/>
    <cellStyle name="SAPBEXHLevel0X 5" xfId="2481" xr:uid="{FDE87151-28D1-4F47-8CE2-A1E2B01B8CAE}"/>
    <cellStyle name="SAPBEXHLevel0X 5 2" xfId="4446" xr:uid="{0E745282-4AFA-41D9-9870-FE1C30F91BD3}"/>
    <cellStyle name="SAPBEXHLevel0X 5 2 2" xfId="5931" xr:uid="{80FF809B-23EB-4BD8-B3EF-AB7C6EFB4460}"/>
    <cellStyle name="SAPBEXHLevel0X 5 2 3" xfId="6273" xr:uid="{572001B2-B669-4D0F-8591-D19F784D2609}"/>
    <cellStyle name="SAPBEXHLevel0X 5 2 4" xfId="6547" xr:uid="{7525BEEC-DFA1-466B-9E54-59A8400F59D1}"/>
    <cellStyle name="SAPBEXHLevel0X 5 3" xfId="2983" xr:uid="{552DC6B4-5F00-4A45-9B58-099611929944}"/>
    <cellStyle name="SAPBEXHLevel0X 5 4" xfId="4591" xr:uid="{709D641F-D27D-4326-92F9-2AC3F97878E7}"/>
    <cellStyle name="SAPBEXHLevel0X 5 5" xfId="5259" xr:uid="{D5C1C9F6-44C7-4967-A617-D6A9B294F78F}"/>
    <cellStyle name="SAPBEXHLevel0X 6" xfId="1304" xr:uid="{F5E74A59-4D7B-4DA5-8650-F27C9BBFBEAE}"/>
    <cellStyle name="SAPBEXHLevel0X 6 2" xfId="3810" xr:uid="{2BA16155-B9A2-4B32-A629-B0F484FF0E80}"/>
    <cellStyle name="SAPBEXHLevel0X 6 3" xfId="5587" xr:uid="{9B5BCF85-7862-4A60-97C0-C5FB9ACC1DFF}"/>
    <cellStyle name="SAPBEXHLevel0X 6 4" xfId="4055" xr:uid="{36BCE571-7BD8-4F09-B61C-DE27059C7947}"/>
    <cellStyle name="SAPBEXHLevel0X 7" xfId="5338" xr:uid="{5E92DAA0-6561-45F6-B8DD-7167BE4DCE16}"/>
    <cellStyle name="SAPBEXHLevel0X 8" xfId="5349" xr:uid="{0CD05165-12FD-48C9-8226-640B852F62D3}"/>
    <cellStyle name="SAPBEXHLevel0X 9" xfId="5231" xr:uid="{C740B72B-C4C2-4823-9F5D-65F24E278C3B}"/>
    <cellStyle name="SAPBEXHLevel1" xfId="743" xr:uid="{00000000-0005-0000-0000-0000EF020000}"/>
    <cellStyle name="SAPBEXHLevel1 2" xfId="744" xr:uid="{00000000-0005-0000-0000-0000F0020000}"/>
    <cellStyle name="SAPBEXHLevel1 2 2" xfId="745" xr:uid="{00000000-0005-0000-0000-0000F1020000}"/>
    <cellStyle name="SAPBEXHLevel1 2 2 2" xfId="2292" xr:uid="{1C4D867C-6A3C-42D3-AE0F-31C3450FF464}"/>
    <cellStyle name="SAPBEXHLevel1 2 2 2 2" xfId="4275" xr:uid="{5C00DD83-84A7-482E-AFE8-A7F6DC2C3D97}"/>
    <cellStyle name="SAPBEXHLevel1 2 2 2 2 2" xfId="5787" xr:uid="{451C8B71-5316-4DFC-82B6-E800EE126C55}"/>
    <cellStyle name="SAPBEXHLevel1 2 2 2 2 3" xfId="6140" xr:uid="{23C8C137-79E1-41E2-AB0F-5343C35E7900}"/>
    <cellStyle name="SAPBEXHLevel1 2 2 2 2 4" xfId="4742" xr:uid="{B3BB66CD-E85F-41BF-8ABE-0B2D035E047A}"/>
    <cellStyle name="SAPBEXHLevel1 2 2 2 3" xfId="2708" xr:uid="{D3F29C18-2595-4A29-9358-9E38F95A7F2A}"/>
    <cellStyle name="SAPBEXHLevel1 2 2 2 4" xfId="4050" xr:uid="{87A5C199-CBB9-47BC-8473-7DA46A7C7E6E}"/>
    <cellStyle name="SAPBEXHLevel1 2 2 2 5" xfId="4734" xr:uid="{4ADC38C0-93DC-4795-B2C8-8AF6237DD43C}"/>
    <cellStyle name="SAPBEXHLevel1 2 2 3" xfId="2487" xr:uid="{6CD1F784-57E1-4A0D-867E-BF1B6B25F879}"/>
    <cellStyle name="SAPBEXHLevel1 2 2 3 2" xfId="4452" xr:uid="{74AE684A-A192-4B8B-ADEE-36AD3195B35D}"/>
    <cellStyle name="SAPBEXHLevel1 2 2 3 2 2" xfId="5937" xr:uid="{7043924B-A162-4BE3-BDE8-5F52BF025F94}"/>
    <cellStyle name="SAPBEXHLevel1 2 2 3 2 3" xfId="6279" xr:uid="{B4DEC311-1EAA-4C89-BF04-7D9D792CD167}"/>
    <cellStyle name="SAPBEXHLevel1 2 2 3 2 4" xfId="6553" xr:uid="{F963DA99-5437-46AE-8985-4B4F9894E6C7}"/>
    <cellStyle name="SAPBEXHLevel1 2 2 3 3" xfId="2989" xr:uid="{D3E42122-1F53-4810-9AE7-2828725D2953}"/>
    <cellStyle name="SAPBEXHLevel1 2 2 3 4" xfId="5202" xr:uid="{7FD9323C-FB49-449B-8B57-9B3DA91A7C7D}"/>
    <cellStyle name="SAPBEXHLevel1 2 2 3 5" xfId="4854" xr:uid="{FB072B13-81A7-42BF-B94F-9EBC35801547}"/>
    <cellStyle name="SAPBEXHLevel1 2 2 4" xfId="3560" xr:uid="{2D67F5B2-AA13-4F69-937A-318E0FB6FBF1}"/>
    <cellStyle name="SAPBEXHLevel1 2 2 4 2" xfId="4786" xr:uid="{0C6C8F5C-EB33-4EED-87C3-264DA0771D8B}"/>
    <cellStyle name="SAPBEXHLevel1 2 2 4 3" xfId="4642" xr:uid="{974E44FC-4F13-4D5E-BC1A-2FD78F6F4783}"/>
    <cellStyle name="SAPBEXHLevel1 2 2 4 4" xfId="4104" xr:uid="{92897354-AA39-498A-BBC6-D5A344EAC2D6}"/>
    <cellStyle name="SAPBEXHLevel1 2 2 5" xfId="2817" xr:uid="{E6CDA487-22A6-4FC1-807C-8F7807ED9406}"/>
    <cellStyle name="SAPBEXHLevel1 2 2 6" xfId="5263" xr:uid="{D975DCC1-EC0A-405C-9129-E0ED95341CBC}"/>
    <cellStyle name="SAPBEXHLevel1 2 2 7" xfId="5332" xr:uid="{80ECF12B-76DB-46BB-A39F-E88450826306}"/>
    <cellStyle name="SAPBEXHLevel1 2 2 8" xfId="5275" xr:uid="{D6165ACC-F8B8-4322-BF73-92694B78F2A5}"/>
    <cellStyle name="SAPBEXHLevel1 2 3" xfId="2291" xr:uid="{A6EABCAD-D674-41E1-A3AA-D65D4C6C897B}"/>
    <cellStyle name="SAPBEXHLevel1 2 3 2" xfId="4274" xr:uid="{9ED98721-CA01-429A-9353-620677382CEE}"/>
    <cellStyle name="SAPBEXHLevel1 2 3 2 2" xfId="5786" xr:uid="{36F88807-F847-48DD-9BAD-631FB4F24981}"/>
    <cellStyle name="SAPBEXHLevel1 2 3 2 3" xfId="6139" xr:uid="{6F7E9D40-67ED-4BE4-B09C-0CC8DA880B91}"/>
    <cellStyle name="SAPBEXHLevel1 2 3 2 4" xfId="5074" xr:uid="{EB10BF5F-FA0E-4459-833E-7E3EB42C29A7}"/>
    <cellStyle name="SAPBEXHLevel1 2 3 3" xfId="2868" xr:uid="{32E4C583-172E-41CF-BF63-CF284D69C3B7}"/>
    <cellStyle name="SAPBEXHLevel1 2 3 4" xfId="4870" xr:uid="{ECD5EA36-DEC0-4176-90DF-0675B2BF49CC}"/>
    <cellStyle name="SAPBEXHLevel1 2 3 5" xfId="4830" xr:uid="{CD1E025D-0D11-4F3B-B953-8DCF8E983F6D}"/>
    <cellStyle name="SAPBEXHLevel1 2 4" xfId="2486" xr:uid="{EBFE569C-B565-49E5-972B-C56B54479849}"/>
    <cellStyle name="SAPBEXHLevel1 2 4 2" xfId="4451" xr:uid="{1BAC7381-4A2D-46E1-AF8B-827854E9586B}"/>
    <cellStyle name="SAPBEXHLevel1 2 4 2 2" xfId="5936" xr:uid="{1D22E46E-6D2A-47CC-BB1D-8101CD16A4BE}"/>
    <cellStyle name="SAPBEXHLevel1 2 4 2 3" xfId="6278" xr:uid="{FD0B2E5A-4F3E-4697-87C4-E2028A260BCB}"/>
    <cellStyle name="SAPBEXHLevel1 2 4 2 4" xfId="6552" xr:uid="{CC4270D8-677B-4810-B3BA-BA685EFB00EB}"/>
    <cellStyle name="SAPBEXHLevel1 2 4 3" xfId="2988" xr:uid="{C563E23D-0088-45FA-B178-66454914C4C8}"/>
    <cellStyle name="SAPBEXHLevel1 2 4 4" xfId="4875" xr:uid="{3BBB9B92-6548-455C-8359-D229CA02216B}"/>
    <cellStyle name="SAPBEXHLevel1 2 4 5" xfId="5536" xr:uid="{7A24A50B-F25D-4704-A534-E7CCA18EF80A}"/>
    <cellStyle name="SAPBEXHLevel1 2 5" xfId="1308" xr:uid="{9126B19C-19F8-4175-97D7-CD0CBCAAFBC4}"/>
    <cellStyle name="SAPBEXHLevel1 2 5 2" xfId="3814" xr:uid="{5C0EFB7C-E7C9-481A-B314-F03CC998226B}"/>
    <cellStyle name="SAPBEXHLevel1 2 5 3" xfId="5585" xr:uid="{8A97CAC4-3E29-4E4B-B196-27B01C08BF0C}"/>
    <cellStyle name="SAPBEXHLevel1 2 5 4" xfId="4544" xr:uid="{3A9858B0-B28A-40F8-B7A2-320C4D9606FF}"/>
    <cellStyle name="SAPBEXHLevel1 2 6" xfId="4717" xr:uid="{BAE12073-63C0-47F7-BCA1-B9D8B4D78810}"/>
    <cellStyle name="SAPBEXHLevel1 2 7" xfId="5394" xr:uid="{AC322981-88A6-4DEC-97EB-35CC52904FC9}"/>
    <cellStyle name="SAPBEXHLevel1 2 8" xfId="5604" xr:uid="{6FFFD576-9BD4-4FD3-91DF-65F2B386C938}"/>
    <cellStyle name="SAPBEXHLevel1 3" xfId="746" xr:uid="{00000000-0005-0000-0000-0000F2020000}"/>
    <cellStyle name="SAPBEXHLevel1 3 2" xfId="2293" xr:uid="{074F3070-7A18-4F69-9AAC-4B4C2F3B8548}"/>
    <cellStyle name="SAPBEXHLevel1 3 2 2" xfId="4276" xr:uid="{EB566715-5F0B-4637-9A4A-F3C801CD6665}"/>
    <cellStyle name="SAPBEXHLevel1 3 2 2 2" xfId="5788" xr:uid="{88B5FD6E-3C6E-4A04-A6DF-CEDBBCDCA26A}"/>
    <cellStyle name="SAPBEXHLevel1 3 2 2 3" xfId="6141" xr:uid="{F770ECEA-1284-428A-88BE-6894F8357770}"/>
    <cellStyle name="SAPBEXHLevel1 3 2 2 4" xfId="5613" xr:uid="{4562BE8C-18C7-4CA4-9FBD-270B3BE816C8}"/>
    <cellStyle name="SAPBEXHLevel1 3 2 3" xfId="2612" xr:uid="{6BCE5EF0-DC2C-4DB9-BB15-0FAC9A8B661F}"/>
    <cellStyle name="SAPBEXHLevel1 3 2 4" xfId="4587" xr:uid="{22310C9D-74BC-4A09-A9D7-DF40047796E6}"/>
    <cellStyle name="SAPBEXHLevel1 3 2 5" xfId="6358" xr:uid="{AB207895-997A-4400-9999-2D7FE86C38E9}"/>
    <cellStyle name="SAPBEXHLevel1 3 3" xfId="2488" xr:uid="{CB0C21C6-6A05-43A5-9D9C-C221FCB69499}"/>
    <cellStyle name="SAPBEXHLevel1 3 3 2" xfId="4453" xr:uid="{6D2A046A-C40B-4DEF-A39F-57BDD7846221}"/>
    <cellStyle name="SAPBEXHLevel1 3 3 2 2" xfId="5938" xr:uid="{5D277FD3-F572-4154-9EA4-0551CA6E7692}"/>
    <cellStyle name="SAPBEXHLevel1 3 3 2 3" xfId="6280" xr:uid="{BE8E61CA-A373-4DF4-A323-643E5EB81126}"/>
    <cellStyle name="SAPBEXHLevel1 3 3 2 4" xfId="6554" xr:uid="{57DE1EE7-4636-4AD1-9BAA-669CFFE81D48}"/>
    <cellStyle name="SAPBEXHLevel1 3 3 3" xfId="2990" xr:uid="{04C95970-7AD5-4773-B68B-05B78FC84278}"/>
    <cellStyle name="SAPBEXHLevel1 3 3 4" xfId="5676" xr:uid="{39F59662-13F8-482C-8FA6-471F92AF9A13}"/>
    <cellStyle name="SAPBEXHLevel1 3 3 5" xfId="5438" xr:uid="{AC49EFDC-BF24-4B23-8351-DAB0E032E6E0}"/>
    <cellStyle name="SAPBEXHLevel1 3 4" xfId="3561" xr:uid="{186D70EF-9624-4BD4-9F68-A0C08EBB5BCE}"/>
    <cellStyle name="SAPBEXHLevel1 3 4 2" xfId="5008" xr:uid="{6E439917-C8B3-49ED-8426-4C98C3472B5E}"/>
    <cellStyle name="SAPBEXHLevel1 3 4 3" xfId="5444" xr:uid="{81313E00-5C91-4484-855D-7A598F8EBAFE}"/>
    <cellStyle name="SAPBEXHLevel1 3 4 4" xfId="2699" xr:uid="{5A775C25-5132-44B0-999B-765BFB4916A8}"/>
    <cellStyle name="SAPBEXHLevel1 3 5" xfId="2897" xr:uid="{1BE43E77-D5C8-4ACF-9121-1864016B1F60}"/>
    <cellStyle name="SAPBEXHLevel1 3 6" xfId="4559" xr:uid="{035E55D9-84A2-4D90-B2A1-00910B3F7674}"/>
    <cellStyle name="SAPBEXHLevel1 3 7" xfId="2721" xr:uid="{2792C471-6615-4667-BBE8-804FFC699A2E}"/>
    <cellStyle name="SAPBEXHLevel1 3 8" xfId="6475" xr:uid="{9FAF8089-7B80-4F69-8673-9A3B8EF6851B}"/>
    <cellStyle name="SAPBEXHLevel1 4" xfId="2290" xr:uid="{B59D3962-9036-44A6-8D19-0A9B26D84167}"/>
    <cellStyle name="SAPBEXHLevel1 4 2" xfId="4273" xr:uid="{A8656049-7B35-4B89-B4DF-3F6598F2B941}"/>
    <cellStyle name="SAPBEXHLevel1 4 2 2" xfId="5785" xr:uid="{5F5594B3-01CF-4848-B2FE-0ADC22E6F8F6}"/>
    <cellStyle name="SAPBEXHLevel1 4 2 3" xfId="6138" xr:uid="{D39746B6-A983-4288-9EFB-974D95FD12E8}"/>
    <cellStyle name="SAPBEXHLevel1 4 2 4" xfId="6382" xr:uid="{18B43148-DFED-434D-8BF2-567F28DB6D9E}"/>
    <cellStyle name="SAPBEXHLevel1 4 3" xfId="2791" xr:uid="{00356C55-9484-4409-ADEA-CF9A74ED0AFB}"/>
    <cellStyle name="SAPBEXHLevel1 4 4" xfId="2640" xr:uid="{E2403AA1-5331-4721-8D44-F0F8E8F4AD55}"/>
    <cellStyle name="SAPBEXHLevel1 4 5" xfId="4579" xr:uid="{82F74E45-2FF7-42B3-9FB4-35845CF89577}"/>
    <cellStyle name="SAPBEXHLevel1 5" xfId="2485" xr:uid="{0F832917-1541-4053-BF69-C8DBD5ED5E07}"/>
    <cellStyle name="SAPBEXHLevel1 5 2" xfId="4450" xr:uid="{79EA3CD0-D8DF-44B5-85B4-D98467F716D2}"/>
    <cellStyle name="SAPBEXHLevel1 5 2 2" xfId="5935" xr:uid="{B9679676-08C7-49A4-96DC-FC871EC00EA5}"/>
    <cellStyle name="SAPBEXHLevel1 5 2 3" xfId="6277" xr:uid="{782361F7-22E4-483B-ABAB-A9E8114FA97A}"/>
    <cellStyle name="SAPBEXHLevel1 5 2 4" xfId="6551" xr:uid="{DCB063F1-5A36-4CC9-A3CF-048A6510DCF0}"/>
    <cellStyle name="SAPBEXHLevel1 5 3" xfId="2987" xr:uid="{4143771B-C76A-4700-877A-AD430A410133}"/>
    <cellStyle name="SAPBEXHLevel1 5 4" xfId="5675" xr:uid="{D355C075-B925-49DF-8B51-49180FE43B64}"/>
    <cellStyle name="SAPBEXHLevel1 5 5" xfId="5846" xr:uid="{B0460D56-48F1-406C-8D0A-AD9B8A8B492D}"/>
    <cellStyle name="SAPBEXHLevel1 6" xfId="1307" xr:uid="{0D649A27-09E4-4679-B455-6E8333EC3DC4}"/>
    <cellStyle name="SAPBEXHLevel1 6 2" xfId="3813" xr:uid="{032C79EC-4E49-4CFC-92D6-E3B9054E0763}"/>
    <cellStyle name="SAPBEXHLevel1 6 3" xfId="5499" xr:uid="{C0F732BA-3043-4E9B-9E04-D1F9B70A197C}"/>
    <cellStyle name="SAPBEXHLevel1 6 4" xfId="6397" xr:uid="{D636C0FF-DDC0-49CA-9F4B-4AE6896C80C4}"/>
    <cellStyle name="SAPBEXHLevel1 7" xfId="5371" xr:uid="{28B982FA-4875-4101-A4A3-081DE7B99253}"/>
    <cellStyle name="SAPBEXHLevel1 8" xfId="5328" xr:uid="{D5997F38-367F-4E78-9887-32562F9C7437}"/>
    <cellStyle name="SAPBEXHLevel1 9" xfId="6203" xr:uid="{F069D8BA-7B91-4E88-899F-4286C55F9E7F}"/>
    <cellStyle name="SAPBEXHLevel1X" xfId="747" xr:uid="{00000000-0005-0000-0000-0000F3020000}"/>
    <cellStyle name="SAPBEXHLevel1X 2" xfId="748" xr:uid="{00000000-0005-0000-0000-0000F4020000}"/>
    <cellStyle name="SAPBEXHLevel1X 2 2" xfId="749" xr:uid="{00000000-0005-0000-0000-0000F5020000}"/>
    <cellStyle name="SAPBEXHLevel1X 2 2 2" xfId="2296" xr:uid="{19DF4967-DDCA-4C87-8D41-1744C6497082}"/>
    <cellStyle name="SAPBEXHLevel1X 2 2 2 2" xfId="4279" xr:uid="{24F5D18B-AC86-4F89-9D19-E54ED558A33E}"/>
    <cellStyle name="SAPBEXHLevel1X 2 2 2 2 2" xfId="5791" xr:uid="{7B0D5167-8D6F-4105-B774-90D7ECB77A62}"/>
    <cellStyle name="SAPBEXHLevel1X 2 2 2 2 3" xfId="6144" xr:uid="{14064F1C-AC65-4A62-896F-A7476D4A3964}"/>
    <cellStyle name="SAPBEXHLevel1X 2 2 2 2 4" xfId="4877" xr:uid="{17B023DF-A900-47A6-9D33-DFF80DD6DCEB}"/>
    <cellStyle name="SAPBEXHLevel1X 2 2 2 3" xfId="1141" xr:uid="{D18A442D-7AF1-445D-B164-282A346C5AE3}"/>
    <cellStyle name="SAPBEXHLevel1X 2 2 2 4" xfId="5699" xr:uid="{E433511A-E0FF-402D-813B-BDFD767AAE68}"/>
    <cellStyle name="SAPBEXHLevel1X 2 2 2 5" xfId="2573" xr:uid="{2C066A42-F815-49B7-A0C7-7E8C22CD846D}"/>
    <cellStyle name="SAPBEXHLevel1X 2 2 3" xfId="2491" xr:uid="{84E8BC34-13CB-47A5-9904-FA9AAA6D0BC3}"/>
    <cellStyle name="SAPBEXHLevel1X 2 2 3 2" xfId="4456" xr:uid="{4AE58A45-5FBD-479B-B8A4-5D8F76402BC6}"/>
    <cellStyle name="SAPBEXHLevel1X 2 2 3 2 2" xfId="5941" xr:uid="{1B215C9B-CA4A-4EA6-BECC-0FD2B18DF523}"/>
    <cellStyle name="SAPBEXHLevel1X 2 2 3 2 3" xfId="6283" xr:uid="{153108F8-7A2B-4E59-B028-6E7E3C785FE1}"/>
    <cellStyle name="SAPBEXHLevel1X 2 2 3 2 4" xfId="6557" xr:uid="{F886E944-A436-4637-AD51-3E9F6C9044F5}"/>
    <cellStyle name="SAPBEXHLevel1X 2 2 3 3" xfId="2993" xr:uid="{07CEF75D-0769-43D7-9C5B-4453605CA99F}"/>
    <cellStyle name="SAPBEXHLevel1X 2 2 3 4" xfId="4933" xr:uid="{11443447-0185-43BD-A10E-80D0D3833394}"/>
    <cellStyle name="SAPBEXHLevel1X 2 2 3 5" xfId="1370" xr:uid="{99888F2F-BBFB-4390-A275-F95904D1A54E}"/>
    <cellStyle name="SAPBEXHLevel1X 2 2 4" xfId="3562" xr:uid="{DEED7A5D-A4D4-4C8F-A750-029F7F127483}"/>
    <cellStyle name="SAPBEXHLevel1X 2 2 4 2" xfId="5180" xr:uid="{D54DD723-88FA-41BE-8984-9F566FE8274E}"/>
    <cellStyle name="SAPBEXHLevel1X 2 2 4 3" xfId="5621" xr:uid="{724778CF-10FE-4B75-B452-A10186DE4B6E}"/>
    <cellStyle name="SAPBEXHLevel1X 2 2 4 4" xfId="6421" xr:uid="{6C1F7FAD-41F4-4D76-81CE-A1E351F3645F}"/>
    <cellStyle name="SAPBEXHLevel1X 2 2 5" xfId="2915" xr:uid="{0200651E-3334-4B12-A66A-439A28A3FF53}"/>
    <cellStyle name="SAPBEXHLevel1X 2 2 6" xfId="3924" xr:uid="{A6459E17-15EF-468E-AEF6-B3FE61322393}"/>
    <cellStyle name="SAPBEXHLevel1X 2 2 7" xfId="5070" xr:uid="{DA63DDF3-33F4-49EE-B97C-C4B7C4F9EB28}"/>
    <cellStyle name="SAPBEXHLevel1X 2 2 8" xfId="4823" xr:uid="{A1A0AACA-9415-4598-AE5C-0935BB4B4863}"/>
    <cellStyle name="SAPBEXHLevel1X 2 3" xfId="2295" xr:uid="{342DC035-AEEF-4482-A0FC-771F8D645B86}"/>
    <cellStyle name="SAPBEXHLevel1X 2 3 2" xfId="4278" xr:uid="{78488E14-ADF3-4C77-A651-816E35CE0535}"/>
    <cellStyle name="SAPBEXHLevel1X 2 3 2 2" xfId="5790" xr:uid="{8AD80924-7C8E-48E8-8090-3AC0C8676756}"/>
    <cellStyle name="SAPBEXHLevel1X 2 3 2 3" xfId="6143" xr:uid="{5B428781-E239-4E3D-8876-7F2C9972E351}"/>
    <cellStyle name="SAPBEXHLevel1X 2 3 2 4" xfId="4661" xr:uid="{B17D391D-6B68-4729-9F7D-6ACBB1475995}"/>
    <cellStyle name="SAPBEXHLevel1X 2 3 3" xfId="1232" xr:uid="{AFCE0894-C6A0-41B0-96D9-C32F92CB8875}"/>
    <cellStyle name="SAPBEXHLevel1X 2 3 4" xfId="2920" xr:uid="{6299853B-AFB4-4A3C-9631-F2DB60FCF4E6}"/>
    <cellStyle name="SAPBEXHLevel1X 2 3 5" xfId="2695" xr:uid="{7EF4F691-87DF-43A4-BDFD-A9D83D74AB22}"/>
    <cellStyle name="SAPBEXHLevel1X 2 4" xfId="2490" xr:uid="{A5F9B705-4938-4BE7-90D0-B4BA745ABE4B}"/>
    <cellStyle name="SAPBEXHLevel1X 2 4 2" xfId="4455" xr:uid="{6EBC592D-49DB-4F92-8B5C-AEBE99E632BE}"/>
    <cellStyle name="SAPBEXHLevel1X 2 4 2 2" xfId="5940" xr:uid="{0871FA41-E148-43D6-8D57-867212E1DA91}"/>
    <cellStyle name="SAPBEXHLevel1X 2 4 2 3" xfId="6282" xr:uid="{7A2EB4CC-4918-4035-8BC1-6EB03ED70032}"/>
    <cellStyle name="SAPBEXHLevel1X 2 4 2 4" xfId="6556" xr:uid="{2EA69EA8-7526-46DA-86C9-D4832AD7066C}"/>
    <cellStyle name="SAPBEXHLevel1X 2 4 3" xfId="2992" xr:uid="{87F9F4C2-ACEF-4773-AF8F-6E5A47D6FF0B}"/>
    <cellStyle name="SAPBEXHLevel1X 2 4 4" xfId="4646" xr:uid="{8952E996-1F30-43F0-A043-9B804270D208}"/>
    <cellStyle name="SAPBEXHLevel1X 2 4 5" xfId="5101" xr:uid="{F161D374-F6ED-453D-8B44-78419A09DC09}"/>
    <cellStyle name="SAPBEXHLevel1X 2 5" xfId="1310" xr:uid="{0D4CE831-0A84-44CC-AC01-AE74F37DC1B0}"/>
    <cellStyle name="SAPBEXHLevel1X 2 5 2" xfId="3816" xr:uid="{CAB93D95-0EC0-4F25-9BDE-012809D52F51}"/>
    <cellStyle name="SAPBEXHLevel1X 2 5 3" xfId="1677" xr:uid="{D6C2C34A-E82D-491B-96EB-99C3F55E04B2}"/>
    <cellStyle name="SAPBEXHLevel1X 2 5 4" xfId="5498" xr:uid="{690C2C37-04A8-4E06-ACE7-B5CDB0E43A86}"/>
    <cellStyle name="SAPBEXHLevel1X 2 6" xfId="4676" xr:uid="{2A618B4C-3B0B-44ED-99F3-3F03BF158CBB}"/>
    <cellStyle name="SAPBEXHLevel1X 2 7" xfId="5100" xr:uid="{CB01CDA4-C3B8-4F59-9E53-B13472F429FA}"/>
    <cellStyle name="SAPBEXHLevel1X 2 8" xfId="2671" xr:uid="{A75FE0C0-6D76-42D9-9115-76CCD26F649A}"/>
    <cellStyle name="SAPBEXHLevel1X 3" xfId="750" xr:uid="{00000000-0005-0000-0000-0000F6020000}"/>
    <cellStyle name="SAPBEXHLevel1X 3 2" xfId="2297" xr:uid="{B0CE02C1-53F8-4B3F-A785-CA7079FE878E}"/>
    <cellStyle name="SAPBEXHLevel1X 3 2 2" xfId="4280" xr:uid="{78CEA528-8060-40A4-9AC9-7CBD6660988E}"/>
    <cellStyle name="SAPBEXHLevel1X 3 2 2 2" xfId="5792" xr:uid="{B220966E-6513-4082-964C-1A0C8ECF1993}"/>
    <cellStyle name="SAPBEXHLevel1X 3 2 2 3" xfId="6145" xr:uid="{95CF73B2-453B-4958-B401-038401AA48BA}"/>
    <cellStyle name="SAPBEXHLevel1X 3 2 2 4" xfId="4119" xr:uid="{9E021B62-2CBA-417C-AD11-D2C9549BB3D7}"/>
    <cellStyle name="SAPBEXHLevel1X 3 2 3" xfId="1244" xr:uid="{500DB360-4379-4B21-8682-71BDD7CA8897}"/>
    <cellStyle name="SAPBEXHLevel1X 3 2 4" xfId="5020" xr:uid="{08BA2CD1-8C07-489C-9E40-02F86D7A35EC}"/>
    <cellStyle name="SAPBEXHLevel1X 3 2 5" xfId="5644" xr:uid="{54F99929-9F28-47AF-861E-6FA2E413C0BD}"/>
    <cellStyle name="SAPBEXHLevel1X 3 3" xfId="2492" xr:uid="{9F0BBF23-BB6B-4FA4-8470-29B1616FE188}"/>
    <cellStyle name="SAPBEXHLevel1X 3 3 2" xfId="4457" xr:uid="{C069FE20-5005-4DFA-9F32-255CFB8E0D60}"/>
    <cellStyle name="SAPBEXHLevel1X 3 3 2 2" xfId="5942" xr:uid="{190E3546-D8B8-41D0-AD0F-0F68D93C61CD}"/>
    <cellStyle name="SAPBEXHLevel1X 3 3 2 3" xfId="6284" xr:uid="{5D023933-02B1-48A5-B2EF-BD68B5A5ECDA}"/>
    <cellStyle name="SAPBEXHLevel1X 3 3 2 4" xfId="6558" xr:uid="{EC6FEC4F-321C-4826-AD65-886944C206B2}"/>
    <cellStyle name="SAPBEXHLevel1X 3 3 3" xfId="2994" xr:uid="{1B77CDE5-E8C3-4813-83CC-6C01720AC5E4}"/>
    <cellStyle name="SAPBEXHLevel1X 3 3 4" xfId="4804" xr:uid="{FB415DA6-3862-4BC8-A080-45B4E912D1A0}"/>
    <cellStyle name="SAPBEXHLevel1X 3 3 5" xfId="5712" xr:uid="{E65DD400-E42A-460A-BB77-CA61A939F3C9}"/>
    <cellStyle name="SAPBEXHLevel1X 3 4" xfId="3563" xr:uid="{03BC8C50-72BA-4096-98D0-7F5B77BF5A8D}"/>
    <cellStyle name="SAPBEXHLevel1X 3 4 2" xfId="2921" xr:uid="{6574D3FC-C8BF-4299-B288-601FA53FF27E}"/>
    <cellStyle name="SAPBEXHLevel1X 3 4 3" xfId="5298" xr:uid="{FDFCD1CE-0704-4FFB-BEDB-560EF7D1E313}"/>
    <cellStyle name="SAPBEXHLevel1X 3 4 4" xfId="5526" xr:uid="{1613118C-B92F-46DF-AE31-3905BBA16E86}"/>
    <cellStyle name="SAPBEXHLevel1X 3 5" xfId="2848" xr:uid="{EE396A87-9C90-4842-86D0-F4C55C376B2C}"/>
    <cellStyle name="SAPBEXHLevel1X 3 6" xfId="5310" xr:uid="{27C293F1-6E9F-48A3-BFF7-71938FCDD2EC}"/>
    <cellStyle name="SAPBEXHLevel1X 3 7" xfId="5017" xr:uid="{7E2523DA-5F93-4129-AC9D-366248A41E47}"/>
    <cellStyle name="SAPBEXHLevel1X 3 8" xfId="6452" xr:uid="{9D9780B6-5F6A-4B5D-B3CC-A069871960AF}"/>
    <cellStyle name="SAPBEXHLevel1X 4" xfId="2294" xr:uid="{E12FD71C-E1B0-4024-A625-158734056730}"/>
    <cellStyle name="SAPBEXHLevel1X 4 2" xfId="4277" xr:uid="{9D385802-501A-44D1-AAAF-0EFAE32DF731}"/>
    <cellStyle name="SAPBEXHLevel1X 4 2 2" xfId="5789" xr:uid="{E4331FCB-4635-455C-971B-D16508B7E028}"/>
    <cellStyle name="SAPBEXHLevel1X 4 2 3" xfId="6142" xr:uid="{079A44BB-7544-4070-8875-651404611018}"/>
    <cellStyle name="SAPBEXHLevel1X 4 2 4" xfId="5118" xr:uid="{44E7EFA4-001E-432C-9141-794BDFEC2246}"/>
    <cellStyle name="SAPBEXHLevel1X 4 3" xfId="2888" xr:uid="{8B7D17AC-7C9B-40B5-BB4B-3E11A81B2199}"/>
    <cellStyle name="SAPBEXHLevel1X 4 4" xfId="2677" xr:uid="{469C4CF4-1859-4A69-AF5A-23BF02BCD962}"/>
    <cellStyle name="SAPBEXHLevel1X 4 5" xfId="2669" xr:uid="{642E8CC9-9DFA-4EB3-9F6E-B6E9260F2761}"/>
    <cellStyle name="SAPBEXHLevel1X 5" xfId="2489" xr:uid="{75633942-32CA-4E5B-869C-BDD68DAD5F08}"/>
    <cellStyle name="SAPBEXHLevel1X 5 2" xfId="4454" xr:uid="{0CF877FF-FEB8-4E05-B443-A9D70874B45D}"/>
    <cellStyle name="SAPBEXHLevel1X 5 2 2" xfId="5939" xr:uid="{50B8DD9A-1D51-4EFF-82B5-1E7A77B6DCE7}"/>
    <cellStyle name="SAPBEXHLevel1X 5 2 3" xfId="6281" xr:uid="{C58EFA15-83E3-4D93-AED1-6A92F8DFA686}"/>
    <cellStyle name="SAPBEXHLevel1X 5 2 4" xfId="6555" xr:uid="{490D5659-EF46-428C-8165-180D0EA58C9F}"/>
    <cellStyle name="SAPBEXHLevel1X 5 3" xfId="2991" xr:uid="{B9520427-F4F9-44B7-8878-BB27E3E9289D}"/>
    <cellStyle name="SAPBEXHLevel1X 5 4" xfId="5084" xr:uid="{27E77371-8C32-42B0-8616-8971DDDBECCE}"/>
    <cellStyle name="SAPBEXHLevel1X 5 5" xfId="6201" xr:uid="{807AFAA4-E791-407A-8923-60224BE5320D}"/>
    <cellStyle name="SAPBEXHLevel1X 6" xfId="1309" xr:uid="{3999F4A6-A480-4E37-82C3-2E09500E1800}"/>
    <cellStyle name="SAPBEXHLevel1X 6 2" xfId="3815" xr:uid="{E815D3B4-E280-4087-86FC-9B6402CCDA8D}"/>
    <cellStyle name="SAPBEXHLevel1X 6 3" xfId="5113" xr:uid="{1874C65D-63AC-4AC8-B3EC-CCB0F826EC2B}"/>
    <cellStyle name="SAPBEXHLevel1X 6 4" xfId="6398" xr:uid="{54529042-2788-4CEE-ACFF-B25ECDAC7DD1}"/>
    <cellStyle name="SAPBEXHLevel1X 7" xfId="5336" xr:uid="{A946F60D-FAF1-4A71-A4C7-18395F72BD2A}"/>
    <cellStyle name="SAPBEXHLevel1X 8" xfId="2673" xr:uid="{C9D77CEE-C410-4BC2-BFE8-A8AA4F043413}"/>
    <cellStyle name="SAPBEXHLevel1X 9" xfId="5481" xr:uid="{D4CC42CC-A716-48B9-9763-40A674406A0D}"/>
    <cellStyle name="SAPBEXHLevel2" xfId="751" xr:uid="{00000000-0005-0000-0000-0000F7020000}"/>
    <cellStyle name="SAPBEXHLevel2 2" xfId="752" xr:uid="{00000000-0005-0000-0000-0000F8020000}"/>
    <cellStyle name="SAPBEXHLevel2 2 2" xfId="753" xr:uid="{00000000-0005-0000-0000-0000F9020000}"/>
    <cellStyle name="SAPBEXHLevel2 2 2 2" xfId="2300" xr:uid="{DD954E38-362D-4D85-A312-4805A8773DFA}"/>
    <cellStyle name="SAPBEXHLevel2 2 2 2 2" xfId="4283" xr:uid="{8F2485CD-21CE-42D6-97AB-9F3E75EDE740}"/>
    <cellStyle name="SAPBEXHLevel2 2 2 2 2 2" xfId="5795" xr:uid="{F3CEF0E5-C382-4019-8A89-C09806647B27}"/>
    <cellStyle name="SAPBEXHLevel2 2 2 2 2 3" xfId="6148" xr:uid="{A80EE319-F50E-4133-BEBF-903C0AC600D0}"/>
    <cellStyle name="SAPBEXHLevel2 2 2 2 2 4" xfId="5197" xr:uid="{31A1926F-B07E-4188-9B2B-22E86E45B116}"/>
    <cellStyle name="SAPBEXHLevel2 2 2 2 3" xfId="2832" xr:uid="{D3419301-BB54-4127-815C-4EB4539301DF}"/>
    <cellStyle name="SAPBEXHLevel2 2 2 2 4" xfId="5532" xr:uid="{AD55E7E9-D2C4-4E1A-A891-8D4A38E7E623}"/>
    <cellStyle name="SAPBEXHLevel2 2 2 2 5" xfId="5504" xr:uid="{AD570EBF-28F6-45CF-91F4-7F7A9C306E90}"/>
    <cellStyle name="SAPBEXHLevel2 2 2 3" xfId="2495" xr:uid="{F4F57BD6-FB1C-49AD-A341-95DEDF9E0563}"/>
    <cellStyle name="SAPBEXHLevel2 2 2 3 2" xfId="4460" xr:uid="{B889D1BF-7921-4C68-AA14-749D075DB273}"/>
    <cellStyle name="SAPBEXHLevel2 2 2 3 2 2" xfId="5945" xr:uid="{AF140667-63CB-463B-B652-93814F0031DE}"/>
    <cellStyle name="SAPBEXHLevel2 2 2 3 2 3" xfId="6287" xr:uid="{30D8B714-BD76-4ACE-8B7A-D6375B1BA110}"/>
    <cellStyle name="SAPBEXHLevel2 2 2 3 2 4" xfId="6561" xr:uid="{FE643D20-388F-4760-99A1-11848ED37C73}"/>
    <cellStyle name="SAPBEXHLevel2 2 2 3 3" xfId="2997" xr:uid="{B270F2E2-92FC-4573-9E5C-FEF4A986D8CD}"/>
    <cellStyle name="SAPBEXHLevel2 2 2 3 4" xfId="5673" xr:uid="{F2499E03-90C1-4A34-85F6-AE2F9E36DCED}"/>
    <cellStyle name="SAPBEXHLevel2 2 2 3 5" xfId="4952" xr:uid="{5CCCE540-A5AC-43E1-8526-B22994B462A1}"/>
    <cellStyle name="SAPBEXHLevel2 2 2 4" xfId="3564" xr:uid="{F44C5668-1078-4E7F-9719-E810837CFE53}"/>
    <cellStyle name="SAPBEXHLevel2 2 2 4 2" xfId="5119" xr:uid="{A20D1DB3-B1C9-41B6-B4B0-C83C43EAE076}"/>
    <cellStyle name="SAPBEXHLevel2 2 2 4 3" xfId="5622" xr:uid="{329B114F-7AE0-4E7E-A4EF-229FE8286946}"/>
    <cellStyle name="SAPBEXHLevel2 2 2 4 4" xfId="5003" xr:uid="{068A5B14-1878-4BD9-8228-E46AB59D2489}"/>
    <cellStyle name="SAPBEXHLevel2 2 2 5" xfId="2732" xr:uid="{5D1F7F88-8BE1-40B2-81FF-DA20050C3479}"/>
    <cellStyle name="SAPBEXHLevel2 2 2 6" xfId="5166" xr:uid="{069DA819-7109-4FAA-837A-77DBE657890A}"/>
    <cellStyle name="SAPBEXHLevel2 2 2 7" xfId="3049" xr:uid="{73085931-102C-4A37-B81E-CAD0887FE739}"/>
    <cellStyle name="SAPBEXHLevel2 2 2 8" xfId="5581" xr:uid="{6F53AF41-9C55-41C4-AA8F-0DC38FC5A093}"/>
    <cellStyle name="SAPBEXHLevel2 2 3" xfId="2299" xr:uid="{1CCA0A9C-181D-49E4-BAF5-61726B2EA5C2}"/>
    <cellStyle name="SAPBEXHLevel2 2 3 2" xfId="4282" xr:uid="{6BD73834-4549-4273-84A5-FE8393F5B7D7}"/>
    <cellStyle name="SAPBEXHLevel2 2 3 2 2" xfId="5794" xr:uid="{2D661E7B-431C-453F-A443-064AA182A207}"/>
    <cellStyle name="SAPBEXHLevel2 2 3 2 3" xfId="6147" xr:uid="{7D5F5FFA-6DCE-4E25-9E81-A3DD3008BCB7}"/>
    <cellStyle name="SAPBEXHLevel2 2 3 2 4" xfId="5560" xr:uid="{26DA43E3-4C65-4806-AAC5-92F434790678}"/>
    <cellStyle name="SAPBEXHLevel2 2 3 3" xfId="2706" xr:uid="{A666FCDC-8B6E-46DE-A0BD-B838506944D4}"/>
    <cellStyle name="SAPBEXHLevel2 2 3 4" xfId="2632" xr:uid="{CCCAC97F-7138-4161-82E3-2224797BB5A4}"/>
    <cellStyle name="SAPBEXHLevel2 2 3 5" xfId="5997" xr:uid="{13CCB1FA-EE28-47A1-B510-0106879B24B8}"/>
    <cellStyle name="SAPBEXHLevel2 2 4" xfId="2494" xr:uid="{52EC6EC0-6C74-4993-96F0-FDEB20D709A2}"/>
    <cellStyle name="SAPBEXHLevel2 2 4 2" xfId="4459" xr:uid="{336558A9-B099-422A-8151-005A41FF970C}"/>
    <cellStyle name="SAPBEXHLevel2 2 4 2 2" xfId="5944" xr:uid="{F033E543-8CB5-455A-B1DB-7D51DDB55325}"/>
    <cellStyle name="SAPBEXHLevel2 2 4 2 3" xfId="6286" xr:uid="{733FDC73-AEA6-46D9-85E4-0E90CEE97FE6}"/>
    <cellStyle name="SAPBEXHLevel2 2 4 2 4" xfId="6560" xr:uid="{1A4D442D-3295-4633-A7B7-2917FEE03783}"/>
    <cellStyle name="SAPBEXHLevel2 2 4 3" xfId="2996" xr:uid="{448070C9-ACE3-48F4-9667-5259E64CC976}"/>
    <cellStyle name="SAPBEXHLevel2 2 4 4" xfId="2715" xr:uid="{0B2FFEF9-3B65-4274-BA0E-C93B34C43B2E}"/>
    <cellStyle name="SAPBEXHLevel2 2 4 5" xfId="5566" xr:uid="{834C0E78-56B4-4B60-92A6-C6B2328C14C6}"/>
    <cellStyle name="SAPBEXHLevel2 2 5" xfId="1149" xr:uid="{4004F7DF-1872-4DB1-928E-41B6967E7406}"/>
    <cellStyle name="SAPBEXHLevel2 2 5 2" xfId="3706" xr:uid="{A9E223B7-2CAA-4AC9-83A4-D394159B5A60}"/>
    <cellStyle name="SAPBEXHLevel2 2 5 3" xfId="5028" xr:uid="{732FB101-E5F1-419D-80C1-183777F22270}"/>
    <cellStyle name="SAPBEXHLevel2 2 5 4" xfId="4779" xr:uid="{5C2130A0-B02F-43DA-978F-87B4D05A6707}"/>
    <cellStyle name="SAPBEXHLevel2 2 6" xfId="4695" xr:uid="{0E808DDE-D482-435E-BF80-AE2EBDC9CD1B}"/>
    <cellStyle name="SAPBEXHLevel2 2 7" xfId="1112" xr:uid="{0BF60268-C058-4B73-9643-BE8A6C0DBC7A}"/>
    <cellStyle name="SAPBEXHLevel2 2 8" xfId="2158" xr:uid="{65F6E3AC-94DF-4E55-ACCE-D03636AA964E}"/>
    <cellStyle name="SAPBEXHLevel2 3" xfId="754" xr:uid="{00000000-0005-0000-0000-0000FA020000}"/>
    <cellStyle name="SAPBEXHLevel2 3 2" xfId="2301" xr:uid="{AEB28E7B-2D2B-400A-8CE3-12CDF4AF5531}"/>
    <cellStyle name="SAPBEXHLevel2 3 2 2" xfId="4284" xr:uid="{3C35CA8B-F316-4E9F-B81F-22CAB2C0C293}"/>
    <cellStyle name="SAPBEXHLevel2 3 2 2 2" xfId="5796" xr:uid="{D39EFC48-7993-484D-8C94-6CE9C6272CF1}"/>
    <cellStyle name="SAPBEXHLevel2 3 2 2 3" xfId="6149" xr:uid="{78CDC771-2F0E-4606-8359-06FA3D7590AB}"/>
    <cellStyle name="SAPBEXHLevel2 3 2 2 4" xfId="4963" xr:uid="{4536FF1E-E927-4755-81BE-CBC98DFD289E}"/>
    <cellStyle name="SAPBEXHLevel2 3 2 3" xfId="2613" xr:uid="{195D7F10-644B-4517-B033-A55CDDDA4256}"/>
    <cellStyle name="SAPBEXHLevel2 3 2 4" xfId="2882" xr:uid="{98F3F4BE-C9EB-4814-A27F-D7624758E011}"/>
    <cellStyle name="SAPBEXHLevel2 3 2 5" xfId="5446" xr:uid="{B7ACA65F-CEC7-4C15-BA1F-89AFFBA17425}"/>
    <cellStyle name="SAPBEXHLevel2 3 3" xfId="2496" xr:uid="{C729321E-9271-487F-924A-AE39F9E6BE10}"/>
    <cellStyle name="SAPBEXHLevel2 3 3 2" xfId="4461" xr:uid="{87CE3062-08A1-48E6-902C-AA0C30809681}"/>
    <cellStyle name="SAPBEXHLevel2 3 3 2 2" xfId="5946" xr:uid="{D6BC8E2E-BE83-497E-8BA3-875CAC82BCF8}"/>
    <cellStyle name="SAPBEXHLevel2 3 3 2 3" xfId="6288" xr:uid="{13021541-A7D4-41B2-938B-35FAF8EE25B7}"/>
    <cellStyle name="SAPBEXHLevel2 3 3 2 4" xfId="6562" xr:uid="{4B7ECDE7-D6D9-4F38-A7A2-005343363994}"/>
    <cellStyle name="SAPBEXHLevel2 3 3 3" xfId="2998" xr:uid="{F21ADA05-F702-4D55-BE76-BC04C127EE21}"/>
    <cellStyle name="SAPBEXHLevel2 3 3 4" xfId="5283" xr:uid="{35B074F0-4C06-4CC5-96C7-BF811D5C4B5B}"/>
    <cellStyle name="SAPBEXHLevel2 3 3 5" xfId="2580" xr:uid="{3A147769-4112-49B4-9B73-D1A6636114DA}"/>
    <cellStyle name="SAPBEXHLevel2 3 4" xfId="3565" xr:uid="{D51B30A3-5FB9-4F26-A071-474A85CAAB62}"/>
    <cellStyle name="SAPBEXHLevel2 3 4 2" xfId="4054" xr:uid="{64AC54CD-7D69-4C56-A46F-70B7F7FB69EC}"/>
    <cellStyle name="SAPBEXHLevel2 3 4 3" xfId="4603" xr:uid="{CE289F6B-3049-4EED-A79F-48429623F795}"/>
    <cellStyle name="SAPBEXHLevel2 3 4 4" xfId="5548" xr:uid="{01606FD8-EE08-411E-9A47-36B72273931B}"/>
    <cellStyle name="SAPBEXHLevel2 3 5" xfId="2747" xr:uid="{4CC1F6A2-032E-45DB-8B0F-12331F49A846}"/>
    <cellStyle name="SAPBEXHLevel2 3 6" xfId="4561" xr:uid="{3FBCE6E7-72E7-4FFF-99D0-BB96A4083A74}"/>
    <cellStyle name="SAPBEXHLevel2 3 7" xfId="6062" xr:uid="{88CDCA64-F89F-49A9-ABBB-6851E87CFFAE}"/>
    <cellStyle name="SAPBEXHLevel2 3 8" xfId="4542" xr:uid="{AF427895-4C86-4D8A-8CCA-403CCB44C903}"/>
    <cellStyle name="SAPBEXHLevel2 4" xfId="2298" xr:uid="{D6AAA94E-D846-4594-9D2F-8F9C65BD60A2}"/>
    <cellStyle name="SAPBEXHLevel2 4 2" xfId="4281" xr:uid="{F972F21B-B86C-4190-AED1-39083E4444B3}"/>
    <cellStyle name="SAPBEXHLevel2 4 2 2" xfId="5793" xr:uid="{EF7DF66C-765E-411E-ADA3-7E008F68648C}"/>
    <cellStyle name="SAPBEXHLevel2 4 2 3" xfId="6146" xr:uid="{AEC5815D-CA51-48CC-A5E5-9B91612F809B}"/>
    <cellStyle name="SAPBEXHLevel2 4 2 4" xfId="5110" xr:uid="{AE3355E1-E533-4929-8D2C-C9F034BC143B}"/>
    <cellStyle name="SAPBEXHLevel2 4 3" xfId="2554" xr:uid="{A12AA990-C8AB-45EA-BE5D-03F32D4EA9CF}"/>
    <cellStyle name="SAPBEXHLevel2 4 4" xfId="4548" xr:uid="{F8574CE7-1A47-4824-B9BA-8AE15F178F62}"/>
    <cellStyle name="SAPBEXHLevel2 4 5" xfId="4741" xr:uid="{FAC8F9E9-60D1-4983-8089-078D908DB61D}"/>
    <cellStyle name="SAPBEXHLevel2 5" xfId="2493" xr:uid="{E5216E82-CB97-4B9B-B9D9-578769218CA3}"/>
    <cellStyle name="SAPBEXHLevel2 5 2" xfId="4458" xr:uid="{67DD3D80-2D52-43BB-9A79-DC309C8C03C0}"/>
    <cellStyle name="SAPBEXHLevel2 5 2 2" xfId="5943" xr:uid="{0F086397-3B27-4DB5-8D5F-B9951101D3D3}"/>
    <cellStyle name="SAPBEXHLevel2 5 2 3" xfId="6285" xr:uid="{36C947DA-A935-460C-BA05-B760B1691FE6}"/>
    <cellStyle name="SAPBEXHLevel2 5 2 4" xfId="6559" xr:uid="{59654474-F7BD-4136-84BD-36147F2DC94C}"/>
    <cellStyle name="SAPBEXHLevel2 5 3" xfId="2995" xr:uid="{889B6206-6E41-4E21-A8BA-A3ACA34C5390}"/>
    <cellStyle name="SAPBEXHLevel2 5 4" xfId="5664" xr:uid="{AA295C25-F737-4FAA-B40C-AB7AE9CABD8D}"/>
    <cellStyle name="SAPBEXHLevel2 5 5" xfId="4028" xr:uid="{E9760D9A-4B6C-4B24-9C55-94AEB6F6A1BA}"/>
    <cellStyle name="SAPBEXHLevel2 6" xfId="1311" xr:uid="{4C5A5070-6905-4F19-898C-8D23330CB0FC}"/>
    <cellStyle name="SAPBEXHLevel2 6 2" xfId="3817" xr:uid="{841F9B4E-E183-452E-A3B5-F9B6EE892822}"/>
    <cellStyle name="SAPBEXHLevel2 6 3" xfId="5586" xr:uid="{1C040D58-CE0C-46D1-99B2-A5B34D0C15E8}"/>
    <cellStyle name="SAPBEXHLevel2 6 4" xfId="4766" xr:uid="{055022CD-55D9-4181-9915-5A4A4F9F9229}"/>
    <cellStyle name="SAPBEXHLevel2 7" xfId="4950" xr:uid="{B43E3D8C-DF4C-4D89-A6AD-6345EF28812B}"/>
    <cellStyle name="SAPBEXHLevel2 8" xfId="4943" xr:uid="{35F1B121-94D2-42B5-82AA-352D546C35CC}"/>
    <cellStyle name="SAPBEXHLevel2 9" xfId="5143" xr:uid="{4B010FFB-A352-4210-8BCB-370D37E6E98D}"/>
    <cellStyle name="SAPBEXHLevel2X" xfId="755" xr:uid="{00000000-0005-0000-0000-0000FB020000}"/>
    <cellStyle name="SAPBEXHLevel2X 2" xfId="756" xr:uid="{00000000-0005-0000-0000-0000FC020000}"/>
    <cellStyle name="SAPBEXHLevel2X 2 2" xfId="757" xr:uid="{00000000-0005-0000-0000-0000FD020000}"/>
    <cellStyle name="SAPBEXHLevel2X 2 2 2" xfId="2304" xr:uid="{2AF10901-23D8-4C41-BD2D-01996AE7EC6F}"/>
    <cellStyle name="SAPBEXHLevel2X 2 2 2 2" xfId="4287" xr:uid="{44B2E7FB-8ED9-416C-BFDF-F164B4454A6D}"/>
    <cellStyle name="SAPBEXHLevel2X 2 2 2 2 2" xfId="5799" xr:uid="{D1F5EA27-48A1-490B-A7CE-AC278E957A5C}"/>
    <cellStyle name="SAPBEXHLevel2X 2 2 2 2 3" xfId="6152" xr:uid="{37BA73D1-2965-4767-9668-B678A4739BB1}"/>
    <cellStyle name="SAPBEXHLevel2X 2 2 2 2 4" xfId="4839" xr:uid="{19FBBC71-7836-4E53-BDCA-3B4CD6A9A083}"/>
    <cellStyle name="SAPBEXHLevel2X 2 2 2 3" xfId="2792" xr:uid="{9BC3AA21-8FA3-4DCD-9240-CBECF1BEDF36}"/>
    <cellStyle name="SAPBEXHLevel2X 2 2 2 4" xfId="5703" xr:uid="{891F1D7C-8750-4B36-AEC3-497490FAC6BD}"/>
    <cellStyle name="SAPBEXHLevel2X 2 2 2 5" xfId="6199" xr:uid="{E85D3D28-743B-4EE0-9C71-021375CA8FFB}"/>
    <cellStyle name="SAPBEXHLevel2X 2 2 3" xfId="2499" xr:uid="{3631B6D3-1676-4E75-8949-8A4FCDBB421A}"/>
    <cellStyle name="SAPBEXHLevel2X 2 2 3 2" xfId="4464" xr:uid="{2F35EA6C-BEE4-460C-B8A5-7FC99B2191FD}"/>
    <cellStyle name="SAPBEXHLevel2X 2 2 3 2 2" xfId="5949" xr:uid="{00A82894-8FDA-4119-95DC-C6A3958897AB}"/>
    <cellStyle name="SAPBEXHLevel2X 2 2 3 2 3" xfId="6291" xr:uid="{C8C8F9D7-D1BC-4CC9-9FD6-EB185950B011}"/>
    <cellStyle name="SAPBEXHLevel2X 2 2 3 2 4" xfId="6565" xr:uid="{19A60D0C-370D-4E29-A281-99B7A29C5F68}"/>
    <cellStyle name="SAPBEXHLevel2X 2 2 3 3" xfId="3001" xr:uid="{08111DCF-F07B-4A6F-A170-DBCFD173C3F2}"/>
    <cellStyle name="SAPBEXHLevel2X 2 2 3 4" xfId="5205" xr:uid="{687E6ABE-9480-4D5F-B245-C6615F64E5F1}"/>
    <cellStyle name="SAPBEXHLevel2X 2 2 3 5" xfId="3702" xr:uid="{C5E94E12-AA9B-48FD-9404-85877395C71F}"/>
    <cellStyle name="SAPBEXHLevel2X 2 2 4" xfId="3566" xr:uid="{B3D0C914-8468-433B-859D-541C8F0F4C9B}"/>
    <cellStyle name="SAPBEXHLevel2X 2 2 4 2" xfId="2136" xr:uid="{2AB819F1-FA77-48DB-9818-06939A21254F}"/>
    <cellStyle name="SAPBEXHLevel2X 2 2 4 3" xfId="4655" xr:uid="{F134DBA3-FBC8-480A-A360-DB2879B18A16}"/>
    <cellStyle name="SAPBEXHLevel2X 2 2 4 4" xfId="5578" xr:uid="{6AF26BF0-A793-44CF-87EA-0DB7103CF50C}"/>
    <cellStyle name="SAPBEXHLevel2X 2 2 5" xfId="2648" xr:uid="{70874262-9BB4-4116-A819-912A9B3A39E7}"/>
    <cellStyle name="SAPBEXHLevel2X 2 2 6" xfId="4560" xr:uid="{869BC50C-9845-4F0A-800A-D958C0DC366F}"/>
    <cellStyle name="SAPBEXHLevel2X 2 2 7" xfId="5049" xr:uid="{64084C33-AAAB-4D12-B219-3C915DF13B9E}"/>
    <cellStyle name="SAPBEXHLevel2X 2 2 8" xfId="6017" xr:uid="{47FAC5DC-45EB-479F-8581-F92E0E176B9A}"/>
    <cellStyle name="SAPBEXHLevel2X 2 3" xfId="2303" xr:uid="{7B19A716-4424-41B2-BAD6-94FBE2C4FBC7}"/>
    <cellStyle name="SAPBEXHLevel2X 2 3 2" xfId="4286" xr:uid="{A44943F1-8C50-46C9-8D94-0DEB76208336}"/>
    <cellStyle name="SAPBEXHLevel2X 2 3 2 2" xfId="5798" xr:uid="{9333630D-BF86-4400-9509-066AA3DD06CD}"/>
    <cellStyle name="SAPBEXHLevel2X 2 3 2 3" xfId="6151" xr:uid="{3C9E6BC8-BB1A-416C-81CF-7812B0E2C377}"/>
    <cellStyle name="SAPBEXHLevel2X 2 3 2 4" xfId="6376" xr:uid="{B07E1ECF-3513-4E22-AF0A-C2AB45AC4F50}"/>
    <cellStyle name="SAPBEXHLevel2X 2 3 3" xfId="1229" xr:uid="{98FD13E9-48C8-403E-83FF-A7AA4EFAE532}"/>
    <cellStyle name="SAPBEXHLevel2X 2 3 4" xfId="5165" xr:uid="{29989817-590B-43B5-97D4-5CD900E2CF3D}"/>
    <cellStyle name="SAPBEXHLevel2X 2 3 5" xfId="4636" xr:uid="{63E47457-9DA2-40CB-A15F-0DD4DBC8C446}"/>
    <cellStyle name="SAPBEXHLevel2X 2 4" xfId="2498" xr:uid="{6A1116A5-B12B-478F-AEB8-3A0F28161E51}"/>
    <cellStyle name="SAPBEXHLevel2X 2 4 2" xfId="4463" xr:uid="{37B44346-17F5-42AC-94A7-C735B4E53B6C}"/>
    <cellStyle name="SAPBEXHLevel2X 2 4 2 2" xfId="5948" xr:uid="{AAE521D9-3866-462D-A63B-819EF2B8D83D}"/>
    <cellStyle name="SAPBEXHLevel2X 2 4 2 3" xfId="6290" xr:uid="{9EFE0C31-9341-4885-A743-ED75FA8519E3}"/>
    <cellStyle name="SAPBEXHLevel2X 2 4 2 4" xfId="6564" xr:uid="{16AA0E74-203F-48CE-AD3E-A95B43C36A72}"/>
    <cellStyle name="SAPBEXHLevel2X 2 4 3" xfId="3000" xr:uid="{AC480649-8803-4D6C-A0D7-FBD3B859D7A6}"/>
    <cellStyle name="SAPBEXHLevel2X 2 4 4" xfId="5671" xr:uid="{251A187F-9FCB-4B34-A919-82A3EC94042C}"/>
    <cellStyle name="SAPBEXHLevel2X 2 4 5" xfId="5105" xr:uid="{0413596B-4D56-4423-A5A0-DB35B4BBE248}"/>
    <cellStyle name="SAPBEXHLevel2X 2 5" xfId="1313" xr:uid="{8021F1E2-4D1A-40D8-B951-92D1C7CC2178}"/>
    <cellStyle name="SAPBEXHLevel2X 2 5 2" xfId="3819" xr:uid="{A7E4AF4E-3D7E-40FD-9ACD-242DD88D5B20}"/>
    <cellStyle name="SAPBEXHLevel2X 2 5 3" xfId="4638" xr:uid="{165C305B-5029-49A5-AFB8-1E0FA19F6497}"/>
    <cellStyle name="SAPBEXHLevel2X 2 5 4" xfId="4985" xr:uid="{1F17D2E3-3DA8-4DBF-9E03-C9C74171870A}"/>
    <cellStyle name="SAPBEXHLevel2X 2 6" xfId="4718" xr:uid="{05AEF516-98AF-4C7D-87D6-2729C3921E41}"/>
    <cellStyle name="SAPBEXHLevel2X 2 7" xfId="4668" xr:uid="{3BA235E8-42D1-4D1A-A6D9-AF50C5A734BC}"/>
    <cellStyle name="SAPBEXHLevel2X 2 8" xfId="5087" xr:uid="{C1A8EE8A-CD9F-48B0-9988-4A8F2FB28DDF}"/>
    <cellStyle name="SAPBEXHLevel2X 3" xfId="758" xr:uid="{00000000-0005-0000-0000-0000FE020000}"/>
    <cellStyle name="SAPBEXHLevel2X 3 2" xfId="2305" xr:uid="{D7BDE728-A102-4311-9D9F-9F29BEB07437}"/>
    <cellStyle name="SAPBEXHLevel2X 3 2 2" xfId="4288" xr:uid="{286F158D-703D-4F0A-92A3-F41E48190221}"/>
    <cellStyle name="SAPBEXHLevel2X 3 2 2 2" xfId="5800" xr:uid="{9F2D15CE-088A-459F-955E-8B6755B89AE2}"/>
    <cellStyle name="SAPBEXHLevel2X 3 2 2 3" xfId="6153" xr:uid="{90E0DDC5-89E9-458B-88CA-97FBB6479106}"/>
    <cellStyle name="SAPBEXHLevel2X 3 2 2 4" xfId="2769" xr:uid="{B92E67AC-A81C-4B1B-A94B-8F539035639D}"/>
    <cellStyle name="SAPBEXHLevel2X 3 2 3" xfId="2893" xr:uid="{8EE4AF77-E41B-4B71-89CA-F582DC4E962F}"/>
    <cellStyle name="SAPBEXHLevel2X 3 2 4" xfId="5280" xr:uid="{A6D66BE3-4693-47B0-A646-9DF40FCD9175}"/>
    <cellStyle name="SAPBEXHLevel2X 3 2 5" xfId="4154" xr:uid="{6DA09FDC-E1B5-41B1-9CFA-B3DA229E533E}"/>
    <cellStyle name="SAPBEXHLevel2X 3 3" xfId="2500" xr:uid="{3546A723-807B-4E2B-987C-2000E4BA3943}"/>
    <cellStyle name="SAPBEXHLevel2X 3 3 2" xfId="4465" xr:uid="{926CF5C3-6F4F-48E6-A228-8324EBAB6B49}"/>
    <cellStyle name="SAPBEXHLevel2X 3 3 2 2" xfId="5950" xr:uid="{227CE6C2-57D5-4A75-9107-0806D790069D}"/>
    <cellStyle name="SAPBEXHLevel2X 3 3 2 3" xfId="6292" xr:uid="{31A7955C-F2C4-4011-B380-304F8791A1A6}"/>
    <cellStyle name="SAPBEXHLevel2X 3 3 2 4" xfId="6566" xr:uid="{8D74B3D7-8B94-4DD7-ACFE-9F0B1CFD055F}"/>
    <cellStyle name="SAPBEXHLevel2X 3 3 3" xfId="3002" xr:uid="{F99BB79C-A73C-481E-B3E8-4421DC2B938D}"/>
    <cellStyle name="SAPBEXHLevel2X 3 3 4" xfId="5672" xr:uid="{C435448E-01D4-493C-A892-F984521FBA34}"/>
    <cellStyle name="SAPBEXHLevel2X 3 3 5" xfId="5505" xr:uid="{E5C38F46-D3A7-4DB5-9075-2431DCD336CC}"/>
    <cellStyle name="SAPBEXHLevel2X 3 4" xfId="3567" xr:uid="{39C4AD90-F69C-45C8-A91B-E9A64618590F}"/>
    <cellStyle name="SAPBEXHLevel2X 3 4 2" xfId="4785" xr:uid="{A9540C46-F1A7-4AC6-B541-D26CD318ED2C}"/>
    <cellStyle name="SAPBEXHLevel2X 3 4 3" xfId="5443" xr:uid="{F8E5E654-74F5-47A9-93B2-CE0DA6108F09}"/>
    <cellStyle name="SAPBEXHLevel2X 3 4 4" xfId="6420" xr:uid="{87DAB0D7-4615-420D-8202-AFA27E48A8BB}"/>
    <cellStyle name="SAPBEXHLevel2X 3 5" xfId="2746" xr:uid="{DF36EDF6-AE8A-4E0B-A7BD-4F72D43915B1}"/>
    <cellStyle name="SAPBEXHLevel2X 3 6" xfId="2833" xr:uid="{EE852213-AD43-4632-A998-FFAE7F95EA6F}"/>
    <cellStyle name="SAPBEXHLevel2X 3 7" xfId="4793" xr:uid="{AE6ABDCC-793D-4ED9-9C03-15736527009A}"/>
    <cellStyle name="SAPBEXHLevel2X 3 8" xfId="6477" xr:uid="{838A8E52-AE47-4F91-AE0D-000D40FD9876}"/>
    <cellStyle name="SAPBEXHLevel2X 4" xfId="2302" xr:uid="{33AC4EC4-0D76-4E7F-8C17-5C768EC1FE65}"/>
    <cellStyle name="SAPBEXHLevel2X 4 2" xfId="4285" xr:uid="{2B457021-CFB0-4146-BC57-DAC2C44CAF0B}"/>
    <cellStyle name="SAPBEXHLevel2X 4 2 2" xfId="5797" xr:uid="{8A664C61-CF4D-410A-BA41-AE91AFF75B51}"/>
    <cellStyle name="SAPBEXHLevel2X 4 2 3" xfId="6150" xr:uid="{79C14E34-62AF-4290-985A-121173C601AE}"/>
    <cellStyle name="SAPBEXHLevel2X 4 2 4" xfId="2629" xr:uid="{690BFEA4-6BF4-484E-B805-61FD7DAE6279}"/>
    <cellStyle name="SAPBEXHLevel2X 4 3" xfId="2815" xr:uid="{9B6801D0-EF9B-460E-94AF-915601333710}"/>
    <cellStyle name="SAPBEXHLevel2X 4 4" xfId="4797" xr:uid="{50137475-2878-43F6-9484-7DDC1A07D8B8}"/>
    <cellStyle name="SAPBEXHLevel2X 4 5" xfId="4585" xr:uid="{8701BA2F-C48A-4383-8692-E05163478ADE}"/>
    <cellStyle name="SAPBEXHLevel2X 5" xfId="2497" xr:uid="{583F64F0-B3A6-4AF2-B223-5F5448A8B963}"/>
    <cellStyle name="SAPBEXHLevel2X 5 2" xfId="4462" xr:uid="{E1553ACA-5612-4289-9852-2A4CC03802EE}"/>
    <cellStyle name="SAPBEXHLevel2X 5 2 2" xfId="5947" xr:uid="{D63A0EEF-B767-457F-B356-319877CDFEC9}"/>
    <cellStyle name="SAPBEXHLevel2X 5 2 3" xfId="6289" xr:uid="{2E1F13DF-96A3-45EE-B8D6-F6115C4004C3}"/>
    <cellStyle name="SAPBEXHLevel2X 5 2 4" xfId="6563" xr:uid="{DFC42546-21FB-4511-9D0B-7432C90A71F1}"/>
    <cellStyle name="SAPBEXHLevel2X 5 3" xfId="2999" xr:uid="{57E94AFA-9C23-475C-8C4F-6A0287FF3FC0}"/>
    <cellStyle name="SAPBEXHLevel2X 5 4" xfId="4808" xr:uid="{3EE14AE2-24B3-4CE5-A910-95D288489DFD}"/>
    <cellStyle name="SAPBEXHLevel2X 5 5" xfId="4706" xr:uid="{5D0CF8E1-5AB6-4FBE-AA37-B27FD35B55E1}"/>
    <cellStyle name="SAPBEXHLevel2X 6" xfId="1312" xr:uid="{0AB350C3-5E0C-433F-9B6E-F64CD0617BDE}"/>
    <cellStyle name="SAPBEXHLevel2X 6 2" xfId="3818" xr:uid="{E59895AA-B7BE-4FBB-87C9-98B438281D67}"/>
    <cellStyle name="SAPBEXHLevel2X 6 3" xfId="2855" xr:uid="{F7BF1399-C45D-4098-8B07-C2D14A25495C}"/>
    <cellStyle name="SAPBEXHLevel2X 6 4" xfId="5099" xr:uid="{3C3CF575-06CE-4FF9-9B93-C3385BAC9416}"/>
    <cellStyle name="SAPBEXHLevel2X 7" xfId="5372" xr:uid="{21919A6F-03F4-480A-A9FE-4F8022C6E57D}"/>
    <cellStyle name="SAPBEXHLevel2X 8" xfId="4643" xr:uid="{DCC00175-4C92-4E2F-B19F-D76B9E5200BD}"/>
    <cellStyle name="SAPBEXHLevel2X 9" xfId="5856" xr:uid="{CF0FE76D-77FD-4D74-AAFE-966771E2BBE1}"/>
    <cellStyle name="SAPBEXHLevel3" xfId="759" xr:uid="{00000000-0005-0000-0000-0000FF020000}"/>
    <cellStyle name="SAPBEXHLevel3 2" xfId="760" xr:uid="{00000000-0005-0000-0000-000000030000}"/>
    <cellStyle name="SAPBEXHLevel3 2 2" xfId="761" xr:uid="{00000000-0005-0000-0000-000001030000}"/>
    <cellStyle name="SAPBEXHLevel3 2 2 2" xfId="2308" xr:uid="{528B19D5-5E70-4CFA-AE74-4FB85D7B096E}"/>
    <cellStyle name="SAPBEXHLevel3 2 2 2 2" xfId="4291" xr:uid="{D09EE66B-A47D-4A1C-AA80-00FF25DBBC6C}"/>
    <cellStyle name="SAPBEXHLevel3 2 2 2 2 2" xfId="5803" xr:uid="{D910B9B3-DFF4-4FF1-83A5-EB1EC94CFA92}"/>
    <cellStyle name="SAPBEXHLevel3 2 2 2 2 3" xfId="6156" xr:uid="{3299CA60-E157-408D-9AE5-7FE607E3A2A0}"/>
    <cellStyle name="SAPBEXHLevel3 2 2 2 2 4" xfId="4058" xr:uid="{CDA8458B-4A81-4BAC-B7F2-C422834ACA2F}"/>
    <cellStyle name="SAPBEXHLevel3 2 2 2 3" xfId="2591" xr:uid="{2C21786B-D600-47B6-98CA-045F35C8C1A4}"/>
    <cellStyle name="SAPBEXHLevel3 2 2 2 4" xfId="4996" xr:uid="{25312006-DDF4-433D-AE60-6A2156BA4DC8}"/>
    <cellStyle name="SAPBEXHLevel3 2 2 2 5" xfId="5464" xr:uid="{78460715-63E3-44E2-9922-0CB9EEC95F31}"/>
    <cellStyle name="SAPBEXHLevel3 2 2 3" xfId="2503" xr:uid="{08C56DF0-82FB-4EDA-8E81-B4F53BDAAEC0}"/>
    <cellStyle name="SAPBEXHLevel3 2 2 3 2" xfId="4468" xr:uid="{3B89F073-632C-4C70-B74A-2A2854F680E8}"/>
    <cellStyle name="SAPBEXHLevel3 2 2 3 2 2" xfId="5953" xr:uid="{BEDE612B-CD11-4451-8840-04EDFE767D43}"/>
    <cellStyle name="SAPBEXHLevel3 2 2 3 2 3" xfId="6295" xr:uid="{58E46088-44E9-4761-801F-EE8193A53D90}"/>
    <cellStyle name="SAPBEXHLevel3 2 2 3 2 4" xfId="6569" xr:uid="{C97556F9-BC8D-4EB2-A5C2-00F9BA6CD460}"/>
    <cellStyle name="SAPBEXHLevel3 2 2 3 3" xfId="3005" xr:uid="{1DB800BA-0F79-4E60-A89E-ADDD44441A6F}"/>
    <cellStyle name="SAPBEXHLevel3 2 2 3 4" xfId="5201" xr:uid="{D0DDA52B-E86A-479D-9354-36693D0057C2}"/>
    <cellStyle name="SAPBEXHLevel3 2 2 3 5" xfId="5057" xr:uid="{A9A3B939-60ED-4874-84BD-B3A0321027B9}"/>
    <cellStyle name="SAPBEXHLevel3 2 2 4" xfId="3568" xr:uid="{F45BC069-5FF4-482F-AB29-D24C8F49B3B3}"/>
    <cellStyle name="SAPBEXHLevel3 2 2 4 2" xfId="5015" xr:uid="{4F28E7F5-B78C-4C78-8C4A-483E1E7B3DEF}"/>
    <cellStyle name="SAPBEXHLevel3 2 2 4 3" xfId="5619" xr:uid="{FDCA90D9-33F3-4844-BE18-629B7D622825}"/>
    <cellStyle name="SAPBEXHLevel3 2 2 4 4" xfId="2649" xr:uid="{8730B42B-FF3C-4FD7-BA2B-B8E741326780}"/>
    <cellStyle name="SAPBEXHLevel3 2 2 5" xfId="2603" xr:uid="{13BF0970-4C03-49EE-82DA-C7A469147A6C}"/>
    <cellStyle name="SAPBEXHLevel3 2 2 6" xfId="4859" xr:uid="{C8547C8C-928C-4A20-8FFC-2C85B2593B96}"/>
    <cellStyle name="SAPBEXHLevel3 2 2 7" xfId="4837" xr:uid="{97F631C4-0BF5-4D7D-BEC0-94D2D946EA84}"/>
    <cellStyle name="SAPBEXHLevel3 2 2 8" xfId="6465" xr:uid="{333E68A0-3CB7-4EC7-B125-652C0A152359}"/>
    <cellStyle name="SAPBEXHLevel3 2 3" xfId="2307" xr:uid="{F5F9818D-5508-4518-8FE7-B2950EA2906C}"/>
    <cellStyle name="SAPBEXHLevel3 2 3 2" xfId="4290" xr:uid="{5F5C23F5-050E-45EA-990D-C75F285CB9F5}"/>
    <cellStyle name="SAPBEXHLevel3 2 3 2 2" xfId="5802" xr:uid="{3C8672A1-8800-480B-9055-024533432F79}"/>
    <cellStyle name="SAPBEXHLevel3 2 3 2 3" xfId="6155" xr:uid="{F722229D-DB5A-4515-AF54-9E9602C1DDFD}"/>
    <cellStyle name="SAPBEXHLevel3 2 3 2 4" xfId="6381" xr:uid="{492D178C-FF70-4B5F-8A6B-338305B0C22F}"/>
    <cellStyle name="SAPBEXHLevel3 2 3 3" xfId="2812" xr:uid="{F67BD8CD-47E6-4553-A428-78B6FF61530A}"/>
    <cellStyle name="SAPBEXHLevel3 2 3 4" xfId="4796" xr:uid="{ECEA35AB-1853-46CC-BF69-542E7C0F931F}"/>
    <cellStyle name="SAPBEXHLevel3 2 3 5" xfId="4917" xr:uid="{EB338FF8-02AD-4DAA-9D09-C8BAD9929E7A}"/>
    <cellStyle name="SAPBEXHLevel3 2 4" xfId="2502" xr:uid="{C3DEF954-11F4-4AC4-9E38-7F7436DBB519}"/>
    <cellStyle name="SAPBEXHLevel3 2 4 2" xfId="4467" xr:uid="{6DD3CA16-6FBB-475D-8BE9-28864AA9F3B3}"/>
    <cellStyle name="SAPBEXHLevel3 2 4 2 2" xfId="5952" xr:uid="{E15A1F43-3C8B-4BEF-B935-26D36D58C0D9}"/>
    <cellStyle name="SAPBEXHLevel3 2 4 2 3" xfId="6294" xr:uid="{EAEB9167-6FAF-480B-8157-63067CA1F080}"/>
    <cellStyle name="SAPBEXHLevel3 2 4 2 4" xfId="6568" xr:uid="{CCD9CA14-3FDC-440E-90D3-D4DBAF0CE689}"/>
    <cellStyle name="SAPBEXHLevel3 2 4 3" xfId="3004" xr:uid="{B6F70040-364D-48A5-B514-1973930AE979}"/>
    <cellStyle name="SAPBEXHLevel3 2 4 4" xfId="4874" xr:uid="{6E20182A-F9EF-4ACF-8E99-7646F76B5241}"/>
    <cellStyle name="SAPBEXHLevel3 2 4 5" xfId="2661" xr:uid="{4CB459A9-01F7-4FCA-9A0B-F5DA70953EB6}"/>
    <cellStyle name="SAPBEXHLevel3 2 5" xfId="1161" xr:uid="{97F9180C-418D-475A-906A-8960BBECFA33}"/>
    <cellStyle name="SAPBEXHLevel3 2 5 2" xfId="3714" xr:uid="{1C06FE5E-59BB-46EA-950F-110C4A46EC06}"/>
    <cellStyle name="SAPBEXHLevel3 2 5 3" xfId="3047" xr:uid="{DD03A537-336C-4DE1-94D2-00A90F8B2615}"/>
    <cellStyle name="SAPBEXHLevel3 2 5 4" xfId="6410" xr:uid="{2BCBE2EE-DD58-4565-A475-42384DBEA653}"/>
    <cellStyle name="SAPBEXHLevel3 2 6" xfId="4961" xr:uid="{64837947-B142-4D67-96EA-E4B1213FF5E7}"/>
    <cellStyle name="SAPBEXHLevel3 2 7" xfId="4926" xr:uid="{CE1C2F25-D7EE-43C2-ABE6-E4E1CFC23687}"/>
    <cellStyle name="SAPBEXHLevel3 2 8" xfId="4105" xr:uid="{B6E3DC2B-72F2-45EE-8E43-F3716300855D}"/>
    <cellStyle name="SAPBEXHLevel3 3" xfId="762" xr:uid="{00000000-0005-0000-0000-000002030000}"/>
    <cellStyle name="SAPBEXHLevel3 3 2" xfId="2309" xr:uid="{B5AE86C6-5520-4108-921F-DA69AD81FE4E}"/>
    <cellStyle name="SAPBEXHLevel3 3 2 2" xfId="4292" xr:uid="{8E9AEAA2-36F4-40DE-BBD6-08E39F239D39}"/>
    <cellStyle name="SAPBEXHLevel3 3 2 2 2" xfId="5804" xr:uid="{B5C311A8-DEA4-4D74-85C4-4D03E7CAD846}"/>
    <cellStyle name="SAPBEXHLevel3 3 2 2 3" xfId="6157" xr:uid="{430C46C9-83EE-49E5-9E58-84386C6B04D7}"/>
    <cellStyle name="SAPBEXHLevel3 3 2 2 4" xfId="4663" xr:uid="{DFBBA785-4A99-46E2-A063-28EC5597DBFD}"/>
    <cellStyle name="SAPBEXHLevel3 3 2 3" xfId="1588" xr:uid="{24D7BAF4-E119-4063-9816-5602DA30CD35}"/>
    <cellStyle name="SAPBEXHLevel3 3 2 4" xfId="5702" xr:uid="{0663A584-7B1C-4C51-8240-0E84BD69D9AB}"/>
    <cellStyle name="SAPBEXHLevel3 3 2 5" xfId="6356" xr:uid="{30F8927A-A8F7-430C-975E-E828EB177E44}"/>
    <cellStyle name="SAPBEXHLevel3 3 3" xfId="2504" xr:uid="{9486CBCA-F0F0-4CFB-84FC-3DE4F111C2A2}"/>
    <cellStyle name="SAPBEXHLevel3 3 3 2" xfId="4469" xr:uid="{E0BC949A-64A6-4016-AFB8-620AB7C0D0CC}"/>
    <cellStyle name="SAPBEXHLevel3 3 3 2 2" xfId="5954" xr:uid="{E7AE96EE-3A8C-41D4-B5AA-B841A735F666}"/>
    <cellStyle name="SAPBEXHLevel3 3 3 2 3" xfId="6296" xr:uid="{9AA7B281-5135-404E-89DA-2386083BD0EE}"/>
    <cellStyle name="SAPBEXHLevel3 3 3 2 4" xfId="6570" xr:uid="{1C1A1B47-9C69-42FE-9CF4-596E574D8DF4}"/>
    <cellStyle name="SAPBEXHLevel3 3 3 3" xfId="3006" xr:uid="{5B4DD409-2C84-42DE-9D73-27C6A31FCD7B}"/>
    <cellStyle name="SAPBEXHLevel3 3 3 4" xfId="5665" xr:uid="{959438FA-DDFC-41DA-8956-52F62781742B}"/>
    <cellStyle name="SAPBEXHLevel3 3 3 5" xfId="1560" xr:uid="{62E26767-9948-4F80-A874-BC6D8D6DAA35}"/>
    <cellStyle name="SAPBEXHLevel3 3 4" xfId="3569" xr:uid="{BC47CDB3-3E53-45E1-8198-5A0ADDB3B62E}"/>
    <cellStyle name="SAPBEXHLevel3 3 4 2" xfId="5179" xr:uid="{DB6FCB7C-2D7D-4B75-BE79-B4F73BD4E939}"/>
    <cellStyle name="SAPBEXHLevel3 3 4 3" xfId="5297" xr:uid="{4E8EA233-B455-4592-B535-72900B43F27B}"/>
    <cellStyle name="SAPBEXHLevel3 3 4 4" xfId="5367" xr:uid="{9E0C3FBD-5241-418D-ADF3-8BB84AE89B21}"/>
    <cellStyle name="SAPBEXHLevel3 3 5" xfId="2849" xr:uid="{7164B583-A33F-42E7-BE38-7AC8FEE120D6}"/>
    <cellStyle name="SAPBEXHLevel3 3 6" xfId="5019" xr:uid="{A155642B-6AC7-4FF0-9C60-633EED302910}"/>
    <cellStyle name="SAPBEXHLevel3 3 7" xfId="4091" xr:uid="{D47A723A-A4D3-4AED-B9B7-B13AAE562F52}"/>
    <cellStyle name="SAPBEXHLevel3 3 8" xfId="6455" xr:uid="{EF884B5D-6B84-40C8-AF27-3BEA46209850}"/>
    <cellStyle name="SAPBEXHLevel3 4" xfId="2306" xr:uid="{CC7E1067-179B-4A1E-9D4C-F79756965989}"/>
    <cellStyle name="SAPBEXHLevel3 4 2" xfId="4289" xr:uid="{698613A2-1CC1-4738-A236-10D28F0D121D}"/>
    <cellStyle name="SAPBEXHLevel3 4 2 2" xfId="5801" xr:uid="{36EBA00E-7152-47B4-BDCC-31C385D5F631}"/>
    <cellStyle name="SAPBEXHLevel3 4 2 3" xfId="6154" xr:uid="{C47AD224-5E5E-4C72-9AEE-DE5F96603E2E}"/>
    <cellStyle name="SAPBEXHLevel3 4 2 4" xfId="5320" xr:uid="{0706CF76-2174-4469-832A-8E1671A98F87}"/>
    <cellStyle name="SAPBEXHLevel3 4 3" xfId="1230" xr:uid="{33D2BF35-6AD5-4F5A-96E3-0287C8D422BE}"/>
    <cellStyle name="SAPBEXHLevel3 4 4" xfId="4735" xr:uid="{58E21467-E88C-473A-879A-F80B999DB717}"/>
    <cellStyle name="SAPBEXHLevel3 4 5" xfId="6371" xr:uid="{CD327A59-29BB-46D8-8418-30CD1CE6753F}"/>
    <cellStyle name="SAPBEXHLevel3 5" xfId="2501" xr:uid="{4AADF7AD-AC44-4BCB-A916-DE4785F032C4}"/>
    <cellStyle name="SAPBEXHLevel3 5 2" xfId="4466" xr:uid="{E7E31713-DC23-4C4C-8132-41BE12DA7288}"/>
    <cellStyle name="SAPBEXHLevel3 5 2 2" xfId="5951" xr:uid="{8D6128E0-0444-4984-A73A-2F0CD0525FE6}"/>
    <cellStyle name="SAPBEXHLevel3 5 2 3" xfId="6293" xr:uid="{AC45AAE8-DE4E-41EA-9C67-B60F0950D96C}"/>
    <cellStyle name="SAPBEXHLevel3 5 2 4" xfId="6567" xr:uid="{4CEA2BE7-7144-4372-9D2E-D6DF8832E393}"/>
    <cellStyle name="SAPBEXHLevel3 5 3" xfId="3003" xr:uid="{C1FDE3B2-C48E-45C3-AB60-2D7B086720B0}"/>
    <cellStyle name="SAPBEXHLevel3 5 4" xfId="5026" xr:uid="{F98255E5-720D-4C06-8D07-DA0F7E7D63FF}"/>
    <cellStyle name="SAPBEXHLevel3 5 5" xfId="4639" xr:uid="{5876B5E2-DE03-4ECC-B8DA-549BE59A97E8}"/>
    <cellStyle name="SAPBEXHLevel3 6" xfId="1314" xr:uid="{0A4A5F6A-395B-4B3C-A87E-8EF71337689E}"/>
    <cellStyle name="SAPBEXHLevel3 6 2" xfId="3820" xr:uid="{F6E3C0AD-2E65-4C95-84F4-9EDC95F03ADE}"/>
    <cellStyle name="SAPBEXHLevel3 6 3" xfId="2749" xr:uid="{672589CC-3852-4DF9-A620-67E31B3D54E4}"/>
    <cellStyle name="SAPBEXHLevel3 6 4" xfId="6392" xr:uid="{F65DB7F3-E3E0-4C1D-9013-7CC66CC5B5BC}"/>
    <cellStyle name="SAPBEXHLevel3 7" xfId="4677" xr:uid="{1F672087-8ECB-4E80-8FA0-B9A20F4204CB}"/>
    <cellStyle name="SAPBEXHLevel3 8" xfId="4675" xr:uid="{6FBDF38E-5CE2-450B-874D-238FB598A81D}"/>
    <cellStyle name="SAPBEXHLevel3 9" xfId="3879" xr:uid="{2A7CF18C-21F0-4E36-8419-C04A81B1B0B2}"/>
    <cellStyle name="SAPBEXHLevel3X" xfId="763" xr:uid="{00000000-0005-0000-0000-000003030000}"/>
    <cellStyle name="SAPBEXHLevel3X 2" xfId="764" xr:uid="{00000000-0005-0000-0000-000004030000}"/>
    <cellStyle name="SAPBEXHLevel3X 2 2" xfId="765" xr:uid="{00000000-0005-0000-0000-000005030000}"/>
    <cellStyle name="SAPBEXHLevel3X 2 2 2" xfId="2312" xr:uid="{FCD16705-9E8A-44F0-936F-E3E67CC1AD49}"/>
    <cellStyle name="SAPBEXHLevel3X 2 2 2 2" xfId="4295" xr:uid="{527C6E95-BD43-427A-A805-91A9BB1CF26C}"/>
    <cellStyle name="SAPBEXHLevel3X 2 2 2 2 2" xfId="5807" xr:uid="{548B6147-3FDD-40C6-A8B2-A51493F35E41}"/>
    <cellStyle name="SAPBEXHLevel3X 2 2 2 2 3" xfId="6160" xr:uid="{A3C8F513-E34F-43AB-8ED5-292BC1C7F57F}"/>
    <cellStyle name="SAPBEXHLevel3X 2 2 2 2 4" xfId="6380" xr:uid="{15253F2D-E4F8-42A8-87BA-75C51C5B8BE2}"/>
    <cellStyle name="SAPBEXHLevel3X 2 2 2 3" xfId="2662" xr:uid="{8F7A303A-6F48-47C0-863C-252C834B949B}"/>
    <cellStyle name="SAPBEXHLevel3X 2 2 2 4" xfId="5129" xr:uid="{BC11E98D-10EB-422C-8660-9AF9F0600A8A}"/>
    <cellStyle name="SAPBEXHLevel3X 2 2 2 5" xfId="2822" xr:uid="{C2FE93C7-F933-4040-9824-FCFDFC62F229}"/>
    <cellStyle name="SAPBEXHLevel3X 2 2 3" xfId="2507" xr:uid="{29F595F0-D8DB-4932-A9FC-0B6F67F83E0C}"/>
    <cellStyle name="SAPBEXHLevel3X 2 2 3 2" xfId="4472" xr:uid="{39613685-5941-496C-8703-0FDF242A6205}"/>
    <cellStyle name="SAPBEXHLevel3X 2 2 3 2 2" xfId="5957" xr:uid="{38404A71-63B3-4DE7-A0A4-0248C6D9ACDC}"/>
    <cellStyle name="SAPBEXHLevel3X 2 2 3 2 3" xfId="6299" xr:uid="{4D59EF04-8B0C-4D8A-A808-D4844651500D}"/>
    <cellStyle name="SAPBEXHLevel3X 2 2 3 2 4" xfId="6573" xr:uid="{F321983A-1855-4881-96AA-C20B36201761}"/>
    <cellStyle name="SAPBEXHLevel3X 2 2 3 3" xfId="3009" xr:uid="{B7D6BBDB-C142-4243-BD37-E390BCA82532}"/>
    <cellStyle name="SAPBEXHLevel3X 2 2 3 4" xfId="2858" xr:uid="{8C6B5893-E50F-4049-83C9-9EF5D702F950}"/>
    <cellStyle name="SAPBEXHLevel3X 2 2 3 5" xfId="6037" xr:uid="{6306545C-6714-4267-9FB3-B5477718FBC9}"/>
    <cellStyle name="SAPBEXHLevel3X 2 2 4" xfId="3570" xr:uid="{7D27421E-64E1-4877-992B-5BE2240A13BB}"/>
    <cellStyle name="SAPBEXHLevel3X 2 2 4 2" xfId="2751" xr:uid="{23BD232E-F8C7-44FC-A064-07B709D82E3C}"/>
    <cellStyle name="SAPBEXHLevel3X 2 2 4 3" xfId="5620" xr:uid="{74DEAC27-8446-405F-AC8D-4034AE6FC500}"/>
    <cellStyle name="SAPBEXHLevel3X 2 2 4 4" xfId="5239" xr:uid="{E2A1CAE6-6685-43C4-A2B2-A5448280A1F9}"/>
    <cellStyle name="SAPBEXHLevel3X 2 2 5" xfId="2913" xr:uid="{3ACB46E3-2C98-4F83-939D-2C4FBE8DE978}"/>
    <cellStyle name="SAPBEXHLevel3X 2 2 6" xfId="4634" xr:uid="{0A730EC7-CF57-46FE-8B28-B3E6FDDAB645}"/>
    <cellStyle name="SAPBEXHLevel3X 2 2 7" xfId="5088" xr:uid="{4BB317A4-EFA3-4781-BFDC-4FCEAE959899}"/>
    <cellStyle name="SAPBEXHLevel3X 2 2 8" xfId="4958" xr:uid="{50A84291-9BBE-4E11-AA7D-E481FFC842CE}"/>
    <cellStyle name="SAPBEXHLevel3X 2 3" xfId="2311" xr:uid="{5F0463B6-C646-4B44-B776-F0D624E29318}"/>
    <cellStyle name="SAPBEXHLevel3X 2 3 2" xfId="4294" xr:uid="{189F2748-1193-451F-9835-B69A2C5555D2}"/>
    <cellStyle name="SAPBEXHLevel3X 2 3 2 2" xfId="5806" xr:uid="{12E9431B-3AE4-46B8-834A-A274E7A55B25}"/>
    <cellStyle name="SAPBEXHLevel3X 2 3 2 3" xfId="6159" xr:uid="{C6464EE3-C25D-4654-B181-E7C5C9F1F053}"/>
    <cellStyle name="SAPBEXHLevel3X 2 3 2 4" xfId="4988" xr:uid="{C2903D38-DDF9-4618-B59E-99F62DF87A50}"/>
    <cellStyle name="SAPBEXHLevel3X 2 3 3" xfId="1228" xr:uid="{CC1D4497-D541-4360-813C-047B900080F1}"/>
    <cellStyle name="SAPBEXHLevel3X 2 3 4" xfId="5192" xr:uid="{67049120-AFF8-4E44-8196-B9DA6DF4B617}"/>
    <cellStyle name="SAPBEXHLevel3X 2 3 5" xfId="6031" xr:uid="{9A091E1F-8B83-4BEB-AB63-15BA6ACF2F3E}"/>
    <cellStyle name="SAPBEXHLevel3X 2 4" xfId="2506" xr:uid="{F65DFB32-2E8C-4B7D-A97C-6CC4D1E424D5}"/>
    <cellStyle name="SAPBEXHLevel3X 2 4 2" xfId="4471" xr:uid="{EBB686A5-6BE6-47E0-B97B-E65AF53F222A}"/>
    <cellStyle name="SAPBEXHLevel3X 2 4 2 2" xfId="5956" xr:uid="{6C5CC875-169D-4C63-99BF-B526237004B1}"/>
    <cellStyle name="SAPBEXHLevel3X 2 4 2 3" xfId="6298" xr:uid="{0C3D4DBD-1010-45D7-AB91-1B232F97771C}"/>
    <cellStyle name="SAPBEXHLevel3X 2 4 2 4" xfId="6572" xr:uid="{38706639-F99C-4378-AC97-6E7C98039624}"/>
    <cellStyle name="SAPBEXHLevel3X 2 4 3" xfId="3008" xr:uid="{52954A9E-2B04-4BC5-B341-D6CB310DB2C7}"/>
    <cellStyle name="SAPBEXHLevel3X 2 4 4" xfId="5670" xr:uid="{154FBC39-7BDA-43FD-8332-484253B45054}"/>
    <cellStyle name="SAPBEXHLevel3X 2 4 5" xfId="6429" xr:uid="{A6C99287-2D95-4BEE-9448-CA537CE4DD14}"/>
    <cellStyle name="SAPBEXHLevel3X 2 5" xfId="1315" xr:uid="{90408B30-EC73-41F9-9DA5-E7C625D26586}"/>
    <cellStyle name="SAPBEXHLevel3X 2 5 2" xfId="3821" xr:uid="{8D091E63-0AAB-4FF3-A2D0-A1E89E88BA0A}"/>
    <cellStyle name="SAPBEXHLevel3X 2 5 3" xfId="5222" xr:uid="{9056FD51-6390-4D99-A370-8F909CA7A757}"/>
    <cellStyle name="SAPBEXHLevel3X 2 5 4" xfId="5164" xr:uid="{9537FA62-9F2D-4814-BA3F-0C5A43078036}"/>
    <cellStyle name="SAPBEXHLevel3X 2 6" xfId="4046" xr:uid="{03ABDBB4-2807-43A9-BC6E-3DF0F9470EB1}"/>
    <cellStyle name="SAPBEXHLevel3X 2 7" xfId="5359" xr:uid="{9E0BD313-E3DD-4D87-9333-25CC18199BCF}"/>
    <cellStyle name="SAPBEXHLevel3X 2 8" xfId="4652" xr:uid="{716F1895-AD98-47E8-8D33-A93333BA9392}"/>
    <cellStyle name="SAPBEXHLevel3X 3" xfId="766" xr:uid="{00000000-0005-0000-0000-000006030000}"/>
    <cellStyle name="SAPBEXHLevel3X 3 2" xfId="2313" xr:uid="{B104DF88-230D-4ED3-9E00-A69DD730AE0D}"/>
    <cellStyle name="SAPBEXHLevel3X 3 2 2" xfId="4296" xr:uid="{27672AD7-5D05-427D-ADE8-5D103CBA5E5D}"/>
    <cellStyle name="SAPBEXHLevel3X 3 2 2 2" xfId="5808" xr:uid="{C01F37FC-27A0-4D50-BF47-FCE886CB7260}"/>
    <cellStyle name="SAPBEXHLevel3X 3 2 2 3" xfId="6161" xr:uid="{D8B449FE-D1B4-4D2F-8BF6-42BE020069D9}"/>
    <cellStyle name="SAPBEXHLevel3X 3 2 2 4" xfId="5487" xr:uid="{F65170A8-63A5-468B-9711-0EED4CBFF18D}"/>
    <cellStyle name="SAPBEXHLevel3X 3 2 3" xfId="1225" xr:uid="{66FCB8A8-64C1-42F5-A295-56AA6E9F4965}"/>
    <cellStyle name="SAPBEXHLevel3X 3 2 4" xfId="3880" xr:uid="{B9D9EC54-69AC-4B01-92BC-955EC5249443}"/>
    <cellStyle name="SAPBEXHLevel3X 3 2 5" xfId="5428" xr:uid="{FC112133-F9CB-48C8-A7E8-5618D9DE24EC}"/>
    <cellStyle name="SAPBEXHLevel3X 3 3" xfId="2508" xr:uid="{D70109AD-E01F-4CE0-8E3E-FEE7669ABB8A}"/>
    <cellStyle name="SAPBEXHLevel3X 3 3 2" xfId="4473" xr:uid="{11AAE26C-7E9E-49BB-80C1-A4E5FA21E7EF}"/>
    <cellStyle name="SAPBEXHLevel3X 3 3 2 2" xfId="5958" xr:uid="{80E01C36-0595-4DBB-8513-58EC0A2128CA}"/>
    <cellStyle name="SAPBEXHLevel3X 3 3 2 3" xfId="6300" xr:uid="{39BE2FD3-DF91-4D79-8F17-3E4108B44893}"/>
    <cellStyle name="SAPBEXHLevel3X 3 3 2 4" xfId="6574" xr:uid="{BEB63050-35DB-46EC-8461-A726FAFEB45E}"/>
    <cellStyle name="SAPBEXHLevel3X 3 3 3" xfId="3010" xr:uid="{33C67FE3-3724-4435-B090-00D9A586E125}"/>
    <cellStyle name="SAPBEXHLevel3X 3 3 4" xfId="2903" xr:uid="{ED77DF0E-47FD-4BF2-B913-B32A8B467E06}"/>
    <cellStyle name="SAPBEXHLevel3X 3 3 5" xfId="5577" xr:uid="{5CBE82E2-6D80-461D-80B8-BC8D41A66250}"/>
    <cellStyle name="SAPBEXHLevel3X 3 4" xfId="3571" xr:uid="{5096C34C-299C-4802-B878-57A3F3D79C4D}"/>
    <cellStyle name="SAPBEXHLevel3X 3 4 2" xfId="5124" xr:uid="{D5A3AD6D-F56B-4338-B74B-724823CB92B9}"/>
    <cellStyle name="SAPBEXHLevel3X 3 4 3" xfId="4890" xr:uid="{64CE49ED-7558-4081-8093-0783D2431DB1}"/>
    <cellStyle name="SAPBEXHLevel3X 3 4 4" xfId="2220" xr:uid="{78B3F638-5E6A-4D70-AB7A-DF140FBF69B8}"/>
    <cellStyle name="SAPBEXHLevel3X 3 5" xfId="2730" xr:uid="{FCFE7559-0252-421F-BB01-903B238133BF}"/>
    <cellStyle name="SAPBEXHLevel3X 3 6" xfId="5238" xr:uid="{0B8029B5-5B2B-4473-A8F9-E8194FA7C0D4}"/>
    <cellStyle name="SAPBEXHLevel3X 3 7" xfId="5279" xr:uid="{7F64F4F1-6CEA-4819-88D5-B30767A31970}"/>
    <cellStyle name="SAPBEXHLevel3X 3 8" xfId="5138" xr:uid="{8B9934F2-9983-42A8-8AC8-5C160B91C2E0}"/>
    <cellStyle name="SAPBEXHLevel3X 4" xfId="2310" xr:uid="{F93CA4FF-66B3-47BB-93EA-370F4334BD3A}"/>
    <cellStyle name="SAPBEXHLevel3X 4 2" xfId="4293" xr:uid="{F2BA7B91-80AC-4102-8FAA-8A1B1522183C}"/>
    <cellStyle name="SAPBEXHLevel3X 4 2 2" xfId="5805" xr:uid="{137ECBA4-4316-4D76-9915-6DED0904C6DC}"/>
    <cellStyle name="SAPBEXHLevel3X 4 2 3" xfId="6158" xr:uid="{4BA63C58-DFDA-47F0-9586-0EF1C9E14F8B}"/>
    <cellStyle name="SAPBEXHLevel3X 4 2 4" xfId="5380" xr:uid="{466A4F67-7492-43DB-BF90-F8AA2BB25D88}"/>
    <cellStyle name="SAPBEXHLevel3X 4 3" xfId="2834" xr:uid="{060C61F9-1C19-44BC-99E7-095A84166FD6}"/>
    <cellStyle name="SAPBEXHLevel3X 4 4" xfId="4871" xr:uid="{DE79FA03-D0F1-4689-BBD6-2558A5F52ED3}"/>
    <cellStyle name="SAPBEXHLevel3X 4 5" xfId="6439" xr:uid="{3189962C-F804-4195-B39F-BD2FB32239D4}"/>
    <cellStyle name="SAPBEXHLevel3X 5" xfId="2505" xr:uid="{0446556B-CFB8-45D2-83DC-59885691D33A}"/>
    <cellStyle name="SAPBEXHLevel3X 5 2" xfId="4470" xr:uid="{B3D7F2F8-90E3-4B96-965F-997CDB8AC961}"/>
    <cellStyle name="SAPBEXHLevel3X 5 2 2" xfId="5955" xr:uid="{0E626577-DB09-4151-B7F1-3B4D9C065FE6}"/>
    <cellStyle name="SAPBEXHLevel3X 5 2 3" xfId="6297" xr:uid="{6FCD6E0B-D61B-4D8C-B7C3-AB47BB757CC1}"/>
    <cellStyle name="SAPBEXHLevel3X 5 2 4" xfId="6571" xr:uid="{253F41C0-6970-42E2-9089-A4EDA422D90C}"/>
    <cellStyle name="SAPBEXHLevel3X 5 3" xfId="3007" xr:uid="{0155F9FC-258C-48AC-B96A-09CE3A1EFD2B}"/>
    <cellStyle name="SAPBEXHLevel3X 5 4" xfId="5204" xr:uid="{ED5577B7-3030-422B-AAEE-04BDF49A8519}"/>
    <cellStyle name="SAPBEXHLevel3X 5 5" xfId="5226" xr:uid="{40289242-EE7E-4B3F-A9A1-E5F7A350C5A6}"/>
    <cellStyle name="SAPBEXHLevel3X 6" xfId="1130" xr:uid="{828BA7A5-6CC7-4CE1-9B42-2B41DD42A9E9}"/>
    <cellStyle name="SAPBEXHLevel3X 6 2" xfId="3700" xr:uid="{C54AB8A0-EC05-4C9C-A320-F20F26BCD5B5}"/>
    <cellStyle name="SAPBEXHLevel3X 6 3" xfId="4057" xr:uid="{1644954C-C6D5-4187-903F-7400D37F9F15}"/>
    <cellStyle name="SAPBEXHLevel3X 6 4" xfId="6412" xr:uid="{E20D7917-0C1B-4321-AA6E-EFCA6F9E23C7}"/>
    <cellStyle name="SAPBEXHLevel3X 7" xfId="4697" xr:uid="{8121505D-58DE-44B1-9C99-A07ADE7BAF1C}"/>
    <cellStyle name="SAPBEXHLevel3X 8" xfId="5523" xr:uid="{1E1ED8AE-0156-4917-B76F-EF8489BEF99D}"/>
    <cellStyle name="SAPBEXHLevel3X 9" xfId="5032" xr:uid="{D897B1CF-13A8-44DE-8686-7580D034FFE2}"/>
    <cellStyle name="SAPBEXresData" xfId="767" xr:uid="{00000000-0005-0000-0000-000007030000}"/>
    <cellStyle name="SAPBEXresData 2" xfId="768" xr:uid="{00000000-0005-0000-0000-000008030000}"/>
    <cellStyle name="SAPBEXresData 2 2" xfId="769" xr:uid="{00000000-0005-0000-0000-000009030000}"/>
    <cellStyle name="SAPBEXresData 2 2 2" xfId="2316" xr:uid="{54677AAE-58DD-4221-9F54-1B696A38D495}"/>
    <cellStyle name="SAPBEXresData 2 2 2 2" xfId="4299" xr:uid="{ED96E54A-1738-4DDD-85F9-CAD4057A3036}"/>
    <cellStyle name="SAPBEXresData 2 2 2 2 2" xfId="5811" xr:uid="{922D6DE0-F410-49B0-BB95-5355A0C18037}"/>
    <cellStyle name="SAPBEXresData 2 2 2 2 3" xfId="6164" xr:uid="{2EE8FC87-303B-4277-BF1B-7081C4E18F17}"/>
    <cellStyle name="SAPBEXresData 2 2 2 2 4" xfId="5465" xr:uid="{EA627BA5-0585-463A-8B4E-97163F69191F}"/>
    <cellStyle name="SAPBEXresData 2 2 2 3" xfId="1479" xr:uid="{1B4125BA-EAF8-41D8-BB1D-4EBE0D31CB84}"/>
    <cellStyle name="SAPBEXresData 2 2 2 4" xfId="2771" xr:uid="{78A3FF7D-BE19-4000-82CC-8E1FEE6A1FB6}"/>
    <cellStyle name="SAPBEXresData 2 2 2 5" xfId="5288" xr:uid="{A636990C-3057-41F0-90DF-1FD59FB12E88}"/>
    <cellStyle name="SAPBEXresData 2 2 3" xfId="2511" xr:uid="{3E57F682-1391-43CD-9117-E73791213BA9}"/>
    <cellStyle name="SAPBEXresData 2 2 3 2" xfId="4476" xr:uid="{B5CBE833-A06C-4F39-9414-C0142F8F193B}"/>
    <cellStyle name="SAPBEXresData 2 2 3 2 2" xfId="5961" xr:uid="{1F83F863-572F-4996-814B-1E6BA39E5898}"/>
    <cellStyle name="SAPBEXresData 2 2 3 2 3" xfId="6303" xr:uid="{095CF955-C9CC-44F6-A9A3-FE805E1A0044}"/>
    <cellStyle name="SAPBEXresData 2 2 3 2 4" xfId="6577" xr:uid="{349E9485-E24F-4B2C-9319-6978C1C9191D}"/>
    <cellStyle name="SAPBEXresData 2 2 3 3" xfId="3013" xr:uid="{51BEC019-60B9-41EC-AB77-BF86E402AF4A}"/>
    <cellStyle name="SAPBEXresData 2 2 3 4" xfId="5669" xr:uid="{5721EA41-30DC-4254-9A2B-063C8CFBC8B1}"/>
    <cellStyle name="SAPBEXresData 2 2 3 5" xfId="4679" xr:uid="{B1A67A3B-74C1-4D85-BD29-6279B53E0469}"/>
    <cellStyle name="SAPBEXresData 2 2 4" xfId="3572" xr:uid="{8A0A8FF0-B8CE-4CC9-A13A-05D68F585C03}"/>
    <cellStyle name="SAPBEXresData 2 2 4 2" xfId="4052" xr:uid="{77BA6FB0-BD1C-4C56-B39F-991151FF08D0}"/>
    <cellStyle name="SAPBEXresData 2 2 4 3" xfId="4934" xr:uid="{03B6AF54-04A7-4112-8E5A-FC5342AD3EA3}"/>
    <cellStyle name="SAPBEXresData 2 2 4 4" xfId="6470" xr:uid="{61B9EA93-E941-4D08-BBC6-C041753330BD}"/>
    <cellStyle name="SAPBEXresData 2 2 5" xfId="2874" xr:uid="{A522C339-C66F-4B18-80F7-6FF6C5E89E84}"/>
    <cellStyle name="SAPBEXresData 2 2 6" xfId="4846" xr:uid="{32B3555C-162A-4959-B4C3-5126CACDA794}"/>
    <cellStyle name="SAPBEXresData 2 2 7" xfId="5866" xr:uid="{8858E3D7-6C7C-49E6-9963-EC43F34EC355}"/>
    <cellStyle name="SAPBEXresData 2 2 8" xfId="6476" xr:uid="{C71C3742-56DD-4E43-87CC-6D21BEC08A96}"/>
    <cellStyle name="SAPBEXresData 2 3" xfId="2315" xr:uid="{D8804C6F-2D9E-40AC-A726-F7DCCE799D7D}"/>
    <cellStyle name="SAPBEXresData 2 3 2" xfId="4298" xr:uid="{B94A3923-71A7-4369-95D8-3E435377089A}"/>
    <cellStyle name="SAPBEXresData 2 3 2 2" xfId="5810" xr:uid="{04F5B62F-1D73-44F6-9713-512F863E02FC}"/>
    <cellStyle name="SAPBEXresData 2 3 2 3" xfId="6163" xr:uid="{31444B49-70C0-4975-BC4B-E169C6EB4395}"/>
    <cellStyle name="SAPBEXresData 2 3 2 4" xfId="4582" xr:uid="{E98E3518-83A7-42DC-94A6-4E6C5B87A9F1}"/>
    <cellStyle name="SAPBEXresData 2 3 3" xfId="2593" xr:uid="{1BC5ED42-9E1D-47B0-8BA4-0CCD5D275003}"/>
    <cellStyle name="SAPBEXresData 2 3 4" xfId="5533" xr:uid="{603DC8D6-632B-4A11-A474-826ABFCF996B}"/>
    <cellStyle name="SAPBEXresData 2 3 5" xfId="6438" xr:uid="{BBB33138-5F20-49E8-B1DD-00ECF9F70176}"/>
    <cellStyle name="SAPBEXresData 2 4" xfId="2510" xr:uid="{B888C6D3-0AD5-4D34-838B-1C4E6FEE5E4A}"/>
    <cellStyle name="SAPBEXresData 2 4 2" xfId="4475" xr:uid="{A60B1AC1-FAD6-42B8-A767-0E8A8D044F42}"/>
    <cellStyle name="SAPBEXresData 2 4 2 2" xfId="5960" xr:uid="{D279C047-A8DF-4107-99B4-C773ACFB99EF}"/>
    <cellStyle name="SAPBEXresData 2 4 2 3" xfId="6302" xr:uid="{7239B027-8F66-4BF8-B197-6CFEAA9CFB34}"/>
    <cellStyle name="SAPBEXresData 2 4 2 4" xfId="6576" xr:uid="{9FF36E74-F792-40D4-87AB-E92A8F54F9F9}"/>
    <cellStyle name="SAPBEXresData 2 4 3" xfId="3012" xr:uid="{7E39591C-D390-4EAE-A8A0-AF2C217BFFA7}"/>
    <cellStyle name="SAPBEXresData 2 4 4" xfId="4807" xr:uid="{321CF9A8-3DE7-41AA-847A-D72A8211B89C}"/>
    <cellStyle name="SAPBEXresData 2 4 5" xfId="5146" xr:uid="{0ADAC9B5-9799-45C2-AE9D-A9413F94DE26}"/>
    <cellStyle name="SAPBEXresData 2 5" xfId="1317" xr:uid="{A4A55B57-CE82-485D-81ED-5B3396F9D26F}"/>
    <cellStyle name="SAPBEXresData 2 5 2" xfId="3823" xr:uid="{E61C0788-9D22-49DD-B1F5-229F20BCFF5B}"/>
    <cellStyle name="SAPBEXresData 2 5 3" xfId="2697" xr:uid="{DFADF746-AE54-4041-895B-43BEB6AED12D}"/>
    <cellStyle name="SAPBEXresData 2 5 4" xfId="6056" xr:uid="{3257EF2A-5F77-45D9-B66C-9C82F7C22BC3}"/>
    <cellStyle name="SAPBEXresData 2 6" xfId="4994" xr:uid="{99771240-101E-4BB5-9A4B-6376716FED60}"/>
    <cellStyle name="SAPBEXresData 2 7" xfId="4944" xr:uid="{36A2E1C3-F757-44DD-8A90-39CF8DB16A4A}"/>
    <cellStyle name="SAPBEXresData 2 8" xfId="4747" xr:uid="{EA3270B1-D00A-463F-8563-D9FF7537B034}"/>
    <cellStyle name="SAPBEXresData 3" xfId="770" xr:uid="{00000000-0005-0000-0000-00000A030000}"/>
    <cellStyle name="SAPBEXresData 3 2" xfId="2317" xr:uid="{80E3A1D5-CF27-41C7-993F-B1029462A3FE}"/>
    <cellStyle name="SAPBEXresData 3 2 2" xfId="4300" xr:uid="{9D4FCC70-67E1-4445-B956-E84819E80AB2}"/>
    <cellStyle name="SAPBEXresData 3 2 2 2" xfId="5812" xr:uid="{FB4F9B46-5EC0-4AAB-B88A-9F7C8244E8B8}"/>
    <cellStyle name="SAPBEXresData 3 2 2 3" xfId="6165" xr:uid="{53697B17-AAE8-4232-9C57-11FA0216019C}"/>
    <cellStyle name="SAPBEXresData 3 2 2 4" xfId="6379" xr:uid="{EABF8C16-C513-4A75-B688-A50C29D8026D}"/>
    <cellStyle name="SAPBEXresData 3 2 3" xfId="2707" xr:uid="{23EDF2F8-D602-42F4-A392-2C2D05667542}"/>
    <cellStyle name="SAPBEXresData 3 2 4" xfId="2635" xr:uid="{39CFEFB6-FAB5-4518-AF0C-2CE7D1BAC0B6}"/>
    <cellStyle name="SAPBEXresData 3 2 5" xfId="5233" xr:uid="{46F44A12-6EF5-4ED3-AE3E-8A0A3BEA47AF}"/>
    <cellStyle name="SAPBEXresData 3 3" xfId="2512" xr:uid="{4067A87D-6117-407C-8611-9E32C3C8C6CB}"/>
    <cellStyle name="SAPBEXresData 3 3 2" xfId="4477" xr:uid="{C5C6DB31-EC2C-4198-9F83-A33F5B4367CF}"/>
    <cellStyle name="SAPBEXresData 3 3 2 2" xfId="5962" xr:uid="{654A24E5-912E-4997-8D87-6AD10360A8B6}"/>
    <cellStyle name="SAPBEXresData 3 3 2 3" xfId="6304" xr:uid="{0FB86C7E-F1CF-47CB-A7D7-4FEFD3DB33B0}"/>
    <cellStyle name="SAPBEXresData 3 3 2 4" xfId="6578" xr:uid="{CA1F323D-49A0-40D4-8187-96574C00E2A0}"/>
    <cellStyle name="SAPBEXresData 3 3 3" xfId="3014" xr:uid="{7E3901EA-BBCF-4607-AB54-60E49B2813E6}"/>
    <cellStyle name="SAPBEXresData 3 3 4" xfId="5130" xr:uid="{669C2B31-72FF-46CB-81AE-8987A6EFD592}"/>
    <cellStyle name="SAPBEXresData 3 3 5" xfId="5005" xr:uid="{0FB0CE4A-1BCA-41FC-985C-D8669632582B}"/>
    <cellStyle name="SAPBEXresData 3 4" xfId="3573" xr:uid="{90EDD423-0C5C-4AED-A751-CDE81D6E6F1F}"/>
    <cellStyle name="SAPBEXresData 3 4 2" xfId="2783" xr:uid="{30555B14-AE08-4FAC-BA2B-0B5767BEE9F5}"/>
    <cellStyle name="SAPBEXresData 3 4 3" xfId="5436" xr:uid="{A26BACF6-2795-4015-9CA8-E1037BC5E702}"/>
    <cellStyle name="SAPBEXresData 3 4 4" xfId="5378" xr:uid="{5D6EF9A8-8D42-4756-BD37-6F581FEA9B40}"/>
    <cellStyle name="SAPBEXresData 3 5" xfId="2819" xr:uid="{CD1CAC41-CC2E-4F5C-BA17-DA0B72F39A8C}"/>
    <cellStyle name="SAPBEXresData 3 6" xfId="2725" xr:uid="{5DFD207F-EF28-4DA1-BCD4-DF80828E7EA0}"/>
    <cellStyle name="SAPBEXresData 3 7" xfId="4970" xr:uid="{50203EBC-7772-41CD-87B2-ADA803C05522}"/>
    <cellStyle name="SAPBEXresData 3 8" xfId="4811" xr:uid="{13EC8264-8492-4932-B9A4-09783B4D2915}"/>
    <cellStyle name="SAPBEXresData 4" xfId="2314" xr:uid="{936BEC7D-E80B-4471-8F66-418FBF3758E4}"/>
    <cellStyle name="SAPBEXresData 4 2" xfId="4297" xr:uid="{83163F25-94FA-4453-B744-13DBC2A327E3}"/>
    <cellStyle name="SAPBEXresData 4 2 2" xfId="5809" xr:uid="{815FBE95-D889-4DD6-83C9-35F2EC2242BC}"/>
    <cellStyle name="SAPBEXresData 4 2 3" xfId="6162" xr:uid="{E79DB3AD-93E7-4ABE-9EB8-2ADFBD3BA44F}"/>
    <cellStyle name="SAPBEXresData 4 2 4" xfId="4767" xr:uid="{3BBD99D2-9EAF-40E8-96D9-B60331638675}"/>
    <cellStyle name="SAPBEXresData 4 3" xfId="2867" xr:uid="{0B1141DF-60BA-43BF-B0DD-60BF779D6716}"/>
    <cellStyle name="SAPBEXresData 4 4" xfId="5072" xr:uid="{6D3AD060-3697-436F-BCFC-A916D5C02245}"/>
    <cellStyle name="SAPBEXresData 4 5" xfId="5392" xr:uid="{EB977954-13AA-4ADF-9A53-1F5B5F8DC047}"/>
    <cellStyle name="SAPBEXresData 5" xfId="2509" xr:uid="{8D647C50-9C65-4FB1-975C-CF093AC7EA36}"/>
    <cellStyle name="SAPBEXresData 5 2" xfId="4474" xr:uid="{9C91BDEB-9960-4128-B86B-F36F13D3FD04}"/>
    <cellStyle name="SAPBEXresData 5 2 2" xfId="5959" xr:uid="{8DD0D001-FC02-4B75-95B7-11D0C9FD60BD}"/>
    <cellStyle name="SAPBEXresData 5 2 3" xfId="6301" xr:uid="{89EAD8A0-3FD8-412D-8B78-9BC9B781E5A6}"/>
    <cellStyle name="SAPBEXresData 5 2 4" xfId="6575" xr:uid="{30FDDC32-5488-4E01-B5B8-77CF327A6F32}"/>
    <cellStyle name="SAPBEXresData 5 3" xfId="3011" xr:uid="{4CDCBF3F-36EA-42F0-A642-41C048D7CC38}"/>
    <cellStyle name="SAPBEXresData 5 4" xfId="5668" xr:uid="{946B162D-DC49-43BF-A458-2CEF4C090B57}"/>
    <cellStyle name="SAPBEXresData 5 5" xfId="5127" xr:uid="{B0734FA6-E9A9-4EB2-8755-5FE3357826EC}"/>
    <cellStyle name="SAPBEXresData 6" xfId="1316" xr:uid="{E031D244-C516-43DC-84D0-35B6C4D3DFE8}"/>
    <cellStyle name="SAPBEXresData 6 2" xfId="3822" xr:uid="{476D6481-DE1F-4B6E-BF8A-9CDD24199F2C}"/>
    <cellStyle name="SAPBEXresData 6 3" xfId="5351" xr:uid="{4C49D28A-D0A8-4317-9207-2FB7372C7298}"/>
    <cellStyle name="SAPBEXresData 6 4" xfId="6395" xr:uid="{9EEA9B4C-94A5-464C-8E23-4EA7D520DA10}"/>
    <cellStyle name="SAPBEXresData 7" xfId="4122" xr:uid="{BD0FE817-0680-486F-B98C-6FE93A4B35A3}"/>
    <cellStyle name="SAPBEXresData 8" xfId="2764" xr:uid="{23065A24-6422-4A11-9668-FDA79B348ED4}"/>
    <cellStyle name="SAPBEXresData 9" xfId="4564" xr:uid="{440153FA-E739-458E-9918-B7219F637170}"/>
    <cellStyle name="SAPBEXresDataEmph" xfId="771" xr:uid="{00000000-0005-0000-0000-00000B030000}"/>
    <cellStyle name="SAPBEXresDataEmph 2" xfId="772" xr:uid="{00000000-0005-0000-0000-00000C030000}"/>
    <cellStyle name="SAPBEXresDataEmph 2 2" xfId="773" xr:uid="{00000000-0005-0000-0000-00000D030000}"/>
    <cellStyle name="SAPBEXresDataEmph 2 2 2" xfId="2320" xr:uid="{07373262-F007-4241-8F13-AAA70499CD97}"/>
    <cellStyle name="SAPBEXresDataEmph 2 2 2 2" xfId="4303" xr:uid="{DB9B250E-3118-4FD1-A87A-E7270F3AF95C}"/>
    <cellStyle name="SAPBEXresDataEmph 2 2 2 2 2" xfId="5815" xr:uid="{FABF1AAD-CA28-4387-AB30-2EF083E2CF5F}"/>
    <cellStyle name="SAPBEXresDataEmph 2 2 2 2 3" xfId="6168" xr:uid="{86C4441D-2A77-4CFF-9979-7C85D51C83F7}"/>
    <cellStyle name="SAPBEXresDataEmph 2 2 2 2 4" xfId="5217" xr:uid="{FD9A66F6-4EB4-48F9-91F8-59060A61950C}"/>
    <cellStyle name="SAPBEXresDataEmph 2 2 2 3" xfId="2683" xr:uid="{BEEBBE2D-1CAE-4437-B7B5-FA309B2330D8}"/>
    <cellStyle name="SAPBEXresDataEmph 2 2 2 4" xfId="4660" xr:uid="{3B881BB3-6A29-4434-836C-D32500655D59}"/>
    <cellStyle name="SAPBEXresDataEmph 2 2 2 5" xfId="6357" xr:uid="{8FF35D93-C5CC-405B-8A6C-ACB99E294071}"/>
    <cellStyle name="SAPBEXresDataEmph 2 2 3" xfId="2515" xr:uid="{56CD22D3-8BDE-44C8-B29B-1A8A8B270CC5}"/>
    <cellStyle name="SAPBEXresDataEmph 2 2 3 2" xfId="4480" xr:uid="{3B91F5B7-80A4-488E-AFB3-1FE3433E6BF0}"/>
    <cellStyle name="SAPBEXresDataEmph 2 2 3 2 2" xfId="5965" xr:uid="{B9169A8F-2013-4F64-BBD1-258E36269E00}"/>
    <cellStyle name="SAPBEXresDataEmph 2 2 3 2 3" xfId="6307" xr:uid="{C543F043-1CCA-4E01-AAC2-A13A3F8F2868}"/>
    <cellStyle name="SAPBEXresDataEmph 2 2 3 2 4" xfId="6581" xr:uid="{98A6731F-E743-452D-97A7-FC27A7C986C6}"/>
    <cellStyle name="SAPBEXresDataEmph 2 2 3 3" xfId="3017" xr:uid="{87F3C302-3F95-4DBB-92B2-C188048EBCF6}"/>
    <cellStyle name="SAPBEXresDataEmph 2 2 3 4" xfId="5666" xr:uid="{616FF5FB-8F13-4198-9F17-DDEC6454AE1F}"/>
    <cellStyle name="SAPBEXresDataEmph 2 2 3 5" xfId="5460" xr:uid="{524A4E38-4D32-4668-92BB-544B0917FD70}"/>
    <cellStyle name="SAPBEXresDataEmph 2 2 4" xfId="3574" xr:uid="{F5AF6CE4-AB74-477B-8942-184A15E34613}"/>
    <cellStyle name="SAPBEXresDataEmph 2 2 4 2" xfId="4784" xr:uid="{E1E92CC9-D208-44C3-82AD-5C08B26D91FF}"/>
    <cellStyle name="SAPBEXresDataEmph 2 2 4 3" xfId="5615" xr:uid="{B6112603-E225-4837-B255-B649DA537587}"/>
    <cellStyle name="SAPBEXresDataEmph 2 2 4 4" xfId="5365" xr:uid="{71F032DA-9BFA-49D6-A338-6F87B746B3C5}"/>
    <cellStyle name="SAPBEXresDataEmph 2 2 5" xfId="2875" xr:uid="{676698B8-BCC8-472B-9004-991570DDB831}"/>
    <cellStyle name="SAPBEXresDataEmph 2 2 6" xfId="5246" xr:uid="{304776EC-03A9-43B1-9555-6994498B4A63}"/>
    <cellStyle name="SAPBEXresDataEmph 2 2 7" xfId="4927" xr:uid="{863FCE2A-E88C-4C5F-BC31-E0E1412C4910}"/>
    <cellStyle name="SAPBEXresDataEmph 2 2 8" xfId="6453" xr:uid="{9A9FB833-94C9-4539-8B3B-46EC195D89B7}"/>
    <cellStyle name="SAPBEXresDataEmph 2 3" xfId="2319" xr:uid="{65AD285A-E5AF-4C48-8880-AD65EE8064E3}"/>
    <cellStyle name="SAPBEXresDataEmph 2 3 2" xfId="4302" xr:uid="{DD88F60A-9033-4213-B9BC-383CB6C04807}"/>
    <cellStyle name="SAPBEXresDataEmph 2 3 2 2" xfId="5814" xr:uid="{711A2B94-9DDE-4E99-8C5E-649D1947E5DA}"/>
    <cellStyle name="SAPBEXresDataEmph 2 3 2 3" xfId="6167" xr:uid="{73CD3CB0-B7D7-4E85-BB1E-C0629FB80589}"/>
    <cellStyle name="SAPBEXresDataEmph 2 3 2 4" xfId="2571" xr:uid="{9D3015B4-B279-4E71-A4A4-978594F953DA}"/>
    <cellStyle name="SAPBEXresDataEmph 2 3 3" xfId="2615" xr:uid="{B342E6D0-C6DB-49FE-82ED-4FDA8CE1D2DA}"/>
    <cellStyle name="SAPBEXresDataEmph 2 3 4" xfId="4798" xr:uid="{B1CAA4C9-AFB0-4120-9F6E-8EAE5C058E93}"/>
    <cellStyle name="SAPBEXresDataEmph 2 3 5" xfId="4863" xr:uid="{B101C905-86AD-4BF1-89CF-30C2847C3F02}"/>
    <cellStyle name="SAPBEXresDataEmph 2 4" xfId="2514" xr:uid="{9DD0168E-9491-4446-8B88-769DA76029BE}"/>
    <cellStyle name="SAPBEXresDataEmph 2 4 2" xfId="4479" xr:uid="{EFD73748-108F-46C9-BDAE-CA739EBE5C97}"/>
    <cellStyle name="SAPBEXresDataEmph 2 4 2 2" xfId="5964" xr:uid="{95792BC5-AEFB-424F-BC19-F9A83D43E3DB}"/>
    <cellStyle name="SAPBEXresDataEmph 2 4 2 3" xfId="6306" xr:uid="{585F6282-F8A9-406B-9ADA-DE3377E417A5}"/>
    <cellStyle name="SAPBEXresDataEmph 2 4 2 4" xfId="6580" xr:uid="{0C24C48E-9435-4326-AA44-BBF2FF147399}"/>
    <cellStyle name="SAPBEXresDataEmph 2 4 3" xfId="3016" xr:uid="{714476B6-BE6C-454F-A78E-2B657176FA6C}"/>
    <cellStyle name="SAPBEXresDataEmph 2 4 4" xfId="4809" xr:uid="{C11178A5-4917-4CC1-8A41-B14FFC87A0DB}"/>
    <cellStyle name="SAPBEXresDataEmph 2 4 5" xfId="5289" xr:uid="{643DB3E9-A80B-42CD-8839-BDDFB0F98E18}"/>
    <cellStyle name="SAPBEXresDataEmph 2 5" xfId="1319" xr:uid="{73FA279B-8FCB-4F9D-A4C1-B62682D453BB}"/>
    <cellStyle name="SAPBEXresDataEmph 2 5 2" xfId="3825" xr:uid="{08960149-95EC-4CBD-8595-E413F084B173}"/>
    <cellStyle name="SAPBEXresDataEmph 2 5 3" xfId="5848" xr:uid="{B7E1E39A-33A2-4273-848D-6A84D1047C71}"/>
    <cellStyle name="SAPBEXresDataEmph 2 5 4" xfId="6393" xr:uid="{10612D52-D904-4CD0-B7DB-FEA737BC4A37}"/>
    <cellStyle name="SAPBEXresDataEmph 2 6" xfId="4713" xr:uid="{E7B54F41-F986-4007-B973-603CAFCBFB84}"/>
    <cellStyle name="SAPBEXresDataEmph 2 7" xfId="2651" xr:uid="{6AE0D0DB-4814-495B-B61E-7006A057963C}"/>
    <cellStyle name="SAPBEXresDataEmph 2 8" xfId="2586" xr:uid="{2ED9CF71-D2D7-4547-AAB3-2D60F935D52E}"/>
    <cellStyle name="SAPBEXresDataEmph 3" xfId="774" xr:uid="{00000000-0005-0000-0000-00000E030000}"/>
    <cellStyle name="SAPBEXresDataEmph 3 2" xfId="2321" xr:uid="{A1C0F655-D726-480F-9388-CC7578378E1D}"/>
    <cellStyle name="SAPBEXresDataEmph 3 2 2" xfId="4304" xr:uid="{21538765-3E71-4278-AEAC-80322C35BDF3}"/>
    <cellStyle name="SAPBEXresDataEmph 3 2 2 2" xfId="5816" xr:uid="{9AEEB0B0-E761-4689-AC10-C2214B5DFD93}"/>
    <cellStyle name="SAPBEXresDataEmph 3 2 2 3" xfId="6169" xr:uid="{E50D8648-36F7-4A57-B39B-F15FC3B45DF3}"/>
    <cellStyle name="SAPBEXresDataEmph 3 2 2 4" xfId="5656" xr:uid="{9BACC5E7-4DE4-416F-8F62-774ED36C1C24}"/>
    <cellStyle name="SAPBEXresDataEmph 3 2 3" xfId="1679" xr:uid="{35E83F3B-2EFE-46AA-9200-920BA7C2F5C1}"/>
    <cellStyle name="SAPBEXresDataEmph 3 2 4" xfId="5700" xr:uid="{C510C10E-D88B-4F92-8C61-6F47F846E855}"/>
    <cellStyle name="SAPBEXresDataEmph 3 2 5" xfId="4997" xr:uid="{2E4D7D55-46E4-48E8-A798-31C09CAD299E}"/>
    <cellStyle name="SAPBEXresDataEmph 3 3" xfId="2516" xr:uid="{75219762-3DE6-4BBD-9591-0A20EA364009}"/>
    <cellStyle name="SAPBEXresDataEmph 3 3 2" xfId="4481" xr:uid="{B10B79BD-536A-4CE6-98A8-B1FBF6A0E53C}"/>
    <cellStyle name="SAPBEXresDataEmph 3 3 2 2" xfId="5966" xr:uid="{000FC6B5-6ABD-4939-B0F4-F108B5ABCE85}"/>
    <cellStyle name="SAPBEXresDataEmph 3 3 2 3" xfId="6308" xr:uid="{AA54EBE5-F195-4380-99F8-C041391BD7FC}"/>
    <cellStyle name="SAPBEXresDataEmph 3 3 2 4" xfId="6582" xr:uid="{F6AE4A73-F85B-4E70-A3F3-48D87FE16512}"/>
    <cellStyle name="SAPBEXresDataEmph 3 3 3" xfId="3018" xr:uid="{54FAEDBA-A768-4C0A-A683-D9FBAB5E709B}"/>
    <cellStyle name="SAPBEXresDataEmph 3 3 4" xfId="5206" xr:uid="{B283DF48-25D5-493F-A451-8D6D0DD668E7}"/>
    <cellStyle name="SAPBEXresDataEmph 3 3 5" xfId="5599" xr:uid="{D594E416-D66A-4412-876A-3D20567D714C}"/>
    <cellStyle name="SAPBEXresDataEmph 3 4" xfId="3575" xr:uid="{234E0E15-AFBC-4624-B5B4-384FA105E7F9}"/>
    <cellStyle name="SAPBEXresDataEmph 3 4 2" xfId="5012" xr:uid="{022287E0-1ABE-43C5-9664-621B896C73D8}"/>
    <cellStyle name="SAPBEXresDataEmph 3 4 3" xfId="4891" xr:uid="{138C976A-1B1B-4C28-943A-7B63594BA43D}"/>
    <cellStyle name="SAPBEXresDataEmph 3 4 4" xfId="6418" xr:uid="{FD3FC3E0-8D6C-4555-AFDC-F32E78822516}"/>
    <cellStyle name="SAPBEXresDataEmph 3 5" xfId="1745" xr:uid="{67006CF5-21D0-42F2-8118-F441896B0EE7}"/>
    <cellStyle name="SAPBEXresDataEmph 3 6" xfId="2650" xr:uid="{57B242F3-787A-4B3A-BCF3-C9B6D53467E7}"/>
    <cellStyle name="SAPBEXresDataEmph 3 7" xfId="5636" xr:uid="{DA358AAF-FA60-450E-A124-D1B7D3FA486D}"/>
    <cellStyle name="SAPBEXresDataEmph 3 8" xfId="4714" xr:uid="{DA2E0D51-59B3-445B-9DA3-5E4A7B866F6F}"/>
    <cellStyle name="SAPBEXresDataEmph 4" xfId="2318" xr:uid="{F5298A4B-CEAC-4F15-8C99-A493CCC8D701}"/>
    <cellStyle name="SAPBEXresDataEmph 4 2" xfId="4301" xr:uid="{6E632D3E-5B50-4F91-9910-1C3949A68089}"/>
    <cellStyle name="SAPBEXresDataEmph 4 2 2" xfId="5813" xr:uid="{70A2DA3D-18E1-4599-81A2-7ED42BBD4915}"/>
    <cellStyle name="SAPBEXresDataEmph 4 2 3" xfId="6166" xr:uid="{9C82F3D5-1A68-4315-82C3-6167D2F6E700}"/>
    <cellStyle name="SAPBEXresDataEmph 4 2 4" xfId="5421" xr:uid="{3186F50D-ECEA-412D-B85D-1AF229EDB43E}"/>
    <cellStyle name="SAPBEXresDataEmph 4 3" xfId="2577" xr:uid="{6AA13CD0-01B1-47A5-890D-BB636724DAB4}"/>
    <cellStyle name="SAPBEXresDataEmph 4 4" xfId="4085" xr:uid="{A7A23215-F7E6-4054-8E84-813277F3A876}"/>
    <cellStyle name="SAPBEXresDataEmph 4 5" xfId="5358" xr:uid="{003A8579-0668-4A0B-A1DF-60A327A4E56B}"/>
    <cellStyle name="SAPBEXresDataEmph 5" xfId="2513" xr:uid="{C7ABECD2-824A-42CB-890C-7B0A64B57FCB}"/>
    <cellStyle name="SAPBEXresDataEmph 5 2" xfId="4478" xr:uid="{74105328-FF4C-49EE-BA01-9D2A637B5B0B}"/>
    <cellStyle name="SAPBEXresDataEmph 5 2 2" xfId="5963" xr:uid="{42455432-71C5-4B2F-98AC-CD69E29E2E07}"/>
    <cellStyle name="SAPBEXresDataEmph 5 2 3" xfId="6305" xr:uid="{0412D969-8F43-4D90-9302-FEBBFFA4F1AE}"/>
    <cellStyle name="SAPBEXresDataEmph 5 2 4" xfId="6579" xr:uid="{F77F5F1E-E5AD-4A35-8B2F-26BF866A6491}"/>
    <cellStyle name="SAPBEXresDataEmph 5 3" xfId="3015" xr:uid="{1FC793B2-E5DB-4192-B2C1-4A2119F0021D}"/>
    <cellStyle name="SAPBEXresDataEmph 5 4" xfId="4084" xr:uid="{14B046C1-B76D-456F-AD91-065F10937D4D}"/>
    <cellStyle name="SAPBEXresDataEmph 5 5" xfId="6202" xr:uid="{F1D17128-A3B8-4FDB-B6BE-2ADE99917189}"/>
    <cellStyle name="SAPBEXresDataEmph 6" xfId="1318" xr:uid="{4F2A8D4C-E748-4BEE-B0D6-170B001628F7}"/>
    <cellStyle name="SAPBEXresDataEmph 6 2" xfId="3824" xr:uid="{20106310-0448-429D-8E9A-30C4779B8681}"/>
    <cellStyle name="SAPBEXresDataEmph 6 3" xfId="5169" xr:uid="{CC948C03-7450-4F10-A724-00C416031615}"/>
    <cellStyle name="SAPBEXresDataEmph 6 4" xfId="5716" xr:uid="{F1ABCC18-1A4C-4DB3-81EA-BFFFFAE89686}"/>
    <cellStyle name="SAPBEXresDataEmph 7" xfId="5369" xr:uid="{A073556D-9C8E-4603-B61D-76627E213A7A}"/>
    <cellStyle name="SAPBEXresDataEmph 8" xfId="4960" xr:uid="{4774AA71-1558-433B-A696-36F1D22C29BF}"/>
    <cellStyle name="SAPBEXresDataEmph 9" xfId="3922" xr:uid="{47A4EA68-859C-496F-8D96-DEE51457B804}"/>
    <cellStyle name="SAPBEXresItem" xfId="775" xr:uid="{00000000-0005-0000-0000-00000F030000}"/>
    <cellStyle name="SAPBEXresItem 2" xfId="776" xr:uid="{00000000-0005-0000-0000-000010030000}"/>
    <cellStyle name="SAPBEXresItem 2 2" xfId="777" xr:uid="{00000000-0005-0000-0000-000011030000}"/>
    <cellStyle name="SAPBEXresItem 2 2 2" xfId="2324" xr:uid="{3A8C5DD5-9382-4921-9986-6D09B9D69E2A}"/>
    <cellStyle name="SAPBEXresItem 2 2 2 2" xfId="4307" xr:uid="{F525B5CB-9717-41E1-8AB9-8C52DD7A1818}"/>
    <cellStyle name="SAPBEXresItem 2 2 2 2 2" xfId="5819" xr:uid="{50F3259E-87F9-4361-8124-08BBDDBF5F87}"/>
    <cellStyle name="SAPBEXresItem 2 2 2 2 3" xfId="6172" xr:uid="{CEEE90CA-9A74-4B0A-904D-9C4AE8090A73}"/>
    <cellStyle name="SAPBEXresItem 2 2 2 2 4" xfId="5649" xr:uid="{0198E248-B9E3-42AF-A1FB-701EB507359A}"/>
    <cellStyle name="SAPBEXresItem 2 2 2 3" xfId="1331" xr:uid="{BFCA8F65-5E9A-4AE9-902B-9716C9EB0FD4}"/>
    <cellStyle name="SAPBEXresItem 2 2 2 4" xfId="4764" xr:uid="{7D109FF0-B23B-4F54-A64C-4BB1F839C95C}"/>
    <cellStyle name="SAPBEXresItem 2 2 2 5" xfId="6437" xr:uid="{CF547184-E5E2-460F-905B-D67E2A6101B9}"/>
    <cellStyle name="SAPBEXresItem 2 2 3" xfId="2519" xr:uid="{476B0E60-1CA9-46BB-8C72-7D0EED4B5D5A}"/>
    <cellStyle name="SAPBEXresItem 2 2 3 2" xfId="4484" xr:uid="{EF77BCE9-D666-484E-8FBF-2AA676217949}"/>
    <cellStyle name="SAPBEXresItem 2 2 3 2 2" xfId="5969" xr:uid="{AEFAA70A-67BA-4D6E-A846-F651009CE4EE}"/>
    <cellStyle name="SAPBEXresItem 2 2 3 2 3" xfId="6311" xr:uid="{6CFA3367-5AD8-446E-991A-6C1AEACC84A5}"/>
    <cellStyle name="SAPBEXresItem 2 2 3 2 4" xfId="6585" xr:uid="{7C624369-36E5-4E77-919A-1DFAE547662F}"/>
    <cellStyle name="SAPBEXresItem 2 2 3 3" xfId="3021" xr:uid="{04CA9C7C-8B4C-4799-BC08-2FEF1E4191B6}"/>
    <cellStyle name="SAPBEXresItem 2 2 3 4" xfId="5285" xr:uid="{BCEDA014-84CE-48D8-A96E-2DE3220F1C42}"/>
    <cellStyle name="SAPBEXresItem 2 2 3 5" xfId="6019" xr:uid="{93E247E2-31A6-46CA-B4E9-BAF3D1D60E38}"/>
    <cellStyle name="SAPBEXresItem 2 2 4" xfId="3576" xr:uid="{ABF728EE-1E28-446E-9CA7-ED90A0194A1F}"/>
    <cellStyle name="SAPBEXresItem 2 2 4 2" xfId="5178" xr:uid="{7AB05780-D10E-4031-B49D-57B701076594}"/>
    <cellStyle name="SAPBEXresItem 2 2 4 3" xfId="5471" xr:uid="{DC07DE1F-7062-4DEB-ACAD-1E86BCC73DA3}"/>
    <cellStyle name="SAPBEXresItem 2 2 4 4" xfId="5575" xr:uid="{28DF46AA-47F1-4856-95D2-183FC2328299}"/>
    <cellStyle name="SAPBEXresItem 2 2 5" xfId="2846" xr:uid="{493C9321-ADA7-4EC1-A6B6-677BF42AA0B0}"/>
    <cellStyle name="SAPBEXresItem 2 2 6" xfId="5244" xr:uid="{AB2ED5AA-920A-4969-B6CC-5CE476386F38}"/>
    <cellStyle name="SAPBEXresItem 2 2 7" xfId="2592" xr:uid="{B8DF0C31-5C08-44F7-A9B8-F0161D5497FA}"/>
    <cellStyle name="SAPBEXresItem 2 2 8" xfId="6456" xr:uid="{8CA2E8DF-2CB6-466B-BA82-893925037054}"/>
    <cellStyle name="SAPBEXresItem 2 3" xfId="2323" xr:uid="{4239B901-E360-4879-BA39-7FDF110989DD}"/>
    <cellStyle name="SAPBEXresItem 2 3 2" xfId="4306" xr:uid="{13849742-BA1B-40FE-A0BE-4D43E45206BA}"/>
    <cellStyle name="SAPBEXresItem 2 3 2 2" xfId="5818" xr:uid="{CC8D9989-26F7-4BF9-B042-24C7F0CA135E}"/>
    <cellStyle name="SAPBEXresItem 2 3 2 3" xfId="6171" xr:uid="{92F59526-B55C-4440-8DD9-433B504516EE}"/>
    <cellStyle name="SAPBEXresItem 2 3 2 4" xfId="2774" xr:uid="{81ABA603-8492-418E-8FE7-6A2892179AE8}"/>
    <cellStyle name="SAPBEXresItem 2 3 3" xfId="2813" xr:uid="{EEB88EDA-3960-4C11-AC90-15C9CFE937E4}"/>
    <cellStyle name="SAPBEXresItem 2 3 4" xfId="5194" xr:uid="{9C8F9697-57A1-4F78-8584-DF21FAB681E5}"/>
    <cellStyle name="SAPBEXresItem 2 3 5" xfId="4771" xr:uid="{635BD834-DA84-4B68-BE86-92D466DB2112}"/>
    <cellStyle name="SAPBEXresItem 2 4" xfId="2518" xr:uid="{C4E30416-08D3-47CB-8283-BA04F9E83A1D}"/>
    <cellStyle name="SAPBEXresItem 2 4 2" xfId="4483" xr:uid="{98B16E20-BA6E-4B42-8707-F355A6700303}"/>
    <cellStyle name="SAPBEXresItem 2 4 2 2" xfId="5968" xr:uid="{BB44CCA6-3830-47F3-98D7-358ED3B142BB}"/>
    <cellStyle name="SAPBEXresItem 2 4 2 3" xfId="6310" xr:uid="{4FA64F64-7AFC-4005-9440-8EEF8EC87E44}"/>
    <cellStyle name="SAPBEXresItem 2 4 2 4" xfId="6584" xr:uid="{0E641277-3C5D-4EDB-A832-E9401E770B64}"/>
    <cellStyle name="SAPBEXresItem 2 4 3" xfId="3020" xr:uid="{13482C47-4F85-400B-9DBA-22BF68403FC6}"/>
    <cellStyle name="SAPBEXresItem 2 4 4" xfId="4592" xr:uid="{445A7F15-21C6-4A0D-A4A0-6A67769E18FC}"/>
    <cellStyle name="SAPBEXresItem 2 4 5" xfId="5860" xr:uid="{C7E1C918-1F5B-4108-A003-07F54EE0AAA9}"/>
    <cellStyle name="SAPBEXresItem 2 5" xfId="1288" xr:uid="{F5ED2454-F3A0-4AA6-9245-8851F4BAC86F}"/>
    <cellStyle name="SAPBEXresItem 2 5 2" xfId="3797" xr:uid="{FF6D8F7F-8342-4C42-867D-E7808F3C3687}"/>
    <cellStyle name="SAPBEXresItem 2 5 3" xfId="5591" xr:uid="{1AD3635F-B248-47D1-8443-6AE561F4C1C2}"/>
    <cellStyle name="SAPBEXresItem 2 5 4" xfId="6403" xr:uid="{A9FD33AB-61B6-4EF2-B0ED-2D99B024921A}"/>
    <cellStyle name="SAPBEXresItem 2 6" xfId="4993" xr:uid="{3422601B-3184-4301-8240-2D38C023EA5F}"/>
    <cellStyle name="SAPBEXresItem 2 7" xfId="4649" xr:uid="{D7EBC455-1007-42B2-A95C-619A917EF6E6}"/>
    <cellStyle name="SAPBEXresItem 2 8" xfId="6354" xr:uid="{8E66D7CB-18D3-407D-B77D-776B09943665}"/>
    <cellStyle name="SAPBEXresItem 3" xfId="778" xr:uid="{00000000-0005-0000-0000-000012030000}"/>
    <cellStyle name="SAPBEXresItem 3 2" xfId="2325" xr:uid="{E2B65AB1-E894-47C2-B950-B521A8B18578}"/>
    <cellStyle name="SAPBEXresItem 3 2 2" xfId="4308" xr:uid="{5C685300-B4BA-485C-B0F3-028DAF5F2F60}"/>
    <cellStyle name="SAPBEXresItem 3 2 2 2" xfId="5820" xr:uid="{D800CEF0-2470-405E-AA41-758D35B6BE16}"/>
    <cellStyle name="SAPBEXresItem 3 2 2 3" xfId="6173" xr:uid="{069EDC7C-EAB1-47D3-ACC5-048977FEFBF3}"/>
    <cellStyle name="SAPBEXresItem 3 2 2 4" xfId="4540" xr:uid="{27B1B55F-C016-43E9-B433-42A27C3418FE}"/>
    <cellStyle name="SAPBEXresItem 3 2 3" xfId="2793" xr:uid="{DF3AAD00-4C5E-4E3D-8BC8-740533767406}"/>
    <cellStyle name="SAPBEXresItem 3 2 4" xfId="5701" xr:uid="{C3778AE1-0CDB-4444-8587-2809230D4446}"/>
    <cellStyle name="SAPBEXresItem 3 2 5" xfId="5276" xr:uid="{0E5A12F8-E0E5-473D-823F-38C65003F6C8}"/>
    <cellStyle name="SAPBEXresItem 3 3" xfId="2520" xr:uid="{58564A57-D6F1-4AAB-AEF5-44BE9708461D}"/>
    <cellStyle name="SAPBEXresItem 3 3 2" xfId="4485" xr:uid="{AE7453CD-E0D3-403C-B9D9-F1DB539E7E66}"/>
    <cellStyle name="SAPBEXresItem 3 3 2 2" xfId="5970" xr:uid="{3EFB73B6-F12B-476A-8723-8CECBB2EABC5}"/>
    <cellStyle name="SAPBEXresItem 3 3 2 3" xfId="6312" xr:uid="{AC31843B-181B-4DFD-AECC-4080B873D1B2}"/>
    <cellStyle name="SAPBEXresItem 3 3 2 4" xfId="6586" xr:uid="{8160A768-7E04-4EF6-B933-89CD39FA5030}"/>
    <cellStyle name="SAPBEXresItem 3 3 3" xfId="3022" xr:uid="{7960845B-1895-487A-8BBC-46C24BFCB9AB}"/>
    <cellStyle name="SAPBEXresItem 3 3 4" xfId="5081" xr:uid="{A15D2B7C-5C66-46AA-ABAD-EE3FA1E7DB0E}"/>
    <cellStyle name="SAPBEXresItem 3 3 5" xfId="6036" xr:uid="{8C3F2A78-03EC-44D9-A9FA-9C5611AED224}"/>
    <cellStyle name="SAPBEXresItem 3 4" xfId="3577" xr:uid="{CD62F30D-56A3-4961-B668-60B7E35E5230}"/>
    <cellStyle name="SAPBEXresItem 3 4 2" xfId="3916" xr:uid="{CFAEF001-1287-470F-A285-9A9FEEE94A93}"/>
    <cellStyle name="SAPBEXresItem 3 4 3" xfId="5108" xr:uid="{FBC0411D-A899-42FA-AB47-941254087F40}"/>
    <cellStyle name="SAPBEXresItem 3 4 4" xfId="4089" xr:uid="{D6EAC02C-E455-4AAD-8E91-E6CDD0910C79}"/>
    <cellStyle name="SAPBEXresItem 3 5" xfId="2645" xr:uid="{35004E12-9669-4AAA-8F30-76234A4550F7}"/>
    <cellStyle name="SAPBEXresItem 3 6" xfId="4575" xr:uid="{733BFCAB-048E-4981-A436-D371247494A6}"/>
    <cellStyle name="SAPBEXresItem 3 7" xfId="5260" xr:uid="{3E7C46C1-26EE-4502-B7E2-A118B548CC20}"/>
    <cellStyle name="SAPBEXresItem 3 8" xfId="2718" xr:uid="{91C5B0F6-F7B1-431F-8AEF-A95AA7A39C67}"/>
    <cellStyle name="SAPBEXresItem 4" xfId="2322" xr:uid="{B8656740-5A7C-4400-8E94-8A6617FF48A4}"/>
    <cellStyle name="SAPBEXresItem 4 2" xfId="4305" xr:uid="{BAA2E184-5FF8-4325-BCF4-75C258BD35DD}"/>
    <cellStyle name="SAPBEXresItem 4 2 2" xfId="5817" xr:uid="{C80CD3D5-A624-412D-9943-CC7979E1EB9D}"/>
    <cellStyle name="SAPBEXresItem 4 2 3" xfId="6170" xr:uid="{CF00B95A-2403-4D9B-8279-C88524FD7E60}"/>
    <cellStyle name="SAPBEXresItem 4 2 4" xfId="4818" xr:uid="{A70223FB-CA9A-43E3-B146-D8D01E5A44F5}"/>
    <cellStyle name="SAPBEXresItem 4 3" xfId="2896" xr:uid="{0E7D9224-D40D-4D7F-9152-5E73825ECFBB}"/>
    <cellStyle name="SAPBEXresItem 4 4" xfId="4978" xr:uid="{6149EE27-9D8B-4AAD-A81B-DE8DEF7D1E54}"/>
    <cellStyle name="SAPBEXresItem 4 5" xfId="4045" xr:uid="{AF1F3E3D-F170-4F94-9EA9-045900A600F7}"/>
    <cellStyle name="SAPBEXresItem 5" xfId="2517" xr:uid="{FD1260E9-69A5-42C7-A1FF-2F13F0ACFF33}"/>
    <cellStyle name="SAPBEXresItem 5 2" xfId="4482" xr:uid="{7C16F4FD-D3DA-4B4F-AD33-23B7D95EB9F0}"/>
    <cellStyle name="SAPBEXresItem 5 2 2" xfId="5967" xr:uid="{A441A7FE-2ED3-4BA4-8F46-2DC4A58110C1}"/>
    <cellStyle name="SAPBEXresItem 5 2 3" xfId="6309" xr:uid="{8DC1A319-7807-4706-86AB-E2E8FC813C13}"/>
    <cellStyle name="SAPBEXresItem 5 2 4" xfId="6583" xr:uid="{FA0294AE-BA1D-485C-8AD0-2E95CC05341C}"/>
    <cellStyle name="SAPBEXresItem 5 3" xfId="3019" xr:uid="{AB5B37CA-430C-4263-A1BA-0F54579C6AF6}"/>
    <cellStyle name="SAPBEXresItem 5 4" xfId="5667" xr:uid="{84D3F2EA-4FC0-4C84-A9D1-5EE7A4E7C42B}"/>
    <cellStyle name="SAPBEXresItem 5 5" xfId="4699" xr:uid="{3F0DF8F1-6B17-4EEA-927F-BBFD420855E2}"/>
    <cellStyle name="SAPBEXresItem 6" xfId="1111" xr:uid="{18C2A7C9-E465-46B2-ADBC-6DF50164FF30}"/>
    <cellStyle name="SAPBEXresItem 6 2" xfId="3691" xr:uid="{3EE2D94A-9A54-494B-850C-F3ECB99FCA04}"/>
    <cellStyle name="SAPBEXresItem 6 3" xfId="5606" xr:uid="{581A5C4B-A3D4-44D8-AF2F-5F420395AF51}"/>
    <cellStyle name="SAPBEXresItem 6 4" xfId="2823" xr:uid="{D1AC1DE7-1362-46FB-B289-7606EB9A1161}"/>
    <cellStyle name="SAPBEXresItem 7" xfId="4700" xr:uid="{DBDD763B-DC67-462F-B919-F16E4A92B80E}"/>
    <cellStyle name="SAPBEXresItem 8" xfId="4633" xr:uid="{302BF145-728A-49C1-A5E5-E45870B020EB}"/>
    <cellStyle name="SAPBEXresItem 9" xfId="4827" xr:uid="{6CC9B62F-7C13-486F-9889-658E14C76BCD}"/>
    <cellStyle name="SAPBEXresItemX" xfId="779" xr:uid="{00000000-0005-0000-0000-000013030000}"/>
    <cellStyle name="SAPBEXresItemX 2" xfId="780" xr:uid="{00000000-0005-0000-0000-000014030000}"/>
    <cellStyle name="SAPBEXresItemX 2 2" xfId="781" xr:uid="{00000000-0005-0000-0000-000015030000}"/>
    <cellStyle name="SAPBEXresItemX 2 2 2" xfId="2328" xr:uid="{38C18059-A634-41BD-8144-CB52835F9F7A}"/>
    <cellStyle name="SAPBEXresItemX 2 2 2 2" xfId="4311" xr:uid="{B7B443E6-CAA3-49CF-B0EE-46DBF357C868}"/>
    <cellStyle name="SAPBEXresItemX 2 2 2 2 2" xfId="5823" xr:uid="{9B1F666B-1088-4A10-91F3-D113409697AE}"/>
    <cellStyle name="SAPBEXresItemX 2 2 2 2 3" xfId="6176" xr:uid="{4D6728F7-98BE-4B4A-8F78-D663AB8D4D56}"/>
    <cellStyle name="SAPBEXresItemX 2 2 2 2 4" xfId="2175" xr:uid="{FAEC72C9-0A25-40D7-AC75-565258BC5F56}"/>
    <cellStyle name="SAPBEXresItemX 2 2 2 3" xfId="2869" xr:uid="{4441F06A-92DD-4145-B393-181B664B6C2B}"/>
    <cellStyle name="SAPBEXresItemX 2 2 2 4" xfId="4687" xr:uid="{7A20D7A8-309F-473E-9F28-C02E5798A90F}"/>
    <cellStyle name="SAPBEXresItemX 2 2 2 5" xfId="2570" xr:uid="{9D22AB96-D6D8-4035-9724-C7122E2432D5}"/>
    <cellStyle name="SAPBEXresItemX 2 2 3" xfId="2523" xr:uid="{65E97E73-E6CF-4144-8F70-33F432D03936}"/>
    <cellStyle name="SAPBEXresItemX 2 2 3 2" xfId="4488" xr:uid="{F0A6FD29-ECE9-428E-A5C3-FD20735D618C}"/>
    <cellStyle name="SAPBEXresItemX 2 2 3 2 2" xfId="5973" xr:uid="{D37A9AB7-2FA0-469F-ACAE-B1BA6A716CED}"/>
    <cellStyle name="SAPBEXresItemX 2 2 3 2 3" xfId="6315" xr:uid="{C02677FF-B786-4F14-8389-3FF69893F861}"/>
    <cellStyle name="SAPBEXresItemX 2 2 3 2 4" xfId="6589" xr:uid="{CFA22DB6-9507-4DF7-821C-03CE97FB8AD3}"/>
    <cellStyle name="SAPBEXresItemX 2 2 3 3" xfId="3025" xr:uid="{5662CF1F-21DD-44B2-A844-46435CA747BF}"/>
    <cellStyle name="SAPBEXresItemX 2 2 3 4" xfId="5163" xr:uid="{BAA17F96-686E-4966-8CAB-A435ACB76229}"/>
    <cellStyle name="SAPBEXresItemX 2 2 3 5" xfId="2877" xr:uid="{F3C631E8-9DBC-466A-BBFA-CC82A5C1EC03}"/>
    <cellStyle name="SAPBEXresItemX 2 2 4" xfId="3578" xr:uid="{1BAC202A-3A84-49F0-8F37-D17A5342295F}"/>
    <cellStyle name="SAPBEXresItemX 2 2 4 2" xfId="5122" xr:uid="{893991E8-642B-4C7A-AD6F-BB8119D9F661}"/>
    <cellStyle name="SAPBEXresItemX 2 2 4 3" xfId="5018" xr:uid="{7E49E5EE-4587-47A7-B5A8-7C22FF663C6F}"/>
    <cellStyle name="SAPBEXresItemX 2 2 4 4" xfId="6417" xr:uid="{CCE58BAE-7720-4535-A81D-35CF0570838A}"/>
    <cellStyle name="SAPBEXresItemX 2 2 5" xfId="2876" xr:uid="{E397D282-DA00-47BF-B5BD-379ACF9D8999}"/>
    <cellStyle name="SAPBEXresItemX 2 2 6" xfId="4923" xr:uid="{DD197602-DD41-43C1-8CBC-8380DF942C1B}"/>
    <cellStyle name="SAPBEXresItemX 2 2 7" xfId="4664" xr:uid="{5F9CF747-327C-4BA0-9375-2243031E25FB}"/>
    <cellStyle name="SAPBEXresItemX 2 2 8" xfId="5653" xr:uid="{A11AF4C8-0A03-473B-8CD4-CF6263758E15}"/>
    <cellStyle name="SAPBEXresItemX 2 3" xfId="2327" xr:uid="{C4E9B164-74A5-4C6D-8961-C259CE5B6CB1}"/>
    <cellStyle name="SAPBEXresItemX 2 3 2" xfId="4310" xr:uid="{71D4A610-4E57-4D57-865F-0E5B0E19C5B6}"/>
    <cellStyle name="SAPBEXresItemX 2 3 2 2" xfId="5822" xr:uid="{BB8633AA-E450-4715-8AC7-F83BF0B9160E}"/>
    <cellStyle name="SAPBEXresItemX 2 3 2 3" xfId="6175" xr:uid="{AEA1B646-F961-409A-8CC8-F3352FF098BE}"/>
    <cellStyle name="SAPBEXresItemX 2 3 2 4" xfId="4630" xr:uid="{D2571C86-8640-457C-B4BF-8478AD9573B2}"/>
    <cellStyle name="SAPBEXresItemX 2 3 3" xfId="2811" xr:uid="{C9BE3F36-611C-4E72-A7AC-33EC94ED0555}"/>
    <cellStyle name="SAPBEXresItemX 2 3 4" xfId="2682" xr:uid="{151BA6A4-C6B6-44B7-918A-3F868F33EF4E}"/>
    <cellStyle name="SAPBEXresItemX 2 3 5" xfId="5502" xr:uid="{7BF90A87-EEDA-455F-BE9D-AFEFCB20CD2A}"/>
    <cellStyle name="SAPBEXresItemX 2 4" xfId="2522" xr:uid="{3BFE85A2-F6C3-49CF-BAF7-6A32C5CD0970}"/>
    <cellStyle name="SAPBEXresItemX 2 4 2" xfId="4487" xr:uid="{66D22F50-4E9A-4959-B9B0-A940F710BA24}"/>
    <cellStyle name="SAPBEXresItemX 2 4 2 2" xfId="5972" xr:uid="{109EA618-5FE2-4E20-908E-2EF045046526}"/>
    <cellStyle name="SAPBEXresItemX 2 4 2 3" xfId="6314" xr:uid="{D879B363-D673-40D6-917B-BCE0268631E5}"/>
    <cellStyle name="SAPBEXresItemX 2 4 2 4" xfId="6588" xr:uid="{673389EB-46EB-4EF8-B4E9-E59C972A953E}"/>
    <cellStyle name="SAPBEXresItemX 2 4 3" xfId="3024" xr:uid="{13E7F6F1-F6B5-4525-88B4-2790FA381D94}"/>
    <cellStyle name="SAPBEXresItemX 2 4 4" xfId="4810" xr:uid="{50849E7D-E2C8-4105-9BA4-D3968F971CFA}"/>
    <cellStyle name="SAPBEXresItemX 2 4 5" xfId="5594" xr:uid="{9F2F7BE3-2500-484D-B919-BD779E2FCA8F}"/>
    <cellStyle name="SAPBEXresItemX 2 5" xfId="1321" xr:uid="{98C0EDBC-66B1-42CC-A81A-2B44B1A499A3}"/>
    <cellStyle name="SAPBEXresItemX 2 5 2" xfId="3827" xr:uid="{EEB1F785-A2BC-4A05-A15E-CF2CB0984A41}"/>
    <cellStyle name="SAPBEXresItemX 2 5 3" xfId="5391" xr:uid="{FF70974A-5C3D-462F-9787-35E6B7C157DE}"/>
    <cellStyle name="SAPBEXresItemX 2 5 4" xfId="6394" xr:uid="{E2B88B31-C69C-4B48-A957-DB14624BE30F}"/>
    <cellStyle name="SAPBEXresItemX 2 6" xfId="4674" xr:uid="{FA98FAFB-6641-4AC1-9CCF-806144BF6AB1}"/>
    <cellStyle name="SAPBEXresItemX 2 7" xfId="5045" xr:uid="{D27294B8-0F56-4839-8ED1-2FEBEF8D3359}"/>
    <cellStyle name="SAPBEXresItemX 2 8" xfId="2804" xr:uid="{41CF511C-3434-4ABD-BE44-B6674E1D2DA5}"/>
    <cellStyle name="SAPBEXresItemX 3" xfId="782" xr:uid="{00000000-0005-0000-0000-000016030000}"/>
    <cellStyle name="SAPBEXresItemX 3 2" xfId="2329" xr:uid="{1F51A2A9-C4E4-424A-885E-A0CDB13D04B1}"/>
    <cellStyle name="SAPBEXresItemX 3 2 2" xfId="4312" xr:uid="{08807913-0CA9-45B0-9715-989185202AA8}"/>
    <cellStyle name="SAPBEXresItemX 3 2 2 2" xfId="5824" xr:uid="{A87DA971-2CBC-40A3-8C70-B5E6D13D4F8D}"/>
    <cellStyle name="SAPBEXresItemX 3 2 2 3" xfId="6177" xr:uid="{850A0387-4CD5-47A7-A6DB-04A13A8E707C}"/>
    <cellStyle name="SAPBEXresItemX 3 2 2 4" xfId="5612" xr:uid="{94F682E5-CEEF-4BAF-9564-9B79A2AFD059}"/>
    <cellStyle name="SAPBEXresItemX 3 2 3" xfId="1587" xr:uid="{87211761-94F0-4E16-8FB4-1FED57CCCE7B}"/>
    <cellStyle name="SAPBEXresItemX 3 2 4" xfId="5384" xr:uid="{E0E47E28-025C-437F-B149-8C8CE40914BC}"/>
    <cellStyle name="SAPBEXresItemX 3 2 5" xfId="6436" xr:uid="{582E690B-1CC8-4894-BDD5-0D6567D28978}"/>
    <cellStyle name="SAPBEXresItemX 3 3" xfId="2524" xr:uid="{C437158C-83B4-4826-B487-3056B36EA511}"/>
    <cellStyle name="SAPBEXresItemX 3 3 2" xfId="4489" xr:uid="{56A76486-BADB-44D5-B186-0CBC28926AE6}"/>
    <cellStyle name="SAPBEXresItemX 3 3 2 2" xfId="5974" xr:uid="{92A0F0AC-29F2-4432-82FB-BDB9963E5B06}"/>
    <cellStyle name="SAPBEXresItemX 3 3 2 3" xfId="6316" xr:uid="{28CF1823-ED37-4F30-8A33-B6AFDC3C67CD}"/>
    <cellStyle name="SAPBEXresItemX 3 3 2 4" xfId="6590" xr:uid="{03CAA761-DD85-433C-A0C6-714ABDF3BE20}"/>
    <cellStyle name="SAPBEXresItemX 3 3 3" xfId="3026" xr:uid="{BF339C3C-05AC-4E66-9798-6D5DEFFDDC4E}"/>
    <cellStyle name="SAPBEXresItemX 3 3 4" xfId="5658" xr:uid="{FF3B0E03-6466-4EF7-8E14-361F8CD9228C}"/>
    <cellStyle name="SAPBEXresItemX 3 3 5" xfId="5355" xr:uid="{428E0B99-EE8E-44B0-BC03-1B149AD88315}"/>
    <cellStyle name="SAPBEXresItemX 3 4" xfId="3579" xr:uid="{B96DFC0A-C2C0-4EE0-A5F3-B8C0C024192C}"/>
    <cellStyle name="SAPBEXresItemX 3 4 2" xfId="3874" xr:uid="{E2EE32B7-83C8-40C4-A672-3F3E06904674}"/>
    <cellStyle name="SAPBEXresItemX 3 4 3" xfId="5618" xr:uid="{39299FB5-3625-41F4-9818-ED3AC7B867FA}"/>
    <cellStyle name="SAPBEXresItemX 3 4 4" xfId="4982" xr:uid="{66429DB3-C2D0-4C0F-ACF6-97A9A2B29AB0}"/>
    <cellStyle name="SAPBEXresItemX 3 5" xfId="2873" xr:uid="{360BD2C7-07BB-4CFA-95D7-D5BE106402EE}"/>
    <cellStyle name="SAPBEXresItemX 3 6" xfId="4578" xr:uid="{ED36AC53-894F-4CF1-AC67-EE2E12E54DEC}"/>
    <cellStyle name="SAPBEXresItemX 3 7" xfId="6061" xr:uid="{6F30FFCF-FDC9-4361-AADA-7DFA0CDAE09A}"/>
    <cellStyle name="SAPBEXresItemX 3 8" xfId="5406" xr:uid="{AB8D9A7A-D2CD-462B-8A25-E8EFB9A6683E}"/>
    <cellStyle name="SAPBEXresItemX 4" xfId="2326" xr:uid="{5CC772D3-F1D2-4AF8-80C9-1B350B4CDD88}"/>
    <cellStyle name="SAPBEXresItemX 4 2" xfId="4309" xr:uid="{A32CADA0-5632-4191-84BB-97B2D62DBE14}"/>
    <cellStyle name="SAPBEXresItemX 4 2 2" xfId="5821" xr:uid="{42EFAF14-F268-4208-8AB5-23EC9C967982}"/>
    <cellStyle name="SAPBEXresItemX 4 2 3" xfId="6174" xr:uid="{EB56838E-34A7-4188-A54E-D1EF0861C090}"/>
    <cellStyle name="SAPBEXresItemX 4 2 4" xfId="6377" xr:uid="{34C95D6C-2672-41F8-8E7B-DA245A401B0F}"/>
    <cellStyle name="SAPBEXresItemX 4 3" xfId="2894" xr:uid="{AD8C4E62-AC09-414D-B171-3C1429EE8EB4}"/>
    <cellStyle name="SAPBEXresItemX 4 4" xfId="5077" xr:uid="{75E0825B-4BBC-4CCF-93AF-895CC71380F9}"/>
    <cellStyle name="SAPBEXresItemX 4 5" xfId="4974" xr:uid="{A3384752-FAFA-4EE1-8AAD-9A3AD4DB1936}"/>
    <cellStyle name="SAPBEXresItemX 5" xfId="2521" xr:uid="{0187FF54-8080-4230-93BE-4B289D79DA77}"/>
    <cellStyle name="SAPBEXresItemX 5 2" xfId="4486" xr:uid="{7668C0C5-15E9-4C94-9168-F8C38558225B}"/>
    <cellStyle name="SAPBEXresItemX 5 2 2" xfId="5971" xr:uid="{FE32BAE8-D2FE-4BFE-B7F6-45F8F642E87B}"/>
    <cellStyle name="SAPBEXresItemX 5 2 3" xfId="6313" xr:uid="{9898BD98-74FB-4061-9736-B5C1DF387D93}"/>
    <cellStyle name="SAPBEXresItemX 5 2 4" xfId="6587" xr:uid="{8669259A-DC4D-4631-9CBD-4B5F62025634}"/>
    <cellStyle name="SAPBEXresItemX 5 3" xfId="3023" xr:uid="{0D56EB84-E5FF-4223-8073-EEE0E558A2D6}"/>
    <cellStyle name="SAPBEXresItemX 5 4" xfId="4876" xr:uid="{3C761087-3E09-40E9-BC2C-6475D0C518B9}"/>
    <cellStyle name="SAPBEXresItemX 5 5" xfId="5218" xr:uid="{96E99116-B2D2-4E80-8EC0-4BC4D9BB2A6F}"/>
    <cellStyle name="SAPBEXresItemX 6" xfId="1320" xr:uid="{523B7B92-2C62-436D-9A2B-79E6D4F6196C}"/>
    <cellStyle name="SAPBEXresItemX 6 2" xfId="3826" xr:uid="{A5FA0A60-1880-4297-991F-5241B87BE66A}"/>
    <cellStyle name="SAPBEXresItemX 6 3" xfId="5257" xr:uid="{ACF4F429-132D-4FFB-9F05-80AAAF59F98E}"/>
    <cellStyle name="SAPBEXresItemX 6 4" xfId="4813" xr:uid="{E45C4E99-E456-45B2-A282-86DFDB4BACB2}"/>
    <cellStyle name="SAPBEXresItemX 7" xfId="5334" xr:uid="{1C70CF18-F974-4D5B-A6ED-40A808544996}"/>
    <cellStyle name="SAPBEXresItemX 8" xfId="5330" xr:uid="{4E2A3183-0A42-4FC5-884E-F64645877926}"/>
    <cellStyle name="SAPBEXresItemX 9" xfId="5248" xr:uid="{7ADB33EE-59F4-400C-AFFF-3BA09F199C9B}"/>
    <cellStyle name="SAPBEXstdData" xfId="783" xr:uid="{00000000-0005-0000-0000-000017030000}"/>
    <cellStyle name="SAPBEXstdData 2" xfId="784" xr:uid="{00000000-0005-0000-0000-000018030000}"/>
    <cellStyle name="SAPBEXstdData 2 2" xfId="785" xr:uid="{00000000-0005-0000-0000-000019030000}"/>
    <cellStyle name="SAPBEXstdData 2 2 2" xfId="2332" xr:uid="{6BE63AB9-6181-42A4-926E-06D855FADB65}"/>
    <cellStyle name="SAPBEXstdData 2 2 2 2" xfId="4315" xr:uid="{085AF604-56A9-4AC6-9D3B-3F7DF8A68A84}"/>
    <cellStyle name="SAPBEXstdData 2 2 2 2 2" xfId="5827" xr:uid="{CE0F9E1D-A3B4-4DD1-961C-E380E732B819}"/>
    <cellStyle name="SAPBEXstdData 2 2 2 2 3" xfId="6180" xr:uid="{6F823913-81E8-4781-9417-06DEB1E3B66B}"/>
    <cellStyle name="SAPBEXstdData 2 2 2 2 4" xfId="4737" xr:uid="{DB9A339A-75AD-419C-BEA5-8BE157DAC644}"/>
    <cellStyle name="SAPBEXstdData 2 2 2 3" xfId="2606" xr:uid="{2D6555FA-51EA-4FE7-8CB1-D2B8E1649389}"/>
    <cellStyle name="SAPBEXstdData 2 2 2 4" xfId="4546" xr:uid="{9E2A373B-514D-43C1-B424-ED781A55B8FB}"/>
    <cellStyle name="SAPBEXstdData 2 2 2 5" xfId="5493" xr:uid="{ECFB11E0-6620-4A6A-B625-E725723A4A1B}"/>
    <cellStyle name="SAPBEXstdData 2 2 3" xfId="2527" xr:uid="{990AACA4-DCBA-4F40-806A-EB868C158499}"/>
    <cellStyle name="SAPBEXstdData 2 2 3 2" xfId="4492" xr:uid="{BA1B07AD-C9F4-472D-864C-F1E0D4C28F7A}"/>
    <cellStyle name="SAPBEXstdData 2 2 3 2 2" xfId="5977" xr:uid="{7E91F4A0-A367-411D-AE30-6F59FAF6496B}"/>
    <cellStyle name="SAPBEXstdData 2 2 3 2 3" xfId="6319" xr:uid="{9EAE499F-6655-4D4B-8D3F-7E2B852AB844}"/>
    <cellStyle name="SAPBEXstdData 2 2 3 2 4" xfId="6593" xr:uid="{4AA3FC94-1210-47DA-A045-24122857C89A}"/>
    <cellStyle name="SAPBEXstdData 2 2 3 3" xfId="3029" xr:uid="{56A7277B-80F1-43DC-883F-0DA0AA982960}"/>
    <cellStyle name="SAPBEXstdData 2 2 3 4" xfId="5663" xr:uid="{006EA827-5903-48C1-9AAD-CF679AC2F860}"/>
    <cellStyle name="SAPBEXstdData 2 2 3 5" xfId="6427" xr:uid="{CE66D59B-0AEC-433E-85A1-F5C6C2A56A50}"/>
    <cellStyle name="SAPBEXstdData 2 2 4" xfId="3580" xr:uid="{6CBB8B41-5386-4654-BB5D-9DB582D566BB}"/>
    <cellStyle name="SAPBEXstdData 2 2 4 2" xfId="5013" xr:uid="{BD146B09-42A7-45D7-8F95-F4B31F27A7B9}"/>
    <cellStyle name="SAPBEXstdData 2 2 4 3" xfId="4889" xr:uid="{22B231D9-0D32-46AF-9FFE-E76CE7A6F69E}"/>
    <cellStyle name="SAPBEXstdData 2 2 4 4" xfId="4938" xr:uid="{B08C917C-1821-4DC1-9CFC-E6C3F8CA01B1}"/>
    <cellStyle name="SAPBEXstdData 2 2 5" xfId="2566" xr:uid="{624E1908-3432-4EC8-A06F-C8ED0D38A2BA}"/>
    <cellStyle name="SAPBEXstdData 2 2 6" xfId="5266" xr:uid="{833441EE-4BE1-4421-949F-2F748DEB3C87}"/>
    <cellStyle name="SAPBEXstdData 2 2 7" xfId="5609" xr:uid="{99C9D820-A960-4179-A77D-6B83F1BC6932}"/>
    <cellStyle name="SAPBEXstdData 2 2 8" xfId="5449" xr:uid="{B2F094CF-786C-429A-828C-F5CB63ABD4E5}"/>
    <cellStyle name="SAPBEXstdData 2 3" xfId="2331" xr:uid="{5BC93464-01AB-4AE4-B60C-EFA925E28AFE}"/>
    <cellStyle name="SAPBEXstdData 2 3 2" xfId="4314" xr:uid="{22812AEE-1F6D-49E9-9CB8-1B47D9BB038C}"/>
    <cellStyle name="SAPBEXstdData 2 3 2 2" xfId="5826" xr:uid="{825D6F57-1B76-4FD5-B113-292EC8F361D5}"/>
    <cellStyle name="SAPBEXstdData 2 3 2 3" xfId="6179" xr:uid="{CCF7FA52-8E17-4349-BD1B-E74CFF651EFD}"/>
    <cellStyle name="SAPBEXstdData 2 3 2 4" xfId="4724" xr:uid="{5E74040F-C5E2-4F9B-BF04-80B05D388A4C}"/>
    <cellStyle name="SAPBEXstdData 2 3 3" xfId="1227" xr:uid="{1EEB445C-FBE7-47DB-BEF8-AE2693686468}"/>
    <cellStyle name="SAPBEXstdData 2 3 4" xfId="4044" xr:uid="{1AB96ADA-9EBD-4AAA-B8AF-733690874AD9}"/>
    <cellStyle name="SAPBEXstdData 2 3 5" xfId="4822" xr:uid="{6CDFFC53-7794-40CF-9A7D-D5DE94FF12F1}"/>
    <cellStyle name="SAPBEXstdData 2 4" xfId="2526" xr:uid="{0D0FEF43-87E4-4E71-9198-761B4CAE2418}"/>
    <cellStyle name="SAPBEXstdData 2 4 2" xfId="4491" xr:uid="{FE679F6A-C877-4473-BA24-5D5D71B7FC47}"/>
    <cellStyle name="SAPBEXstdData 2 4 2 2" xfId="5976" xr:uid="{FD1911B4-6C85-42CC-B667-651B5CC31BA0}"/>
    <cellStyle name="SAPBEXstdData 2 4 2 3" xfId="6318" xr:uid="{55B564BA-59D9-4D9E-9F8C-B98A3650B97D}"/>
    <cellStyle name="SAPBEXstdData 2 4 2 4" xfId="6592" xr:uid="{D013FD05-9974-481A-A0BB-0FFB9E4F01E4}"/>
    <cellStyle name="SAPBEXstdData 2 4 3" xfId="3028" xr:uid="{4E6EC8BB-7ECC-4515-B788-F157A0430F68}"/>
    <cellStyle name="SAPBEXstdData 2 4 4" xfId="1585" xr:uid="{67530ED2-1202-4E17-AF58-96C36EB7DAD4}"/>
    <cellStyle name="SAPBEXstdData 2 4 5" xfId="4848" xr:uid="{CC2F6E97-AA52-4ED5-AC66-E4F0F32F6D22}"/>
    <cellStyle name="SAPBEXstdData 2 5" xfId="1274" xr:uid="{74BBA618-C9A2-48F8-A1D6-904F53113360}"/>
    <cellStyle name="SAPBEXstdData 2 5 2" xfId="3783" xr:uid="{A842372F-57AA-4E46-814D-63BB784D17A3}"/>
    <cellStyle name="SAPBEXstdData 2 5 3" xfId="5304" xr:uid="{0AEBD842-3AC5-4A24-A1C0-228095634CED}"/>
    <cellStyle name="SAPBEXstdData 2 5 4" xfId="6210" xr:uid="{D12145D0-1362-41CC-AAF9-CD502366EDC7}"/>
    <cellStyle name="SAPBEXstdData 2 6" xfId="5379" xr:uid="{C4BC8EC2-CCAF-4FDB-BBA1-96BF22EB567D}"/>
    <cellStyle name="SAPBEXstdData 2 7" xfId="5519" xr:uid="{FD9B514D-2048-465E-B5A7-73DAAAD807A0}"/>
    <cellStyle name="SAPBEXstdData 2 8" xfId="1137" xr:uid="{46C56265-B8D8-4C6A-87F7-5E364985EF20}"/>
    <cellStyle name="SAPBEXstdData 3" xfId="786" xr:uid="{00000000-0005-0000-0000-00001A030000}"/>
    <cellStyle name="SAPBEXstdData 3 2" xfId="2333" xr:uid="{DE781EAB-4A5C-49C9-937C-BDFA9C4D3C99}"/>
    <cellStyle name="SAPBEXstdData 3 2 2" xfId="4316" xr:uid="{7F32A30B-892C-41F2-8B9F-9E24A165DD1B}"/>
    <cellStyle name="SAPBEXstdData 3 2 2 2" xfId="5828" xr:uid="{3DFCE413-22A7-40C2-B7AF-0469336FCA38}"/>
    <cellStyle name="SAPBEXstdData 3 2 2 3" xfId="6181" xr:uid="{D5B7B998-9D66-41A8-939F-D27CB78E0E2C}"/>
    <cellStyle name="SAPBEXstdData 3 2 2 4" xfId="5097" xr:uid="{7449943E-E153-4601-9EBB-6B2B3D5AC5D8}"/>
    <cellStyle name="SAPBEXstdData 3 2 3" xfId="2892" xr:uid="{62B11F76-DB1A-495E-8C6E-4B613A704872}"/>
    <cellStyle name="SAPBEXstdData 3 2 4" xfId="5424" xr:uid="{CE51E2E0-7E3C-42E2-B208-E65AE004777D}"/>
    <cellStyle name="SAPBEXstdData 3 2 5" xfId="5114" xr:uid="{2662F0E1-2E04-494F-AE53-0DEF06242CED}"/>
    <cellStyle name="SAPBEXstdData 3 3" xfId="2528" xr:uid="{A779DE8E-08F7-4F2B-BC89-297E19B9C198}"/>
    <cellStyle name="SAPBEXstdData 3 3 2" xfId="4493" xr:uid="{05D9B5F6-AEB8-4A1E-8A3A-A35B4B5D5AE1}"/>
    <cellStyle name="SAPBEXstdData 3 3 2 2" xfId="5978" xr:uid="{32D326E7-6741-4BC8-924B-417E881ABD68}"/>
    <cellStyle name="SAPBEXstdData 3 3 2 3" xfId="6320" xr:uid="{5074F440-EBDC-42E2-B7AC-346AE5D8627C}"/>
    <cellStyle name="SAPBEXstdData 3 3 2 4" xfId="6594" xr:uid="{019CC526-1BF2-4938-8654-F2FD0BD43380}"/>
    <cellStyle name="SAPBEXstdData 3 3 3" xfId="3030" xr:uid="{05B9D027-34E1-438B-B64C-C4798B3FA0CD}"/>
    <cellStyle name="SAPBEXstdData 3 3 4" xfId="4026" xr:uid="{D30F1900-CF48-454C-9297-49DFC88076C9}"/>
    <cellStyle name="SAPBEXstdData 3 3 5" xfId="4595" xr:uid="{3342A130-5A20-4C68-A0AC-CD8915A4AE34}"/>
    <cellStyle name="SAPBEXstdData 3 4" xfId="3581" xr:uid="{E0296274-EAE1-4A26-83D9-61C8D2363C0E}"/>
    <cellStyle name="SAPBEXstdData 3 4 2" xfId="5123" xr:uid="{530C8D71-B746-405B-9FD1-39B84B0E4231}"/>
    <cellStyle name="SAPBEXstdData 3 4 3" xfId="4817" xr:uid="{46C2BF9C-D46C-47B9-80F9-0CF3EC858231}"/>
    <cellStyle name="SAPBEXstdData 3 4 4" xfId="6415" xr:uid="{56DB6C38-A1EC-4CA7-A9AC-77822C0A0063}"/>
    <cellStyle name="SAPBEXstdData 3 5" xfId="2564" xr:uid="{0F54E52D-0A82-48FF-9C39-68433B171D06}"/>
    <cellStyle name="SAPBEXstdData 3 6" xfId="2887" xr:uid="{108D656B-7CBC-4471-8300-44A2D3BDED16}"/>
    <cellStyle name="SAPBEXstdData 3 7" xfId="4778" xr:uid="{A0DF4619-D26F-4F27-ADF8-880D0556EEC6}"/>
    <cellStyle name="SAPBEXstdData 3 8" xfId="6464" xr:uid="{4280D335-A803-412E-A739-E406D098F2B2}"/>
    <cellStyle name="SAPBEXstdData 4" xfId="2330" xr:uid="{1DD14E9D-28C8-441A-B2E0-C62A6D5AA791}"/>
    <cellStyle name="SAPBEXstdData 4 2" xfId="4313" xr:uid="{9A48361E-9B5D-4A18-85E6-F88BE2CECF97}"/>
    <cellStyle name="SAPBEXstdData 4 2 2" xfId="5825" xr:uid="{6308188B-EF3A-4267-AE90-719EA51CA649}"/>
    <cellStyle name="SAPBEXstdData 4 2 3" xfId="6178" xr:uid="{0D0E173F-1DCC-4F21-B1A7-B3D2CF138CE2}"/>
    <cellStyle name="SAPBEXstdData 4 2 4" xfId="2652" xr:uid="{1DC611AD-BC60-47E2-B628-C217DE37AFEF}"/>
    <cellStyle name="SAPBEXstdData 4 3" xfId="2605" xr:uid="{A2395EA5-DBF4-42A5-B2C2-216ADBED52CA}"/>
    <cellStyle name="SAPBEXstdData 4 4" xfId="4954" xr:uid="{E943690F-D056-45BB-8F01-D9451666761D}"/>
    <cellStyle name="SAPBEXstdData 4 5" xfId="6026" xr:uid="{6AA342EB-E630-4089-A28C-BDA37BA1DD0C}"/>
    <cellStyle name="SAPBEXstdData 5" xfId="2525" xr:uid="{4FB8654A-0CEE-4E8D-83B6-EDCC48674CA3}"/>
    <cellStyle name="SAPBEXstdData 5 2" xfId="4490" xr:uid="{AFBD5831-AD59-4C77-8A78-AB8B97CE0F24}"/>
    <cellStyle name="SAPBEXstdData 5 2 2" xfId="5975" xr:uid="{8302FC79-3547-400D-939A-360B83F7B38C}"/>
    <cellStyle name="SAPBEXstdData 5 2 3" xfId="6317" xr:uid="{D7005DF9-E80A-4367-AE74-6A161AFBF32A}"/>
    <cellStyle name="SAPBEXstdData 5 2 4" xfId="6591" xr:uid="{63C9C561-C9D9-4407-AC82-A58597E94EE9}"/>
    <cellStyle name="SAPBEXstdData 5 3" xfId="3027" xr:uid="{56623E10-226E-4B7D-AEA2-644BAA18CF85}"/>
    <cellStyle name="SAPBEXstdData 5 4" xfId="5085" xr:uid="{18F3BF9A-D8A1-4662-966F-907FD0679E98}"/>
    <cellStyle name="SAPBEXstdData 5 5" xfId="4853" xr:uid="{DBAF00A6-0102-43F0-906D-75E086345723}"/>
    <cellStyle name="SAPBEXstdData 6" xfId="1155" xr:uid="{F6DDF988-4ABD-4058-8754-EBD600F6286A}"/>
    <cellStyle name="SAPBEXstdData 6 2" xfId="3710" xr:uid="{CE84A57F-64CD-4D2A-904E-42216261881C}"/>
    <cellStyle name="SAPBEXstdData 6 3" xfId="5600" xr:uid="{DC65D538-6A05-400A-B00F-5BE735890488}"/>
    <cellStyle name="SAPBEXstdData 6 4" xfId="4841" xr:uid="{551D247D-C3AF-487A-952A-9D77FA619FD2}"/>
    <cellStyle name="SAPBEXstdData 7" xfId="5354" xr:uid="{BCD6BB2C-F980-49C1-9225-DCF4694F1DD8}"/>
    <cellStyle name="SAPBEXstdData 8" xfId="5865" xr:uid="{21E3FF5A-B581-4EEC-B1D8-7C00935E2F93}"/>
    <cellStyle name="SAPBEXstdData 9" xfId="4150" xr:uid="{F19F8C7E-CCBF-4E36-A5D1-1E870741584C}"/>
    <cellStyle name="SAPBEXstdDataEmph" xfId="787" xr:uid="{00000000-0005-0000-0000-00001B030000}"/>
    <cellStyle name="SAPBEXstdDataEmph 2" xfId="788" xr:uid="{00000000-0005-0000-0000-00001C030000}"/>
    <cellStyle name="SAPBEXstdDataEmph 2 2" xfId="789" xr:uid="{00000000-0005-0000-0000-00001D030000}"/>
    <cellStyle name="SAPBEXstdDataEmph 2 2 2" xfId="2336" xr:uid="{0ADBA566-7F63-448D-8FE1-7665C6E0FA65}"/>
    <cellStyle name="SAPBEXstdDataEmph 2 2 2 2" xfId="4319" xr:uid="{BF02AEC0-38AA-4DC5-9843-C56196D083D0}"/>
    <cellStyle name="SAPBEXstdDataEmph 2 2 2 2 2" xfId="5831" xr:uid="{F4191014-3236-48EB-B212-3830370F8F6B}"/>
    <cellStyle name="SAPBEXstdDataEmph 2 2 2 2 3" xfId="6184" xr:uid="{5939A2A1-1688-4C18-B370-FD2A304917A5}"/>
    <cellStyle name="SAPBEXstdDataEmph 2 2 2 2 4" xfId="2782" xr:uid="{E2A6B74E-0008-40EA-A555-32C6CDB3D765}"/>
    <cellStyle name="SAPBEXstdDataEmph 2 2 2 3" xfId="2794" xr:uid="{16CEA5A0-D7D2-4E7D-B98B-6110AAFAE863}"/>
    <cellStyle name="SAPBEXstdDataEmph 2 2 2 4" xfId="2616" xr:uid="{077D0C6E-165B-415F-9C92-29C025B01DF7}"/>
    <cellStyle name="SAPBEXstdDataEmph 2 2 2 5" xfId="4864" xr:uid="{F6AA210B-A02B-4933-AA57-02D7F9768593}"/>
    <cellStyle name="SAPBEXstdDataEmph 2 2 3" xfId="2531" xr:uid="{43FB4615-2C46-4944-BA33-532073A2B6B4}"/>
    <cellStyle name="SAPBEXstdDataEmph 2 2 3 2" xfId="4496" xr:uid="{32B36E21-7598-4C4C-87AA-6054B9587F37}"/>
    <cellStyle name="SAPBEXstdDataEmph 2 2 3 2 2" xfId="5981" xr:uid="{D24C8882-10FB-451F-87B6-6130E4F9C014}"/>
    <cellStyle name="SAPBEXstdDataEmph 2 2 3 2 3" xfId="6323" xr:uid="{D8101B93-A23C-427B-B94D-882F43168E0D}"/>
    <cellStyle name="SAPBEXstdDataEmph 2 2 3 2 4" xfId="6597" xr:uid="{D6DD2838-E9F8-4FB2-AE94-9EDA1CFC836E}"/>
    <cellStyle name="SAPBEXstdDataEmph 2 2 3 3" xfId="3033" xr:uid="{F20A44E7-9568-461F-8D5B-399E635AEEEB}"/>
    <cellStyle name="SAPBEXstdDataEmph 2 2 3 4" xfId="5662" xr:uid="{D1CF67B5-1F8E-4217-ADFF-CFFEE41ED619}"/>
    <cellStyle name="SAPBEXstdDataEmph 2 2 3 5" xfId="6428" xr:uid="{D2784565-A5A4-4BE9-B401-EAD9DD160CBD}"/>
    <cellStyle name="SAPBEXstdDataEmph 2 2 4" xfId="3582" xr:uid="{4672FE51-5EAE-4DB0-AB7E-0CD8527783AA}"/>
    <cellStyle name="SAPBEXstdDataEmph 2 2 4 2" xfId="4053" xr:uid="{F7F22A14-DC73-41B8-85A2-AC1E0BFAFD2D}"/>
    <cellStyle name="SAPBEXstdDataEmph 2 2 4 3" xfId="5617" xr:uid="{3C4DF578-1237-4C91-862F-FBADD7AA1B13}"/>
    <cellStyle name="SAPBEXstdDataEmph 2 2 4 4" xfId="5463" xr:uid="{A59D4D41-82CD-4E36-9138-90B858DC7D61}"/>
    <cellStyle name="SAPBEXstdDataEmph 2 2 5" xfId="2847" xr:uid="{BA7CA8ED-F75B-4547-B44B-13673897D392}"/>
    <cellStyle name="SAPBEXstdDataEmph 2 2 6" xfId="4556" xr:uid="{0834CE12-6DC3-4502-B6E0-6971202BE1FE}"/>
    <cellStyle name="SAPBEXstdDataEmph 2 2 7" xfId="4554" xr:uid="{F6FA2DF6-2022-4C28-88DF-878B3BDEEDD5}"/>
    <cellStyle name="SAPBEXstdDataEmph 2 2 8" xfId="5998" xr:uid="{F2E4B7C4-5242-486E-95B8-D32C35E40BE6}"/>
    <cellStyle name="SAPBEXstdDataEmph 2 3" xfId="2335" xr:uid="{540079B8-55B4-44D3-97F7-7B0312BAB898}"/>
    <cellStyle name="SAPBEXstdDataEmph 2 3 2" xfId="4318" xr:uid="{E0EF4E4A-4D45-4ACD-A3E8-45050610DD22}"/>
    <cellStyle name="SAPBEXstdDataEmph 2 3 2 2" xfId="5830" xr:uid="{36FA45C6-27B8-4E45-BE28-8F543E37DC91}"/>
    <cellStyle name="SAPBEXstdDataEmph 2 3 2 3" xfId="6183" xr:uid="{4A38FE33-B640-4C8C-9124-4EBBC3628EB3}"/>
    <cellStyle name="SAPBEXstdDataEmph 2 3 2 4" xfId="5531" xr:uid="{C62D6E3E-A564-4BA8-A826-47514A2C9661}"/>
    <cellStyle name="SAPBEXstdDataEmph 2 3 3" xfId="1117" xr:uid="{7DD097C2-8846-449B-B359-C2CEF5F245B1}"/>
    <cellStyle name="SAPBEXstdDataEmph 2 3 4" xfId="4629" xr:uid="{15C00064-5E7B-472E-9B8E-0FE35F52E339}"/>
    <cellStyle name="SAPBEXstdDataEmph 2 3 5" xfId="4153" xr:uid="{3852382C-DAA0-4F63-956F-ABF0F6955DD5}"/>
    <cellStyle name="SAPBEXstdDataEmph 2 4" xfId="2530" xr:uid="{3BB92237-DF3F-4C1C-ADB0-C505A6806BE1}"/>
    <cellStyle name="SAPBEXstdDataEmph 2 4 2" xfId="4495" xr:uid="{DD773453-655E-4CA1-852A-3043D25E7132}"/>
    <cellStyle name="SAPBEXstdDataEmph 2 4 2 2" xfId="5980" xr:uid="{78B40190-A681-4B99-90CE-F249A44599D5}"/>
    <cellStyle name="SAPBEXstdDataEmph 2 4 2 3" xfId="6322" xr:uid="{A4A9ABC9-68EA-4438-BCA0-0AB473457466}"/>
    <cellStyle name="SAPBEXstdDataEmph 2 4 2 4" xfId="6596" xr:uid="{753A43E9-A3D3-4BCB-A682-8BFF475F261B}"/>
    <cellStyle name="SAPBEXstdDataEmph 2 4 3" xfId="3032" xr:uid="{02B9A1A7-F5B2-4945-920C-540E10875A57}"/>
    <cellStyle name="SAPBEXstdDataEmph 2 4 4" xfId="5452" xr:uid="{95DBB199-99CF-4297-A9A1-2CB3CAA6F484}"/>
    <cellStyle name="SAPBEXstdDataEmph 2 4 5" xfId="5495" xr:uid="{F0A7F932-912F-45A3-8A80-281CC097F05F}"/>
    <cellStyle name="SAPBEXstdDataEmph 2 5" xfId="1279" xr:uid="{08E769D7-1424-4589-9883-66CE69A1D7F0}"/>
    <cellStyle name="SAPBEXstdDataEmph 2 5 2" xfId="3788" xr:uid="{A226B222-15AB-40E6-982E-351E93804F39}"/>
    <cellStyle name="SAPBEXstdDataEmph 2 5 3" xfId="5441" xr:uid="{FAEC3E31-46D8-4A59-9C64-2F89318FDD3A}"/>
    <cellStyle name="SAPBEXstdDataEmph 2 5 4" xfId="6407" xr:uid="{01A31B24-E2ED-4F49-90A8-EBEDF88E4858}"/>
    <cellStyle name="SAPBEXstdDataEmph 2 6" xfId="2776" xr:uid="{89C6A4B1-0933-49FD-B43C-F584F5367366}"/>
    <cellStyle name="SAPBEXstdDataEmph 2 7" xfId="5850" xr:uid="{9651B5FF-7597-49FD-91E2-A0856261DFDD}"/>
    <cellStyle name="SAPBEXstdDataEmph 2 8" xfId="6363" xr:uid="{7DF621DD-1349-482F-839A-D452233AD206}"/>
    <cellStyle name="SAPBEXstdDataEmph 3" xfId="790" xr:uid="{00000000-0005-0000-0000-00001E030000}"/>
    <cellStyle name="SAPBEXstdDataEmph 3 2" xfId="2337" xr:uid="{D731D6E1-817B-4E16-9F1F-DBA0E649723F}"/>
    <cellStyle name="SAPBEXstdDataEmph 3 2 2" xfId="4320" xr:uid="{3EDEBEAC-A548-435F-9B87-4304B66F1BAD}"/>
    <cellStyle name="SAPBEXstdDataEmph 3 2 2 2" xfId="5832" xr:uid="{88A3CEBF-09C3-4A5E-AEE6-758FF59CC2AF}"/>
    <cellStyle name="SAPBEXstdDataEmph 3 2 2 3" xfId="6185" xr:uid="{CEF5C5CF-3108-4040-B90A-66DA498D4E7A}"/>
    <cellStyle name="SAPBEXstdDataEmph 3 2 2 4" xfId="6067" xr:uid="{78A07338-10BE-456A-BC00-0B1D32FDEBCE}"/>
    <cellStyle name="SAPBEXstdDataEmph 3 2 3" xfId="2575" xr:uid="{B95ABDA3-0BA7-43FC-99CE-BC9F47072F8F}"/>
    <cellStyle name="SAPBEXstdDataEmph 3 2 4" xfId="4770" xr:uid="{ACC61706-D2F3-48AC-9C80-69DFA676D223}"/>
    <cellStyle name="SAPBEXstdDataEmph 3 2 5" xfId="6366" xr:uid="{9236C918-388E-45CB-8DAA-4282827D787F}"/>
    <cellStyle name="SAPBEXstdDataEmph 3 3" xfId="2532" xr:uid="{42AF4D26-9575-410B-9C90-A6EED8505B84}"/>
    <cellStyle name="SAPBEXstdDataEmph 3 3 2" xfId="4497" xr:uid="{4825CEFE-4948-4C0F-B4DA-37B987F9C569}"/>
    <cellStyle name="SAPBEXstdDataEmph 3 3 2 2" xfId="5982" xr:uid="{65E514E9-ECB9-49B6-9337-A3542A0C1428}"/>
    <cellStyle name="SAPBEXstdDataEmph 3 3 2 3" xfId="6324" xr:uid="{DE2F1E7B-C540-457B-8A81-2ABD60685E8A}"/>
    <cellStyle name="SAPBEXstdDataEmph 3 3 2 4" xfId="6598" xr:uid="{A6A4C5E3-6D8B-4ECB-AD9C-5A6F6A25B376}"/>
    <cellStyle name="SAPBEXstdDataEmph 3 3 3" xfId="3034" xr:uid="{ED29B1D6-05CE-454E-A59E-C69E1BA2AB38}"/>
    <cellStyle name="SAPBEXstdDataEmph 3 3 4" xfId="5153" xr:uid="{C5F8C9D3-62ED-4E9C-8D8D-BDC59374CF57}"/>
    <cellStyle name="SAPBEXstdDataEmph 3 3 5" xfId="5569" xr:uid="{F7578B7B-EAE9-4A8D-AE01-A55835BF60D2}"/>
    <cellStyle name="SAPBEXstdDataEmph 3 4" xfId="3583" xr:uid="{BD6A76EC-58F9-450D-B494-9E6B249A5A49}"/>
    <cellStyle name="SAPBEXstdDataEmph 3 4 2" xfId="4132" xr:uid="{5C84A6F4-514C-43B9-A49D-4DEE26E550DD}"/>
    <cellStyle name="SAPBEXstdDataEmph 3 4 3" xfId="4604" xr:uid="{AE3A5F6A-2E58-446D-B3C8-6092BB1D7C93}"/>
    <cellStyle name="SAPBEXstdDataEmph 3 4 4" xfId="6416" xr:uid="{4527372B-97C7-4517-842E-B03F8DB6BD2C}"/>
    <cellStyle name="SAPBEXstdDataEmph 3 5" xfId="1119" xr:uid="{2EBFC112-631F-400D-A9BC-5EBF9B5F5460}"/>
    <cellStyle name="SAPBEXstdDataEmph 3 6" xfId="5243" xr:uid="{ACD721E1-4DAC-4805-87BD-5043E20C30FD}"/>
    <cellStyle name="SAPBEXstdDataEmph 3 7" xfId="4106" xr:uid="{B761E7BE-C2EA-4346-B80A-C9407A8FA52D}"/>
    <cellStyle name="SAPBEXstdDataEmph 3 8" xfId="6460" xr:uid="{60A986B6-109B-4903-B17A-D76E115CF591}"/>
    <cellStyle name="SAPBEXstdDataEmph 4" xfId="2334" xr:uid="{1D69DFD1-48D0-458A-9DA0-B50DA7E15B81}"/>
    <cellStyle name="SAPBEXstdDataEmph 4 2" xfId="4317" xr:uid="{B587F32E-9975-4C2F-9D36-70E3547B3B3C}"/>
    <cellStyle name="SAPBEXstdDataEmph 4 2 2" xfId="5829" xr:uid="{3E245C4B-3341-4938-91C4-6AE2A8AE7B58}"/>
    <cellStyle name="SAPBEXstdDataEmph 4 2 3" xfId="6182" xr:uid="{B47EF4DF-4672-46F3-9697-A3939110E19E}"/>
    <cellStyle name="SAPBEXstdDataEmph 4 2 4" xfId="6378" xr:uid="{2C58C09F-B0E8-4CFF-A997-9266ABE94DC2}"/>
    <cellStyle name="SAPBEXstdDataEmph 4 3" xfId="2626" xr:uid="{237AE830-6814-46E8-86F1-6501FD1B8237}"/>
    <cellStyle name="SAPBEXstdDataEmph 4 4" xfId="5534" xr:uid="{A3CF52E7-437C-498B-A833-E2651737ACA5}"/>
    <cellStyle name="SAPBEXstdDataEmph 4 5" xfId="5249" xr:uid="{BA40BFEA-CA0D-4A15-B681-2E33AE4CF85A}"/>
    <cellStyle name="SAPBEXstdDataEmph 5" xfId="2529" xr:uid="{EFF64A39-E9D6-4721-A569-811BC3CBF265}"/>
    <cellStyle name="SAPBEXstdDataEmph 5 2" xfId="4494" xr:uid="{F32EA0AD-EE09-4899-A254-32D3BC2DEBCD}"/>
    <cellStyle name="SAPBEXstdDataEmph 5 2 2" xfId="5979" xr:uid="{717FD73F-9B3C-41BA-A2BD-F7913BBA6A4B}"/>
    <cellStyle name="SAPBEXstdDataEmph 5 2 3" xfId="6321" xr:uid="{4911DFBD-B8F1-4BAA-B930-97AB71CC8358}"/>
    <cellStyle name="SAPBEXstdDataEmph 5 2 4" xfId="6595" xr:uid="{8FF39F74-ACAE-407A-93E9-43EE2C492771}"/>
    <cellStyle name="SAPBEXstdDataEmph 5 3" xfId="3031" xr:uid="{2A05D799-205B-4DFE-9E81-86D4271B4561}"/>
    <cellStyle name="SAPBEXstdDataEmph 5 4" xfId="3914" xr:uid="{F45B0A78-15A6-45D2-8238-92C2302DBA46}"/>
    <cellStyle name="SAPBEXstdDataEmph 5 5" xfId="5425" xr:uid="{979F16A3-94C7-43A2-8693-0F4ABB3347B5}"/>
    <cellStyle name="SAPBEXstdDataEmph 6" xfId="1277" xr:uid="{C4956051-C15A-4DA4-B25A-54B1E2928511}"/>
    <cellStyle name="SAPBEXstdDataEmph 6 2" xfId="3786" xr:uid="{B0E5D8C8-6A8B-4F27-A251-3F351F5A9D7D}"/>
    <cellStyle name="SAPBEXstdDataEmph 6 3" xfId="4984" xr:uid="{97A7976E-2666-4DE3-8C6D-58AEC746C76E}"/>
    <cellStyle name="SAPBEXstdDataEmph 6 4" xfId="6402" xr:uid="{B1ADD8CA-552A-4FDF-A6F2-6E0D482B32E3}"/>
    <cellStyle name="SAPBEXstdDataEmph 7" xfId="4683" xr:uid="{B93FB5CD-0DCC-4206-B80C-E4C80CF1AC45}"/>
    <cellStyle name="SAPBEXstdDataEmph 8" xfId="4707" xr:uid="{D9CBA5CD-7912-484C-B1EF-3E99B2CEE1FF}"/>
    <cellStyle name="SAPBEXstdDataEmph 9" xfId="6021" xr:uid="{CDBB1E86-255E-43D6-90DE-36EFB04DC085}"/>
    <cellStyle name="SAPBEXstdItem" xfId="791" xr:uid="{00000000-0005-0000-0000-00001F030000}"/>
    <cellStyle name="SAPBEXstdItem 2" xfId="792" xr:uid="{00000000-0005-0000-0000-000020030000}"/>
    <cellStyle name="SAPBEXstdItem 2 2" xfId="793" xr:uid="{00000000-0005-0000-0000-000021030000}"/>
    <cellStyle name="SAPBEXstdItem 2 2 2" xfId="2340" xr:uid="{20F6B9F4-50C2-4572-BA58-779528F268A9}"/>
    <cellStyle name="SAPBEXstdItem 2 2 2 2" xfId="4323" xr:uid="{D06D56CB-80E6-422F-B7EE-428F856227B3}"/>
    <cellStyle name="SAPBEXstdItem 2 2 2 2 2" xfId="5835" xr:uid="{26075FA5-F4AC-4FC8-87E7-B97D6E195891}"/>
    <cellStyle name="SAPBEXstdItem 2 2 2 2 3" xfId="6188" xr:uid="{43407493-593F-44C2-A7B0-B20B87E395CC}"/>
    <cellStyle name="SAPBEXstdItem 2 2 2 2 4" xfId="2700" xr:uid="{1AA6A20F-7A16-4A26-9217-02E88697D987}"/>
    <cellStyle name="SAPBEXstdItem 2 2 2 3" xfId="2556" xr:uid="{DF6DFB9F-098C-4D9B-A6E4-8B5703FCBBA8}"/>
    <cellStyle name="SAPBEXstdItem 2 2 2 4" xfId="5253" xr:uid="{EABE58DA-F50F-442A-8318-719C3F427706}"/>
    <cellStyle name="SAPBEXstdItem 2 2 2 5" xfId="5188" xr:uid="{FBED78B9-29D0-4C93-BCF3-DC577FBB144B}"/>
    <cellStyle name="SAPBEXstdItem 2 2 3" xfId="2535" xr:uid="{2C89160A-BB13-4C13-A104-3696A893E633}"/>
    <cellStyle name="SAPBEXstdItem 2 2 3 2" xfId="4500" xr:uid="{CF35EE69-F01A-43D4-9297-8B8516476FB7}"/>
    <cellStyle name="SAPBEXstdItem 2 2 3 2 2" xfId="5985" xr:uid="{DBDAD026-A6C0-4DA0-94C2-CCA7806E1595}"/>
    <cellStyle name="SAPBEXstdItem 2 2 3 2 3" xfId="6327" xr:uid="{70E69FC6-F785-42A3-A4E2-B0F213497639}"/>
    <cellStyle name="SAPBEXstdItem 2 2 3 2 4" xfId="6601" xr:uid="{DCDA1143-CE2C-453C-9FEF-C0D08E610534}"/>
    <cellStyle name="SAPBEXstdItem 2 2 3 3" xfId="3037" xr:uid="{6FE75C3B-65A8-44C0-84FF-641CA842B9C5}"/>
    <cellStyle name="SAPBEXstdItem 2 2 3 4" xfId="5507" xr:uid="{1506B4E4-7FF9-4540-A0B0-06BA3218DAFF}"/>
    <cellStyle name="SAPBEXstdItem 2 2 3 5" xfId="6487" xr:uid="{82F443CC-4F6D-4C2D-8109-F3884798AF40}"/>
    <cellStyle name="SAPBEXstdItem 2 2 4" xfId="3584" xr:uid="{BEF0A63D-8B09-4534-B2F5-750F67FC9C75}"/>
    <cellStyle name="SAPBEXstdItem 2 2 4 2" xfId="2607" xr:uid="{3B7FC46D-F2A9-437D-9627-747695077279}"/>
    <cellStyle name="SAPBEXstdItem 2 2 4 3" xfId="2621" xr:uid="{267F2F51-F336-46DD-B969-16843BAC04BC}"/>
    <cellStyle name="SAPBEXstdItem 2 2 4 4" xfId="5133" xr:uid="{70D2C48E-F43E-446A-8BFB-D6409B21B212}"/>
    <cellStyle name="SAPBEXstdItem 2 2 5" xfId="2659" xr:uid="{F3A83FD1-C88D-4539-BA3C-EC7968E2787E}"/>
    <cellStyle name="SAPBEXstdItem 2 2 6" xfId="2911" xr:uid="{1C8A4344-4748-491A-9901-A3D428A62C77}"/>
    <cellStyle name="SAPBEXstdItem 2 2 7" xfId="2852" xr:uid="{D54869F5-CA85-44DB-852B-18A8C4ABCC0A}"/>
    <cellStyle name="SAPBEXstdItem 2 2 8" xfId="4842" xr:uid="{5E21CD71-D874-4D48-BBE1-3B161D4CB40E}"/>
    <cellStyle name="SAPBEXstdItem 2 3" xfId="2339" xr:uid="{AD933693-7FD7-4ECC-9EC6-7D2FDE66C8D4}"/>
    <cellStyle name="SAPBEXstdItem 2 3 2" xfId="4322" xr:uid="{B81D870E-AC96-4A25-A913-1E2A000B6370}"/>
    <cellStyle name="SAPBEXstdItem 2 3 2 2" xfId="5834" xr:uid="{52EDA81F-C460-4674-86C8-4A5D6F8C1E48}"/>
    <cellStyle name="SAPBEXstdItem 2 3 2 3" xfId="6187" xr:uid="{95351F8E-93C2-406D-9B55-D96D86532186}"/>
    <cellStyle name="SAPBEXstdItem 2 3 2 4" xfId="2770" xr:uid="{50208D69-2A60-4EAB-A410-2B6ED403E8D2}"/>
    <cellStyle name="SAPBEXstdItem 2 3 3" xfId="2685" xr:uid="{7DF63F67-1893-4665-9E3E-35C4DF83E0F6}"/>
    <cellStyle name="SAPBEXstdItem 2 3 4" xfId="5863" xr:uid="{611C6D52-BB5F-4EF3-AF86-03D4A54BDFF5}"/>
    <cellStyle name="SAPBEXstdItem 2 3 5" xfId="6013" xr:uid="{10EDA06C-5C7A-4043-B1E1-D2B52BD2C73B}"/>
    <cellStyle name="SAPBEXstdItem 2 4" xfId="2534" xr:uid="{7C3E62CA-DF6C-4E18-A8BC-344C887FEED5}"/>
    <cellStyle name="SAPBEXstdItem 2 4 2" xfId="4499" xr:uid="{DD6EBA2A-1BBC-4F34-875C-CC4C59417BFC}"/>
    <cellStyle name="SAPBEXstdItem 2 4 2 2" xfId="5984" xr:uid="{81C17C13-09D4-4CCA-8AA1-205116B71B50}"/>
    <cellStyle name="SAPBEXstdItem 2 4 2 3" xfId="6326" xr:uid="{995554A8-4CD4-4CE5-B1A5-EB52CDD4A1B4}"/>
    <cellStyle name="SAPBEXstdItem 2 4 2 4" xfId="6600" xr:uid="{88AFAC71-3970-402B-B887-3157CACEC401}"/>
    <cellStyle name="SAPBEXstdItem 2 4 3" xfId="3036" xr:uid="{A8ABBD84-72AB-4FD0-9CCB-CF18498B762E}"/>
    <cellStyle name="SAPBEXstdItem 2 4 4" xfId="5208" xr:uid="{CED3D0CA-050A-4AD4-BB4C-DE159168CAFC}"/>
    <cellStyle name="SAPBEXstdItem 2 4 5" xfId="4573" xr:uid="{136D95B0-826F-4FF1-BFA1-58AC0DAC6649}"/>
    <cellStyle name="SAPBEXstdItem 2 5" xfId="1281" xr:uid="{5622CF7D-8796-4667-BD1F-A728336E91ED}"/>
    <cellStyle name="SAPBEXstdItem 2 5 2" xfId="3790" xr:uid="{73ACDFCC-AE6A-45A2-8300-DCD063C8BDD8}"/>
    <cellStyle name="SAPBEXstdItem 2 5 3" xfId="2845" xr:uid="{CEA36F50-FA5A-4B76-9444-5C757A519754}"/>
    <cellStyle name="SAPBEXstdItem 2 5 4" xfId="5287" xr:uid="{84C62C16-9475-42C5-953A-BF333371C215}"/>
    <cellStyle name="SAPBEXstdItem 2 6" xfId="5374" xr:uid="{F49D386B-07AA-43BA-81D9-AE565FED3641}"/>
    <cellStyle name="SAPBEXstdItem 2 7" xfId="4648" xr:uid="{9F55D158-9D95-44F7-834C-EAEB301015E3}"/>
    <cellStyle name="SAPBEXstdItem 2 8" xfId="4956" xr:uid="{18B86059-7B38-48B6-A186-D1F068A53AF8}"/>
    <cellStyle name="SAPBEXstdItem 3" xfId="794" xr:uid="{00000000-0005-0000-0000-000022030000}"/>
    <cellStyle name="SAPBEXstdItem 3 2" xfId="2341" xr:uid="{BB163DC8-1EA2-49CD-8A6A-2E5D785665DD}"/>
    <cellStyle name="SAPBEXstdItem 3 2 2" xfId="4324" xr:uid="{DDD5E3D9-D58F-4FCD-9105-61F639AE7927}"/>
    <cellStyle name="SAPBEXstdItem 3 2 2 2" xfId="5836" xr:uid="{4AF47F6E-5CD7-406A-BE14-E92734CD7559}"/>
    <cellStyle name="SAPBEXstdItem 3 2 2 3" xfId="6189" xr:uid="{58AA63BC-AF48-451B-9951-B4D782A9E637}"/>
    <cellStyle name="SAPBEXstdItem 3 2 2 4" xfId="6205" xr:uid="{04D285C3-02A0-4892-8DFF-B8142DC651A2}"/>
    <cellStyle name="SAPBEXstdItem 3 2 3" xfId="2698" xr:uid="{F98FF586-BA16-4C52-9913-D9709881635D}"/>
    <cellStyle name="SAPBEXstdItem 3 2 4" xfId="5047" xr:uid="{F1C7B160-F411-4CCF-808E-82059CC60FF4}"/>
    <cellStyle name="SAPBEXstdItem 3 2 5" xfId="4577" xr:uid="{3A30F29E-8192-40E5-AF10-557678F5BFBA}"/>
    <cellStyle name="SAPBEXstdItem 3 3" xfId="2536" xr:uid="{95F6AA92-7451-4B67-8574-77AEA81AF31B}"/>
    <cellStyle name="SAPBEXstdItem 3 3 2" xfId="4501" xr:uid="{6C6D9A4C-B614-4B82-955C-3F4BCB654ACE}"/>
    <cellStyle name="SAPBEXstdItem 3 3 2 2" xfId="5986" xr:uid="{C1F65F40-F252-443C-B9E3-DF394BA6DCCB}"/>
    <cellStyle name="SAPBEXstdItem 3 3 2 3" xfId="6328" xr:uid="{AC2FCC64-94FA-4296-B754-02447A024386}"/>
    <cellStyle name="SAPBEXstdItem 3 3 2 4" xfId="6602" xr:uid="{A73E8CCC-B502-4B8F-BCA7-83377D38740B}"/>
    <cellStyle name="SAPBEXstdItem 3 3 3" xfId="3038" xr:uid="{9F849DB8-9601-4E39-8F1F-D9546AAF3EF3}"/>
    <cellStyle name="SAPBEXstdItem 3 3 4" xfId="5660" xr:uid="{836ADA80-8059-4840-867B-BAECE8BDB5B0}"/>
    <cellStyle name="SAPBEXstdItem 3 3 5" xfId="6016" xr:uid="{7884B29E-C294-454A-9190-6998AA8C0EFF}"/>
    <cellStyle name="SAPBEXstdItem 3 4" xfId="3585" xr:uid="{A16B7AC4-AA88-404F-95B5-DF32316566D8}"/>
    <cellStyle name="SAPBEXstdItem 3 4 2" xfId="4783" xr:uid="{7B3B785F-BE08-4FA7-B7C2-DB91229F89C3}"/>
    <cellStyle name="SAPBEXstdItem 3 4 3" xfId="5616" xr:uid="{9C479318-B7B3-4497-A029-B5DA6FFDE659}"/>
    <cellStyle name="SAPBEXstdItem 3 4 4" xfId="5433" xr:uid="{0EF4ADE9-62F1-4624-BFD6-EA9E3FE652D9}"/>
    <cellStyle name="SAPBEXstdItem 3 5" xfId="2628" xr:uid="{A43D1963-A814-4D90-B409-195FDCDBA14C}"/>
    <cellStyle name="SAPBEXstdItem 3 6" xfId="5237" xr:uid="{D9A244B1-AD07-45C0-8DA6-8C3C997D5427}"/>
    <cellStyle name="SAPBEXstdItem 3 7" xfId="5608" xr:uid="{5F94227D-9583-4678-9A50-872F4D86CE2A}"/>
    <cellStyle name="SAPBEXstdItem 3 8" xfId="6486" xr:uid="{C1D327F6-874A-4667-A13C-DBAFB99C7627}"/>
    <cellStyle name="SAPBEXstdItem 4" xfId="2338" xr:uid="{62EC19AF-A097-4563-8319-CC2DBBB03B2D}"/>
    <cellStyle name="SAPBEXstdItem 4 2" xfId="4321" xr:uid="{7AB7C088-C39F-4E43-A0E9-EC8105B2258D}"/>
    <cellStyle name="SAPBEXstdItem 4 2 2" xfId="5833" xr:uid="{D6B997FF-FA84-4BA6-AB8D-742751EE470F}"/>
    <cellStyle name="SAPBEXstdItem 4 2 3" xfId="6186" xr:uid="{7AFADC32-E6D1-43E9-B18A-EADAC87D34BD}"/>
    <cellStyle name="SAPBEXstdItem 4 2 4" xfId="2738" xr:uid="{250F1D16-5CA2-4B23-BAE2-7588A9641008}"/>
    <cellStyle name="SAPBEXstdItem 4 3" xfId="2692" xr:uid="{B07CD9F4-676C-4D8F-9932-FEC730B47D2E}"/>
    <cellStyle name="SAPBEXstdItem 4 4" xfId="4940" xr:uid="{28C283B9-117F-40B1-86C7-B30045CAECE5}"/>
    <cellStyle name="SAPBEXstdItem 4 5" xfId="6435" xr:uid="{73A44B88-138E-4157-B995-D6CF6FBDFC9E}"/>
    <cellStyle name="SAPBEXstdItem 5" xfId="2533" xr:uid="{41950799-4FE1-4FF6-A8E3-3439B1433457}"/>
    <cellStyle name="SAPBEXstdItem 5 2" xfId="4498" xr:uid="{27079E29-4619-4502-AF2A-BAABA5BC11B9}"/>
    <cellStyle name="SAPBEXstdItem 5 2 2" xfId="5983" xr:uid="{6E1576F4-0718-43D6-AF5C-6DBEFC546EF0}"/>
    <cellStyle name="SAPBEXstdItem 5 2 3" xfId="6325" xr:uid="{28DE459E-B86F-484C-A274-C82844001BFA}"/>
    <cellStyle name="SAPBEXstdItem 5 2 4" xfId="6599" xr:uid="{3E8F2F29-527E-40A4-A703-FFD680D6F2D8}"/>
    <cellStyle name="SAPBEXstdItem 5 3" xfId="3035" xr:uid="{84F33029-9CCE-4DDE-B4EF-60DA87650E10}"/>
    <cellStyle name="SAPBEXstdItem 5 4" xfId="2859" xr:uid="{5CABD162-3270-4248-9AAC-FD41A994887B}"/>
    <cellStyle name="SAPBEXstdItem 5 5" xfId="1271" xr:uid="{6DBA3FC8-C128-4211-8524-C6F6E4302D77}"/>
    <cellStyle name="SAPBEXstdItem 6" xfId="1127" xr:uid="{F0057E00-D6B0-49D3-B356-E387CEA6554C}"/>
    <cellStyle name="SAPBEXstdItem 6 2" xfId="3698" xr:uid="{6BD1BA52-7DD3-4A9D-81D1-2558F633F8F9}"/>
    <cellStyle name="SAPBEXstdItem 6 3" xfId="5037" xr:uid="{77F12BD9-AB43-43E4-99B1-C1B1ADDBF32B}"/>
    <cellStyle name="SAPBEXstdItem 6 4" xfId="4673" xr:uid="{73A69588-A0A1-46D6-AF6E-B30768191435}"/>
    <cellStyle name="SAPBEXstdItem 7" xfId="5048" xr:uid="{17AA8DDC-6577-445B-ADD1-2B0896EB8FF7}"/>
    <cellStyle name="SAPBEXstdItem 8" xfId="2748" xr:uid="{29F21EF7-ECF3-4DDE-AA4A-898429AB764C}"/>
    <cellStyle name="SAPBEXstdItem 9" xfId="3870" xr:uid="{68049F59-B71B-422E-8719-EBF6FDB6C3C8}"/>
    <cellStyle name="SAPBEXstdItemX" xfId="795" xr:uid="{00000000-0005-0000-0000-000023030000}"/>
    <cellStyle name="SAPBEXstdItemX 2" xfId="796" xr:uid="{00000000-0005-0000-0000-000024030000}"/>
    <cellStyle name="SAPBEXstdItemX 2 2" xfId="797" xr:uid="{00000000-0005-0000-0000-000025030000}"/>
    <cellStyle name="SAPBEXstdItemX 2 2 2" xfId="2344" xr:uid="{0D0A94D3-9F82-44D7-974F-E08948FC95D3}"/>
    <cellStyle name="SAPBEXstdItemX 2 2 2 2" xfId="4327" xr:uid="{482DC16F-8C88-45E7-A7BC-EC15AE37502F}"/>
    <cellStyle name="SAPBEXstdItemX 2 2 2 2 2" xfId="5839" xr:uid="{160CF38E-4B56-448B-8A78-4D58A6216717}"/>
    <cellStyle name="SAPBEXstdItemX 2 2 2 2 3" xfId="6192" xr:uid="{214C69FA-C8E5-41E8-9A19-9AA4E59B6A88}"/>
    <cellStyle name="SAPBEXstdItemX 2 2 2 2 4" xfId="5362" xr:uid="{292DC7FA-208F-4D0A-8395-FFD6C081CBBE}"/>
    <cellStyle name="SAPBEXstdItemX 2 2 2 3" xfId="2866" xr:uid="{D596EF4D-FFCE-427E-AB99-E00303C7BE3B}"/>
    <cellStyle name="SAPBEXstdItemX 2 2 2 4" xfId="4773" xr:uid="{4E2044B7-38D3-4BDC-999F-7B8DD0ECCB20}"/>
    <cellStyle name="SAPBEXstdItemX 2 2 2 5" xfId="4671" xr:uid="{8AB96242-3FA5-4045-A587-BA2FD23BFEF0}"/>
    <cellStyle name="SAPBEXstdItemX 2 2 3" xfId="2539" xr:uid="{75CED9E6-F7CA-4387-814F-89B8B5937836}"/>
    <cellStyle name="SAPBEXstdItemX 2 2 3 2" xfId="4504" xr:uid="{AE51787E-C9BD-4415-A247-20BE2C3D7DBE}"/>
    <cellStyle name="SAPBEXstdItemX 2 2 3 2 2" xfId="5989" xr:uid="{EC777191-7DA4-4885-AF31-AA960E68AC82}"/>
    <cellStyle name="SAPBEXstdItemX 2 2 3 2 3" xfId="6331" xr:uid="{89929534-B038-4ACA-86BE-AFD12CB2FD46}"/>
    <cellStyle name="SAPBEXstdItemX 2 2 3 2 4" xfId="6605" xr:uid="{EE7B74FF-B42D-4A00-9CBD-268CF5C1CE8B}"/>
    <cellStyle name="SAPBEXstdItemX 2 2 3 3" xfId="3041" xr:uid="{78964908-91CA-4819-BCC8-33E830A7F44B}"/>
    <cellStyle name="SAPBEXstdItemX 2 2 3 4" xfId="5661" xr:uid="{5B1B89CC-6A54-4164-96E9-6037CC6C64C1}"/>
    <cellStyle name="SAPBEXstdItemX 2 2 3 5" xfId="4991" xr:uid="{63C54D35-D938-4FD8-A1FE-AFE559D4FEF6}"/>
    <cellStyle name="SAPBEXstdItemX 2 2 4" xfId="3586" xr:uid="{4E4C2F10-3D23-457D-AD04-35A1008513D4}"/>
    <cellStyle name="SAPBEXstdItemX 2 2 4 2" xfId="4147" xr:uid="{D49CDF2F-23FA-4FFA-A6AA-0421C02CA9C2}"/>
    <cellStyle name="SAPBEXstdItemX 2 2 4 3" xfId="5299" xr:uid="{BE182222-3DA5-476C-8E7C-A609EC51BE79}"/>
    <cellStyle name="SAPBEXstdItemX 2 2 4 4" xfId="4834" xr:uid="{771FB2DB-E489-4D7A-A1BF-D156EDF60BD1}"/>
    <cellStyle name="SAPBEXstdItemX 2 2 5" xfId="2639" xr:uid="{C1A68AEE-6AA8-4717-B9A7-C4FE8AB36A28}"/>
    <cellStyle name="SAPBEXstdItemX 2 2 6" xfId="4640" xr:uid="{BDFD0B66-685D-40D9-ADF1-C7B9EE873157}"/>
    <cellStyle name="SAPBEXstdItemX 2 2 7" xfId="6065" xr:uid="{D1EB5602-BC03-42EE-A0C3-245D91BCC3AB}"/>
    <cellStyle name="SAPBEXstdItemX 2 2 8" xfId="4550" xr:uid="{42B29496-5D3D-4F7B-95FC-533B53F0B264}"/>
    <cellStyle name="SAPBEXstdItemX 2 3" xfId="2343" xr:uid="{24F6039E-733C-497F-A1EF-20581971BBAD}"/>
    <cellStyle name="SAPBEXstdItemX 2 3 2" xfId="4326" xr:uid="{9D725852-682C-46D9-9242-5A5CA0FB8212}"/>
    <cellStyle name="SAPBEXstdItemX 2 3 2 2" xfId="5838" xr:uid="{291DFF3A-D735-44FF-8458-271F6DE43951}"/>
    <cellStyle name="SAPBEXstdItemX 2 3 2 3" xfId="6191" xr:uid="{9FBCFA9E-4DEC-4253-970A-7B1B323B27E8}"/>
    <cellStyle name="SAPBEXstdItemX 2 3 2 4" xfId="4791" xr:uid="{0D350C3A-BC4F-42BB-A25B-FBA27EC4A976}"/>
    <cellStyle name="SAPBEXstdItemX 2 3 3" xfId="2795" xr:uid="{77D7B01F-26B3-4257-8364-07A1703CD837}"/>
    <cellStyle name="SAPBEXstdItemX 2 3 4" xfId="4547" xr:uid="{4B8CA9BD-A4E2-403F-8F2F-568D335AA150}"/>
    <cellStyle name="SAPBEXstdItemX 2 3 5" xfId="4118" xr:uid="{1503EFD2-395F-4B0A-A616-99F48058B8B8}"/>
    <cellStyle name="SAPBEXstdItemX 2 4" xfId="2538" xr:uid="{BB668179-5535-4D77-82C5-B43A6D5C463F}"/>
    <cellStyle name="SAPBEXstdItemX 2 4 2" xfId="4503" xr:uid="{FE95CA62-6611-42CB-949F-508430AE038B}"/>
    <cellStyle name="SAPBEXstdItemX 2 4 2 2" xfId="5988" xr:uid="{4159424D-4608-4B22-B77A-ABE9B58F1929}"/>
    <cellStyle name="SAPBEXstdItemX 2 4 2 3" xfId="6330" xr:uid="{68F2B67A-CE49-48F9-A599-E5989E4E5AF2}"/>
    <cellStyle name="SAPBEXstdItemX 2 4 2 4" xfId="6604" xr:uid="{567B0E5F-2E95-4292-A7E7-CD7170BB0649}"/>
    <cellStyle name="SAPBEXstdItemX 2 4 3" xfId="3040" xr:uid="{F6510F17-745F-46CB-A9C8-7658D23EB850}"/>
    <cellStyle name="SAPBEXstdItemX 2 4 4" xfId="2750" xr:uid="{E0E7A36E-A67F-44D7-B663-27CC3B40C778}"/>
    <cellStyle name="SAPBEXstdItemX 2 4 5" xfId="4942" xr:uid="{67842165-0C1B-44E7-90ED-76BCCDF31E66}"/>
    <cellStyle name="SAPBEXstdItemX 2 5" xfId="1253" xr:uid="{D588EFD7-E4B4-400D-94EE-E7413E252904}"/>
    <cellStyle name="SAPBEXstdItemX 2 5 2" xfId="3777" xr:uid="{463EDF2A-D2A5-4C31-9DCB-63B888B2B164}"/>
    <cellStyle name="SAPBEXstdItemX 2 5 3" xfId="5598" xr:uid="{E50449ED-C43A-4331-98E8-8D9A10896482}"/>
    <cellStyle name="SAPBEXstdItemX 2 5 4" xfId="6337" xr:uid="{B1BBDACE-EBE2-4F7C-BC19-00E76765B895}"/>
    <cellStyle name="SAPBEXstdItemX 2 6" xfId="5345" xr:uid="{CB5FF7DC-7494-43EF-A61B-115284955122}"/>
    <cellStyle name="SAPBEXstdItemX 2 7" xfId="4732" xr:uid="{28FCC3AA-4AA3-4748-85DA-1128EC2FA188}"/>
    <cellStyle name="SAPBEXstdItemX 2 8" xfId="4598" xr:uid="{1F1BA057-9ECD-418A-872B-2BE7F29778F5}"/>
    <cellStyle name="SAPBEXstdItemX 3" xfId="798" xr:uid="{00000000-0005-0000-0000-000026030000}"/>
    <cellStyle name="SAPBEXstdItemX 3 2" xfId="2345" xr:uid="{AEF99BCF-6144-49F1-A465-FD4A81640EE1}"/>
    <cellStyle name="SAPBEXstdItemX 3 2 2" xfId="4328" xr:uid="{C9D64E2F-92C4-4A61-BBC2-41274F1A1145}"/>
    <cellStyle name="SAPBEXstdItemX 3 2 2 2" xfId="5840" xr:uid="{19CA16BA-8385-45CB-857A-FB927AD643AC}"/>
    <cellStyle name="SAPBEXstdItemX 3 2 2 3" xfId="6193" xr:uid="{0F99A74F-D628-46E4-A2F2-B7B01A6CE268}"/>
    <cellStyle name="SAPBEXstdItemX 3 2 2 4" xfId="5095" xr:uid="{95DA2FA7-11EE-45BD-AD81-11CB784200BD}"/>
    <cellStyle name="SAPBEXstdItemX 3 2 3" xfId="2658" xr:uid="{2DF202EF-FDEE-45E7-969B-A914D999F3E9}"/>
    <cellStyle name="SAPBEXstdItemX 3 2 4" xfId="5996" xr:uid="{13FA4E10-32F0-479D-9310-778B4276613C}"/>
    <cellStyle name="SAPBEXstdItemX 3 2 5" xfId="4768" xr:uid="{EC626342-7335-4EBD-A0CA-D8CB3E801A60}"/>
    <cellStyle name="SAPBEXstdItemX 3 3" xfId="2540" xr:uid="{706C5C8B-EBD4-4A36-B5A3-AA62E7C4DD60}"/>
    <cellStyle name="SAPBEXstdItemX 3 3 2" xfId="4505" xr:uid="{E14288EB-393C-4E23-9973-E4A809C5BA8E}"/>
    <cellStyle name="SAPBEXstdItemX 3 3 2 2" xfId="5990" xr:uid="{672B33F5-262B-4B37-8EB4-FDDAD721D98C}"/>
    <cellStyle name="SAPBEXstdItemX 3 3 2 3" xfId="6332" xr:uid="{89E57212-43F0-4630-81F9-47FEBEE499FC}"/>
    <cellStyle name="SAPBEXstdItemX 3 3 2 4" xfId="6606" xr:uid="{FF60A148-D002-4EBF-9B45-A13C37E6CCB5}"/>
    <cellStyle name="SAPBEXstdItemX 3 3 3" xfId="3042" xr:uid="{68F97330-B96E-4D07-9597-274EC3DCEF7A}"/>
    <cellStyle name="SAPBEXstdItemX 3 3 4" xfId="4980" xr:uid="{28B1EE1F-3897-4D0C-AED9-27CC318C4097}"/>
    <cellStyle name="SAPBEXstdItemX 3 3 5" xfId="4987" xr:uid="{9E97E909-1FEA-4076-99A5-CB30DB68B94E}"/>
    <cellStyle name="SAPBEXstdItemX 3 4" xfId="3587" xr:uid="{A1139BAB-5BBB-45BA-A925-139469A33E8D}"/>
    <cellStyle name="SAPBEXstdItemX 3 4 2" xfId="2582" xr:uid="{E64280D9-935F-4C5F-B65C-3E8679F05565}"/>
    <cellStyle name="SAPBEXstdItemX 3 4 3" xfId="4937" xr:uid="{C20794F1-FE00-4B03-98A6-A80DBF404720}"/>
    <cellStyle name="SAPBEXstdItemX 3 4 4" xfId="6413" xr:uid="{862B8F5D-889C-4E1F-B56D-E6D2DB694D72}"/>
    <cellStyle name="SAPBEXstdItemX 3 5" xfId="2899" xr:uid="{27234EF2-CFBA-48AB-812E-568980631A4E}"/>
    <cellStyle name="SAPBEXstdItemX 3 6" xfId="4845" xr:uid="{44406AD6-1051-49EA-8A3D-EA0DC995E897}"/>
    <cellStyle name="SAPBEXstdItemX 3 7" xfId="5853" xr:uid="{468487A3-2889-405A-9950-2946667103E9}"/>
    <cellStyle name="SAPBEXstdItemX 3 8" xfId="6212" xr:uid="{DBFE616E-B545-4A30-8007-C9A95FE170F5}"/>
    <cellStyle name="SAPBEXstdItemX 4" xfId="2342" xr:uid="{E44C540E-4FB8-4FD8-A601-AAA4E74EDE71}"/>
    <cellStyle name="SAPBEXstdItemX 4 2" xfId="4325" xr:uid="{AE64198D-3FEF-4980-83E9-04968C28E9DC}"/>
    <cellStyle name="SAPBEXstdItemX 4 2 2" xfId="5837" xr:uid="{B58489D2-2EBC-4132-9C3D-29F878F590A7}"/>
    <cellStyle name="SAPBEXstdItemX 4 2 3" xfId="6190" xr:uid="{F422A8FE-ADCA-45C2-8A01-3E56D6B5A2D3}"/>
    <cellStyle name="SAPBEXstdItemX 4 2 4" xfId="5564" xr:uid="{148CB371-AA15-4792-897A-B28F76617EC4}"/>
    <cellStyle name="SAPBEXstdItemX 4 3" xfId="2871" xr:uid="{0AEA9FA4-F0E4-4989-BA63-A94FC2363FC0}"/>
    <cellStyle name="SAPBEXstdItemX 4 4" xfId="4745" xr:uid="{513FD9F1-F565-40D8-A870-14B81564E841}"/>
    <cellStyle name="SAPBEXstdItemX 4 5" xfId="4880" xr:uid="{0FC84B5E-FC3A-4340-B575-7A937C44663B}"/>
    <cellStyle name="SAPBEXstdItemX 5" xfId="2537" xr:uid="{299DDDFD-0F8E-4517-9646-A022E954F262}"/>
    <cellStyle name="SAPBEXstdItemX 5 2" xfId="4502" xr:uid="{F84F8996-6244-4BFD-BCDD-B68EBDFD571E}"/>
    <cellStyle name="SAPBEXstdItemX 5 2 2" xfId="5987" xr:uid="{6680D0AC-C6AF-4FEB-B441-F3ADC3EA52E3}"/>
    <cellStyle name="SAPBEXstdItemX 5 2 3" xfId="6329" xr:uid="{8E7253E8-66F2-43E6-B52F-A8BF32FFB16A}"/>
    <cellStyle name="SAPBEXstdItemX 5 2 4" xfId="6603" xr:uid="{1AE78F93-3E04-4892-8DE1-A66E7F4BA8CF}"/>
    <cellStyle name="SAPBEXstdItemX 5 3" xfId="3039" xr:uid="{77BF750D-50BD-4662-992B-99CE2A2F95C4}"/>
    <cellStyle name="SAPBEXstdItemX 5 4" xfId="5021" xr:uid="{FBD46B6A-72AB-4C93-8E06-134F43DF3677}"/>
    <cellStyle name="SAPBEXstdItemX 5 5" xfId="4884" xr:uid="{A8201E0A-FEAB-4404-A9E0-0AF76DDE7A96}"/>
    <cellStyle name="SAPBEXstdItemX 6" xfId="1283" xr:uid="{A57F4423-7501-474A-907A-E50BB39CFE68}"/>
    <cellStyle name="SAPBEXstdItemX 6 2" xfId="3792" xr:uid="{70C7AA15-8329-4D96-B3DC-84BAD56B4378}"/>
    <cellStyle name="SAPBEXstdItemX 6 3" xfId="5071" xr:uid="{89ADC94F-361F-417D-9BC9-11006E43CB99}"/>
    <cellStyle name="SAPBEXstdItemX 6 4" xfId="5484" xr:uid="{5DA608BA-5B78-475C-A77A-21E5D401CD38}"/>
    <cellStyle name="SAPBEXstdItemX 7" xfId="5339" xr:uid="{1A9252A0-9B30-40F7-90CA-E9BA5B74A143}"/>
    <cellStyle name="SAPBEXstdItemX 8" xfId="5468" xr:uid="{7129AC91-E26E-40FD-847E-549A00F40EF4}"/>
    <cellStyle name="SAPBEXstdItemX 9" xfId="5447" xr:uid="{CCD1C611-1A3F-408F-ACD2-E90B31E8BAD0}"/>
    <cellStyle name="SAPBEXtitle" xfId="799" xr:uid="{00000000-0005-0000-0000-000027030000}"/>
    <cellStyle name="SAPBEXundefined" xfId="800" xr:uid="{00000000-0005-0000-0000-000028030000}"/>
    <cellStyle name="SAPBEXundefined 2" xfId="801" xr:uid="{00000000-0005-0000-0000-000029030000}"/>
    <cellStyle name="SAPBEXundefined 2 2" xfId="802" xr:uid="{00000000-0005-0000-0000-00002A030000}"/>
    <cellStyle name="SAPBEXundefined 2 2 2" xfId="2348" xr:uid="{BCB25BB1-6471-40E5-8188-B254A8DA364B}"/>
    <cellStyle name="SAPBEXundefined 2 2 2 2" xfId="4331" xr:uid="{DF1C54B1-75F3-441E-82D7-E1BDF73A542C}"/>
    <cellStyle name="SAPBEXundefined 2 2 2 2 2" xfId="5843" xr:uid="{709DE1B8-DC58-418D-8F54-C6EDF32A7519}"/>
    <cellStyle name="SAPBEXundefined 2 2 2 2 3" xfId="6196" xr:uid="{6474441D-DFB6-49EF-9647-B374C433CFAA}"/>
    <cellStyle name="SAPBEXundefined 2 2 2 2 4" xfId="2679" xr:uid="{C4D30805-F57A-4886-98C3-17A44299398E}"/>
    <cellStyle name="SAPBEXundefined 2 2 2 3" xfId="2600" xr:uid="{CAC00B61-B21D-4FD3-9B98-AF420D4D34FD}"/>
    <cellStyle name="SAPBEXundefined 2 2 2 4" xfId="4866" xr:uid="{0629F7D8-8406-47F2-BBAB-811AEDA56501}"/>
    <cellStyle name="SAPBEXundefined 2 2 2 5" xfId="5451" xr:uid="{916CA355-8652-4823-AA10-B5E536EDD4AC}"/>
    <cellStyle name="SAPBEXundefined 2 2 3" xfId="2543" xr:uid="{E6F4FE6E-E539-4945-88E2-F7C3ABD2E5A3}"/>
    <cellStyle name="SAPBEXundefined 2 2 3 2" xfId="4508" xr:uid="{30CA87C8-157F-472D-BD20-DE54E3BCD4ED}"/>
    <cellStyle name="SAPBEXundefined 2 2 3 2 2" xfId="5993" xr:uid="{E6A18CC9-310E-4A78-B70B-080A3568F593}"/>
    <cellStyle name="SAPBEXundefined 2 2 3 2 3" xfId="6335" xr:uid="{D6AD35FB-8B53-471A-9010-BB0B87CC154A}"/>
    <cellStyle name="SAPBEXundefined 2 2 3 2 4" xfId="6609" xr:uid="{8BA0FC24-F7F3-42D5-939D-324EB89BD6B7}"/>
    <cellStyle name="SAPBEXundefined 2 2 3 3" xfId="3045" xr:uid="{B3BCB8F7-D50D-4982-A1CA-1681187318C8}"/>
    <cellStyle name="SAPBEXundefined 2 2 3 4" xfId="5060" xr:uid="{0C8C59E6-7682-4F8F-A980-0058A4253961}"/>
    <cellStyle name="SAPBEXundefined 2 2 3 5" xfId="5390" xr:uid="{F6179878-FF04-4D2F-A676-1A164F58C456}"/>
    <cellStyle name="SAPBEXundefined 2 2 4" xfId="3588" xr:uid="{1C158D32-2ACE-41C5-8336-742568B8B5E8}"/>
    <cellStyle name="SAPBEXundefined 2 2 4 2" xfId="4751" xr:uid="{564D2E45-9CAC-4A87-BCCD-615DE88FAAF8}"/>
    <cellStyle name="SAPBEXundefined 2 2 4 3" xfId="4599" xr:uid="{6CE3FFDF-D0B5-45EE-8CB8-8613B8F16AA9}"/>
    <cellStyle name="SAPBEXundefined 2 2 4 4" xfId="2608" xr:uid="{9576523A-EECD-426A-8D61-44696AF66A76}"/>
    <cellStyle name="SAPBEXundefined 2 2 5" xfId="2820" xr:uid="{FD331C75-5007-45B6-BDFF-0C1F95EC8DF3}"/>
    <cellStyle name="SAPBEXundefined 2 2 6" xfId="5144" xr:uid="{23769BD9-81BF-4747-8F69-059507873B2E}"/>
    <cellStyle name="SAPBEXundefined 2 2 7" xfId="5420" xr:uid="{24BBEFB9-0FD9-4B4C-B4A3-8946AF2845DD}"/>
    <cellStyle name="SAPBEXundefined 2 2 8" xfId="6454" xr:uid="{1F967B2D-1B95-46E6-9638-587D63596F27}"/>
    <cellStyle name="SAPBEXundefined 2 3" xfId="2347" xr:uid="{D3E3E668-F408-40AE-A547-810369D9F412}"/>
    <cellStyle name="SAPBEXundefined 2 3 2" xfId="4330" xr:uid="{252C8847-3872-438E-B38C-3E48104A0871}"/>
    <cellStyle name="SAPBEXundefined 2 3 2 2" xfId="5842" xr:uid="{0F050BE3-DC33-4AE0-B6A8-335DFA5B8631}"/>
    <cellStyle name="SAPBEXundefined 2 3 2 3" xfId="6195" xr:uid="{3B46E8EF-0465-469C-B820-E0F80596AA12}"/>
    <cellStyle name="SAPBEXundefined 2 3 2 4" xfId="1270" xr:uid="{BA13B350-D7C1-4FBD-92B7-FEEB55A357E6}"/>
    <cellStyle name="SAPBEXundefined 2 3 3" xfId="2619" xr:uid="{14BA1861-7B97-4E69-B3CA-FCCDFCFB1573}"/>
    <cellStyle name="SAPBEXundefined 2 3 4" xfId="5189" xr:uid="{A6540401-F295-44A7-ACE3-6E4F7FF47D4A}"/>
    <cellStyle name="SAPBEXundefined 2 3 5" xfId="3987" xr:uid="{12832D77-A430-48F3-9462-3AA1C98C214A}"/>
    <cellStyle name="SAPBEXundefined 2 4" xfId="2542" xr:uid="{4A5C985E-2F1E-43B0-8A6C-6E8F48B45C16}"/>
    <cellStyle name="SAPBEXundefined 2 4 2" xfId="4507" xr:uid="{FB513611-1E45-4A3D-8B62-0C9CD718B436}"/>
    <cellStyle name="SAPBEXundefined 2 4 2 2" xfId="5992" xr:uid="{30F0343C-B44B-41F5-86EB-C30396572303}"/>
    <cellStyle name="SAPBEXundefined 2 4 2 3" xfId="6334" xr:uid="{81AEB1FF-E60A-4329-94CF-87D8FCD32ED5}"/>
    <cellStyle name="SAPBEXundefined 2 4 2 4" xfId="6608" xr:uid="{5C5E05A9-E0D0-445E-8428-8EB276D6F513}"/>
    <cellStyle name="SAPBEXundefined 2 4 3" xfId="3044" xr:uid="{9D178023-14B6-4492-A2FF-1FF8B1124DCB}"/>
    <cellStyle name="SAPBEXundefined 2 4 4" xfId="5207" xr:uid="{3730196A-1A3A-4581-8C8D-F9B543277989}"/>
    <cellStyle name="SAPBEXundefined 2 4 5" xfId="5254" xr:uid="{5BED1807-9E07-41EC-A1AA-59246BD70D72}"/>
    <cellStyle name="SAPBEXundefined 2 5" xfId="1324" xr:uid="{1B39909B-B6F9-4357-8C1E-84804572977B}"/>
    <cellStyle name="SAPBEXundefined 2 5 2" xfId="3830" xr:uid="{B2214684-2C02-4449-8657-B6E9F1E9E287}"/>
    <cellStyle name="SAPBEXundefined 2 5 3" xfId="4995" xr:uid="{0A6B4D0B-3F7E-4D6A-B17D-ACC9DDF22DEE}"/>
    <cellStyle name="SAPBEXundefined 2 5 4" xfId="5651" xr:uid="{EFEC693A-E608-453A-890B-6706AC6B95C7}"/>
    <cellStyle name="SAPBEXundefined 2 6" xfId="5335" xr:uid="{EA317D2D-77D3-45A2-8656-DF8696AEFA62}"/>
    <cellStyle name="SAPBEXundefined 2 7" xfId="5329" xr:uid="{65E4E657-6797-4668-921B-23012033593C}"/>
    <cellStyle name="SAPBEXundefined 2 8" xfId="5999" xr:uid="{A0087892-5226-4095-9DEB-15A1E5C9CA81}"/>
    <cellStyle name="SAPBEXundefined 3" xfId="803" xr:uid="{00000000-0005-0000-0000-00002B030000}"/>
    <cellStyle name="SAPBEXundefined 3 2" xfId="2349" xr:uid="{E298DD58-1897-4721-8321-B1214F48E11D}"/>
    <cellStyle name="SAPBEXundefined 3 2 2" xfId="4332" xr:uid="{56E012D6-5C98-4B63-9BD1-B14F466A0455}"/>
    <cellStyle name="SAPBEXundefined 3 2 2 2" xfId="5844" xr:uid="{42284D8E-2A36-420A-8991-8BFCAF43CCC5}"/>
    <cellStyle name="SAPBEXundefined 3 2 2 3" xfId="6197" xr:uid="{AFDA80A6-9FDD-486B-BFD4-2300047058DC}"/>
    <cellStyle name="SAPBEXundefined 3 2 2 4" xfId="5857" xr:uid="{D6BF52FD-5C0F-42F2-9B07-55C3C60B27D2}"/>
    <cellStyle name="SAPBEXundefined 3 2 3" xfId="1364" xr:uid="{663CD48C-B69C-46CD-85F8-96CFA7AA03C9}"/>
    <cellStyle name="SAPBEXundefined 3 2 4" xfId="5325" xr:uid="{48725F69-631D-4D53-9543-E9686E20B8D4}"/>
    <cellStyle name="SAPBEXundefined 3 2 5" xfId="4865" xr:uid="{F45E4D64-94CF-4FEA-8A9B-B94682A2BF1B}"/>
    <cellStyle name="SAPBEXundefined 3 3" xfId="2544" xr:uid="{5CAD4020-3D76-45F8-B5DB-0F938252982B}"/>
    <cellStyle name="SAPBEXundefined 3 3 2" xfId="4509" xr:uid="{9648A1E8-E565-4A10-BB0F-1903AFFED2EF}"/>
    <cellStyle name="SAPBEXundefined 3 3 2 2" xfId="5994" xr:uid="{B9BD5B8C-B111-4F0E-9A2E-6C5D2A407FB9}"/>
    <cellStyle name="SAPBEXundefined 3 3 2 3" xfId="6336" xr:uid="{C2BE8097-D90B-410D-861A-072906292A1C}"/>
    <cellStyle name="SAPBEXundefined 3 3 2 4" xfId="6610" xr:uid="{D1FE9D2F-4F98-48EB-B947-93B1EA866290}"/>
    <cellStyle name="SAPBEXundefined 3 3 3" xfId="3046" xr:uid="{99ADAE28-8BC2-4BDC-9DBC-88327D57E0FE}"/>
    <cellStyle name="SAPBEXundefined 3 3 4" xfId="5659" xr:uid="{01D1AC91-BF47-489E-92C3-FC6A2511F329}"/>
    <cellStyle name="SAPBEXundefined 3 3 5" xfId="4586" xr:uid="{1E85C148-7168-4A02-B748-06C9F527C5E2}"/>
    <cellStyle name="SAPBEXundefined 3 4" xfId="3589" xr:uid="{930D5D32-D140-4E42-913E-F9B71AFDE4A4}"/>
    <cellStyle name="SAPBEXundefined 3 4 2" xfId="4990" xr:uid="{EFE6E006-DAC7-4C64-9225-DE6B58208C55}"/>
    <cellStyle name="SAPBEXundefined 3 4 3" xfId="4821" xr:uid="{F86887DF-9AC5-419D-B705-9133AF401FD6}"/>
    <cellStyle name="SAPBEXundefined 3 4 4" xfId="6414" xr:uid="{F39C1355-85FB-4DFE-8A83-EBFD9D2CD488}"/>
    <cellStyle name="SAPBEXundefined 3 5" xfId="2664" xr:uid="{3DD840F1-7CBD-489C-AD5E-917288AF5C69}"/>
    <cellStyle name="SAPBEXundefined 3 6" xfId="5245" xr:uid="{9BA604E0-B37B-4BD0-926E-B8A2A4E3D2E3}"/>
    <cellStyle name="SAPBEXundefined 3 7" xfId="2668" xr:uid="{ACB5F6FD-3316-49C8-8397-F23CE51122C2}"/>
    <cellStyle name="SAPBEXundefined 3 8" xfId="5576" xr:uid="{00048A85-880E-4135-B972-B8C17C3F1706}"/>
    <cellStyle name="SAPBEXundefined 4" xfId="2346" xr:uid="{25EA6985-74E5-4F1F-8DA8-EA7622ADDB18}"/>
    <cellStyle name="SAPBEXundefined 4 2" xfId="4329" xr:uid="{A9F38B77-2A53-4D69-8694-741058F4F596}"/>
    <cellStyle name="SAPBEXundefined 4 2 2" xfId="5841" xr:uid="{3EF9E939-E7B0-4273-91CE-9828A1FEFDA1}"/>
    <cellStyle name="SAPBEXundefined 4 2 3" xfId="6194" xr:uid="{A0BC177C-D993-4C00-812C-92429444026C}"/>
    <cellStyle name="SAPBEXundefined 4 2 4" xfId="6206" xr:uid="{8D49EA2F-B20D-4DC3-989A-DCA4CC9D2EBE}"/>
    <cellStyle name="SAPBEXundefined 4 3" xfId="2197" xr:uid="{FC6CE242-ED20-4752-AC9D-22DF283144FF}"/>
    <cellStyle name="SAPBEXundefined 4 4" xfId="4551" xr:uid="{0C2AEB26-130C-4BB8-910E-B6D58E1E5D59}"/>
    <cellStyle name="SAPBEXundefined 4 5" xfId="2768" xr:uid="{0878DB8F-6B91-48A0-8602-2A6CC8239077}"/>
    <cellStyle name="SAPBEXundefined 5" xfId="2541" xr:uid="{D2D2DBF7-FEE9-4C7B-B4DB-7FA31DB9C979}"/>
    <cellStyle name="SAPBEXundefined 5 2" xfId="4506" xr:uid="{0F60C406-85E7-46A7-B25E-9301580BC5CD}"/>
    <cellStyle name="SAPBEXundefined 5 2 2" xfId="5991" xr:uid="{F2FD8D59-DBAB-4B15-BFD6-7ADCE48A1207}"/>
    <cellStyle name="SAPBEXundefined 5 2 3" xfId="6333" xr:uid="{11A088FC-BD0E-4C7C-BE00-73A5768CF638}"/>
    <cellStyle name="SAPBEXundefined 5 2 4" xfId="6607" xr:uid="{21578E74-8871-431F-BDD6-13158BA09794}"/>
    <cellStyle name="SAPBEXundefined 5 3" xfId="3043" xr:uid="{2F3B0A87-717E-4BEC-8C43-56D79CD7E7ED}"/>
    <cellStyle name="SAPBEXundefined 5 4" xfId="4925" xr:uid="{D66550CD-BD75-4E46-AB89-6B50B62B7E7D}"/>
    <cellStyle name="SAPBEXundefined 5 5" xfId="4645" xr:uid="{94B2FADD-71C9-4C00-8B20-AA7E163EEB95}"/>
    <cellStyle name="SAPBEXundefined 6" xfId="1323" xr:uid="{7E1BCE55-3DC6-4971-BDE7-D0E3FDBD7978}"/>
    <cellStyle name="SAPBEXundefined 6 2" xfId="3829" xr:uid="{5F5DDAE7-5B4F-45F1-9D7F-8AB93CCB54FD}"/>
    <cellStyle name="SAPBEXundefined 6 3" xfId="5582" xr:uid="{32A64C3D-7339-40E5-9AEA-0562319BD438}"/>
    <cellStyle name="SAPBEXundefined 6 4" xfId="4597" xr:uid="{C44C1F51-2F87-4937-903A-AF6C6D1F56D4}"/>
    <cellStyle name="SAPBEXundefined 7" xfId="4715" xr:uid="{ADC5BFEA-BF76-4DC7-A085-C0078D247206}"/>
    <cellStyle name="SAPBEXundefined 8" xfId="5368" xr:uid="{15DE76B2-7A58-4427-AAB4-FA2D74241901}"/>
    <cellStyle name="SAPBEXundefined 9" xfId="5614" xr:uid="{B723979F-1181-448F-9B92-AC532F3891C0}"/>
    <cellStyle name="section" xfId="804" xr:uid="{00000000-0005-0000-0000-00002C030000}"/>
    <cellStyle name="SOR" xfId="805" xr:uid="{00000000-0005-0000-0000-00002D030000}"/>
    <cellStyle name="SOR 2" xfId="1326" xr:uid="{01F277B8-B808-4646-94C4-73FB87D4CE97}"/>
    <cellStyle name="SOR 2 2" xfId="1327" xr:uid="{8F86C3FB-454A-4859-82E9-C3601610AD51}"/>
    <cellStyle name="SOR 2 2 2" xfId="1692" xr:uid="{1816EC93-0293-4930-855D-62872B21B3F7}"/>
    <cellStyle name="SOR 2 2 2 2" xfId="3959" xr:uid="{3E4F91A7-1A0B-4E2E-BF24-F8F82EE3B154}"/>
    <cellStyle name="SOR 2 2 3" xfId="3833" xr:uid="{02EA3E2D-F8D3-4FA7-8FCC-48C6679AD4EA}"/>
    <cellStyle name="SOR 2 3" xfId="1691" xr:uid="{C502A7E2-981D-4CEE-9C82-3509D2055CCF}"/>
    <cellStyle name="SOR 2 3 2" xfId="3958" xr:uid="{29CBDBF5-AEE0-4C0C-A623-93E1A67E3839}"/>
    <cellStyle name="SOR 2 4" xfId="3832" xr:uid="{0340704E-C0F6-4047-A3B6-C009A35F9524}"/>
    <cellStyle name="SOR 3" xfId="1328" xr:uid="{119A0C53-4CB2-45DF-A28A-0ADE685D8515}"/>
    <cellStyle name="SOR 3 2" xfId="1693" xr:uid="{B83C3650-D6B0-44B7-A640-EFE2C101E8C2}"/>
    <cellStyle name="SOR 3 2 2" xfId="3960" xr:uid="{7FBA6A0B-E819-4CB6-AF3F-F1C3CE0B84D2}"/>
    <cellStyle name="SOR 3 3" xfId="3834" xr:uid="{544A7B1C-8119-48F7-9CFA-8DA22EB8550E}"/>
    <cellStyle name="SOR 4" xfId="1690" xr:uid="{5631D778-4496-433A-986B-DCDDF7E83DC1}"/>
    <cellStyle name="SOR 4 2" xfId="3957" xr:uid="{A22D15BE-F9AE-4BAE-9F0B-5016802E99C0}"/>
    <cellStyle name="SOR 5" xfId="1325" xr:uid="{A3000D4D-C562-49DA-9EA3-B254C0A1ED43}"/>
    <cellStyle name="SOR 5 2" xfId="3831" xr:uid="{3138177F-D64B-4726-AE47-549BB02B514A}"/>
    <cellStyle name="Style 1 5 4" xfId="1061" xr:uid="{DCBCE42F-6064-4084-8021-CE2D29DFC594}"/>
    <cellStyle name="subhead" xfId="806" xr:uid="{00000000-0005-0000-0000-00002E030000}"/>
    <cellStyle name="title" xfId="807" xr:uid="{00000000-0005-0000-0000-00002F030000}"/>
    <cellStyle name="Tusental (0)_pldt" xfId="808" xr:uid="{00000000-0005-0000-0000-000030030000}"/>
    <cellStyle name="Tusental_pldt" xfId="809" xr:uid="{00000000-0005-0000-0000-000031030000}"/>
    <cellStyle name="Valuta (0)_pldt" xfId="810" xr:uid="{00000000-0005-0000-0000-000032030000}"/>
    <cellStyle name="Valuta_pldt" xfId="811" xr:uid="{00000000-0005-0000-0000-000033030000}"/>
    <cellStyle name="パーセント_laroux" xfId="812" xr:uid="{00000000-0005-0000-0000-000034030000}"/>
    <cellStyle name="_PLDT" xfId="813" xr:uid="{00000000-0005-0000-0000-000035030000}"/>
    <cellStyle name="_laroux" xfId="814" xr:uid="{00000000-0005-0000-0000-000036030000}"/>
    <cellStyle name="だ[0]_PLDT" xfId="815" xr:uid="{00000000-0005-0000-0000-000037030000}"/>
    <cellStyle name="だ_PLDT" xfId="816" xr:uid="{00000000-0005-0000-0000-000038030000}"/>
    <cellStyle name="だ[0]_Total (2)" xfId="817" xr:uid="{00000000-0005-0000-0000-000039030000}"/>
    <cellStyle name="だ_laroux" xfId="818" xr:uid="{00000000-0005-0000-0000-00003A030000}"/>
    <cellStyle name="百分比" xfId="14" builtinId="5"/>
    <cellStyle name="百分比 2" xfId="819" xr:uid="{00000000-0005-0000-0000-00003B030000}"/>
    <cellStyle name="百分比 2 2" xfId="820" xr:uid="{00000000-0005-0000-0000-00003C030000}"/>
    <cellStyle name="百分比 2 2 2" xfId="2350" xr:uid="{4D376FB3-7321-4AF1-91A9-E6DAA8AD8F5E}"/>
    <cellStyle name="百分比 2 2 3" xfId="1682" xr:uid="{AA1469AB-38A4-4525-A66F-0BD45869C5BC}"/>
    <cellStyle name="百分比 2 3" xfId="821" xr:uid="{00000000-0005-0000-0000-00003D030000}"/>
    <cellStyle name="百分比 3" xfId="822" xr:uid="{00000000-0005-0000-0000-00003E030000}"/>
    <cellStyle name="百分比 3 2" xfId="823" xr:uid="{00000000-0005-0000-0000-00003F030000}"/>
    <cellStyle name="百分比 3 2 2" xfId="1684" xr:uid="{702482E7-1FA8-4AB3-BE5C-164190B68977}"/>
    <cellStyle name="百分比 3 2 3" xfId="2351" xr:uid="{5D6DE030-3CD0-49D0-A951-73606A4F5E75}"/>
    <cellStyle name="百分比 3 2 3 2" xfId="4333" xr:uid="{54CD5103-0499-463A-BE23-C2795AA6F3B9}"/>
    <cellStyle name="百分比 3 2 4" xfId="1296" xr:uid="{612E8650-B364-42B5-B8EE-8273D96C1B3E}"/>
    <cellStyle name="百分比 3 2 5" xfId="3590" xr:uid="{74098CC3-251E-410B-B428-E4853E3E8AF5}"/>
    <cellStyle name="百分比 3 3" xfId="1683" xr:uid="{3BE2ECB7-7D9B-463F-B19E-9765EA6BDFE3}"/>
    <cellStyle name="百分比 3 4" xfId="1509" xr:uid="{64EA5077-7DCE-4790-9978-10BE05CAEB50}"/>
    <cellStyle name="百分比 3 5" xfId="1294" xr:uid="{0821C402-93F8-47F8-B634-EEB710E0A22D}"/>
    <cellStyle name="百分比 4" xfId="824" xr:uid="{00000000-0005-0000-0000-000040030000}"/>
    <cellStyle name="百分比 4 2" xfId="1019" xr:uid="{7D856C46-3A8F-446E-B8A1-9DDC3ACE7B97}"/>
    <cellStyle name="百分比 4 2 2" xfId="2407" xr:uid="{EC0E2221-9510-45AB-A09C-51733D5CA4FD}"/>
    <cellStyle name="百分比 4 2 2 2" xfId="4378" xr:uid="{F210EDE2-4E6D-4361-AAB3-BE7C00AB241D}"/>
    <cellStyle name="百分比 4 2 3" xfId="1332" xr:uid="{6C18F04B-F9CD-4FFB-AF97-0D5773B2F28A}"/>
    <cellStyle name="百分比 4 2 4" xfId="3634" xr:uid="{813CFCD3-2DBC-4B68-8CD8-430F2CA33E0A}"/>
    <cellStyle name="百分比 4 3" xfId="1550" xr:uid="{809A30C0-93F0-44DC-9432-0C27A21A64E5}"/>
    <cellStyle name="百分比 4 4" xfId="1391" xr:uid="{7B0EADC3-5D76-4FCA-B162-975F93232C0B}"/>
    <cellStyle name="百分比 4 5" xfId="2352" xr:uid="{938668E7-2CBB-4D28-9AD4-FA9F988A6273}"/>
    <cellStyle name="百分比 4 6" xfId="1120" xr:uid="{6E3F7042-3D04-4E8C-8F6D-0372CAAE7437}"/>
    <cellStyle name="百分比 5" xfId="1368" xr:uid="{44AFE9EB-947A-41AA-A37D-96D1BBB0F1BF}"/>
    <cellStyle name="百分比 5 2" xfId="2553" xr:uid="{4853D925-893C-4B22-A348-FA187EEDD5AB}"/>
    <cellStyle name="百分比 5 2 2" xfId="4517" xr:uid="{5C642296-56F3-4EA6-ADBB-1396689D63DE}"/>
    <cellStyle name="百分比 5 3" xfId="3852" xr:uid="{96342DB3-CD19-4966-9F40-59D89FE8F424}"/>
    <cellStyle name="百分比 6" xfId="1384" xr:uid="{8C1E535D-4ED3-4CE8-B873-84A152AF8A37}"/>
    <cellStyle name="百分比 7" xfId="1118" xr:uid="{0A5A88DB-9C17-495E-84D2-C007A612BF70}"/>
    <cellStyle name="百分比 8" xfId="3059" xr:uid="{4896F568-DB6B-4BA1-AEFB-C796374A0667}"/>
    <cellStyle name="百分比 9" xfId="6629" xr:uid="{61273E05-C10A-4955-AEFB-0B6839B2B52C}"/>
    <cellStyle name="捠壿 [0.00]_PRODUCT DETAIL Q1" xfId="825" xr:uid="{00000000-0005-0000-0000-000041030000}"/>
    <cellStyle name="捠壿_PRODUCT DETAIL Q1" xfId="826" xr:uid="{00000000-0005-0000-0000-000042030000}"/>
    <cellStyle name="标题 5" xfId="827" xr:uid="{00000000-0005-0000-0000-000043030000}"/>
    <cellStyle name="標準_１１月価格表" xfId="828" xr:uid="{00000000-0005-0000-0000-000044030000}"/>
    <cellStyle name="表标题" xfId="829" xr:uid="{00000000-0005-0000-0000-000045030000}"/>
    <cellStyle name="差_10存货" xfId="830" xr:uid="{00000000-0005-0000-0000-000046030000}"/>
    <cellStyle name="差_19-无形资产（空白模板）" xfId="831" xr:uid="{00000000-0005-0000-0000-000047030000}"/>
    <cellStyle name="差_2-交易性金融资产（空白模板）" xfId="832" xr:uid="{00000000-0005-0000-0000-000048030000}"/>
    <cellStyle name="差_3-2 进一步审计程序-采购与付款循环" xfId="833" xr:uid="{00000000-0005-0000-0000-000049030000}"/>
    <cellStyle name="差_3-3 进一步审计程序-存货与生产循环" xfId="834" xr:uid="{00000000-0005-0000-0000-00004A030000}"/>
    <cellStyle name="差_49-营业收入（空白模板）" xfId="835" xr:uid="{00000000-0005-0000-0000-00004B030000}"/>
    <cellStyle name="差_4-应收账款（空白模板）" xfId="836" xr:uid="{00000000-0005-0000-0000-00004C030000}"/>
    <cellStyle name="差_50-营业成本（空白模板）" xfId="837" xr:uid="{00000000-0005-0000-0000-00004D030000}"/>
    <cellStyle name="差_51-营业税金及附加（空白模板）" xfId="838" xr:uid="{00000000-0005-0000-0000-00004E030000}"/>
    <cellStyle name="差_54-财务费用（空白模板）" xfId="839" xr:uid="{00000000-0005-0000-0000-00004F030000}"/>
    <cellStyle name="差_55-资产减值损失（空白模板）" xfId="840" xr:uid="{00000000-0005-0000-0000-000050030000}"/>
    <cellStyle name="差_9管理费用" xfId="841" xr:uid="{00000000-0005-0000-0000-000051030000}"/>
    <cellStyle name="差_Book2" xfId="842" xr:uid="{00000000-0005-0000-0000-000052030000}"/>
    <cellStyle name="差_dxn底稿目录" xfId="843" xr:uid="{00000000-0005-0000-0000-000053030000}"/>
    <cellStyle name="差_Sheet1" xfId="844" xr:uid="{00000000-0005-0000-0000-000054030000}"/>
    <cellStyle name="差_ZA0货币资金审定表 " xfId="845" xr:uid="{00000000-0005-0000-0000-000055030000}"/>
    <cellStyle name="差_存货" xfId="846" xr:uid="{00000000-0005-0000-0000-000056030000}"/>
    <cellStyle name="差_大信底稿目录" xfId="847" xr:uid="{00000000-0005-0000-0000-000057030000}"/>
    <cellStyle name="差_底稿设置宏" xfId="848" xr:uid="{00000000-0005-0000-0000-000058030000}"/>
    <cellStyle name="差_货币资金" xfId="849" xr:uid="{00000000-0005-0000-0000-000059030000}"/>
    <cellStyle name="差_货币资金 天职" xfId="850" xr:uid="{00000000-0005-0000-0000-00005A030000}"/>
    <cellStyle name="差_货币资金 岳华" xfId="851" xr:uid="{00000000-0005-0000-0000-00005B030000}"/>
    <cellStyle name="差_无形资产" xfId="852" xr:uid="{00000000-0005-0000-0000-00005C030000}"/>
    <cellStyle name="差_应付职工薪酬" xfId="853" xr:uid="{00000000-0005-0000-0000-00005D030000}"/>
    <cellStyle name="差_应收账款" xfId="854" xr:uid="{00000000-0005-0000-0000-00005E030000}"/>
    <cellStyle name="差_账项明细表" xfId="855" xr:uid="{00000000-0005-0000-0000-00005F030000}"/>
    <cellStyle name="常规" xfId="0" builtinId="0" customBuiltin="1"/>
    <cellStyle name="常规 10" xfId="1014" xr:uid="{C96432C3-390B-4537-8AE4-382702EB1585}"/>
    <cellStyle name="常规 10 2" xfId="1049" xr:uid="{5ECA5B1E-2A92-48BD-97FF-CD67974B9A80}"/>
    <cellStyle name="常规 10 2 2" xfId="2549" xr:uid="{22AAA43E-9BDB-4312-A12C-93F865B57FB4}"/>
    <cellStyle name="常规 10 2 2 2" xfId="4513" xr:uid="{5C551132-F4AA-4702-95D0-156DE5B6E6BF}"/>
    <cellStyle name="常规 10 2 3" xfId="3649" xr:uid="{12DBD794-CF4D-4EAD-AB15-47C5C11BC4F8}"/>
    <cellStyle name="常规 10 3" xfId="1336" xr:uid="{8820DD39-2880-4E1E-AB02-4AA99AA204C4}"/>
    <cellStyle name="常规 10 4" xfId="3632" xr:uid="{8BC71616-EDCF-4DA0-8663-308A96CB8BCB}"/>
    <cellStyle name="常规 10 5" xfId="1046" xr:uid="{89BEF5A0-FDAC-4D0A-B26E-CF0D6A527A97}"/>
    <cellStyle name="常规 11" xfId="1050" xr:uid="{F3381C3E-B59B-4D40-86BB-788D240F58C1}"/>
    <cellStyle name="常规 11 2" xfId="1357" xr:uid="{C38AA131-2827-4B89-9E90-568325C5ACA4}"/>
    <cellStyle name="常规 11 3" xfId="3650" xr:uid="{A3432A3F-4F0B-4F28-BC90-44FF519175C0}"/>
    <cellStyle name="常规 12" xfId="1358" xr:uid="{9264025F-EFFB-46C6-A022-2C5BA35C1D9D}"/>
    <cellStyle name="常规 13" xfId="1568" xr:uid="{CA70E007-E304-4883-8CA0-7BC73236EC70}"/>
    <cellStyle name="常规 13 2" xfId="3905" xr:uid="{19FA893D-AA5B-4047-A424-9BDB9967743F}"/>
    <cellStyle name="常规 14" xfId="1109" xr:uid="{E5F1E09B-77CA-475F-93F8-E1F2CD04B8BB}"/>
    <cellStyle name="常规 14 2" xfId="3690" xr:uid="{EA9E6619-6933-4AB1-87B1-2666BE278380}"/>
    <cellStyle name="常规 15" xfId="3050" xr:uid="{9A1276C5-5153-4AA6-B9AD-2C9CD2FB5DEE}"/>
    <cellStyle name="常规 2" xfId="856" xr:uid="{00000000-0005-0000-0000-000060030000}"/>
    <cellStyle name="常规 2- " xfId="857" xr:uid="{00000000-0005-0000-0000-000061030000}"/>
    <cellStyle name="常规 2 2" xfId="31" xr:uid="{00000000-0005-0000-0000-000027000000}"/>
    <cellStyle name="常规 2 2 2" xfId="858" xr:uid="{00000000-0005-0000-0000-000062030000}"/>
    <cellStyle name="常规 2 2 2 2" xfId="859" xr:uid="{00000000-0005-0000-0000-000063030000}"/>
    <cellStyle name="常规 2 2 2 2 2" xfId="860" xr:uid="{00000000-0005-0000-0000-000064030000}"/>
    <cellStyle name="常规 2 2 2 2 2 2" xfId="3592" xr:uid="{B20576AE-77EB-488F-8A8B-36358D44F04E}"/>
    <cellStyle name="常规 2 2 2 2 3" xfId="2353" xr:uid="{8F5B84CD-9621-43D2-B157-86F281EE0024}"/>
    <cellStyle name="常规 2 2 2 2 3 2" xfId="4334" xr:uid="{633E5FA7-00E9-4142-9656-5C3E72116CD4}"/>
    <cellStyle name="常规 2 2 2 2 4" xfId="1512" xr:uid="{CA494B24-E1C6-41DA-8617-B6AF556C9BB3}"/>
    <cellStyle name="常规 2 2 2 2 5" xfId="3591" xr:uid="{190B122E-7DF2-4FF1-BF01-F081A1F05B38}"/>
    <cellStyle name="常规 2 2 2 3" xfId="861" xr:uid="{00000000-0005-0000-0000-000065030000}"/>
    <cellStyle name="常规 2 2 2 3 2" xfId="2354" xr:uid="{F7CA4D05-C16B-4FD8-8326-AB1EB323B5A7}"/>
    <cellStyle name="常规 2 2 2 3 3" xfId="1696" xr:uid="{E45E5607-EF85-478A-B737-993C9CEC8336}"/>
    <cellStyle name="常规 2 2 2 4" xfId="1511" xr:uid="{4CC7CF44-CFB0-484B-81FC-C09F13B5AD46}"/>
    <cellStyle name="常规 2 2 3" xfId="862" xr:uid="{00000000-0005-0000-0000-000066030000}"/>
    <cellStyle name="常规 2 2 3 2" xfId="863" xr:uid="{00000000-0005-0000-0000-000067030000}"/>
    <cellStyle name="常规 2 2 3 2 2" xfId="2355" xr:uid="{2B4D33FE-DB02-4643-A610-8487112114EF}"/>
    <cellStyle name="常规 2 2 3 2 2 2" xfId="4335" xr:uid="{E7217B2C-B41D-46A7-A926-7A5E52559A96}"/>
    <cellStyle name="常规 2 2 3 2 3" xfId="1697" xr:uid="{21D2F0FE-9B04-4FF7-BDB9-FA974F2150D1}"/>
    <cellStyle name="常规 2 2 3 2 4" xfId="3593" xr:uid="{71EA05BC-DB69-476C-A4C4-0F5D37AB7BBB}"/>
    <cellStyle name="常规 2 2 3 3" xfId="1338" xr:uid="{5C578EF2-80B2-4311-B930-D0B60757EA3E}"/>
    <cellStyle name="常规 2 2 3 3 2" xfId="1023" xr:uid="{F52973B2-46ED-4360-B90C-5083FFC0B76E}"/>
    <cellStyle name="常规 2 2 3 4" xfId="1513" xr:uid="{CDC207A2-02ED-43B6-BE2A-04C9F0F3F1F7}"/>
    <cellStyle name="常规 2 2 4" xfId="1032" xr:uid="{26A4B409-A7D2-4F80-A7E1-1569895596EE}"/>
    <cellStyle name="常规 2 2 4 2" xfId="1716" xr:uid="{FDA9BD0B-36A9-4EB6-B142-9FC50176832E}"/>
    <cellStyle name="常规 2 2 4 2 2" xfId="3972" xr:uid="{AEF58750-C8E7-40AF-8336-4B636ABEA593}"/>
    <cellStyle name="常规 2 2 4 3" xfId="1535" xr:uid="{B08855D4-73A7-412E-8ACF-04A2E587D61F}"/>
    <cellStyle name="常规 2 2 4 4" xfId="3643" xr:uid="{D11D750F-9DD8-4C8C-B2E7-502FD464CB68}"/>
    <cellStyle name="常规 2 2 5" xfId="1034" xr:uid="{DC22D449-0497-4AA0-AD7C-D120726E6B70}"/>
    <cellStyle name="常规 2 2 5 2" xfId="1363" xr:uid="{C36A4CB6-9560-4E92-9536-908B08047EAB}"/>
    <cellStyle name="常规 2 2 5 2 2" xfId="1567" xr:uid="{A076662B-B19B-48CB-9279-17CBA6254E83}"/>
    <cellStyle name="常规 2 2 5 2 2 2" xfId="3904" xr:uid="{B9266E66-1546-4DFE-BDA7-D7DA6AD9E336}"/>
    <cellStyle name="常规 2 2 5 2 3" xfId="3849" xr:uid="{A7EB0423-AB31-4B05-9F5C-BA7BCCD238F1}"/>
    <cellStyle name="常规 2 2 5 3" xfId="1047" xr:uid="{500EC260-6B97-4EDA-AE67-8075805054F8}"/>
    <cellStyle name="常规 2 2 5 3 2" xfId="3648" xr:uid="{44115304-F139-4FE8-B336-2E8206A6C513}"/>
    <cellStyle name="常规 2 2 5 4" xfId="3644" xr:uid="{D8C6E464-A260-4889-8C80-B70ADCF8EA52}"/>
    <cellStyle name="常规 2 2 5 5" xfId="1044" xr:uid="{3BC1C8E4-7720-4E53-B658-A3E184FE0D7E}"/>
    <cellStyle name="常规 2 2 5 5 2" xfId="3647" xr:uid="{1A67D86B-7B2A-47F3-B90C-F139A909D6AB}"/>
    <cellStyle name="常规 2 2 6" xfId="1510" xr:uid="{37BCF098-6DE9-4E07-8FC0-FDEE1F4FBE75}"/>
    <cellStyle name="常规 2 3" xfId="864" xr:uid="{00000000-0005-0000-0000-000068030000}"/>
    <cellStyle name="常规 2 3 2" xfId="1515" xr:uid="{B56F7B00-0C9A-48FF-B498-DF7EF4AA4670}"/>
    <cellStyle name="常规 2 3 3" xfId="1516" xr:uid="{FE6C1DE8-4B6F-4D2A-9041-782F386B4E5D}"/>
    <cellStyle name="常规 2 3 4" xfId="1514" xr:uid="{1976046A-6386-4716-AB14-EBACB3A7AFDF}"/>
    <cellStyle name="常规 2 4" xfId="865" xr:uid="{00000000-0005-0000-0000-000069030000}"/>
    <cellStyle name="常规 2 4 2" xfId="2356" xr:uid="{7DD3A9DC-9B8B-4A8E-AD01-049B72D5ED76}"/>
    <cellStyle name="常规 2 4 3" xfId="1538" xr:uid="{3658C31D-6FEE-4C78-9980-4269886BAD7F}"/>
    <cellStyle name="常规 2 5" xfId="866" xr:uid="{00000000-0005-0000-0000-00006A030000}"/>
    <cellStyle name="常规 2 5 2" xfId="2357" xr:uid="{CCBC1A36-2C3D-4146-B17C-91498CEB99F6}"/>
    <cellStyle name="常规 2 5 3" xfId="1694" xr:uid="{73B31BA9-5FCA-4184-9703-18A55B7A3452}"/>
    <cellStyle name="常规 2 6" xfId="867" xr:uid="{00000000-0005-0000-0000-00006B030000}"/>
    <cellStyle name="常规 2 6 2" xfId="2358" xr:uid="{2A4D4ED8-2D8A-4613-B08F-4E092DA352C2}"/>
    <cellStyle name="常规 2 6 3" xfId="1726" xr:uid="{88F59B42-494C-4FC6-8E43-5BFC56798D78}"/>
    <cellStyle name="常规 2 7" xfId="868" xr:uid="{00000000-0005-0000-0000-00006C030000}"/>
    <cellStyle name="常规 2 8" xfId="1485" xr:uid="{B7F5EEEE-DB45-44ED-ABB1-7C9413756F68}"/>
    <cellStyle name="常规 2 9" xfId="6612" xr:uid="{D305DCB6-452B-4DF5-B73C-B5A908E48BE1}"/>
    <cellStyle name="常规 2_10存货" xfId="869" xr:uid="{00000000-0005-0000-0000-00006D030000}"/>
    <cellStyle name="常规 3" xfId="32" xr:uid="{00000000-0005-0000-0000-000028000000}"/>
    <cellStyle name="常规 3 2" xfId="870" xr:uid="{00000000-0005-0000-0000-00006E030000}"/>
    <cellStyle name="常规 3 2 2" xfId="871" xr:uid="{00000000-0005-0000-0000-00006F030000}"/>
    <cellStyle name="常规 3 2 2 2" xfId="872" xr:uid="{00000000-0005-0000-0000-000070030000}"/>
    <cellStyle name="常规 3 2 2 2 2" xfId="2360" xr:uid="{D98715E3-8176-4AF0-A753-B8A76DE0FD5E}"/>
    <cellStyle name="常规 3 2 2 2 2 2" xfId="4337" xr:uid="{E809A873-E5A9-4240-AFF7-697F2486A0A9}"/>
    <cellStyle name="常规 3 2 2 2 3" xfId="1698" xr:uid="{A5A30E81-C68A-435E-BDA8-01F79020F794}"/>
    <cellStyle name="常规 3 2 2 2 4" xfId="3595" xr:uid="{C0EDC14E-26CD-4F96-B60D-C2597F0C23BB}"/>
    <cellStyle name="常规 3 2 2 3" xfId="1518" xr:uid="{5408F32C-FEEF-4B76-A124-D3F623FC50D2}"/>
    <cellStyle name="常规 3 2 2 4" xfId="2359" xr:uid="{8E414C79-FFCA-49E4-BBDC-822DB6B4228C}"/>
    <cellStyle name="常规 3 2 2 4 2" xfId="4336" xr:uid="{72C65793-F0A6-42E9-8E8F-5C7E23E917C7}"/>
    <cellStyle name="常规 3 2 2 5" xfId="1339" xr:uid="{D0E6F707-0C95-4764-9A1C-8D5256617D48}"/>
    <cellStyle name="常规 3 2 2 6" xfId="3594" xr:uid="{62660517-4F8B-49F2-9A7D-3A32774CC5E3}"/>
    <cellStyle name="常规 3 2 3" xfId="1372" xr:uid="{2D2C0A20-E1FC-478F-ACD2-CC85175B73D3}"/>
    <cellStyle name="常规 3 2 4" xfId="1038" xr:uid="{E5552044-4342-4822-8C93-1701DBC5E72B}"/>
    <cellStyle name="常规 3 2 4 2" xfId="1542" xr:uid="{D26E92D7-C230-47FB-8B0B-1CCE95733DA5}"/>
    <cellStyle name="常规 3 2_3" xfId="873" xr:uid="{00000000-0005-0000-0000-000071030000}"/>
    <cellStyle name="常规 3 3" xfId="874" xr:uid="{00000000-0005-0000-0000-000072030000}"/>
    <cellStyle name="常规 3 3 2" xfId="875" xr:uid="{00000000-0005-0000-0000-000073030000}"/>
    <cellStyle name="常规 3 3 2 2" xfId="2362" xr:uid="{BE6934F6-F992-43DC-A315-02F6AE8DDF18}"/>
    <cellStyle name="常规 3 3 2 3" xfId="1586" xr:uid="{270042A6-0D79-4F3A-8F6B-24907488AE02}"/>
    <cellStyle name="常规 3 3 3" xfId="1519" xr:uid="{CE5D4FE6-74C2-449E-A45E-DEE075C8108A}"/>
    <cellStyle name="常规 3 3 4" xfId="2361" xr:uid="{7EFF7D71-14BB-4A0F-952A-6AA5F0098DF0}"/>
    <cellStyle name="常规 3 3 4 2" xfId="4338" xr:uid="{BBC08A1B-88A4-4C06-AA33-BB0833F45F10}"/>
    <cellStyle name="常规 3 3 5" xfId="1153" xr:uid="{20969168-3D41-4A93-A743-584D7B1B4877}"/>
    <cellStyle name="常规 3 3 6" xfId="3596" xr:uid="{34B2E8F3-7C5E-4811-8477-2909CECACDC9}"/>
    <cellStyle name="常规 3 4" xfId="876" xr:uid="{00000000-0005-0000-0000-000074030000}"/>
    <cellStyle name="常规 3 4 2" xfId="2363" xr:uid="{53655B8A-E642-4A37-B64F-7D1757F380E8}"/>
    <cellStyle name="常规 3 4 2 2" xfId="4339" xr:uid="{D9BE1C63-1102-4731-9819-FDD88A37FDA8}"/>
    <cellStyle name="常规 3 4 3" xfId="1517" xr:uid="{23386569-6556-4C55-87A5-684631E823D6}"/>
    <cellStyle name="常规 3 4 4" xfId="3597" xr:uid="{0C991F00-D396-41EF-8AA2-A6FBC35B66C8}"/>
    <cellStyle name="常规 3 5" xfId="877" xr:uid="{00000000-0005-0000-0000-000075030000}"/>
    <cellStyle name="常规 3 6" xfId="1741" xr:uid="{19A461A6-88E8-4BE0-9572-07A3607A6418}"/>
    <cellStyle name="常规 3 6 2" xfId="3986" xr:uid="{1637B233-793D-41DE-88F1-3529496B112A}"/>
    <cellStyle name="常规 3 7" xfId="2370" xr:uid="{A4FF14BC-DF43-413B-9FCE-74058117CB1B}"/>
    <cellStyle name="常规 3 7 2" xfId="4345" xr:uid="{EA96898F-7DCB-42C5-BB8C-94A164411905}"/>
    <cellStyle name="常规 3 8" xfId="3067" xr:uid="{9898E8B7-7F7B-4B34-B1CC-F222D474E5C5}"/>
    <cellStyle name="常规 3_1" xfId="878" xr:uid="{00000000-0005-0000-0000-000076030000}"/>
    <cellStyle name="常规 4" xfId="879" xr:uid="{00000000-0005-0000-0000-000077030000}"/>
    <cellStyle name="常规 4 2" xfId="880" xr:uid="{00000000-0005-0000-0000-000078030000}"/>
    <cellStyle name="常规 4 2 2" xfId="1699" xr:uid="{85C9001E-DD26-450F-B128-904B97896E9A}"/>
    <cellStyle name="常规 4 2 3" xfId="1521" xr:uid="{687E41C1-F622-4358-ABC7-8CFE62079C3A}"/>
    <cellStyle name="常规 4 2 4" xfId="2364" xr:uid="{A3443ABA-9DBC-4230-B1BA-4160E9F8F31C}"/>
    <cellStyle name="常规 4 2 4 2" xfId="4340" xr:uid="{9149CC2E-D811-4C0A-8025-D403356288B1}"/>
    <cellStyle name="常规 4 2 5" xfId="1340" xr:uid="{97B44F80-5851-4638-8992-8DA785C6B310}"/>
    <cellStyle name="常规 4 2 6" xfId="3598" xr:uid="{C5A126FC-4969-4C9B-BD75-9164425F022F}"/>
    <cellStyle name="常规 4 3" xfId="881" xr:uid="{00000000-0005-0000-0000-000079030000}"/>
    <cellStyle name="常规 4 3 2" xfId="2365" xr:uid="{5308B829-40AB-4484-BAFD-9476EF6391FA}"/>
    <cellStyle name="常规 4 3 2 2" xfId="1549" xr:uid="{CB5595BA-F354-47B7-B83B-A393DFF1E07C}"/>
    <cellStyle name="常规 4 3 2 2 2" xfId="3896" xr:uid="{D71E4D30-CD8C-49E5-B768-CD8A92959E85}"/>
    <cellStyle name="常规 4 3 2 3" xfId="4341" xr:uid="{11FA54E1-2E70-4C35-B421-3506EF6FD3F6}"/>
    <cellStyle name="常规 4 3 3" xfId="1522" xr:uid="{4A2CD025-C0A9-488A-A6EB-EA96C5801C43}"/>
    <cellStyle name="常规 4 3 4" xfId="3599" xr:uid="{E255F51E-BECD-447D-BF9B-088466D9D0F7}"/>
    <cellStyle name="常规 4 4" xfId="1680" xr:uid="{6ED77B8D-C0AB-4DB3-AE19-EA1469056D8A}"/>
    <cellStyle name="常规 4 5" xfId="1520" xr:uid="{2EC1A404-9B36-4859-8EDE-F34738B2B457}"/>
    <cellStyle name="常规 5" xfId="882" xr:uid="{00000000-0005-0000-0000-00007A030000}"/>
    <cellStyle name="常规 5 2" xfId="883" xr:uid="{00000000-0005-0000-0000-00007B030000}"/>
    <cellStyle name="常规 5 2 2" xfId="2366" xr:uid="{2B3E3CE0-EFD3-48A2-A6F7-75521B2874ED}"/>
    <cellStyle name="常规 5 2 2 2" xfId="4342" xr:uid="{C218D3E6-7E84-4AFE-9C33-0BBBD5EBA7D3}"/>
    <cellStyle name="常规 5 2 3" xfId="1700" xr:uid="{8AF1047E-5CDD-4F24-8D7F-14AA6C0A0229}"/>
    <cellStyle name="常规 5 2 4" xfId="3600" xr:uid="{1AF724BC-C7C3-416C-879C-6278B37CC88D}"/>
    <cellStyle name="常规 5 3" xfId="1523" xr:uid="{C1D8E703-A6F9-4E38-907B-D9C9668E47A6}"/>
    <cellStyle name="常规 6" xfId="884" xr:uid="{00000000-0005-0000-0000-00007C030000}"/>
    <cellStyle name="常规 6 2" xfId="885" xr:uid="{00000000-0005-0000-0000-00007D030000}"/>
    <cellStyle name="常规 6 2 2" xfId="3601" xr:uid="{DF05883C-3C7B-4E43-9803-A4234246CABD}"/>
    <cellStyle name="常规 7" xfId="886" xr:uid="{00000000-0005-0000-0000-00007E030000}"/>
    <cellStyle name="常规 7 2" xfId="887" xr:uid="{00000000-0005-0000-0000-00007F030000}"/>
    <cellStyle name="常规 7 2 2" xfId="2367" xr:uid="{33AE2D71-1E14-4AB3-8965-A69ECF8D10C9}"/>
    <cellStyle name="常规 7 2 2 2" xfId="4343" xr:uid="{56BD2FF6-4624-4D1A-9190-4B9A7576635D}"/>
    <cellStyle name="常规 7 2 3" xfId="1686" xr:uid="{75E9B8C3-9548-482F-97D0-2EDB025FC03B}"/>
    <cellStyle name="常规 7 2 4" xfId="3602" xr:uid="{6D62BD70-54DF-4CD8-9BAC-D692AFC6B585}"/>
    <cellStyle name="常规 7 3" xfId="1524" xr:uid="{A16845C4-FF37-4679-B416-E13E6B42F4AC}"/>
    <cellStyle name="常规 8" xfId="888" xr:uid="{00000000-0005-0000-0000-000080030000}"/>
    <cellStyle name="常规 8 2" xfId="889" xr:uid="{00000000-0005-0000-0000-000081030000}"/>
    <cellStyle name="常规 8 2 2" xfId="2368" xr:uid="{B2486C69-6A88-4474-A0AC-1913F54EDA08}"/>
    <cellStyle name="常规 8 2 2 2" xfId="4344" xr:uid="{F329442A-54C2-4278-ACF1-63614B97238B}"/>
    <cellStyle name="常规 8 2 3" xfId="1532" xr:uid="{15BC72A6-BF9B-41B7-BDE0-D57C28624B3F}"/>
    <cellStyle name="常规 8 2 4" xfId="3603" xr:uid="{F4CA78DA-97C8-4250-909F-F5D032C66F35}"/>
    <cellStyle name="常规 9" xfId="1033" xr:uid="{EE4A2AC3-DA5E-432B-AFB1-D825F4D377C3}"/>
    <cellStyle name="常规 9 2" xfId="1020" xr:uid="{952FEDA3-8EA7-47F2-999B-8BA848E4940C}"/>
    <cellStyle name="常规 9 2 2" xfId="1024" xr:uid="{F70F00BF-0584-428F-A950-EF479CE51373}"/>
    <cellStyle name="常规 9 2 2 2" xfId="2410" xr:uid="{F8F238AC-3DC5-4220-9B85-C74FDA20B1C0}"/>
    <cellStyle name="常规 9 2 2 3" xfId="3637" xr:uid="{812C86C6-C75C-45B8-92AA-099DAF86724A}"/>
    <cellStyle name="常规 9 2 3" xfId="1026" xr:uid="{D1317745-A2F5-4F1A-BC34-DA8F68CC513E}"/>
    <cellStyle name="常规 9 2 3 2" xfId="2412" xr:uid="{98E0FC7F-1854-41AF-85D8-68C15CFE9E6E}"/>
    <cellStyle name="常规 9 2 3 3" xfId="3639" xr:uid="{9C11A532-8F72-47D5-9D30-45DA47793C09}"/>
    <cellStyle name="常规 9 2 4" xfId="2408" xr:uid="{01BBE009-B8B8-4D0B-857E-99F3568C8FD4}"/>
    <cellStyle name="常规 9 2 4 2" xfId="4379" xr:uid="{80BED856-6B7C-4DE7-BB34-82277280EC66}"/>
    <cellStyle name="常规 9 2 5" xfId="1134" xr:uid="{CA48969C-1F86-457E-8E4A-7F4B15E4EAB5}"/>
    <cellStyle name="常规 9 2 6" xfId="3635" xr:uid="{087AB57A-073B-4F24-9B3A-66398534095C}"/>
    <cellStyle name="常规 9 3" xfId="1035" xr:uid="{FE668B23-BDCE-49FF-AD83-5C83D0C2370F}"/>
    <cellStyle name="超级链接_综合类底稿表格" xfId="890" xr:uid="{00000000-0005-0000-0000-000082030000}"/>
    <cellStyle name="超連結 2" xfId="1031" xr:uid="{CCB8E706-FA15-4881-ACE9-00F5CC47BDFD}"/>
    <cellStyle name="超链接 2" xfId="891" xr:uid="{00000000-0005-0000-0000-000083030000}"/>
    <cellStyle name="超链接 2 2" xfId="892" xr:uid="{00000000-0005-0000-0000-000084030000}"/>
    <cellStyle name="超链接 2 2 2" xfId="1027" xr:uid="{BA966A2C-6DC1-486F-B1A2-3B1DDBCE049B}"/>
    <cellStyle name="超链接 2 2 3" xfId="2369" xr:uid="{8ED88E28-507E-4D1C-A471-2F3F17E47E57}"/>
    <cellStyle name="超链接 2 2 4" xfId="1185" xr:uid="{1CAE96E3-DE8C-428E-BA99-230A20799E5F}"/>
    <cellStyle name="超链接 2 3" xfId="1015" xr:uid="{03F29CCC-F2CD-4518-8212-5843EBF71FF9}"/>
    <cellStyle name="超链接 2 4" xfId="1609" xr:uid="{8655CD65-57BA-4D3E-A745-A776B4FFAAFC}"/>
    <cellStyle name="超链接 2 5" xfId="1419" xr:uid="{14E362BE-F58D-4F5F-9241-4393D659AF1C}"/>
    <cellStyle name="超链接 2 6" xfId="6614" xr:uid="{775DCE34-8775-429C-B7BA-B4064CF28281}"/>
    <cellStyle name="超链接 3" xfId="893" xr:uid="{00000000-0005-0000-0000-000085030000}"/>
    <cellStyle name="超链接 3 2" xfId="1614" xr:uid="{23329ECC-8D7A-465D-B01B-4F12F59CBD85}"/>
    <cellStyle name="超链接 3 3" xfId="1564" xr:uid="{74681D96-3053-4672-B60F-6F3418916FD4}"/>
    <cellStyle name="超链接 4" xfId="894" xr:uid="{00000000-0005-0000-0000-000086030000}"/>
    <cellStyle name="超链接 5" xfId="1094" xr:uid="{60E9BBEF-9AD3-4D57-A115-84178330CD73}"/>
    <cellStyle name="超链接 5 2" xfId="1573" xr:uid="{A402E30D-B188-4ED6-9BED-55ED7C525199}"/>
    <cellStyle name="超链接 5 3" xfId="3681" xr:uid="{570F5F1E-2CF1-4C2B-8558-EE1345702852}"/>
    <cellStyle name="超链接 6" xfId="2420" xr:uid="{7F1D4A5A-465A-4C20-8982-73FA23093716}"/>
    <cellStyle name="好_10存货" xfId="895" xr:uid="{00000000-0005-0000-0000-000087030000}"/>
    <cellStyle name="好_19-无形资产（空白模板）" xfId="896" xr:uid="{00000000-0005-0000-0000-000088030000}"/>
    <cellStyle name="好_1财务费用" xfId="897" xr:uid="{00000000-0005-0000-0000-000089030000}"/>
    <cellStyle name="好_1营业收入" xfId="898" xr:uid="{00000000-0005-0000-0000-00008A030000}"/>
    <cellStyle name="好_1资产减值损失" xfId="899" xr:uid="{00000000-0005-0000-0000-00008B030000}"/>
    <cellStyle name="好_2-交易性金融资产（空白模板）" xfId="900" xr:uid="{00000000-0005-0000-0000-00008C030000}"/>
    <cellStyle name="好_3-2 进一步审计程序-采购与付款循环" xfId="901" xr:uid="{00000000-0005-0000-0000-00008D030000}"/>
    <cellStyle name="好_3-3 进一步审计程序-存货与生产循环" xfId="902" xr:uid="{00000000-0005-0000-0000-00008E030000}"/>
    <cellStyle name="好_49-营业收入（空白模板）" xfId="903" xr:uid="{00000000-0005-0000-0000-00008F030000}"/>
    <cellStyle name="好_4-应收账款（空白模板）" xfId="904" xr:uid="{00000000-0005-0000-0000-000090030000}"/>
    <cellStyle name="好_50-营业成本（空白模板）" xfId="905" xr:uid="{00000000-0005-0000-0000-000091030000}"/>
    <cellStyle name="好_51-营业税金及附加（空白模板）" xfId="906" xr:uid="{00000000-0005-0000-0000-000092030000}"/>
    <cellStyle name="好_54-财务费用（空白模板）" xfId="907" xr:uid="{00000000-0005-0000-0000-000093030000}"/>
    <cellStyle name="好_55-资产减值损失（空白模板）" xfId="908" xr:uid="{00000000-0005-0000-0000-000094030000}"/>
    <cellStyle name="好_9管理费用" xfId="909" xr:uid="{00000000-0005-0000-0000-000095030000}"/>
    <cellStyle name="好_Book2" xfId="910" xr:uid="{00000000-0005-0000-0000-000096030000}"/>
    <cellStyle name="好_Sheet1" xfId="911" xr:uid="{00000000-0005-0000-0000-000097030000}"/>
    <cellStyle name="好_ZA0货币资金审定表 " xfId="912" xr:uid="{00000000-0005-0000-0000-000098030000}"/>
    <cellStyle name="好_财务费用" xfId="913" xr:uid="{00000000-0005-0000-0000-000099030000}"/>
    <cellStyle name="好_存货" xfId="914" xr:uid="{00000000-0005-0000-0000-00009A030000}"/>
    <cellStyle name="好_存货 - 复制" xfId="915" xr:uid="{00000000-0005-0000-0000-00009B030000}"/>
    <cellStyle name="好_大信底稿目录" xfId="916" xr:uid="{00000000-0005-0000-0000-00009C030000}"/>
    <cellStyle name="好_底稿设置宏" xfId="917" xr:uid="{00000000-0005-0000-0000-00009D030000}"/>
    <cellStyle name="好_底稿设置宏_大信底稿目录" xfId="918" xr:uid="{00000000-0005-0000-0000-00009E030000}"/>
    <cellStyle name="好_货币资金" xfId="919" xr:uid="{00000000-0005-0000-0000-00009F030000}"/>
    <cellStyle name="好_货币资金 天职" xfId="920" xr:uid="{00000000-0005-0000-0000-0000A0030000}"/>
    <cellStyle name="好_货币资金 岳华" xfId="921" xr:uid="{00000000-0005-0000-0000-0000A1030000}"/>
    <cellStyle name="好_实收资本(股本)" xfId="922" xr:uid="{00000000-0005-0000-0000-0000A2030000}"/>
    <cellStyle name="好_无形资产" xfId="923" xr:uid="{00000000-0005-0000-0000-0000A3030000}"/>
    <cellStyle name="好_银行函证结果汇总表" xfId="924" xr:uid="{00000000-0005-0000-0000-0000A4030000}"/>
    <cellStyle name="好_应付职工薪酬" xfId="926" xr:uid="{00000000-0005-0000-0000-0000A6030000}"/>
    <cellStyle name="好_应收利息" xfId="927" xr:uid="{00000000-0005-0000-0000-0000A7030000}"/>
    <cellStyle name="好_应收账款" xfId="928" xr:uid="{00000000-0005-0000-0000-0000A8030000}"/>
    <cellStyle name="好_营业收入" xfId="925" xr:uid="{00000000-0005-0000-0000-0000A5030000}"/>
    <cellStyle name="好_账项明细表" xfId="929" xr:uid="{00000000-0005-0000-0000-0000A9030000}"/>
    <cellStyle name="好_资产负债标准底稿" xfId="930" xr:uid="{00000000-0005-0000-0000-0000AA030000}"/>
    <cellStyle name="好_资产负债标准底稿_大信底稿目录" xfId="931" xr:uid="{00000000-0005-0000-0000-0000AB030000}"/>
    <cellStyle name="好_资产负债类底稿模版" xfId="932" xr:uid="{00000000-0005-0000-0000-0000AC030000}"/>
    <cellStyle name="好_资产负债类底稿模版_大信底稿目录" xfId="933" xr:uid="{00000000-0005-0000-0000-0000AD030000}"/>
    <cellStyle name="好_资产减值损失" xfId="934" xr:uid="{00000000-0005-0000-0000-0000AE030000}"/>
    <cellStyle name="桁区切り [0.00]_１１月価格表" xfId="935" xr:uid="{00000000-0005-0000-0000-0000AF030000}"/>
    <cellStyle name="桁区切り_１１月価格表" xfId="936" xr:uid="{00000000-0005-0000-0000-0000B0030000}"/>
    <cellStyle name="货币 2" xfId="1341" xr:uid="{B4330643-329A-4C44-A704-FE5523A10AB3}"/>
    <cellStyle name="货币 3" xfId="1569" xr:uid="{D6E0D626-5F75-4EBA-942B-5F81B671760E}"/>
    <cellStyle name="貨幣 [0]_SGV" xfId="937" xr:uid="{00000000-0005-0000-0000-0000B1030000}"/>
    <cellStyle name="貨幣_SGV" xfId="938" xr:uid="{00000000-0005-0000-0000-0000B2030000}"/>
    <cellStyle name="霓付 [0]_1202" xfId="939" xr:uid="{00000000-0005-0000-0000-0000B3030000}"/>
    <cellStyle name="霓付_1202" xfId="940" xr:uid="{00000000-0005-0000-0000-0000B4030000}"/>
    <cellStyle name="烹拳 [0]_1202" xfId="941" xr:uid="{00000000-0005-0000-0000-0000B5030000}"/>
    <cellStyle name="烹拳_1202" xfId="942" xr:uid="{00000000-0005-0000-0000-0000B6030000}"/>
    <cellStyle name="砯刽 [0]_PLDT" xfId="943" xr:uid="{00000000-0005-0000-0000-0000B7030000}"/>
    <cellStyle name="砯刽_PLDT" xfId="944" xr:uid="{00000000-0005-0000-0000-0000B8030000}"/>
    <cellStyle name="普通_ 白土" xfId="945" xr:uid="{00000000-0005-0000-0000-0000B9030000}"/>
    <cellStyle name="千分位[0]_ 白土" xfId="946" xr:uid="{00000000-0005-0000-0000-0000BA030000}"/>
    <cellStyle name="千分位_ 白土" xfId="947" xr:uid="{00000000-0005-0000-0000-0000BB030000}"/>
    <cellStyle name="千位[0]_1995" xfId="948" xr:uid="{00000000-0005-0000-0000-0000BC030000}"/>
    <cellStyle name="千位_1995" xfId="949" xr:uid="{00000000-0005-0000-0000-0000BD030000}"/>
    <cellStyle name="千位分隔 10" xfId="1051" xr:uid="{8F079E4F-0C2B-4B17-8AA8-F4388426649E}"/>
    <cellStyle name="千位分隔 10 2" xfId="1720" xr:uid="{444B5458-EE3C-43E9-A61E-952F45BAADD6}"/>
    <cellStyle name="千位分隔 10 2 2" xfId="3974" xr:uid="{B42F1131-CA49-4708-915B-550F58CE4816}"/>
    <cellStyle name="千位分隔 10 3" xfId="2551" xr:uid="{0851DDEC-7D30-44AE-A652-BF11103601C1}"/>
    <cellStyle name="千位分隔 10 3 2" xfId="4515" xr:uid="{2834CC28-1962-47E2-B8A6-C1FE3B5337E2}"/>
    <cellStyle name="千位分隔 10 4" xfId="1366" xr:uid="{5A9C6F4F-B9A7-4BFB-A166-78B547D757C5}"/>
    <cellStyle name="千位分隔 10 4 2" xfId="3850" xr:uid="{2FFF542F-F041-469D-8F33-E35ADBB66362}"/>
    <cellStyle name="千位分隔 10 5" xfId="3651" xr:uid="{3CB4700B-406D-44B7-9AF1-1C11134EDDDE}"/>
    <cellStyle name="千位分隔 11" xfId="1571" xr:uid="{48B9FA31-70C4-42C6-A817-6FE9A9FD609D}"/>
    <cellStyle name="千位分隔 11 2" xfId="3907" xr:uid="{7BE924F5-8B46-48C7-8DA3-393B4A3CBD90}"/>
    <cellStyle name="千位分隔 12" xfId="1380" xr:uid="{BFBD4CEA-4E27-4A04-83B9-D43FFDF16111}"/>
    <cellStyle name="千位分隔 12 2" xfId="3857" xr:uid="{905296F6-DCED-485B-807B-DE95075AE188}"/>
    <cellStyle name="千位分隔 13" xfId="1115" xr:uid="{F4798200-F3E3-42CB-968B-327B1FDFA97D}"/>
    <cellStyle name="千位分隔 13 2" xfId="3693" xr:uid="{01783D11-9150-447D-BE26-B109F7D22012}"/>
    <cellStyle name="千位分隔 14" xfId="3053" xr:uid="{0908A057-2F10-479D-A6EA-9CC8CFC80586}"/>
    <cellStyle name="千位分隔 15" xfId="6613" xr:uid="{6B09C2B3-4EF1-4A59-B4C3-B40D12DCB9CB}"/>
    <cellStyle name="千位分隔 2" xfId="950" xr:uid="{00000000-0005-0000-0000-0000BE030000}"/>
    <cellStyle name="千位分隔 2 2" xfId="36" xr:uid="{00000000-0005-0000-0000-00002C000000}"/>
    <cellStyle name="千位分隔 2 2 2" xfId="951" xr:uid="{00000000-0005-0000-0000-0000BF030000}"/>
    <cellStyle name="千位分隔 2 2 2 2" xfId="952" xr:uid="{00000000-0005-0000-0000-0000C0030000}"/>
    <cellStyle name="千位分隔 2 2 2 2 2" xfId="2372" xr:uid="{E730ABC8-BEFF-43CF-8519-697F90806087}"/>
    <cellStyle name="千位分隔 2 2 2 2 2 2" xfId="4346" xr:uid="{4B39C912-EBC9-4F9F-B753-67F42AA27798}"/>
    <cellStyle name="千位分隔 2 2 2 2 3" xfId="1528" xr:uid="{895B64FE-832C-493A-AA9A-F9EC66741F4A}"/>
    <cellStyle name="千位分隔 2 2 2 2 4" xfId="3604" xr:uid="{D6A74970-0078-4C4B-B739-4699958AB048}"/>
    <cellStyle name="千位分隔 2 2 2 3" xfId="1658" xr:uid="{7ED99DFC-488A-4B68-83B3-F3ABA6F684DD}"/>
    <cellStyle name="千位分隔 2 2 2 3 2" xfId="3949" xr:uid="{247E0E04-98FD-45F9-8556-21B15594DECC}"/>
    <cellStyle name="千位分隔 2 2 2 4" xfId="1527" xr:uid="{F6629E5E-616F-4C4A-8839-3E50C3F971EF}"/>
    <cellStyle name="千位分隔 2 2 2 4 2" xfId="3892" xr:uid="{13E2E9B7-A775-4E46-91E8-69144310AE77}"/>
    <cellStyle name="千位分隔 2 2 2 5" xfId="1240" xr:uid="{418C26C8-DC6E-45F0-9BC2-A7AE9B304EA7}"/>
    <cellStyle name="千位分隔 2 2 2 5 2" xfId="3774" xr:uid="{6E39F43F-7EA6-49D9-977A-9A99881A7B63}"/>
    <cellStyle name="千位分隔 2 2 3" xfId="953" xr:uid="{00000000-0005-0000-0000-0000C1030000}"/>
    <cellStyle name="千位分隔 2 2 3 2" xfId="2373" xr:uid="{7853A31E-0581-456F-AFC7-BB48F8C26C2D}"/>
    <cellStyle name="千位分隔 2 2 3 2 2" xfId="4347" xr:uid="{551CBDC8-0542-4B34-B781-18B47BA680A1}"/>
    <cellStyle name="千位分隔 2 2 3 3" xfId="1529" xr:uid="{2A50A8CD-1F5F-41B6-8E4B-208D938B16C8}"/>
    <cellStyle name="千位分隔 2 2 3 4" xfId="3605" xr:uid="{3EDB529B-BB83-41B7-AD85-F91E0EB3227D}"/>
    <cellStyle name="千位分隔 2 2 4" xfId="954" xr:uid="{00000000-0005-0000-0000-0000C2030000}"/>
    <cellStyle name="千位分隔 2 2 4 2" xfId="2374" xr:uid="{E58256B5-3D5F-4FB9-B395-D7E4C190BCA7}"/>
    <cellStyle name="千位分隔 2 2 4 2 2" xfId="4348" xr:uid="{80320911-14DE-4456-B83D-A0E2E35D6522}"/>
    <cellStyle name="千位分隔 2 2 4 3" xfId="1702" xr:uid="{108DA2B4-2490-4E41-A3F6-E11B31B15711}"/>
    <cellStyle name="千位分隔 2 2 4 4" xfId="3606" xr:uid="{E8EA034D-4DF6-42B7-81C7-6A8552E81283}"/>
    <cellStyle name="千位分隔 2 2 5" xfId="955" xr:uid="{00000000-0005-0000-0000-0000C3030000}"/>
    <cellStyle name="千位分隔 2 2 5 2" xfId="2375" xr:uid="{CC023516-2D63-454C-859A-FF14C843997D}"/>
    <cellStyle name="千位分隔 2 2 5 2 2" xfId="4349" xr:uid="{095F5355-9AE4-4362-826F-7B562E1114FD}"/>
    <cellStyle name="千位分隔 2 2 5 3" xfId="1526" xr:uid="{286D9596-F761-44BB-93F8-612FFC0B014F}"/>
    <cellStyle name="千位分隔 2 2 6" xfId="1743" xr:uid="{038413E6-7C15-4EF2-BF71-0486862ED1A4}"/>
    <cellStyle name="千位分隔 2 2 6 2" xfId="3988" xr:uid="{A76B5E1A-DC81-49A3-AFA1-FD80DE02137B}"/>
    <cellStyle name="千位分隔 2 2 7" xfId="1343" xr:uid="{54EFE94B-BE34-4681-AA16-7FBF3CA3C8CE}"/>
    <cellStyle name="千位分隔 2 2 7 2" xfId="3837" xr:uid="{2D0227F5-4E57-4D22-BE6C-27BB2E75EFDA}"/>
    <cellStyle name="千位分隔 2 2 8" xfId="3069" xr:uid="{7FCD7348-9E7C-4DAA-BDFB-6C139ED856D0}"/>
    <cellStyle name="千位分隔 2 3" xfId="956" xr:uid="{00000000-0005-0000-0000-0000C4030000}"/>
    <cellStyle name="千位分隔 2 3 2" xfId="957" xr:uid="{00000000-0005-0000-0000-0000C5030000}"/>
    <cellStyle name="千位分隔 2 3 2 2" xfId="2377" xr:uid="{1F27E8B9-D49C-4241-8638-9BF698D24F7F}"/>
    <cellStyle name="千位分隔 2 3 2 2 2" xfId="4351" xr:uid="{0B4CD702-2780-475E-AB9B-0DFA381602D6}"/>
    <cellStyle name="千位分隔 2 3 2 3" xfId="1703" xr:uid="{392589C3-4F71-4BA7-AC6D-3DE1941C254B}"/>
    <cellStyle name="千位分隔 2 3 2 4" xfId="3608" xr:uid="{B9F909C1-6596-4BEC-841C-25AFEED3DF3C}"/>
    <cellStyle name="千位分隔 2 3 3" xfId="958" xr:uid="{00000000-0005-0000-0000-0000C6030000}"/>
    <cellStyle name="千位分隔 2 3 3 2" xfId="2378" xr:uid="{3658B463-9B78-41ED-9205-84FE57385752}"/>
    <cellStyle name="千位分隔 2 3 3 2 2" xfId="4352" xr:uid="{431C869F-3FED-441D-B1DB-6793DBA6C9A8}"/>
    <cellStyle name="千位分隔 2 3 3 3" xfId="1530" xr:uid="{16C4C44A-ED11-4E56-B04F-0C8A20DF3CC7}"/>
    <cellStyle name="千位分隔 2 3 3 4" xfId="3609" xr:uid="{C48B5071-F560-483E-BE2F-F5DA8F9C0F4E}"/>
    <cellStyle name="千位分隔 2 3 4" xfId="2376" xr:uid="{714C52DE-D23B-4B12-8E19-4D9FC2E029BA}"/>
    <cellStyle name="千位分隔 2 3 4 2" xfId="4350" xr:uid="{39EF0E43-F847-4D9B-AC2C-6CDEF909EC4C}"/>
    <cellStyle name="千位分隔 2 3 5" xfId="1344" xr:uid="{C2D759AD-A651-4C05-BF3E-31FF4FB960C3}"/>
    <cellStyle name="千位分隔 2 3 5 2" xfId="3838" xr:uid="{5CE6AE45-67EE-40F1-8C9B-7CA6A97A6EEE}"/>
    <cellStyle name="千位分隔 2 3 6" xfId="3607" xr:uid="{8E460F96-C733-45D7-B1E6-22C4F945742B}"/>
    <cellStyle name="千位分隔 2 4" xfId="959" xr:uid="{00000000-0005-0000-0000-0000C7030000}"/>
    <cellStyle name="千位分隔 2 4 2" xfId="2379" xr:uid="{933D2B0C-1CF9-4E2A-8DFD-8176BB60B572}"/>
    <cellStyle name="千位分隔 2 4 2 2" xfId="4353" xr:uid="{D11F91BD-5B44-4E78-AC5E-EDE94DE1D9E6}"/>
    <cellStyle name="千位分隔 2 4 3" xfId="1701" xr:uid="{649651C9-AB67-4277-901E-B3A9D79C94F0}"/>
    <cellStyle name="千位分隔 2 5" xfId="960" xr:uid="{00000000-0005-0000-0000-0000C8030000}"/>
    <cellStyle name="千位分隔 2 5 2" xfId="2380" xr:uid="{2D9201E5-FAE2-4D54-B6E4-B96D9185F621}"/>
    <cellStyle name="千位分隔 2 5 2 2" xfId="4354" xr:uid="{D993D7CA-679E-48BF-AB30-6D45522D960D}"/>
    <cellStyle name="千位分隔 2 5 3" xfId="1525" xr:uid="{4D9BE5A9-AD45-4A85-BDD4-485B9D209C13}"/>
    <cellStyle name="千位分隔 2 6" xfId="961" xr:uid="{00000000-0005-0000-0000-0000C9030000}"/>
    <cellStyle name="千位分隔 2 6 2" xfId="2381" xr:uid="{9D3066BC-388E-4B43-B4E3-787E7AE7B9FB}"/>
    <cellStyle name="千位分隔 2 7" xfId="1342" xr:uid="{71B26923-2B00-4985-A848-938274DD6233}"/>
    <cellStyle name="千位分隔 2 7 2" xfId="3836" xr:uid="{98B1DB58-8106-45F7-9C96-70389ED8608B}"/>
    <cellStyle name="千位分隔 2_1" xfId="962" xr:uid="{00000000-0005-0000-0000-0000CA030000}"/>
    <cellStyle name="千位分隔 3" xfId="963" xr:uid="{00000000-0005-0000-0000-0000CB030000}"/>
    <cellStyle name="千位分隔 3 2" xfId="964" xr:uid="{00000000-0005-0000-0000-0000CC030000}"/>
    <cellStyle name="千位分隔 3 2 2" xfId="965" xr:uid="{00000000-0005-0000-0000-0000CD030000}"/>
    <cellStyle name="千位分隔 3 2 2 2" xfId="1201" xr:uid="{C932E2F2-13A3-4689-9E8A-862997D397BE}"/>
    <cellStyle name="千位分隔 3 2 2 2 2" xfId="1627" xr:uid="{D6650166-BD4B-4A6C-A49B-8A510243C576}"/>
    <cellStyle name="千位分隔 3 2 2 2 2 2" xfId="3936" xr:uid="{3A32D98F-AA9E-447F-A5F4-BF6E34712D0A}"/>
    <cellStyle name="千位分隔 3 2 2 2 3" xfId="3748" xr:uid="{F0D5A37B-8732-41A7-BA9F-DBBC35D42B86}"/>
    <cellStyle name="千位分隔 3 2 2 3" xfId="1633" xr:uid="{0434E9FC-BB0F-4A55-9CD9-67277C77BA7B}"/>
    <cellStyle name="千位分隔 3 2 2 3 2" xfId="3940" xr:uid="{07B68B9A-281A-47BB-8E41-F746F52B138C}"/>
    <cellStyle name="千位分隔 3 2 2 4" xfId="2382" xr:uid="{C7AE9C67-F122-42C2-B1C4-192E73B35CFA}"/>
    <cellStyle name="千位分隔 3 2 2 4 2" xfId="4355" xr:uid="{F21F889D-9A73-4E38-8E07-05AF0628794C}"/>
    <cellStyle name="千位分隔 3 2 2 5" xfId="1207" xr:uid="{91BF9739-8F86-41C7-81BC-58A469A7D3AD}"/>
    <cellStyle name="千位分隔 3 2 2 5 2" xfId="3754" xr:uid="{CCF4586A-CB0A-4372-A9C8-09C2C361FE59}"/>
    <cellStyle name="千位分隔 3 2 2 6" xfId="3610" xr:uid="{42E41E19-BF2B-4054-95C4-76C53C5692E3}"/>
    <cellStyle name="千位分隔 3 2 3" xfId="1345" xr:uid="{1C3A46BB-EE8C-4D9A-8882-8B09B492E295}"/>
    <cellStyle name="千位分隔 3 2 3 2" xfId="1704" xr:uid="{21DA88B8-0648-4F9B-9920-77E07BF3A436}"/>
    <cellStyle name="千位分隔 3 2 3 2 2" xfId="3962" xr:uid="{883AEE70-9CB6-4FC3-8E5B-932867C0BBD6}"/>
    <cellStyle name="千位分隔 3 2 3 3" xfId="3839" xr:uid="{64F288BA-8DBC-4183-A829-6A1E6329D4F5}"/>
    <cellStyle name="千位分隔 3 2 4" xfId="1631" xr:uid="{89564701-729E-4073-A19B-B2C51A7776EB}"/>
    <cellStyle name="千位分隔 3 2 4 2" xfId="3939" xr:uid="{80301180-5296-44BF-91E6-A2AE36F41840}"/>
    <cellStyle name="千位分隔 3 2 5" xfId="1432" xr:uid="{A7039560-B82A-4EC6-9BAF-B15D0368197F}"/>
    <cellStyle name="千位分隔 3 2 5 2" xfId="3876" xr:uid="{885D435C-AF72-4856-AA2D-A5D7634EB342}"/>
    <cellStyle name="千位分隔 3 2 6" xfId="1205" xr:uid="{EF2A2C3D-5D50-4AD3-BEDF-9E4CA095BB6E}"/>
    <cellStyle name="千位分隔 3 2 6 2" xfId="3752" xr:uid="{002C5856-F57B-4FD5-908C-1E35393E77C4}"/>
    <cellStyle name="千位分隔 3 3" xfId="966" xr:uid="{00000000-0005-0000-0000-0000CE030000}"/>
    <cellStyle name="千位分隔 3 3 2" xfId="1114" xr:uid="{F0F1C7E0-AC7B-4DB0-A928-55F4C7160C1A}"/>
    <cellStyle name="千位分隔 3 3 2 2" xfId="1570" xr:uid="{38F6CABB-DB81-4FEC-8896-EA77C7F1DD38}"/>
    <cellStyle name="千位分隔 3 3 2 2 2" xfId="3906" xr:uid="{67091736-D141-4731-8E2E-BB14E68E0418}"/>
    <cellStyle name="千位分隔 3 3 2 3" xfId="3692" xr:uid="{C5A4F57E-490C-4D99-951F-1E18FAC1136B}"/>
    <cellStyle name="千位分隔 3 3 3" xfId="1635" xr:uid="{FAC6BC72-1F9B-4E82-A3DB-5D5A5C872FB1}"/>
    <cellStyle name="千位分隔 3 3 3 2" xfId="3941" xr:uid="{4015E194-B1BD-4A92-AA3A-130FB9AC4E0D}"/>
    <cellStyle name="千位分隔 3 3 4" xfId="1434" xr:uid="{7C65FA7E-2315-4760-8DF8-861AD4B1A05D}"/>
    <cellStyle name="千位分隔 3 3 4 2" xfId="3877" xr:uid="{44B3AB56-DC7C-402A-9ACB-1B58AD7BF707}"/>
    <cellStyle name="千位分隔 3 3 5" xfId="2383" xr:uid="{2B839539-2F06-44A5-850F-E87B9940A208}"/>
    <cellStyle name="千位分隔 3 3 5 2" xfId="4356" xr:uid="{E5A5470B-E918-4170-B9B0-6AE1BE848310}"/>
    <cellStyle name="千位分隔 3 3 6" xfId="1209" xr:uid="{710DC7DC-DAB8-4542-852B-55FFB81A8781}"/>
    <cellStyle name="千位分隔 3 3 6 2" xfId="3756" xr:uid="{E1B00017-1A49-488A-BD98-239BFC5F00AE}"/>
    <cellStyle name="千位分隔 3 3 7" xfId="3611" xr:uid="{D5549714-4399-47DB-9CDD-565799972271}"/>
    <cellStyle name="千位分隔 3 4" xfId="967" xr:uid="{00000000-0005-0000-0000-0000CF030000}"/>
    <cellStyle name="千位分隔 3 4 2" xfId="1689" xr:uid="{7B32C672-15EE-46D2-BA37-652155D45879}"/>
    <cellStyle name="千位分隔 3 4 2 2" xfId="3956" xr:uid="{7523EA21-7AC5-4C1C-9CF8-87E9B2D65158}"/>
    <cellStyle name="千位分隔 3 4 3" xfId="1551" xr:uid="{156D4E22-61FA-4707-9EBC-91A9789AE7CC}"/>
    <cellStyle name="千位分隔 3 4 3 2" xfId="3897" xr:uid="{23CF4C35-D61C-4887-9E91-4C4AF288775A}"/>
    <cellStyle name="千位分隔 3 4 4" xfId="1436" xr:uid="{5E3FDF5F-67D0-463C-9665-D8D11236A9C8}"/>
    <cellStyle name="千位分隔 3 4 4 2" xfId="3878" xr:uid="{392493F6-A796-4612-B723-B273CC31EC6C}"/>
    <cellStyle name="千位分隔 3 4 5" xfId="2384" xr:uid="{C79A17D8-BA3E-466A-9C9C-6CBD5834CD8E}"/>
    <cellStyle name="千位分隔 3 4 5 2" xfId="4357" xr:uid="{75862238-0589-4193-BD83-20F9C3A8BDAA}"/>
    <cellStyle name="千位分隔 3 4 6" xfId="1322" xr:uid="{E082D27F-0675-47AB-9682-B7FA3A3E159F}"/>
    <cellStyle name="千位分隔 3 4 6 2" xfId="3828" xr:uid="{9371C96B-E355-402C-94F4-93F9372D8C41}"/>
    <cellStyle name="千位分隔 3 4 7" xfId="3612" xr:uid="{621A3F26-5F48-456E-AE80-E0C638A71DF8}"/>
    <cellStyle name="千位分隔 3 5" xfId="1629" xr:uid="{6F092ED7-D983-4826-A598-16B05E610420}"/>
    <cellStyle name="千位分隔 3 5 2" xfId="3937" xr:uid="{A9174C40-B9CF-4817-8444-36CB3DD3D62A}"/>
    <cellStyle name="千位分隔 3 6" xfId="1430" xr:uid="{7996DD47-9B7D-4C85-85C3-A564B18B37B4}"/>
    <cellStyle name="千位分隔 3 6 2" xfId="3875" xr:uid="{6453FD83-058E-4BF6-9994-10E75EE411EF}"/>
    <cellStyle name="千位分隔 3 7" xfId="1203" xr:uid="{66086039-FE8A-4D5F-8634-6D063D606645}"/>
    <cellStyle name="千位分隔 3 7 2" xfId="3750" xr:uid="{CCE29265-A574-40B1-996D-232975B6BABF}"/>
    <cellStyle name="千位分隔 4" xfId="968" xr:uid="{00000000-0005-0000-0000-0000D0030000}"/>
    <cellStyle name="千位分隔 4 2" xfId="969" xr:uid="{00000000-0005-0000-0000-0000D1030000}"/>
    <cellStyle name="千位分隔 4 2 2" xfId="970" xr:uid="{00000000-0005-0000-0000-0000D2030000}"/>
    <cellStyle name="千位分隔 4 2 2 2" xfId="971" xr:uid="{00000000-0005-0000-0000-0000D3030000}"/>
    <cellStyle name="千位分隔 4 2 2 2 2" xfId="2386" xr:uid="{C409113C-5D80-4447-9E7B-622DEA57006E}"/>
    <cellStyle name="千位分隔 4 2 2 2 2 2" xfId="4359" xr:uid="{897C384B-A2D2-4092-8B6E-71D092E56CD7}"/>
    <cellStyle name="千位分隔 4 2 2 2 3" xfId="1663" xr:uid="{48B9162E-2EE1-4995-977D-7102B057B5D4}"/>
    <cellStyle name="千位分隔 4 2 2 2 4" xfId="3614" xr:uid="{A413F3BD-A4B4-4F11-82EA-CA6640803820}"/>
    <cellStyle name="千位分隔 4 2 2 3" xfId="2385" xr:uid="{71C3954A-81C8-4880-9DFE-08325DFDF284}"/>
    <cellStyle name="千位分隔 4 2 2 3 2" xfId="4358" xr:uid="{6F5872AD-CD7C-4746-A37B-72F5D16E8C25}"/>
    <cellStyle name="千位分隔 4 2 2 4" xfId="1256" xr:uid="{E02FA24F-29C8-4131-BE08-912C91284708}"/>
    <cellStyle name="千位分隔 4 2 2 4 2" xfId="3779" xr:uid="{A02E04AE-D4B5-46E4-870E-507913533C64}"/>
    <cellStyle name="千位分隔 4 2 2 5" xfId="3613" xr:uid="{41F6FD22-F360-46F1-9A96-E2BF498D89F7}"/>
    <cellStyle name="千位分隔 4 2 3" xfId="972" xr:uid="{00000000-0005-0000-0000-0000D4030000}"/>
    <cellStyle name="千位分隔 4 2 3 2" xfId="2387" xr:uid="{3FFD6573-C0CA-462D-8B0A-BC5B25D3CACF}"/>
    <cellStyle name="千位分隔 4 2 3 2 2" xfId="4360" xr:uid="{B9D67AA8-B439-40BF-9E1B-67D7AA4CBF0A}"/>
    <cellStyle name="千位分隔 4 2 3 3" xfId="1619" xr:uid="{3981A9B4-51CB-4C67-8705-01EEA51FCE21}"/>
    <cellStyle name="千位分隔 4 2 3 4" xfId="3615" xr:uid="{DB1AC7C4-CCB8-4431-8C40-886BDB6B4736}"/>
    <cellStyle name="千位分隔 4 2 4" xfId="973" xr:uid="{00000000-0005-0000-0000-0000D5030000}"/>
    <cellStyle name="千位分隔 4 2 4 2" xfId="2388" xr:uid="{2E646A3C-BC07-463A-90EE-A280F79F4568}"/>
    <cellStyle name="千位分隔 4 2 4 2 2" xfId="4361" xr:uid="{EA8E5FA8-7A37-417A-9546-A56A21605193}"/>
    <cellStyle name="千位分隔 4 2 4 3" xfId="1440" xr:uid="{3185B839-B2C4-4640-BD72-817EC7A31619}"/>
    <cellStyle name="千位分隔 4 2 4 4" xfId="3616" xr:uid="{5B5CDF7C-B153-4021-B621-642BAB0E9500}"/>
    <cellStyle name="千位分隔 4 2 5" xfId="1193" xr:uid="{160CDA40-47B5-4CC1-A931-717F2332B0E0}"/>
    <cellStyle name="千位分隔 4 2 5 2" xfId="3740" xr:uid="{08B8BA2A-E2E3-43ED-ADFD-F718E62CA747}"/>
    <cellStyle name="千位分隔 4 2_1" xfId="974" xr:uid="{00000000-0005-0000-0000-0000D6030000}"/>
    <cellStyle name="千位分隔 4 3" xfId="975" xr:uid="{00000000-0005-0000-0000-0000D7030000}"/>
    <cellStyle name="千位分隔 4 3 2" xfId="976" xr:uid="{00000000-0005-0000-0000-0000D8030000}"/>
    <cellStyle name="千位分隔 4 3 2 2" xfId="2390" xr:uid="{C84B09C8-9B46-450C-B56E-9C6401E544F4}"/>
    <cellStyle name="千位分隔 4 3 2 2 2" xfId="4363" xr:uid="{C12FF12C-4AB8-40E1-9AA1-3E673F5090EC}"/>
    <cellStyle name="千位分隔 4 3 2 3" xfId="1705" xr:uid="{84792798-CF3F-4AE8-9CF0-9CC66EA07390}"/>
    <cellStyle name="千位分隔 4 3 2 4" xfId="3618" xr:uid="{D94C7104-283D-498A-9DE8-5A39BAAB43B3}"/>
    <cellStyle name="千位分隔 4 3 3" xfId="2389" xr:uid="{3A23EE43-97A6-458D-B318-9A0695FD2AA1}"/>
    <cellStyle name="千位分隔 4 3 3 2" xfId="4362" xr:uid="{10480781-0217-4FB9-AA44-CB4A2047363C}"/>
    <cellStyle name="千位分隔 4 3 4" xfId="1346" xr:uid="{055EDCE5-BD83-4A51-92B6-EBB9F2292655}"/>
    <cellStyle name="千位分隔 4 3 4 2" xfId="3840" xr:uid="{FD420B76-200B-4A66-8BD8-C49CBCA875F3}"/>
    <cellStyle name="千位分隔 4 3 5" xfId="3617" xr:uid="{F31A9A07-F900-4286-9F98-3A5BE4EA80A8}"/>
    <cellStyle name="千位分隔 4 4" xfId="977" xr:uid="{00000000-0005-0000-0000-0000D9030000}"/>
    <cellStyle name="千位分隔 4 4 2" xfId="2391" xr:uid="{52720D71-9074-4E13-A033-945BBC7B75A9}"/>
    <cellStyle name="千位分隔 4 4 2 2" xfId="4364" xr:uid="{0D156479-7D10-44DC-AF47-4AC65F37F8DC}"/>
    <cellStyle name="千位分隔 4 4 3" xfId="1616" xr:uid="{2A779D4B-2723-487F-B691-7DBE773B8743}"/>
    <cellStyle name="千位分隔 4 4 4" xfId="3619" xr:uid="{3BB6CD00-14E0-4387-BE00-3042513FDA51}"/>
    <cellStyle name="千位分隔 4 5" xfId="978" xr:uid="{00000000-0005-0000-0000-0000DA030000}"/>
    <cellStyle name="千位分隔 4 5 2" xfId="2392" xr:uid="{12B69E14-8DAA-4E58-ABA4-6EACD9F9017C}"/>
    <cellStyle name="千位分隔 4 5 2 2" xfId="4365" xr:uid="{7218BF64-FFC8-4DBB-8D3B-D40FED533BF9}"/>
    <cellStyle name="千位分隔 4 5 3" xfId="1438" xr:uid="{CC476614-1528-4E87-99D7-691DC9951501}"/>
    <cellStyle name="千位分隔 4 5 4" xfId="3620" xr:uid="{D0DAF1DD-A36B-40A3-BC18-55D39AAFD227}"/>
    <cellStyle name="千位分隔 4 6" xfId="1190" xr:uid="{7D3FED8B-DCE6-4AAF-A9D5-33279F8EC76A}"/>
    <cellStyle name="千位分隔 4 6 2" xfId="3737" xr:uid="{8543B838-057B-438F-96AB-4B706D7DC9FE}"/>
    <cellStyle name="千位分隔 4_1" xfId="979" xr:uid="{00000000-0005-0000-0000-0000DB030000}"/>
    <cellStyle name="千位分隔 5" xfId="980" xr:uid="{00000000-0005-0000-0000-0000DC030000}"/>
    <cellStyle name="千位分隔 5 2" xfId="981" xr:uid="{00000000-0005-0000-0000-0000DD030000}"/>
    <cellStyle name="千位分隔 5 2 2" xfId="1262" xr:uid="{A2D6D936-811E-467E-A909-5D839FE0E7BB}"/>
    <cellStyle name="千位分隔 5 2 2 2" xfId="1665" xr:uid="{543C47F2-EBFE-4355-AABF-A755BBA8A2FC}"/>
    <cellStyle name="千位分隔 5 2 2 2 2" xfId="3951" xr:uid="{D271A309-E64D-437D-A33C-5506AE07C65E}"/>
    <cellStyle name="千位分隔 5 2 2 3" xfId="3781" xr:uid="{1FFF9B24-F396-4F32-A341-780B48085B13}"/>
    <cellStyle name="千位分隔 5 2 3" xfId="1664" xr:uid="{9C9A356F-AADB-45CE-8CF9-87B8943D4C4F}"/>
    <cellStyle name="千位分隔 5 2 3 2" xfId="3950" xr:uid="{C34EE0BA-66BA-48E8-A186-01BDAE3C49E6}"/>
    <cellStyle name="千位分隔 5 2 4" xfId="2393" xr:uid="{31CF5B6F-DD6B-4E02-8BB3-CEE96D956D88}"/>
    <cellStyle name="千位分隔 5 2 4 2" xfId="4366" xr:uid="{AC70EEFF-8B89-47D5-9508-6F5483E7EC9C}"/>
    <cellStyle name="千位分隔 5 2 5" xfId="1260" xr:uid="{B5DFB219-E835-4789-A0A7-074D8DBCFEFB}"/>
    <cellStyle name="千位分隔 5 2 5 2" xfId="3780" xr:uid="{064EAAB2-4EAD-4528-B605-3453AACF65CF}"/>
    <cellStyle name="千位分隔 5 2 6" xfId="3621" xr:uid="{5E10BD8A-3CD8-4AF9-804C-A92B64DCB550}"/>
    <cellStyle name="千位分隔 5 3" xfId="982" xr:uid="{00000000-0005-0000-0000-0000DE030000}"/>
    <cellStyle name="千位分隔 5 3 2" xfId="1695" xr:uid="{3133411D-16B7-42B4-925C-00DF0C3A1F13}"/>
    <cellStyle name="千位分隔 5 3 2 2" xfId="3961" xr:uid="{8170EAF9-12DA-41F7-95BD-B17EA315E591}"/>
    <cellStyle name="千位分隔 5 3 3" xfId="2394" xr:uid="{B68DB03A-3998-4464-9524-AB6CCF1D5202}"/>
    <cellStyle name="千位分隔 5 3 3 2" xfId="4367" xr:uid="{47C33723-0B92-49C4-90C9-B81AC69C9E23}"/>
    <cellStyle name="千位分隔 5 3 4" xfId="1333" xr:uid="{5D3C4E9C-E6FD-41AF-A937-EF163AFC249D}"/>
    <cellStyle name="千位分隔 5 3 4 2" xfId="3835" xr:uid="{810AD37F-C303-48FF-BEA3-8F2C895396BE}"/>
    <cellStyle name="千位分隔 5 3 5" xfId="3622" xr:uid="{C58A7A45-9B0B-4D5A-9AFE-AB2401434DD8}"/>
    <cellStyle name="千位分隔 5 4" xfId="1622" xr:uid="{7474D50E-E08E-4006-AC1A-7E830EF5624F}"/>
    <cellStyle name="千位分隔 5 4 2" xfId="3932" xr:uid="{1F2531E2-4279-4ABB-B3AD-AF5A26D1A5CF}"/>
    <cellStyle name="千位分隔 5 5" xfId="1533" xr:uid="{062A860C-EDD2-4C23-BD57-C9B1BEC83C71}"/>
    <cellStyle name="千位分隔 5 5 2" xfId="3894" xr:uid="{DAA56851-DFE1-4718-9F8A-29E45AA7B3AC}"/>
    <cellStyle name="千位分隔 5 6" xfId="1196" xr:uid="{A449ED77-8401-4791-A122-66A20BB5458F}"/>
    <cellStyle name="千位分隔 5 6 2" xfId="3743" xr:uid="{237EF6E7-2BFE-46A1-8BE7-874D97065133}"/>
    <cellStyle name="千位分隔 6" xfId="983" xr:uid="{00000000-0005-0000-0000-0000DF030000}"/>
    <cellStyle name="千位分隔 6 2" xfId="984" xr:uid="{00000000-0005-0000-0000-0000E0030000}"/>
    <cellStyle name="千位分隔 6 2 2" xfId="2396" xr:uid="{8DF58E1F-3E78-44E5-ACDB-36D55C5D7FCA}"/>
    <cellStyle name="千位分隔 6 2 2 2" xfId="4369" xr:uid="{89C9B47E-8DE2-4D73-B7BD-B5FEB3F24B11}"/>
    <cellStyle name="千位分隔 6 2 3" xfId="1605" xr:uid="{5544E50B-8C62-483D-BF42-EB82C51C1810}"/>
    <cellStyle name="千位分隔 6 2 4" xfId="3624" xr:uid="{5376A557-AB41-4395-92A9-1812B00A5A20}"/>
    <cellStyle name="千位分隔 6 3" xfId="2395" xr:uid="{D2268739-7ED3-4EDB-9348-61FD911D0E7E}"/>
    <cellStyle name="千位分隔 6 3 2" xfId="4368" xr:uid="{0590FD9B-60E8-4120-853E-83E147D7FD6D}"/>
    <cellStyle name="千位分隔 6 4" xfId="1179" xr:uid="{2D646F81-62B1-4257-A2B0-098862E47799}"/>
    <cellStyle name="千位分隔 6 4 2" xfId="3728" xr:uid="{BA8BACBE-9DEE-4CE0-9CA3-41573766834D}"/>
    <cellStyle name="千位分隔 6 5" xfId="3623" xr:uid="{CD362E60-9632-48A9-8B2E-64F6E24AF865}"/>
    <cellStyle name="千位分隔 7" xfId="985" xr:uid="{00000000-0005-0000-0000-0000E1030000}"/>
    <cellStyle name="千位分隔 7 2" xfId="986" xr:uid="{00000000-0005-0000-0000-0000E2030000}"/>
    <cellStyle name="千位分隔 7 2 2" xfId="2398" xr:uid="{041175A8-10CE-4006-9FE0-7E307BDE3B33}"/>
    <cellStyle name="千位分隔 7 2 2 2" xfId="4371" xr:uid="{F7474D6F-5168-4A94-9DBE-534CC5439337}"/>
    <cellStyle name="千位分隔 7 2 3" xfId="1625" xr:uid="{BE204109-93B6-4C18-B928-B4B9271A2032}"/>
    <cellStyle name="千位分隔 7 2 4" xfId="3626" xr:uid="{5751828E-6B52-4416-AC13-9E9109496834}"/>
    <cellStyle name="千位分隔 7 3" xfId="1018" xr:uid="{73A9AC16-CE07-4703-BEF6-9C4BF8F48EEC}"/>
    <cellStyle name="千位分隔 7 3 2" xfId="1267" xr:uid="{4F555C1A-6B55-4977-AE04-F49EC0DB23A0}"/>
    <cellStyle name="千位分隔 7 3 2 2" xfId="1669" xr:uid="{85A1B1F5-D077-4886-A7EF-AAE1A82570FE}"/>
    <cellStyle name="千位分隔 7 3 2 2 2" xfId="3952" xr:uid="{621581A4-EAC1-44B0-95CC-44EBAC37C02D}"/>
    <cellStyle name="千位分隔 7 3 2 3" xfId="3782" xr:uid="{CBA65F4D-125D-4D77-9DB5-F1138EDEA477}"/>
    <cellStyle name="千位分隔 7 3 3" xfId="1706" xr:uid="{AD57CB21-8012-473B-9079-D74E4634484D}"/>
    <cellStyle name="千位分隔 7 3 3 2" xfId="3963" xr:uid="{31F4A252-49F7-4989-97FB-8410380078DE}"/>
    <cellStyle name="千位分隔 7 3 4" xfId="2406" xr:uid="{82D26623-989A-489C-99F4-719F9807EA64}"/>
    <cellStyle name="千位分隔 7 3 4 2" xfId="4377" xr:uid="{5AAC48EF-938E-47A1-BD23-9BD6E48A61B7}"/>
    <cellStyle name="千位分隔 7 3 5" xfId="1347" xr:uid="{D2F4DCBB-D898-44AA-9FE3-9F437D1FFE24}"/>
    <cellStyle name="千位分隔 7 3 5 2" xfId="3841" xr:uid="{49955D0D-5428-4DF8-8CFB-86A3FC214B8A}"/>
    <cellStyle name="千位分隔 7 3 6" xfId="3633" xr:uid="{41A1E8AF-AC03-4C99-9E34-DD449AD462E4}"/>
    <cellStyle name="千位分隔 7 4" xfId="2397" xr:uid="{E5FB8EBB-1929-4E0F-96BA-DE1DFFB2C912}"/>
    <cellStyle name="千位分隔 7 4 2" xfId="4370" xr:uid="{834CD9E2-E253-4DFE-9E69-D03A598F819E}"/>
    <cellStyle name="千位分隔 7 5" xfId="1199" xr:uid="{382879E6-32CB-4E99-97E9-320F735B6D47}"/>
    <cellStyle name="千位分隔 7 5 2" xfId="3746" xr:uid="{0D5C07A7-D4A2-4959-9149-E269921582EB}"/>
    <cellStyle name="千位分隔 7 6" xfId="3625" xr:uid="{A5C2718C-0C41-4381-A7D4-50020E01434A}"/>
    <cellStyle name="千位分隔 8" xfId="987" xr:uid="{00000000-0005-0000-0000-0000E3030000}"/>
    <cellStyle name="千位分隔 8 2" xfId="988" xr:uid="{00000000-0005-0000-0000-0000E4030000}"/>
    <cellStyle name="千位分隔 8 2 2" xfId="1688" xr:uid="{12F900AD-DC01-4BBF-B3C7-6A8B06DC8E3F}"/>
    <cellStyle name="千位分隔 8 2 2 2" xfId="3955" xr:uid="{4FFF6297-141D-45A8-9AED-831943075DE3}"/>
    <cellStyle name="千位分隔 8 2 3" xfId="2400" xr:uid="{5F1B44FB-7DC8-46A6-9F66-220A4B8FE02D}"/>
    <cellStyle name="千位分隔 8 2 3 2" xfId="4373" xr:uid="{242ECCC0-B771-4288-B8D8-138E70900674}"/>
    <cellStyle name="千位分隔 8 2 4" xfId="1306" xr:uid="{C6D4BAB1-72E4-477C-A95C-23A38683CFF7}"/>
    <cellStyle name="千位分隔 8 2 4 2" xfId="3812" xr:uid="{FCE369E5-DA9A-4649-8D0D-894CB6707F1F}"/>
    <cellStyle name="千位分隔 8 2 5" xfId="3628" xr:uid="{75C5FDE2-E6C5-4534-874B-7B86F352FD8A}"/>
    <cellStyle name="千位分隔 8 3" xfId="1707" xr:uid="{105B86B2-A36B-4CD5-85B3-FD730D99DF9D}"/>
    <cellStyle name="千位分隔 8 3 2" xfId="3964" xr:uid="{93251BF2-E820-48DB-9DF5-80E1A74184FD}"/>
    <cellStyle name="千位分隔 8 4" xfId="2399" xr:uid="{F01363C1-1CD8-4D7A-8DE7-A47E2BEEC5BF}"/>
    <cellStyle name="千位分隔 8 4 2" xfId="4372" xr:uid="{042B388F-6F97-4625-BB5D-ADA35BC6195A}"/>
    <cellStyle name="千位分隔 8 5" xfId="1348" xr:uid="{F4860622-0600-4966-A2CE-3C35C4C023D7}"/>
    <cellStyle name="千位分隔 8 5 2" xfId="3842" xr:uid="{D9D28611-5799-4C8F-A148-3FF928A37F1B}"/>
    <cellStyle name="千位分隔 8 6" xfId="3627" xr:uid="{7193B709-ACE6-49F1-A4D3-C5A49BE4B8EB}"/>
    <cellStyle name="千位分隔 9" xfId="1029" xr:uid="{B3F85CF0-C3E4-474C-86D4-7947892A2DD3}"/>
    <cellStyle name="千位分隔 9 2" xfId="1708" xr:uid="{4531449E-C411-4206-BC68-DC3DE62866E3}"/>
    <cellStyle name="千位分隔 9 2 2" xfId="3965" xr:uid="{7719FEF6-48CF-4520-A58F-2ED8DEECAAD9}"/>
    <cellStyle name="千位分隔 9 3" xfId="2414" xr:uid="{7F9B152D-E03D-4040-8186-CEF08249B451}"/>
    <cellStyle name="千位分隔 9 3 2" xfId="4383" xr:uid="{EE02824F-C3ED-4823-9CE4-1B630C88F40F}"/>
    <cellStyle name="千位分隔 9 4" xfId="1349" xr:uid="{000F05D9-50FB-4636-B1B7-F0CE04F87E1C}"/>
    <cellStyle name="千位分隔 9 4 2" xfId="3843" xr:uid="{F28E39A2-945B-4AC5-AC43-C34837CB049B}"/>
    <cellStyle name="千位分隔 9 5" xfId="3641" xr:uid="{7893425E-AE5A-4ECF-AA34-BB23FA7548E6}"/>
    <cellStyle name="千位分隔[0] 2" xfId="33" xr:uid="{00000000-0005-0000-0000-000029000000}"/>
    <cellStyle name="千位分隔[0] 2 2" xfId="989" xr:uid="{00000000-0005-0000-0000-0000E5030000}"/>
    <cellStyle name="千位分隔[0] 2 2 2" xfId="1351" xr:uid="{66AE6631-7BA4-4E0E-9853-30101E05F467}"/>
    <cellStyle name="千位分隔[0] 2 2 2 2" xfId="1352" xr:uid="{3FC42712-9256-4B10-8C53-4E1EACE4B29D}"/>
    <cellStyle name="千位分隔[0] 2 2 2 2 2" xfId="1711" xr:uid="{271D395C-80A2-484B-BB8F-A5999496B049}"/>
    <cellStyle name="千位分隔[0] 2 2 2 2 2 2" xfId="3968" xr:uid="{CCC3D854-64A1-4086-A073-FDA23F37BF3D}"/>
    <cellStyle name="千位分隔[0] 2 2 2 2 3" xfId="3846" xr:uid="{0FC94F91-F968-4027-8C35-E3A97A65EF56}"/>
    <cellStyle name="千位分隔[0] 2 2 2 3" xfId="1710" xr:uid="{79AB7704-850F-46E9-A1FF-38DBD66A40BD}"/>
    <cellStyle name="千位分隔[0] 2 2 2 3 2" xfId="3967" xr:uid="{695056CE-2421-41A4-8099-40B313755797}"/>
    <cellStyle name="千位分隔[0] 2 2 2 4" xfId="1531" xr:uid="{51CD1DF3-5E40-4BC9-83BC-4F6FB1FD1362}"/>
    <cellStyle name="千位分隔[0] 2 2 2 4 2" xfId="3893" xr:uid="{69D2A721-E87D-4B31-9FB1-57A1EBD56D7C}"/>
    <cellStyle name="千位分隔[0] 2 2 2 5" xfId="3845" xr:uid="{C5C2412C-56C5-48F6-B551-9C6E622C8FB5}"/>
    <cellStyle name="千位分隔[0] 2 2 3" xfId="1353" xr:uid="{702EAD74-18CB-42EB-8D3D-9F00F0716FBC}"/>
    <cellStyle name="千位分隔[0] 2 2 3 2" xfId="1712" xr:uid="{EE7C84F2-59B2-4C6A-A549-08FA419AFA68}"/>
    <cellStyle name="千位分隔[0] 2 2 3 2 2" xfId="3969" xr:uid="{55E0D600-D297-4191-86A1-8D42D2E6652D}"/>
    <cellStyle name="千位分隔[0] 2 2 3 3" xfId="3847" xr:uid="{E2A36E25-EBAC-412C-B2EB-C21F5FBABC3E}"/>
    <cellStyle name="千位分隔[0] 2 2 4" xfId="1709" xr:uid="{C68AE016-2E6B-41F8-AA29-4F0720AEAD47}"/>
    <cellStyle name="千位分隔[0] 2 2 4 2" xfId="3966" xr:uid="{698596FC-49F6-4652-A71E-BA64AD4A90D5}"/>
    <cellStyle name="千位分隔[0] 2 2 5" xfId="1471" xr:uid="{AB866AC4-F4DC-4138-84A9-10E500F01C10}"/>
    <cellStyle name="千位分隔[0] 2 2 5 2" xfId="3891" xr:uid="{A519374F-9F2A-43AC-8F90-63F05DE91F94}"/>
    <cellStyle name="千位分隔[0] 2 2 6" xfId="1350" xr:uid="{97D02F63-E151-4182-841C-0F98D7751385}"/>
    <cellStyle name="千位分隔[0] 2 2 6 2" xfId="3844" xr:uid="{7D76370C-46F7-43C6-B57A-12AEBB03C916}"/>
    <cellStyle name="千位分隔[0] 2 3" xfId="1354" xr:uid="{3BBA9FD7-80FF-4093-B1F8-A272CA748C78}"/>
    <cellStyle name="千位分隔[0] 2 3 2" xfId="1713" xr:uid="{2E6D0AE5-7705-4C5A-90F7-702408ED5D14}"/>
    <cellStyle name="千位分隔[0] 2 3 2 2" xfId="3970" xr:uid="{42F15B56-06AF-47FA-9586-7B69F3BECCDA}"/>
    <cellStyle name="千位分隔[0] 2 3 3" xfId="3848" xr:uid="{069F5027-0952-46BD-B766-FC0E08ABCEFE}"/>
    <cellStyle name="千位分隔[0] 2 4" xfId="1576" xr:uid="{D54CD17D-DE68-46AF-BBBB-5BFB58BEB966}"/>
    <cellStyle name="千位分隔[0] 2 4 2" xfId="3909" xr:uid="{8BA7D358-9DA8-4635-811B-E76C16C911AD}"/>
    <cellStyle name="千位分隔[0] 2 5" xfId="1402" xr:uid="{DDFFD069-7AC4-4D2D-926A-7DAF7818B744}"/>
    <cellStyle name="千位分隔[0] 2 5 2" xfId="3865" xr:uid="{F7961EE3-635A-4B27-9342-FC4F1C9C15C0}"/>
    <cellStyle name="千位分隔[0] 2 6" xfId="1126" xr:uid="{6793D280-D14D-422B-AD60-C334ABD130EE}"/>
    <cellStyle name="千位分隔[0] 2 6 2" xfId="3697" xr:uid="{37A96D23-F18E-430A-ACEE-11BA3E38E4E8}"/>
    <cellStyle name="钎霖_(沥焊何巩)岿喊牢盔拌裙" xfId="990" xr:uid="{00000000-0005-0000-0000-0000E6030000}"/>
    <cellStyle name="强调 1" xfId="991" xr:uid="{00000000-0005-0000-0000-0000E7030000}"/>
    <cellStyle name="强调 2" xfId="992" xr:uid="{00000000-0005-0000-0000-0000E8030000}"/>
    <cellStyle name="强调 3" xfId="993" xr:uid="{00000000-0005-0000-0000-0000E9030000}"/>
    <cellStyle name="强调文字颜色 1" xfId="994" xr:uid="{00000000-0005-0000-0000-0000EA030000}"/>
    <cellStyle name="强调文字颜色 2" xfId="995" xr:uid="{00000000-0005-0000-0000-0000EB030000}"/>
    <cellStyle name="强调文字颜色 3" xfId="996" xr:uid="{00000000-0005-0000-0000-0000EC030000}"/>
    <cellStyle name="强调文字颜色 4" xfId="997" xr:uid="{00000000-0005-0000-0000-0000ED030000}"/>
    <cellStyle name="强调文字颜色 5" xfId="998" xr:uid="{00000000-0005-0000-0000-0000EE030000}"/>
    <cellStyle name="强调文字颜色 6" xfId="999" xr:uid="{00000000-0005-0000-0000-0000EF030000}"/>
    <cellStyle name="通貨 [0.00]_１１月価格表" xfId="1000" xr:uid="{00000000-0005-0000-0000-0000F0030000}"/>
    <cellStyle name="通貨_１１月価格表" xfId="1001" xr:uid="{00000000-0005-0000-0000-0000F1030000}"/>
    <cellStyle name="样式 1" xfId="1002" xr:uid="{00000000-0005-0000-0000-0000F2030000}"/>
    <cellStyle name="一般 2" xfId="1030" xr:uid="{FCB23121-3D7F-421B-8774-C2F8C0336CDC}"/>
    <cellStyle name="一般 2 2" xfId="1715" xr:uid="{2233DCFD-75CB-4C9D-A706-9275C66285F3}"/>
    <cellStyle name="一般 2 2 2" xfId="3971" xr:uid="{4DA8E4C4-7460-436E-B8A1-BE445E75E85B}"/>
    <cellStyle name="一般 2 3" xfId="2415" xr:uid="{DC8A1189-E527-4010-80D1-F7EEF65CA0D9}"/>
    <cellStyle name="一般 2 3 2" xfId="4384" xr:uid="{34308708-DFD7-42A7-BDD0-B634C62E71A0}"/>
    <cellStyle name="一般 2 4" xfId="1356" xr:uid="{763E00EC-E351-4834-A7B9-D0EDB199406B}"/>
    <cellStyle name="一般 2 5" xfId="3642" xr:uid="{ED9CD658-E031-4748-B073-3C684E6A85A1}"/>
    <cellStyle name="一般_2008 06CUIT" xfId="1500" xr:uid="{31ED43EF-DDED-4CFE-891F-1FD0D369445A}"/>
    <cellStyle name="昗弨_BOOKSHIP" xfId="1003" xr:uid="{00000000-0005-0000-0000-0000F4030000}"/>
    <cellStyle name="寘嬫愗傝 [0.00]_PRODUCT DETAIL Q1" xfId="1004" xr:uid="{00000000-0005-0000-0000-0000F5030000}"/>
    <cellStyle name="寘嬫愗傝_PRODUCT DETAIL Q1" xfId="1005" xr:uid="{00000000-0005-0000-0000-0000F6030000}"/>
    <cellStyle name="资产" xfId="1006" xr:uid="{00000000-0005-0000-0000-0000F7030000}"/>
    <cellStyle name="资产 2" xfId="1007" xr:uid="{00000000-0005-0000-0000-0000F8030000}"/>
    <cellStyle name="资产 2 2" xfId="2402" xr:uid="{F61DD3B0-C84B-4975-8A7E-EB3E2311F9CE}"/>
    <cellStyle name="资产 2 2 2" xfId="4375" xr:uid="{34E41BA2-7AF1-4D1D-814A-F6FA27254A82}"/>
    <cellStyle name="资产 2 2 2 2" xfId="5862" xr:uid="{E95B91F8-583B-42E7-B540-EC33AF1E06C6}"/>
    <cellStyle name="资产 2 2 2 3" xfId="6209" xr:uid="{E68F1B3A-91E3-49EA-B7A6-6E0B806D9500}"/>
    <cellStyle name="资产 2 2 3" xfId="4703" xr:uid="{E3BF14A0-30F1-443E-A6D3-BA3BF7C40B2F}"/>
    <cellStyle name="资产 2 2 4" xfId="4852" xr:uid="{39C076EF-E4EE-40E1-8659-4F4D31BF4B26}"/>
    <cellStyle name="资产 2 2 5" xfId="3668" xr:uid="{260F2C1C-9F9A-40DE-B34F-FCD1762E22BE}"/>
    <cellStyle name="资产 2 2 6" xfId="6033" xr:uid="{3E1E600D-0A20-45CD-8398-614E139B0ADE}"/>
    <cellStyle name="资产 2 3" xfId="1714" xr:uid="{13B08C0D-CFA7-4282-88EB-FC7E07ACA6FC}"/>
    <cellStyle name="资产 2 3 2" xfId="5524" xr:uid="{FD125E4A-BD22-4957-BF38-0E9DCF84C1CC}"/>
    <cellStyle name="资产 2 3 3" xfId="2643" xr:uid="{0B40E692-54F8-413C-9E44-FD42DC22E2A6}"/>
    <cellStyle name="资产 2 4" xfId="3630" xr:uid="{220F7BBF-0332-45F4-97BE-83F6161FCA51}"/>
    <cellStyle name="资产 2 4 2" xfId="4967" xr:uid="{A95922D0-23EB-4F82-BE5C-E3424706C402}"/>
    <cellStyle name="资产 2 4 3" xfId="5175" xr:uid="{9BDD569D-900E-4D24-A3E8-63B3AFE214A5}"/>
    <cellStyle name="资产 2 5" xfId="5638" xr:uid="{14EBF7BC-E880-4CB8-A134-59C30793D33E}"/>
    <cellStyle name="资产 2 6" xfId="2716" xr:uid="{A33C36B1-8A14-4C9D-901B-BE33FBE8E6B5}"/>
    <cellStyle name="资产 3" xfId="2401" xr:uid="{634B84A8-8109-4A4C-905D-5E832F4A7E8A}"/>
    <cellStyle name="资产 3 2" xfId="4374" xr:uid="{9C21F5F9-6D88-4FE4-855D-8D296C9D3C11}"/>
    <cellStyle name="资产 3 2 2" xfId="5861" xr:uid="{D8278354-00C8-4FB5-908E-894197EE05A0}"/>
    <cellStyle name="资产 3 2 3" xfId="6208" xr:uid="{4A5CE443-73FF-4DA4-8383-A5C03A5D816C}"/>
    <cellStyle name="资产 3 3" xfId="4702" xr:uid="{7FD5C568-6DDB-4B41-BA8D-C0780349BC0A}"/>
    <cellStyle name="资产 3 4" xfId="5252" xr:uid="{B70C8390-CC20-4AD2-A59F-2FFAD1F379C3}"/>
    <cellStyle name="资产 3 5" xfId="6020" xr:uid="{CC51BB7C-D821-4E3C-8C5D-59DFADB120B7}"/>
    <cellStyle name="资产 3 6" xfId="5235" xr:uid="{38330E26-2541-4890-A1B1-C7968DFD25D8}"/>
    <cellStyle name="资产 4" xfId="1355" xr:uid="{C6ECC2B1-465D-4B26-A01F-01832736460B}"/>
    <cellStyle name="资产 4 2" xfId="2737" xr:uid="{D9D2ED63-C0AC-4A13-AB34-71604C209457}"/>
    <cellStyle name="资产 4 3" xfId="2914" xr:uid="{C0E85266-B890-4B82-8724-4C07E02FFEDA}"/>
    <cellStyle name="资产 5" xfId="3629" xr:uid="{46E63344-4440-4A99-88F5-5FB81992D026}"/>
    <cellStyle name="资产 5 2" xfId="4966" xr:uid="{C28B3082-4559-4256-B786-1698C33A423E}"/>
    <cellStyle name="资产 5 3" xfId="5055" xr:uid="{FFEA8476-5158-418C-97FD-77983C99831C}"/>
    <cellStyle name="콤마 [0]_BOILER-CO1" xfId="1008" xr:uid="{00000000-0005-0000-0000-0000F9030000}"/>
    <cellStyle name="콤마_BOILER-CO1" xfId="1009" xr:uid="{00000000-0005-0000-0000-0000FA030000}"/>
    <cellStyle name="통화 [0]_BOILER-CO1" xfId="1010" xr:uid="{00000000-0005-0000-0000-0000FB030000}"/>
    <cellStyle name="통화_BOILER-CO1" xfId="1011" xr:uid="{00000000-0005-0000-0000-0000FC030000}"/>
    <cellStyle name="표준_0N-HANDLING " xfId="1012" xr:uid="{00000000-0005-0000-0000-0000FD030000}"/>
  </cellStyles>
  <dxfs count="32">
    <dxf>
      <fill>
        <patternFill>
          <bgColor rgb="FFFFFFCC"/>
        </patternFill>
      </fill>
    </dxf>
    <dxf>
      <fill>
        <patternFill>
          <bgColor rgb="FFFFFFCC"/>
        </patternFill>
      </fill>
    </dxf>
    <dxf>
      <font>
        <color rgb="FFFF000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CC"/>
        </patternFill>
      </fill>
    </dxf>
    <dxf>
      <fill>
        <patternFill>
          <bgColor rgb="FFFFFFCC"/>
        </patternFill>
      </fill>
    </dxf>
    <dxf>
      <fill>
        <patternFill patternType="lightUp"/>
      </fill>
    </dxf>
    <dxf>
      <fill>
        <patternFill patternType="lightUp"/>
      </fill>
    </dxf>
    <dxf>
      <fill>
        <patternFill patternType="lightUp"/>
      </fill>
    </dxf>
    <dxf>
      <fill>
        <patternFill>
          <bgColor theme="0" tint="-0.34998626667073579"/>
        </patternFill>
      </fill>
    </dxf>
    <dxf>
      <fill>
        <patternFill>
          <bgColor rgb="FFFFFFCC"/>
        </patternFill>
      </fill>
    </dxf>
    <dxf>
      <fill>
        <patternFill>
          <bgColor theme="0" tint="-0.34998626667073579"/>
        </patternFill>
      </fill>
    </dxf>
    <dxf>
      <fill>
        <patternFill>
          <bgColor theme="0" tint="-0.34998626667073579"/>
        </patternFill>
      </fill>
    </dxf>
    <dxf>
      <fill>
        <patternFill>
          <bgColor rgb="FFFFFF00"/>
        </patternFill>
      </fill>
    </dxf>
    <dxf>
      <fill>
        <patternFill>
          <bgColor rgb="FFFFFF00"/>
        </patternFill>
      </fill>
    </dxf>
    <dxf>
      <fill>
        <patternFill>
          <bgColor rgb="FFFFFF00"/>
        </patternFill>
      </fill>
    </dxf>
    <dxf>
      <fill>
        <patternFill>
          <bgColor rgb="FFFFFFCC"/>
        </patternFill>
      </fill>
    </dxf>
    <dxf>
      <border>
        <left style="thin">
          <color auto="1"/>
        </left>
        <right style="thin">
          <color auto="1"/>
        </right>
      </border>
    </dxf>
    <dxf>
      <border>
        <left style="thin">
          <color auto="1"/>
        </left>
        <right style="thin">
          <color auto="1"/>
        </right>
      </border>
    </dxf>
    <dxf>
      <fill>
        <patternFill>
          <bgColor theme="0" tint="-0.14990691854609822"/>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
      <border>
        <left style="thin">
          <color auto="1"/>
        </left>
        <right style="thin">
          <color auto="1"/>
        </right>
      </border>
    </dxf>
    <dxf>
      <border>
        <left style="thin">
          <color auto="1"/>
        </left>
        <right style="thin">
          <color auto="1"/>
        </right>
      </border>
    </dxf>
    <dxf>
      <fill>
        <patternFill>
          <bgColor theme="0" tint="-0.1490524002807703"/>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3" defaultTableStyle="TableStyleMedium2" defaultPivotStyle="PivotStyleLight16">
    <tableStyle name="Table Style 1" pivot="0" count="6" xr9:uid="{00000000-0011-0000-FFFF-FFFF00000000}">
      <tableStyleElement type="wholeTable" dxfId="31"/>
      <tableStyleElement type="totalRow" dxfId="30"/>
      <tableStyleElement type="firstRowStripe" dxfId="29"/>
      <tableStyleElement type="secondRowStripe" dxfId="28"/>
      <tableStyleElement type="firstColumnStripe" dxfId="27"/>
      <tableStyleElement type="secondColumnStripe" dxfId="26"/>
    </tableStyle>
    <tableStyle name="MySqlDefault" table="0" count="0" xr9:uid="{00000000-0011-0000-FFFF-FFFF01000000}"/>
    <tableStyle name="Table Style 1 2" pivot="0" count="6" xr9:uid="{00000000-0011-0000-FFFF-FFFF02000000}">
      <tableStyleElement type="wholeTable" dxfId="25"/>
      <tableStyleElement type="totalRow" dxfId="24"/>
      <tableStyleElement type="firstRowStripe" dxfId="23"/>
      <tableStyleElement type="secondRowStripe" dxfId="22"/>
      <tableStyleElement type="firstColumnStripe" dxfId="21"/>
      <tableStyleElement type="secondColumnStripe" dxfId="20"/>
    </tableStyle>
  </tableStyles>
  <colors>
    <mruColors>
      <color rgb="FFFFFFCC"/>
      <color rgb="FF0000FF"/>
      <color rgb="FF056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eychinamanaged.sharepoint.cn/sites/GCknowledgecenter/SitePages/%E6%A0%87%E5%87%86%E5%AE%A1%E8%AE%A1%E5%BA%95%E7%A8%BF%E6%A8%A1%E6%9D%BF_K1_%E5%9B%BA%E5%AE%9A%E8%B5%84%E4%BA%A7_202YMMDD_XYZ%E5%85%AC%E5%8F%B8_Read-me-and-Delete-me.aspx#:~:text=K.03.1%2D%E6%B3%A8%E9%87%8A,%E5%80%BCD%E7%AD%89%E3%80%82"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304800</xdr:colOff>
      <xdr:row>0</xdr:row>
      <xdr:rowOff>38100</xdr:rowOff>
    </xdr:from>
    <xdr:to>
      <xdr:col>1</xdr:col>
      <xdr:colOff>796972</xdr:colOff>
      <xdr:row>0</xdr:row>
      <xdr:rowOff>555806</xdr:rowOff>
    </xdr:to>
    <xdr:pic>
      <xdr:nvPicPr>
        <xdr:cNvPr id="4" name="Picture 4">
          <a:extLst>
            <a:ext uri="{FF2B5EF4-FFF2-40B4-BE49-F238E27FC236}">
              <a16:creationId xmlns:a16="http://schemas.microsoft.com/office/drawing/2014/main" id="{E46EA45F-E89D-4BBA-A701-1002F7B51FAF}"/>
            </a:ext>
          </a:extLst>
        </xdr:cNvPr>
        <xdr:cNvPicPr>
          <a:picLocks noChangeAspect="1"/>
        </xdr:cNvPicPr>
      </xdr:nvPicPr>
      <xdr:blipFill>
        <a:blip xmlns:r="http://schemas.openxmlformats.org/officeDocument/2006/relationships" r:embed="rId1"/>
        <a:stretch>
          <a:fillRect/>
        </a:stretch>
      </xdr:blipFill>
      <xdr:spPr>
        <a:xfrm>
          <a:off x="552450" y="38100"/>
          <a:ext cx="491051" cy="517706"/>
        </a:xfrm>
        <a:prstGeom prst="rect">
          <a:avLst/>
        </a:prstGeom>
      </xdr:spPr>
    </xdr:pic>
    <xdr:clientData/>
  </xdr:twoCellAnchor>
  <xdr:twoCellAnchor editAs="oneCell">
    <xdr:from>
      <xdr:col>1</xdr:col>
      <xdr:colOff>286808</xdr:colOff>
      <xdr:row>26</xdr:row>
      <xdr:rowOff>116417</xdr:rowOff>
    </xdr:from>
    <xdr:to>
      <xdr:col>1</xdr:col>
      <xdr:colOff>542925</xdr:colOff>
      <xdr:row>27</xdr:row>
      <xdr:rowOff>188882</xdr:rowOff>
    </xdr:to>
    <xdr:pic>
      <xdr:nvPicPr>
        <xdr:cNvPr id="9" name="Picture 1">
          <a:hlinkClick xmlns:r="http://schemas.openxmlformats.org/officeDocument/2006/relationships" r:id="rId2" tooltip="合理性测试"/>
          <a:extLst>
            <a:ext uri="{FF2B5EF4-FFF2-40B4-BE49-F238E27FC236}">
              <a16:creationId xmlns:a16="http://schemas.microsoft.com/office/drawing/2014/main" id="{94236F9A-8D26-F0B5-D407-2B87945E2A06}"/>
            </a:ext>
            <a:ext uri="{147F2762-F138-4A5C-976F-8EAC2B608ADB}">
              <a16:predDERef xmlns:a16="http://schemas.microsoft.com/office/drawing/2014/main" pred="{C5681B69-06B8-434F-8489-0E66B2A965A9}"/>
            </a:ext>
          </a:extLst>
        </xdr:cNvPr>
        <xdr:cNvPicPr>
          <a:picLocks noChangeAspect="1"/>
        </xdr:cNvPicPr>
      </xdr:nvPicPr>
      <xdr:blipFill>
        <a:blip xmlns:r="http://schemas.openxmlformats.org/officeDocument/2006/relationships" r:embed="rId3"/>
        <a:stretch>
          <a:fillRect/>
        </a:stretch>
      </xdr:blipFill>
      <xdr:spPr>
        <a:xfrm>
          <a:off x="486833" y="15070667"/>
          <a:ext cx="256117" cy="247650"/>
        </a:xfrm>
        <a:prstGeom prst="rect">
          <a:avLst/>
        </a:prstGeom>
      </xdr:spPr>
    </xdr:pic>
    <xdr:clientData/>
  </xdr:twoCellAnchor>
  <xdr:twoCellAnchor>
    <xdr:from>
      <xdr:col>7</xdr:col>
      <xdr:colOff>589642</xdr:colOff>
      <xdr:row>1</xdr:row>
      <xdr:rowOff>117929</xdr:rowOff>
    </xdr:from>
    <xdr:to>
      <xdr:col>16</xdr:col>
      <xdr:colOff>36285</xdr:colOff>
      <xdr:row>8</xdr:row>
      <xdr:rowOff>117929</xdr:rowOff>
    </xdr:to>
    <xdr:sp macro="" textlink="">
      <xdr:nvSpPr>
        <xdr:cNvPr id="11" name="TextBox 2">
          <a:extLst>
            <a:ext uri="{FF2B5EF4-FFF2-40B4-BE49-F238E27FC236}">
              <a16:creationId xmlns:a16="http://schemas.microsoft.com/office/drawing/2014/main" id="{FB87A78C-E60A-44AF-9E47-95FF4382EC12}"/>
            </a:ext>
            <a:ext uri="{147F2762-F138-4A5C-976F-8EAC2B608ADB}">
              <a16:predDERef xmlns:a16="http://schemas.microsoft.com/office/drawing/2014/main" pred="{C9C0D5C3-9D87-4135-9496-6DD501ADA265}"/>
            </a:ext>
          </a:extLst>
        </xdr:cNvPr>
        <xdr:cNvSpPr txBox="1"/>
      </xdr:nvSpPr>
      <xdr:spPr>
        <a:xfrm>
          <a:off x="5624285" y="752929"/>
          <a:ext cx="7828643" cy="1315357"/>
        </a:xfrm>
        <a:prstGeom prst="rect">
          <a:avLst/>
        </a:prstGeom>
        <a:solidFill>
          <a:schemeClr val="bg1">
            <a:lumMod val="95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r>
            <a:rPr lang="ja-JP" altLang="en-US" sz="1400" b="1">
              <a:solidFill>
                <a:srgbClr val="FF0000"/>
              </a:solidFill>
              <a:latin typeface="Arial" panose="020B0604020202020204" pitchFamily="34" charset="0"/>
              <a:ea typeface="微软雅黑" panose="020B0503020204020204" pitchFamily="34" charset="-122"/>
              <a:cs typeface="Arial" panose="020B0604020202020204" pitchFamily="34" charset="0"/>
            </a:rPr>
            <a:t>注意：</a:t>
          </a:r>
          <a:r>
            <a:rPr lang="zh-CN" altLang="en-US" sz="1400" b="1">
              <a:solidFill>
                <a:srgbClr val="FF0000"/>
              </a:solidFill>
              <a:effectLst/>
              <a:latin typeface="Arial" panose="020B0604020202020204" pitchFamily="34" charset="0"/>
              <a:ea typeface="微软雅黑" panose="020B0503020204020204" pitchFamily="34" charset="-122"/>
              <a:cs typeface="Arial" panose="020B0604020202020204" pitchFamily="34" charset="0"/>
            </a:rPr>
            <a:t>本</a:t>
          </a:r>
          <a:r>
            <a:rPr lang="zh-CN" altLang="zh-CN" sz="1400" b="1">
              <a:solidFill>
                <a:srgbClr val="FF0000"/>
              </a:solidFill>
              <a:effectLst/>
              <a:latin typeface="Arial" panose="020B0604020202020204" pitchFamily="34" charset="0"/>
              <a:ea typeface="微软雅黑" panose="020B0503020204020204" pitchFamily="34" charset="-122"/>
              <a:cs typeface="Arial" panose="020B0604020202020204" pitchFamily="34" charset="0"/>
            </a:rPr>
            <a:t>框内</a:t>
          </a:r>
          <a:r>
            <a:rPr lang="ja-JP" altLang="zh-CN" sz="1400" b="1">
              <a:solidFill>
                <a:srgbClr val="FF0000"/>
              </a:solidFill>
              <a:effectLst/>
              <a:latin typeface="Arial" panose="020B0604020202020204" pitchFamily="34" charset="0"/>
              <a:ea typeface="微软雅黑" panose="020B0503020204020204" pitchFamily="34" charset="-122"/>
              <a:cs typeface="Arial" panose="020B0604020202020204" pitchFamily="34" charset="0"/>
            </a:rPr>
            <a:t>文本</a:t>
          </a:r>
          <a:r>
            <a:rPr lang="zh-CN" altLang="zh-CN" sz="1400" b="1">
              <a:solidFill>
                <a:srgbClr val="FF0000"/>
              </a:solidFill>
              <a:effectLst/>
              <a:latin typeface="Arial" panose="020B0604020202020204" pitchFamily="34" charset="0"/>
              <a:ea typeface="微软雅黑" panose="020B0503020204020204" pitchFamily="34" charset="-122"/>
              <a:cs typeface="Arial" panose="020B0604020202020204" pitchFamily="34" charset="0"/>
            </a:rPr>
            <a:t>仅做提示</a:t>
          </a:r>
          <a:r>
            <a:rPr lang="ja-JP" altLang="zh-CN" sz="1400" b="1">
              <a:solidFill>
                <a:srgbClr val="FF0000"/>
              </a:solidFill>
              <a:effectLst/>
              <a:latin typeface="Arial" panose="020B0604020202020204" pitchFamily="34" charset="0"/>
              <a:ea typeface="微软雅黑" panose="020B0503020204020204" pitchFamily="34" charset="-122"/>
              <a:cs typeface="Arial" panose="020B0604020202020204" pitchFamily="34" charset="0"/>
            </a:rPr>
            <a:t>，</a:t>
          </a:r>
          <a:r>
            <a:rPr lang="zh-CN" altLang="zh-CN" sz="1400" b="1">
              <a:solidFill>
                <a:srgbClr val="FF0000"/>
              </a:solidFill>
              <a:effectLst/>
              <a:latin typeface="Arial" panose="020B0604020202020204" pitchFamily="34" charset="0"/>
              <a:ea typeface="微软雅黑" panose="020B0503020204020204" pitchFamily="34" charset="-122"/>
              <a:cs typeface="Arial" panose="020B0604020202020204" pitchFamily="34" charset="0"/>
            </a:rPr>
            <a:t>审计小组完成后，应</a:t>
          </a:r>
          <a:r>
            <a:rPr lang="ja-JP" altLang="zh-CN" sz="1400" b="1">
              <a:solidFill>
                <a:srgbClr val="FF0000"/>
              </a:solidFill>
              <a:effectLst/>
              <a:latin typeface="Arial" panose="020B0604020202020204" pitchFamily="34" charset="0"/>
              <a:ea typeface="微软雅黑" panose="020B0503020204020204" pitchFamily="34" charset="-122"/>
              <a:cs typeface="Arial" panose="020B0604020202020204" pitchFamily="34" charset="0"/>
            </a:rPr>
            <a:t>从工作底稿中删除此注意事项。</a:t>
          </a:r>
          <a:endParaRPr lang="en-US" altLang="ja-JP" sz="1400" b="1">
            <a:solidFill>
              <a:srgbClr val="FF0000"/>
            </a:solidFill>
            <a:latin typeface="Arial" panose="020B0604020202020204" pitchFamily="34" charset="0"/>
            <a:ea typeface="微软雅黑" panose="020B0503020204020204" pitchFamily="34" charset="-122"/>
            <a:cs typeface="Arial" panose="020B0604020202020204" pitchFamily="34" charset="0"/>
          </a:endParaRPr>
        </a:p>
        <a:p>
          <a:pPr marL="0" indent="0"/>
          <a:r>
            <a:rPr lang="ja-JP" altLang="en-US" sz="1400">
              <a:solidFill>
                <a:schemeClr val="dk1"/>
              </a:solidFill>
              <a:latin typeface="Arial" panose="020B0604020202020204" pitchFamily="34" charset="0"/>
              <a:ea typeface="微软雅黑" panose="020B0503020204020204" pitchFamily="34" charset="-122"/>
              <a:cs typeface="Arial" panose="020B0604020202020204" pitchFamily="34" charset="0"/>
            </a:rPr>
            <a:t>*</a:t>
          </a:r>
          <a:r>
            <a:rPr lang="en-US" altLang="ja-JP" sz="1400">
              <a:solidFill>
                <a:schemeClr val="dk1"/>
              </a:solidFill>
              <a:latin typeface="Arial" panose="020B0604020202020204" pitchFamily="34" charset="0"/>
              <a:ea typeface="微软雅黑" panose="020B0503020204020204" pitchFamily="34" charset="-122"/>
              <a:cs typeface="Arial" panose="020B0604020202020204" pitchFamily="34" charset="0"/>
            </a:rPr>
            <a:t>1</a:t>
          </a:r>
          <a:r>
            <a:rPr lang="ja-JP" altLang="en-US" sz="1400">
              <a:solidFill>
                <a:schemeClr val="dk1"/>
              </a:solidFill>
              <a:latin typeface="Arial" panose="020B0604020202020204" pitchFamily="34" charset="0"/>
              <a:ea typeface="微软雅黑" panose="020B0503020204020204" pitchFamily="34" charset="-122"/>
              <a:cs typeface="Arial" panose="020B0604020202020204" pitchFamily="34" charset="0"/>
            </a:rPr>
            <a:t>：当非复杂实体为公众利益实体（</a:t>
          </a:r>
          <a:r>
            <a:rPr lang="en-US" altLang="ja-JP" sz="1400">
              <a:solidFill>
                <a:schemeClr val="dk1"/>
              </a:solidFill>
              <a:latin typeface="Arial" panose="020B0604020202020204" pitchFamily="34" charset="0"/>
              <a:ea typeface="微软雅黑" panose="020B0503020204020204" pitchFamily="34" charset="-122"/>
              <a:cs typeface="Arial" panose="020B0604020202020204" pitchFamily="34" charset="0"/>
            </a:rPr>
            <a:t>PIE</a:t>
          </a:r>
          <a:r>
            <a:rPr lang="ja-JP" altLang="en-US" sz="1400">
              <a:solidFill>
                <a:schemeClr val="dk1"/>
              </a:solidFill>
              <a:latin typeface="Arial" panose="020B0604020202020204" pitchFamily="34" charset="0"/>
              <a:ea typeface="微软雅黑" panose="020B0503020204020204" pitchFamily="34" charset="-122"/>
              <a:cs typeface="Arial" panose="020B0604020202020204" pitchFamily="34" charset="0"/>
            </a:rPr>
            <a:t>）或公众利益实体（包括上市实体和其他未上市的公众利益实体）的组成部分且审计程序为集团审计提供支持时，需选择并参照复杂实体方法论执行。</a:t>
          </a:r>
          <a:endParaRPr lang="en-US" altLang="ja-JP" sz="1400">
            <a:solidFill>
              <a:schemeClr val="dk1"/>
            </a:solidFill>
            <a:latin typeface="Arial" panose="020B0604020202020204" pitchFamily="34" charset="0"/>
            <a:ea typeface="微软雅黑" panose="020B0503020204020204" pitchFamily="34" charset="-122"/>
            <a:cs typeface="Arial" panose="020B0604020202020204" pitchFamily="34" charset="0"/>
          </a:endParaRPr>
        </a:p>
        <a:p>
          <a:pPr marL="0" indent="0"/>
          <a:r>
            <a:rPr lang="zh-CN" altLang="en-US" sz="1400">
              <a:solidFill>
                <a:schemeClr val="dk1"/>
              </a:solidFill>
              <a:latin typeface="Arial" panose="020B0604020202020204" pitchFamily="34" charset="0"/>
              <a:ea typeface="微软雅黑" panose="020B0503020204020204" pitchFamily="34" charset="-122"/>
              <a:cs typeface="Arial" panose="020B0604020202020204" pitchFamily="34" charset="0"/>
            </a:rPr>
            <a:t>*</a:t>
          </a:r>
          <a:r>
            <a:rPr lang="en-US" altLang="zh-CN" sz="1400">
              <a:solidFill>
                <a:schemeClr val="dk1"/>
              </a:solidFill>
              <a:latin typeface="Arial" panose="020B0604020202020204" pitchFamily="34" charset="0"/>
              <a:ea typeface="微软雅黑" panose="020B0503020204020204" pitchFamily="34" charset="-122"/>
              <a:cs typeface="Arial" panose="020B0604020202020204" pitchFamily="34" charset="0"/>
            </a:rPr>
            <a:t>2</a:t>
          </a:r>
          <a:r>
            <a:rPr lang="zh-CN" altLang="en-US" sz="1400">
              <a:solidFill>
                <a:schemeClr val="dk1"/>
              </a:solidFill>
              <a:latin typeface="Arial" panose="020B0604020202020204" pitchFamily="34" charset="0"/>
              <a:ea typeface="微软雅黑" panose="020B0503020204020204" pitchFamily="34" charset="-122"/>
              <a:cs typeface="Arial" panose="020B0604020202020204" pitchFamily="34" charset="0"/>
            </a:rPr>
            <a:t>：当</a:t>
          </a:r>
          <a:r>
            <a:rPr lang="en-US" altLang="zh-CN" sz="1400">
              <a:solidFill>
                <a:schemeClr val="dk1"/>
              </a:solidFill>
              <a:latin typeface="Arial" panose="020B0604020202020204" pitchFamily="34" charset="0"/>
              <a:ea typeface="微软雅黑" panose="020B0503020204020204" pitchFamily="34" charset="-122"/>
              <a:cs typeface="Arial" panose="020B0604020202020204" pitchFamily="34" charset="0"/>
            </a:rPr>
            <a:t>CRA</a:t>
          </a:r>
          <a:r>
            <a:rPr lang="zh-CN" altLang="en-US" sz="1400">
              <a:solidFill>
                <a:schemeClr val="dk1"/>
              </a:solidFill>
              <a:latin typeface="Arial" panose="020B0604020202020204" pitchFamily="34" charset="0"/>
              <a:ea typeface="微软雅黑" panose="020B0503020204020204" pitchFamily="34" charset="-122"/>
              <a:cs typeface="Arial" panose="020B0604020202020204" pitchFamily="34" charset="0"/>
            </a:rPr>
            <a:t>为</a:t>
          </a:r>
          <a:r>
            <a:rPr lang="en-US" altLang="zh-CN" sz="1400">
              <a:solidFill>
                <a:schemeClr val="dk1"/>
              </a:solidFill>
              <a:latin typeface="Arial" panose="020B0604020202020204" pitchFamily="34" charset="0"/>
              <a:ea typeface="微软雅黑" panose="020B0503020204020204" pitchFamily="34" charset="-122"/>
              <a:cs typeface="Arial" panose="020B0604020202020204" pitchFamily="34" charset="0"/>
            </a:rPr>
            <a:t>Minimal</a:t>
          </a:r>
          <a:r>
            <a:rPr lang="zh-CN" altLang="en-US" sz="1400">
              <a:solidFill>
                <a:schemeClr val="dk1"/>
              </a:solidFill>
              <a:latin typeface="Arial" panose="020B0604020202020204" pitchFamily="34" charset="0"/>
              <a:ea typeface="微软雅黑" panose="020B0503020204020204" pitchFamily="34" charset="-122"/>
              <a:cs typeface="Arial" panose="020B0604020202020204" pitchFamily="34" charset="0"/>
            </a:rPr>
            <a:t>时，使用</a:t>
          </a:r>
          <a:r>
            <a:rPr lang="en-US" altLang="zh-CN" sz="1400">
              <a:solidFill>
                <a:schemeClr val="dk1"/>
              </a:solidFill>
              <a:latin typeface="Arial" panose="020B0604020202020204" pitchFamily="34" charset="0"/>
              <a:ea typeface="微软雅黑" panose="020B0503020204020204" pitchFamily="34" charset="-122"/>
              <a:cs typeface="Arial" panose="020B0604020202020204" pitchFamily="34" charset="0"/>
            </a:rPr>
            <a:t>&lt;K.03.1 SAP-</a:t>
          </a:r>
          <a:r>
            <a:rPr lang="zh-CN" altLang="en-US" sz="1400">
              <a:solidFill>
                <a:schemeClr val="dk1"/>
              </a:solidFill>
              <a:latin typeface="Arial" panose="020B0604020202020204" pitchFamily="34" charset="0"/>
              <a:ea typeface="微软雅黑" panose="020B0503020204020204" pitchFamily="34" charset="-122"/>
              <a:cs typeface="Arial" panose="020B0604020202020204" pitchFamily="34" charset="0"/>
            </a:rPr>
            <a:t>中精确度</a:t>
          </a:r>
          <a:r>
            <a:rPr lang="en-US" altLang="zh-CN" sz="1400">
              <a:solidFill>
                <a:schemeClr val="dk1"/>
              </a:solidFill>
              <a:latin typeface="Arial" panose="020B0604020202020204" pitchFamily="34" charset="0"/>
              <a:ea typeface="微软雅黑" panose="020B0503020204020204" pitchFamily="34" charset="-122"/>
              <a:cs typeface="Arial" panose="020B0604020202020204" pitchFamily="34" charset="0"/>
            </a:rPr>
            <a:t>&gt;</a:t>
          </a:r>
          <a:r>
            <a:rPr lang="zh-CN" altLang="en-US" sz="1400">
              <a:solidFill>
                <a:schemeClr val="dk1"/>
              </a:solidFill>
              <a:latin typeface="Arial" panose="020B0604020202020204" pitchFamily="34" charset="0"/>
              <a:ea typeface="微软雅黑" panose="020B0503020204020204" pitchFamily="34" charset="-122"/>
              <a:cs typeface="Arial" panose="020B0604020202020204" pitchFamily="34" charset="0"/>
            </a:rPr>
            <a:t>模版，即可获得充分适当的审计证据。</a:t>
          </a:r>
          <a:endParaRPr lang="ja-JP" altLang="en-US" sz="1400">
            <a:solidFill>
              <a:schemeClr val="dk1"/>
            </a:solidFill>
            <a:latin typeface="Arial" panose="020B0604020202020204" pitchFamily="34" charset="0"/>
            <a:ea typeface="微软雅黑" panose="020B0503020204020204" pitchFamily="34" charset="-122"/>
            <a:cs typeface="Arial" panose="020B0604020202020204" pitchFamily="34" charset="0"/>
          </a:endParaRPr>
        </a:p>
      </xdr:txBody>
    </xdr:sp>
    <xdr:clientData/>
  </xdr:twoCellAnchor>
  <xdr:twoCellAnchor>
    <xdr:from>
      <xdr:col>8</xdr:col>
      <xdr:colOff>816430</xdr:colOff>
      <xdr:row>33</xdr:row>
      <xdr:rowOff>27214</xdr:rowOff>
    </xdr:from>
    <xdr:to>
      <xdr:col>13</xdr:col>
      <xdr:colOff>426357</xdr:colOff>
      <xdr:row>43</xdr:row>
      <xdr:rowOff>172357</xdr:rowOff>
    </xdr:to>
    <xdr:sp macro="" textlink="">
      <xdr:nvSpPr>
        <xdr:cNvPr id="15" name="TextBox 2">
          <a:extLst>
            <a:ext uri="{FF2B5EF4-FFF2-40B4-BE49-F238E27FC236}">
              <a16:creationId xmlns:a16="http://schemas.microsoft.com/office/drawing/2014/main" id="{30D24A58-EACA-42AD-8325-5C74DCE645B7}"/>
            </a:ext>
            <a:ext uri="{147F2762-F138-4A5C-976F-8EAC2B608ADB}">
              <a16:predDERef xmlns:a16="http://schemas.microsoft.com/office/drawing/2014/main" pred="{C9C0D5C3-9D87-4135-9496-6DD501ADA265}"/>
            </a:ext>
          </a:extLst>
        </xdr:cNvPr>
        <xdr:cNvSpPr txBox="1"/>
      </xdr:nvSpPr>
      <xdr:spPr>
        <a:xfrm>
          <a:off x="6667501" y="8427357"/>
          <a:ext cx="4073070" cy="1841500"/>
        </a:xfrm>
        <a:prstGeom prst="rect">
          <a:avLst/>
        </a:prstGeom>
        <a:solidFill>
          <a:schemeClr val="bg1">
            <a:lumMod val="95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r>
            <a:rPr lang="ja-JP" altLang="en-US" sz="1400" b="1">
              <a:solidFill>
                <a:srgbClr val="FF0000"/>
              </a:solidFill>
              <a:latin typeface="微软雅黑" panose="020B0503020204020204" pitchFamily="34" charset="-122"/>
              <a:ea typeface="微软雅黑" panose="020B0503020204020204" pitchFamily="34" charset="-122"/>
              <a:cs typeface="Arial" panose="020B0604020202020204" pitchFamily="34" charset="0"/>
            </a:rPr>
            <a:t>注意：</a:t>
          </a:r>
          <a:r>
            <a:rPr lang="ja-JP" altLang="en-US" sz="1400">
              <a:solidFill>
                <a:schemeClr val="dk1"/>
              </a:solidFill>
              <a:latin typeface="微软雅黑" panose="020B0503020204020204" pitchFamily="34" charset="-122"/>
              <a:ea typeface="微软雅黑" panose="020B0503020204020204" pitchFamily="34" charset="-122"/>
              <a:cs typeface="Arial" panose="020B0604020202020204" pitchFamily="34" charset="0"/>
            </a:rPr>
            <a:t>淡黄色</a:t>
          </a:r>
          <a:r>
            <a:rPr lang="zh-CN" altLang="en-US" sz="1400">
              <a:solidFill>
                <a:schemeClr val="dk1"/>
              </a:solidFill>
              <a:latin typeface="微软雅黑" panose="020B0503020204020204" pitchFamily="34" charset="-122"/>
              <a:ea typeface="微软雅黑" panose="020B0503020204020204" pitchFamily="34" charset="-122"/>
              <a:cs typeface="Arial" panose="020B0604020202020204" pitchFamily="34" charset="0"/>
            </a:rPr>
            <a:t>框内</a:t>
          </a:r>
          <a:r>
            <a:rPr lang="ja-JP" altLang="en-US" sz="1400">
              <a:solidFill>
                <a:schemeClr val="dk1"/>
              </a:solidFill>
              <a:latin typeface="微软雅黑" panose="020B0503020204020204" pitchFamily="34" charset="-122"/>
              <a:ea typeface="微软雅黑" panose="020B0503020204020204" pitchFamily="34" charset="-122"/>
              <a:cs typeface="Arial" panose="020B0604020202020204" pitchFamily="34" charset="0"/>
            </a:rPr>
            <a:t>红色文本</a:t>
          </a:r>
          <a:r>
            <a:rPr lang="zh-CN" altLang="en-US" sz="1400">
              <a:solidFill>
                <a:schemeClr val="dk1"/>
              </a:solidFill>
              <a:latin typeface="微软雅黑" panose="020B0503020204020204" pitchFamily="34" charset="-122"/>
              <a:ea typeface="微软雅黑" panose="020B0503020204020204" pitchFamily="34" charset="-122"/>
              <a:cs typeface="Arial" panose="020B0604020202020204" pitchFamily="34" charset="0"/>
            </a:rPr>
            <a:t>仅做提示</a:t>
          </a:r>
          <a:r>
            <a:rPr lang="ja-JP" altLang="en-US" sz="1400">
              <a:solidFill>
                <a:schemeClr val="dk1"/>
              </a:solidFill>
              <a:latin typeface="微软雅黑" panose="020B0503020204020204" pitchFamily="34" charset="-122"/>
              <a:ea typeface="微软雅黑" panose="020B0503020204020204" pitchFamily="34" charset="-122"/>
              <a:cs typeface="Arial" panose="020B0604020202020204" pitchFamily="34" charset="0"/>
            </a:rPr>
            <a:t>，</a:t>
          </a:r>
          <a:r>
            <a:rPr lang="zh-CN" altLang="en-US" sz="1400">
              <a:solidFill>
                <a:schemeClr val="dk1"/>
              </a:solidFill>
              <a:latin typeface="微软雅黑" panose="020B0503020204020204" pitchFamily="34" charset="-122"/>
              <a:ea typeface="微软雅黑" panose="020B0503020204020204" pitchFamily="34" charset="-122"/>
              <a:cs typeface="Arial" panose="020B0604020202020204" pitchFamily="34" charset="0"/>
            </a:rPr>
            <a:t>审计小组完成后，应</a:t>
          </a:r>
          <a:r>
            <a:rPr lang="ja-JP" altLang="en-US" sz="1400">
              <a:solidFill>
                <a:schemeClr val="dk1"/>
              </a:solidFill>
              <a:latin typeface="微软雅黑" panose="020B0503020204020204" pitchFamily="34" charset="-122"/>
              <a:ea typeface="微软雅黑" panose="020B0503020204020204" pitchFamily="34" charset="-122"/>
              <a:cs typeface="Arial" panose="020B0604020202020204" pitchFamily="34" charset="0"/>
            </a:rPr>
            <a:t>从工作底稿中删除此注意事项。</a:t>
          </a:r>
          <a:endParaRPr lang="en-US" altLang="ja-JP" sz="1400">
            <a:solidFill>
              <a:schemeClr val="dk1"/>
            </a:solidFill>
            <a:latin typeface="微软雅黑" panose="020B0503020204020204" pitchFamily="34" charset="-122"/>
            <a:ea typeface="微软雅黑" panose="020B0503020204020204" pitchFamily="34" charset="-122"/>
            <a:cs typeface="Arial" panose="020B0604020202020204" pitchFamily="34" charset="0"/>
          </a:endParaRPr>
        </a:p>
        <a:p>
          <a:pPr marL="0" indent="0"/>
          <a:r>
            <a:rPr lang="zh-CN" altLang="en-US" sz="1400">
              <a:solidFill>
                <a:schemeClr val="dk1"/>
              </a:solidFill>
              <a:latin typeface="微软雅黑" panose="020B0503020204020204" pitchFamily="34" charset="-122"/>
              <a:ea typeface="微软雅黑" panose="020B0503020204020204" pitchFamily="34" charset="-122"/>
              <a:cs typeface="Arial" panose="020B0604020202020204" pitchFamily="34" charset="0"/>
            </a:rPr>
            <a:t>本模型中，“本年新增”、“本年减少”、“本年提足折旧”的“本年计提折旧月数”预设为在年中发生，若实际情况存在较大偏差，可结合资产清单、新增</a:t>
          </a:r>
          <a:r>
            <a:rPr lang="en-US" altLang="zh-CN" sz="1400">
              <a:solidFill>
                <a:schemeClr val="dk1"/>
              </a:solidFill>
              <a:latin typeface="微软雅黑" panose="020B0503020204020204" pitchFamily="34" charset="-122"/>
              <a:ea typeface="微软雅黑" panose="020B0503020204020204" pitchFamily="34" charset="-122"/>
              <a:cs typeface="Arial" panose="020B0604020202020204" pitchFamily="34" charset="0"/>
            </a:rPr>
            <a:t>/</a:t>
          </a:r>
          <a:r>
            <a:rPr lang="zh-CN" altLang="en-US" sz="1400">
              <a:solidFill>
                <a:schemeClr val="dk1"/>
              </a:solidFill>
              <a:latin typeface="微软雅黑" panose="020B0503020204020204" pitchFamily="34" charset="-122"/>
              <a:ea typeface="微软雅黑" panose="020B0503020204020204" pitchFamily="34" charset="-122"/>
              <a:cs typeface="Arial" panose="020B0604020202020204" pitchFamily="34" charset="0"/>
            </a:rPr>
            <a:t>处置清单修改。</a:t>
          </a:r>
          <a:endParaRPr lang="ja-JP" altLang="en-US" sz="1400">
            <a:solidFill>
              <a:schemeClr val="dk1"/>
            </a:solidFill>
            <a:latin typeface="微软雅黑" panose="020B0503020204020204" pitchFamily="34" charset="-122"/>
            <a:ea typeface="微软雅黑" panose="020B0503020204020204" pitchFamily="34" charset="-122"/>
            <a:cs typeface="Arial" panose="020B0604020202020204" pitchFamily="34" charset="0"/>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61E97-2E81-41B0-BD1F-106C85A4A5DB}">
  <dimension ref="A2:K9"/>
  <sheetViews>
    <sheetView topLeftCell="A2" zoomScale="78" zoomScaleNormal="78" workbookViewId="0">
      <selection activeCell="J6" sqref="J6:J7"/>
    </sheetView>
  </sheetViews>
  <sheetFormatPr defaultColWidth="9" defaultRowHeight="14.1"/>
  <cols>
    <col min="1" max="1" width="2.375" style="9" customWidth="1"/>
    <col min="2" max="2" width="32.625" style="9" customWidth="1"/>
    <col min="3" max="3" width="38.75" style="9" customWidth="1"/>
    <col min="4" max="4" width="17.25" style="9" bestFit="1" customWidth="1"/>
    <col min="5" max="5" width="14.125" style="9" bestFit="1" customWidth="1"/>
    <col min="6" max="6" width="24.25" style="9" customWidth="1"/>
    <col min="7" max="7" width="11.875" style="9" customWidth="1"/>
    <col min="8" max="8" width="13.75" style="9" customWidth="1"/>
    <col min="9" max="9" width="11.875" style="9" customWidth="1"/>
    <col min="10" max="10" width="19.125" style="1" customWidth="1"/>
    <col min="11" max="11" width="11.875" style="9" customWidth="1"/>
    <col min="12" max="16384" width="9" style="9"/>
  </cols>
  <sheetData>
    <row r="2" spans="1:11" ht="41.25" customHeight="1">
      <c r="A2" s="10"/>
      <c r="B2" s="121" t="s">
        <v>0</v>
      </c>
      <c r="C2" s="121" t="s">
        <v>1</v>
      </c>
      <c r="D2" s="121" t="s">
        <v>2</v>
      </c>
      <c r="E2" s="121" t="s">
        <v>3</v>
      </c>
      <c r="F2" s="121" t="s">
        <v>4</v>
      </c>
      <c r="G2" s="122" t="s">
        <v>5</v>
      </c>
      <c r="H2" s="122" t="s">
        <v>6</v>
      </c>
      <c r="I2" s="122" t="s">
        <v>7</v>
      </c>
      <c r="J2" s="123" t="s">
        <v>8</v>
      </c>
      <c r="K2" s="122" t="s">
        <v>9</v>
      </c>
    </row>
    <row r="3" spans="1:11" ht="72.599999999999994" customHeight="1">
      <c r="A3" s="109"/>
      <c r="B3" s="124" t="s">
        <v>10</v>
      </c>
      <c r="C3" s="12" t="s">
        <v>11</v>
      </c>
      <c r="D3" s="124" t="s">
        <v>12</v>
      </c>
      <c r="E3" s="13" t="s">
        <v>13</v>
      </c>
      <c r="F3" s="14" t="s">
        <v>14</v>
      </c>
      <c r="G3" s="124">
        <v>8</v>
      </c>
      <c r="H3" s="124">
        <v>6</v>
      </c>
      <c r="I3" s="124">
        <v>5</v>
      </c>
      <c r="J3" s="23" t="s">
        <v>15</v>
      </c>
      <c r="K3" s="124" t="s">
        <v>16</v>
      </c>
    </row>
    <row r="4" spans="1:11" ht="69.95" customHeight="1">
      <c r="A4" s="109"/>
      <c r="B4" s="124" t="s">
        <v>17</v>
      </c>
      <c r="C4" s="14" t="s">
        <v>18</v>
      </c>
      <c r="D4" s="15" t="s">
        <v>19</v>
      </c>
      <c r="E4" s="16" t="s">
        <v>20</v>
      </c>
      <c r="F4" s="125" t="s">
        <v>21</v>
      </c>
      <c r="G4" s="124">
        <v>5</v>
      </c>
      <c r="H4" s="124">
        <v>3</v>
      </c>
      <c r="I4" s="124">
        <v>2</v>
      </c>
      <c r="J4" s="126" t="s">
        <v>22</v>
      </c>
      <c r="K4" s="124" t="s">
        <v>23</v>
      </c>
    </row>
    <row r="5" spans="1:11" ht="72.599999999999994">
      <c r="A5" s="11"/>
      <c r="B5" s="125" t="s">
        <v>24</v>
      </c>
      <c r="C5" s="17" t="s">
        <v>25</v>
      </c>
      <c r="D5" s="124" t="s">
        <v>12</v>
      </c>
      <c r="E5" s="13" t="s">
        <v>13</v>
      </c>
      <c r="F5" s="125" t="s">
        <v>26</v>
      </c>
      <c r="G5" s="124">
        <v>3</v>
      </c>
      <c r="H5" s="127">
        <v>0</v>
      </c>
      <c r="I5" s="127">
        <v>0</v>
      </c>
      <c r="J5" s="128" t="s">
        <v>27</v>
      </c>
      <c r="K5" s="124" t="s">
        <v>16</v>
      </c>
    </row>
    <row r="6" spans="1:11" ht="162" customHeight="1">
      <c r="A6" s="11"/>
      <c r="B6" s="110" t="s">
        <v>28</v>
      </c>
      <c r="C6" s="22" t="s">
        <v>29</v>
      </c>
      <c r="D6" s="129" t="s">
        <v>30</v>
      </c>
      <c r="E6" s="16" t="s">
        <v>20</v>
      </c>
      <c r="F6" s="14" t="s">
        <v>31</v>
      </c>
      <c r="G6" s="112">
        <v>8</v>
      </c>
      <c r="H6" s="107">
        <v>8</v>
      </c>
      <c r="I6" s="107">
        <v>8</v>
      </c>
      <c r="J6" s="114" t="s">
        <v>22</v>
      </c>
      <c r="K6" s="107" t="s">
        <v>16</v>
      </c>
    </row>
    <row r="7" spans="1:11" ht="90.75" customHeight="1">
      <c r="A7" s="11"/>
      <c r="B7" s="111"/>
      <c r="C7" s="18" t="s">
        <v>32</v>
      </c>
      <c r="D7" s="19" t="s">
        <v>19</v>
      </c>
      <c r="E7" s="16" t="s">
        <v>20</v>
      </c>
      <c r="F7" s="14" t="s">
        <v>33</v>
      </c>
      <c r="G7" s="113"/>
      <c r="H7" s="108"/>
      <c r="I7" s="108"/>
      <c r="J7" s="115"/>
      <c r="K7" s="108"/>
    </row>
    <row r="8" spans="1:11" ht="84" customHeight="1">
      <c r="A8" s="11"/>
      <c r="B8" s="124" t="s">
        <v>34</v>
      </c>
      <c r="C8" s="20" t="s">
        <v>35</v>
      </c>
      <c r="D8" s="124" t="s">
        <v>30</v>
      </c>
      <c r="E8" s="16" t="s">
        <v>20</v>
      </c>
      <c r="F8" s="125" t="s">
        <v>36</v>
      </c>
      <c r="G8" s="124">
        <v>8</v>
      </c>
      <c r="H8" s="124">
        <v>2</v>
      </c>
      <c r="I8" s="124">
        <v>2</v>
      </c>
      <c r="J8" s="126" t="s">
        <v>22</v>
      </c>
      <c r="K8" s="124" t="s">
        <v>37</v>
      </c>
    </row>
    <row r="9" spans="1:11">
      <c r="A9" s="11"/>
      <c r="B9" s="15" t="s">
        <v>38</v>
      </c>
      <c r="C9" s="15"/>
      <c r="D9" s="15"/>
      <c r="E9" s="15"/>
      <c r="F9" s="15"/>
      <c r="G9" s="15">
        <f>SUM(G3:G8)</f>
        <v>32</v>
      </c>
      <c r="H9" s="15">
        <f>SUM(H3:H8)</f>
        <v>19</v>
      </c>
      <c r="I9" s="15">
        <f>SUM(I3:I8)</f>
        <v>17</v>
      </c>
      <c r="J9" s="24"/>
      <c r="K9" s="15"/>
    </row>
  </sheetData>
  <mergeCells count="7">
    <mergeCell ref="K6:K7"/>
    <mergeCell ref="A3:A4"/>
    <mergeCell ref="B6:B7"/>
    <mergeCell ref="G6:G7"/>
    <mergeCell ref="H6:H7"/>
    <mergeCell ref="I6:I7"/>
    <mergeCell ref="J6:J7"/>
  </mergeCells>
  <phoneticPr fontId="94" type="noConversion"/>
  <conditionalFormatting sqref="E3:E8">
    <cfRule type="cellIs" dxfId="19" priority="1" operator="equal">
      <formula>0</formula>
    </cfRule>
  </conditionalFormatting>
  <dataValidations count="1">
    <dataValidation type="list" allowBlank="1" showInputMessage="1" showErrorMessage="1" sqref="E3:E8" xr:uid="{BDE8B25E-B4EF-4208-9A0C-1B16A6B44A62}">
      <formula1>"提升质量,提升效率"</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D7719-6A05-4907-867B-6351491FE30A}">
  <sheetPr>
    <tabColor rgb="FFFFFF00"/>
  </sheetPr>
  <dimension ref="B1:E26"/>
  <sheetViews>
    <sheetView topLeftCell="A6" zoomScale="115" zoomScaleNormal="115" workbookViewId="0">
      <selection activeCell="C8" sqref="C8:E8"/>
    </sheetView>
  </sheetViews>
  <sheetFormatPr defaultColWidth="8.75" defaultRowHeight="16.5"/>
  <cols>
    <col min="1" max="1" width="4.5" style="5" customWidth="1"/>
    <col min="2" max="2" width="7.375" style="7" bestFit="1" customWidth="1"/>
    <col min="3" max="5" width="33.625" style="5" customWidth="1"/>
    <col min="6" max="16384" width="8.75" style="5"/>
  </cols>
  <sheetData>
    <row r="1" spans="2:5">
      <c r="C1" s="6"/>
    </row>
    <row r="2" spans="2:5" ht="17.100000000000001" thickBot="1"/>
    <row r="3" spans="2:5" ht="21" customHeight="1">
      <c r="B3" s="21" t="s">
        <v>39</v>
      </c>
      <c r="C3" s="116" t="s">
        <v>40</v>
      </c>
      <c r="D3" s="116"/>
      <c r="E3" s="116"/>
    </row>
    <row r="4" spans="2:5" ht="42" customHeight="1">
      <c r="B4" s="130">
        <v>1</v>
      </c>
      <c r="C4" s="131" t="s">
        <v>41</v>
      </c>
      <c r="D4" s="131"/>
      <c r="E4" s="131"/>
    </row>
    <row r="5" spans="2:5" ht="25.5" customHeight="1">
      <c r="B5" s="130">
        <v>2</v>
      </c>
      <c r="C5" s="131" t="s">
        <v>42</v>
      </c>
      <c r="D5" s="131"/>
      <c r="E5" s="131"/>
    </row>
    <row r="6" spans="2:5" ht="49.5" customHeight="1">
      <c r="B6" s="130">
        <v>3</v>
      </c>
      <c r="C6" s="131" t="s">
        <v>43</v>
      </c>
      <c r="D6" s="131"/>
      <c r="E6" s="131"/>
    </row>
    <row r="7" spans="2:5" ht="21" customHeight="1">
      <c r="B7" s="132" t="s">
        <v>44</v>
      </c>
      <c r="C7" s="133" t="s">
        <v>45</v>
      </c>
      <c r="D7" s="133"/>
      <c r="E7" s="133"/>
    </row>
    <row r="8" spans="2:5" ht="21.75" customHeight="1">
      <c r="B8" s="130">
        <v>1</v>
      </c>
      <c r="C8" s="134" t="s">
        <v>46</v>
      </c>
      <c r="D8" s="134"/>
      <c r="E8" s="134"/>
    </row>
    <row r="9" spans="2:5" ht="46.5" customHeight="1">
      <c r="B9" s="130">
        <v>2</v>
      </c>
      <c r="C9" s="134" t="s">
        <v>47</v>
      </c>
      <c r="D9" s="134"/>
      <c r="E9" s="134"/>
    </row>
    <row r="10" spans="2:5" ht="60.75" customHeight="1">
      <c r="B10" s="130">
        <v>3</v>
      </c>
      <c r="C10" s="134" t="s">
        <v>48</v>
      </c>
      <c r="D10" s="134"/>
      <c r="E10" s="134"/>
    </row>
    <row r="11" spans="2:5" ht="21" customHeight="1">
      <c r="B11" s="132" t="s">
        <v>49</v>
      </c>
      <c r="C11" s="133" t="s">
        <v>50</v>
      </c>
      <c r="D11" s="133"/>
      <c r="E11" s="133"/>
    </row>
    <row r="12" spans="2:5" ht="102" customHeight="1">
      <c r="B12" s="135">
        <v>1</v>
      </c>
      <c r="C12" s="136" t="s">
        <v>51</v>
      </c>
      <c r="D12" s="136"/>
      <c r="E12" s="136"/>
    </row>
    <row r="13" spans="2:5" ht="48" customHeight="1">
      <c r="B13" s="137">
        <v>2</v>
      </c>
      <c r="C13" s="136" t="s">
        <v>52</v>
      </c>
      <c r="D13" s="136"/>
      <c r="E13" s="136"/>
    </row>
    <row r="14" spans="2:5" ht="96.75" customHeight="1">
      <c r="B14" s="137">
        <v>3</v>
      </c>
      <c r="C14" s="136" t="s">
        <v>53</v>
      </c>
      <c r="D14" s="136"/>
      <c r="E14" s="136"/>
    </row>
    <row r="15" spans="2:5" ht="113.25" customHeight="1">
      <c r="B15" s="137">
        <v>4</v>
      </c>
      <c r="C15" s="138" t="s">
        <v>54</v>
      </c>
      <c r="D15" s="138"/>
      <c r="E15" s="138"/>
    </row>
    <row r="16" spans="2:5" ht="19.5" customHeight="1">
      <c r="B16" s="132" t="s">
        <v>55</v>
      </c>
      <c r="C16" s="133" t="s">
        <v>56</v>
      </c>
      <c r="D16" s="133"/>
      <c r="E16" s="133"/>
    </row>
    <row r="17" spans="2:5" ht="87" customHeight="1">
      <c r="B17" s="8">
        <v>1</v>
      </c>
      <c r="C17" s="136" t="s">
        <v>57</v>
      </c>
      <c r="D17" s="136"/>
      <c r="E17" s="136"/>
    </row>
    <row r="18" spans="2:5" ht="60" customHeight="1">
      <c r="B18" s="8">
        <v>2</v>
      </c>
      <c r="C18" s="139" t="s">
        <v>52</v>
      </c>
      <c r="D18" s="139"/>
      <c r="E18" s="139"/>
    </row>
    <row r="19" spans="2:5" ht="54" customHeight="1">
      <c r="B19" s="135">
        <v>3</v>
      </c>
      <c r="C19" s="136" t="s">
        <v>58</v>
      </c>
      <c r="D19" s="136"/>
      <c r="E19" s="136"/>
    </row>
    <row r="20" spans="2:5" ht="152.25" customHeight="1">
      <c r="B20" s="135">
        <v>4</v>
      </c>
      <c r="C20" s="136" t="s">
        <v>59</v>
      </c>
      <c r="D20" s="136"/>
      <c r="E20" s="136"/>
    </row>
    <row r="21" spans="2:5" ht="21" customHeight="1">
      <c r="B21" s="132" t="s">
        <v>60</v>
      </c>
      <c r="C21" s="133" t="s">
        <v>61</v>
      </c>
      <c r="D21" s="133"/>
      <c r="E21" s="133"/>
    </row>
    <row r="22" spans="2:5">
      <c r="B22" s="140">
        <v>1</v>
      </c>
      <c r="C22" s="141" t="s">
        <v>62</v>
      </c>
      <c r="D22" s="142"/>
      <c r="E22" s="143"/>
    </row>
    <row r="23" spans="2:5" ht="102.75" customHeight="1">
      <c r="B23" s="144">
        <v>2</v>
      </c>
      <c r="C23" s="141" t="s">
        <v>63</v>
      </c>
      <c r="D23" s="142"/>
      <c r="E23" s="143"/>
    </row>
    <row r="24" spans="2:5" ht="88.5" customHeight="1">
      <c r="B24" s="144">
        <v>3</v>
      </c>
      <c r="C24" s="145" t="s">
        <v>52</v>
      </c>
      <c r="D24" s="145"/>
      <c r="E24" s="145"/>
    </row>
    <row r="25" spans="2:5" ht="58.5" customHeight="1" thickBot="1">
      <c r="B25" s="146">
        <v>4</v>
      </c>
      <c r="C25" s="147" t="s">
        <v>64</v>
      </c>
      <c r="D25" s="148"/>
      <c r="E25" s="148"/>
    </row>
    <row r="26" spans="2:5" ht="132.75" customHeight="1" thickBot="1">
      <c r="B26" s="146">
        <v>5</v>
      </c>
      <c r="C26" s="147" t="s">
        <v>65</v>
      </c>
      <c r="D26" s="148"/>
      <c r="E26" s="148"/>
    </row>
  </sheetData>
  <autoFilter ref="B3:F25" xr:uid="{076D7719-6A05-4907-867B-6351491FE30A}">
    <filterColumn colId="1" showButton="0"/>
    <filterColumn colId="2" showButton="0"/>
  </autoFilter>
  <mergeCells count="24">
    <mergeCell ref="C3:E3"/>
    <mergeCell ref="C4:E4"/>
    <mergeCell ref="C5:E5"/>
    <mergeCell ref="C6:E6"/>
    <mergeCell ref="C7:E7"/>
    <mergeCell ref="C8:E8"/>
    <mergeCell ref="C9:E9"/>
    <mergeCell ref="C11:E11"/>
    <mergeCell ref="C12:E12"/>
    <mergeCell ref="C10:E10"/>
    <mergeCell ref="C16:E16"/>
    <mergeCell ref="C17:E17"/>
    <mergeCell ref="C18:E18"/>
    <mergeCell ref="C19:E19"/>
    <mergeCell ref="C13:E13"/>
    <mergeCell ref="C14:E14"/>
    <mergeCell ref="C15:E15"/>
    <mergeCell ref="C26:E26"/>
    <mergeCell ref="C20:E20"/>
    <mergeCell ref="C21:E21"/>
    <mergeCell ref="C22:E22"/>
    <mergeCell ref="C23:E23"/>
    <mergeCell ref="C24:E24"/>
    <mergeCell ref="C25:E25"/>
  </mergeCells>
  <phoneticPr fontId="9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H73"/>
  <sheetViews>
    <sheetView workbookViewId="0"/>
  </sheetViews>
  <sheetFormatPr defaultRowHeight="14.1"/>
  <cols>
    <col min="1" max="1" width="0.125" customWidth="1"/>
  </cols>
  <sheetData>
    <row r="1" spans="1:86">
      <c r="A1" t="s">
        <v>66</v>
      </c>
    </row>
    <row r="3" spans="1:86">
      <c r="A3" t="s">
        <v>67</v>
      </c>
    </row>
    <row r="4" spans="1:86">
      <c r="A4" t="b">
        <v>1</v>
      </c>
    </row>
    <row r="6" spans="1:86">
      <c r="E6" t="s">
        <v>68</v>
      </c>
      <c r="Y6" t="s">
        <v>69</v>
      </c>
      <c r="Z6" t="s">
        <v>70</v>
      </c>
      <c r="AA6" t="s">
        <v>71</v>
      </c>
      <c r="AB6" t="s">
        <v>72</v>
      </c>
      <c r="AC6" t="s">
        <v>73</v>
      </c>
      <c r="AD6" t="s">
        <v>74</v>
      </c>
      <c r="AE6" t="s">
        <v>75</v>
      </c>
      <c r="AF6" t="s">
        <v>76</v>
      </c>
      <c r="AG6" t="s">
        <v>77</v>
      </c>
      <c r="AH6" t="s">
        <v>78</v>
      </c>
      <c r="AI6" t="s">
        <v>79</v>
      </c>
      <c r="AJ6" t="s">
        <v>80</v>
      </c>
      <c r="AK6" t="s">
        <v>81</v>
      </c>
      <c r="AL6" t="s">
        <v>82</v>
      </c>
      <c r="AM6" t="s">
        <v>83</v>
      </c>
      <c r="AN6" t="s">
        <v>84</v>
      </c>
      <c r="AO6" t="s">
        <v>85</v>
      </c>
      <c r="AP6" t="s">
        <v>86</v>
      </c>
      <c r="AQ6" t="s">
        <v>87</v>
      </c>
      <c r="AR6" t="s">
        <v>88</v>
      </c>
      <c r="AS6" t="s">
        <v>89</v>
      </c>
      <c r="AT6" t="s">
        <v>90</v>
      </c>
      <c r="AU6" t="s">
        <v>91</v>
      </c>
      <c r="AV6" t="s">
        <v>92</v>
      </c>
      <c r="AW6" t="s">
        <v>93</v>
      </c>
      <c r="AX6" t="s">
        <v>94</v>
      </c>
      <c r="AY6" t="s">
        <v>95</v>
      </c>
      <c r="AZ6" t="s">
        <v>96</v>
      </c>
      <c r="BA6" t="s">
        <v>97</v>
      </c>
      <c r="BB6" t="s">
        <v>98</v>
      </c>
      <c r="BC6" t="s">
        <v>99</v>
      </c>
      <c r="BD6" t="s">
        <v>100</v>
      </c>
      <c r="BE6" t="s">
        <v>101</v>
      </c>
      <c r="BF6" t="s">
        <v>102</v>
      </c>
      <c r="BG6" t="s">
        <v>103</v>
      </c>
      <c r="BH6" t="s">
        <v>104</v>
      </c>
      <c r="BI6" t="s">
        <v>105</v>
      </c>
      <c r="BJ6" t="s">
        <v>106</v>
      </c>
      <c r="BK6" t="s">
        <v>107</v>
      </c>
      <c r="BL6" t="s">
        <v>108</v>
      </c>
      <c r="BM6" t="s">
        <v>109</v>
      </c>
      <c r="BN6" t="s">
        <v>110</v>
      </c>
      <c r="BO6" t="s">
        <v>111</v>
      </c>
      <c r="BP6" t="s">
        <v>112</v>
      </c>
      <c r="BQ6" t="s">
        <v>113</v>
      </c>
      <c r="BR6" t="s">
        <v>114</v>
      </c>
      <c r="BS6" t="s">
        <v>115</v>
      </c>
      <c r="BT6" t="s">
        <v>116</v>
      </c>
      <c r="BU6" t="s">
        <v>117</v>
      </c>
      <c r="BV6" t="s">
        <v>118</v>
      </c>
      <c r="BW6" t="s">
        <v>119</v>
      </c>
      <c r="BX6" t="s">
        <v>120</v>
      </c>
      <c r="BY6" t="s">
        <v>121</v>
      </c>
      <c r="BZ6" t="s">
        <v>122</v>
      </c>
      <c r="CA6" t="s">
        <v>123</v>
      </c>
      <c r="CB6" t="s">
        <v>124</v>
      </c>
      <c r="CC6" t="s">
        <v>125</v>
      </c>
      <c r="CD6" t="s">
        <v>126</v>
      </c>
      <c r="CE6" t="s">
        <v>127</v>
      </c>
      <c r="CF6" t="s">
        <v>128</v>
      </c>
      <c r="CG6" t="s">
        <v>129</v>
      </c>
      <c r="CH6" t="s">
        <v>130</v>
      </c>
    </row>
    <row r="7" spans="1:86">
      <c r="A7" t="s">
        <v>131</v>
      </c>
    </row>
    <row r="10" spans="1:86">
      <c r="F10" t="e">
        <f>#REF!</f>
        <v>#REF!</v>
      </c>
      <c r="G10" t="s">
        <v>132</v>
      </c>
      <c r="H10" t="e">
        <f>#REF!</f>
        <v>#REF!</v>
      </c>
      <c r="I10" t="s">
        <v>133</v>
      </c>
    </row>
    <row r="11" spans="1:86">
      <c r="A11" s="2">
        <v>73</v>
      </c>
      <c r="F11" t="e">
        <f>#REF!</f>
        <v>#REF!</v>
      </c>
      <c r="G11" t="s">
        <v>134</v>
      </c>
      <c r="H11" t="e">
        <f>#REF!</f>
        <v>#REF!</v>
      </c>
      <c r="I11" t="s">
        <v>135</v>
      </c>
    </row>
    <row r="12" spans="1:86">
      <c r="A12" s="2">
        <v>18</v>
      </c>
      <c r="F12" t="e">
        <f>#REF!</f>
        <v>#REF!</v>
      </c>
      <c r="G12" t="s">
        <v>136</v>
      </c>
      <c r="H12" t="e">
        <f>#REF!</f>
        <v>#REF!</v>
      </c>
      <c r="I12" t="s">
        <v>137</v>
      </c>
    </row>
    <row r="13" spans="1:86">
      <c r="F13" t="e">
        <f>#REF!</f>
        <v>#REF!</v>
      </c>
      <c r="G13" t="s">
        <v>138</v>
      </c>
      <c r="H13" t="e">
        <f>#REF!</f>
        <v>#REF!</v>
      </c>
      <c r="I13" t="s">
        <v>139</v>
      </c>
    </row>
    <row r="14" spans="1:86">
      <c r="F14" t="e">
        <f>#REF!</f>
        <v>#REF!</v>
      </c>
      <c r="G14" t="s">
        <v>140</v>
      </c>
      <c r="H14" t="e">
        <f>#REF!</f>
        <v>#REF!</v>
      </c>
      <c r="I14" t="s">
        <v>141</v>
      </c>
    </row>
    <row r="15" spans="1:86">
      <c r="A15" s="2">
        <v>26</v>
      </c>
      <c r="F15" t="e">
        <f>#REF!</f>
        <v>#REF!</v>
      </c>
      <c r="G15" t="s">
        <v>142</v>
      </c>
      <c r="H15" t="e">
        <f>#REF!</f>
        <v>#REF!</v>
      </c>
      <c r="I15" t="s">
        <v>143</v>
      </c>
      <c r="R15" t="e">
        <f>#REF!</f>
        <v>#REF!</v>
      </c>
      <c r="S15" t="s">
        <v>144</v>
      </c>
    </row>
    <row r="16" spans="1:86">
      <c r="F16" t="e">
        <f>#REF!</f>
        <v>#REF!</v>
      </c>
      <c r="G16" t="s">
        <v>145</v>
      </c>
      <c r="H16" t="e">
        <f>#REF!</f>
        <v>#REF!</v>
      </c>
      <c r="I16" t="s">
        <v>146</v>
      </c>
      <c r="R16" t="e">
        <f>#REF!</f>
        <v>#REF!</v>
      </c>
      <c r="S16" t="s">
        <v>147</v>
      </c>
    </row>
    <row r="17" spans="6:19">
      <c r="F17" t="e">
        <f>#REF!</f>
        <v>#REF!</v>
      </c>
      <c r="G17" t="s">
        <v>148</v>
      </c>
      <c r="H17" t="e">
        <f>#REF!</f>
        <v>#REF!</v>
      </c>
      <c r="I17" t="s">
        <v>149</v>
      </c>
      <c r="R17" t="e">
        <f>#REF!</f>
        <v>#REF!</v>
      </c>
      <c r="S17" t="s">
        <v>150</v>
      </c>
    </row>
    <row r="18" spans="6:19">
      <c r="F18" t="e">
        <f>#REF!</f>
        <v>#REF!</v>
      </c>
      <c r="G18" t="s">
        <v>151</v>
      </c>
      <c r="R18" t="e">
        <f>#REF!</f>
        <v>#REF!</v>
      </c>
      <c r="S18" t="s">
        <v>152</v>
      </c>
    </row>
    <row r="19" spans="6:19">
      <c r="F19" t="e">
        <f>#REF!</f>
        <v>#REF!</v>
      </c>
      <c r="G19" t="s">
        <v>153</v>
      </c>
      <c r="R19" t="e">
        <f>#REF!</f>
        <v>#REF!</v>
      </c>
      <c r="S19" t="s">
        <v>154</v>
      </c>
    </row>
    <row r="20" spans="6:19">
      <c r="F20" t="e">
        <f>#REF!</f>
        <v>#REF!</v>
      </c>
      <c r="G20" t="s">
        <v>155</v>
      </c>
      <c r="R20" s="2" t="e">
        <f>#REF!</f>
        <v>#REF!</v>
      </c>
      <c r="S20" t="s">
        <v>156</v>
      </c>
    </row>
    <row r="21" spans="6:19">
      <c r="F21" t="e">
        <f>#REF!</f>
        <v>#REF!</v>
      </c>
      <c r="G21" t="s">
        <v>157</v>
      </c>
      <c r="R21" t="e">
        <f>#REF!</f>
        <v>#REF!</v>
      </c>
      <c r="S21" t="s">
        <v>158</v>
      </c>
    </row>
    <row r="22" spans="6:19">
      <c r="F22" t="e">
        <f>#REF!</f>
        <v>#REF!</v>
      </c>
      <c r="G22" t="s">
        <v>159</v>
      </c>
      <c r="R22" t="e">
        <f>#REF!</f>
        <v>#REF!</v>
      </c>
      <c r="S22" t="s">
        <v>160</v>
      </c>
    </row>
    <row r="23" spans="6:19">
      <c r="F23" t="e">
        <f>#REF!</f>
        <v>#REF!</v>
      </c>
      <c r="G23" t="s">
        <v>161</v>
      </c>
      <c r="R23" t="e">
        <f>#REF!</f>
        <v>#REF!</v>
      </c>
      <c r="S23" t="s">
        <v>162</v>
      </c>
    </row>
    <row r="24" spans="6:19">
      <c r="F24" t="e">
        <f>#REF!</f>
        <v>#REF!</v>
      </c>
      <c r="G24" t="s">
        <v>163</v>
      </c>
      <c r="R24" t="e">
        <f>#REF!</f>
        <v>#REF!</v>
      </c>
      <c r="S24" t="s">
        <v>164</v>
      </c>
    </row>
    <row r="25" spans="6:19">
      <c r="F25" t="e">
        <f>#REF!</f>
        <v>#REF!</v>
      </c>
      <c r="G25" t="s">
        <v>165</v>
      </c>
      <c r="R25" t="e">
        <f>#REF!</f>
        <v>#REF!</v>
      </c>
      <c r="S25" t="s">
        <v>166</v>
      </c>
    </row>
    <row r="26" spans="6:19">
      <c r="F26" t="e">
        <f>#REF!</f>
        <v>#REF!</v>
      </c>
      <c r="G26" t="s">
        <v>167</v>
      </c>
      <c r="R26" t="e">
        <f>#REF!</f>
        <v>#REF!</v>
      </c>
      <c r="S26" t="s">
        <v>168</v>
      </c>
    </row>
    <row r="27" spans="6:19">
      <c r="F27" t="e">
        <f>#REF!</f>
        <v>#REF!</v>
      </c>
      <c r="G27" t="s">
        <v>169</v>
      </c>
    </row>
    <row r="28" spans="6:19">
      <c r="F28" t="e">
        <f>#REF!</f>
        <v>#REF!</v>
      </c>
      <c r="G28" t="s">
        <v>170</v>
      </c>
    </row>
    <row r="29" spans="6:19">
      <c r="F29" t="e">
        <f>#REF!</f>
        <v>#REF!</v>
      </c>
      <c r="G29" t="s">
        <v>171</v>
      </c>
    </row>
    <row r="30" spans="6:19">
      <c r="F30" t="e">
        <f>#REF!</f>
        <v>#REF!</v>
      </c>
      <c r="G30" t="s">
        <v>172</v>
      </c>
    </row>
    <row r="31" spans="6:19">
      <c r="F31" t="e">
        <f>#REF!</f>
        <v>#REF!</v>
      </c>
      <c r="G31" t="s">
        <v>173</v>
      </c>
    </row>
    <row r="32" spans="6:19">
      <c r="F32" t="e">
        <f>#REF!</f>
        <v>#REF!</v>
      </c>
      <c r="G32" t="s">
        <v>174</v>
      </c>
    </row>
    <row r="33" spans="6:7">
      <c r="F33" t="e">
        <f>#REF!</f>
        <v>#REF!</v>
      </c>
      <c r="G33" t="s">
        <v>175</v>
      </c>
    </row>
    <row r="34" spans="6:7">
      <c r="F34" t="e">
        <f>#REF!</f>
        <v>#REF!</v>
      </c>
      <c r="G34" t="s">
        <v>176</v>
      </c>
    </row>
    <row r="35" spans="6:7">
      <c r="F35" t="e">
        <f>#REF!</f>
        <v>#REF!</v>
      </c>
      <c r="G35" t="s">
        <v>177</v>
      </c>
    </row>
    <row r="36" spans="6:7">
      <c r="F36" t="e">
        <f>#REF!</f>
        <v>#REF!</v>
      </c>
      <c r="G36" t="s">
        <v>178</v>
      </c>
    </row>
    <row r="37" spans="6:7">
      <c r="F37" t="e">
        <f>#REF!</f>
        <v>#REF!</v>
      </c>
      <c r="G37" t="s">
        <v>179</v>
      </c>
    </row>
    <row r="38" spans="6:7">
      <c r="F38" t="e">
        <f>#REF!</f>
        <v>#REF!</v>
      </c>
      <c r="G38" t="s">
        <v>180</v>
      </c>
    </row>
    <row r="39" spans="6:7">
      <c r="F39" t="e">
        <f>#REF!</f>
        <v>#REF!</v>
      </c>
      <c r="G39" t="s">
        <v>181</v>
      </c>
    </row>
    <row r="40" spans="6:7">
      <c r="F40" t="e">
        <f>#REF!</f>
        <v>#REF!</v>
      </c>
      <c r="G40" t="s">
        <v>182</v>
      </c>
    </row>
    <row r="41" spans="6:7">
      <c r="F41" t="e">
        <f>#REF!</f>
        <v>#REF!</v>
      </c>
      <c r="G41" t="s">
        <v>183</v>
      </c>
    </row>
    <row r="42" spans="6:7">
      <c r="F42" t="e">
        <f>#REF!</f>
        <v>#REF!</v>
      </c>
      <c r="G42" t="s">
        <v>184</v>
      </c>
    </row>
    <row r="68" spans="6:7">
      <c r="F68" t="e">
        <f>#REF!</f>
        <v>#REF!</v>
      </c>
      <c r="G68" t="s">
        <v>185</v>
      </c>
    </row>
    <row r="69" spans="6:7">
      <c r="F69" t="e">
        <f>#REF!</f>
        <v>#REF!</v>
      </c>
      <c r="G69" t="s">
        <v>186</v>
      </c>
    </row>
    <row r="70" spans="6:7">
      <c r="F70" t="e">
        <f>#REF!</f>
        <v>#REF!</v>
      </c>
      <c r="G70" t="s">
        <v>187</v>
      </c>
    </row>
    <row r="71" spans="6:7">
      <c r="F71" t="e">
        <f>#REF!</f>
        <v>#REF!</v>
      </c>
      <c r="G71" t="s">
        <v>188</v>
      </c>
    </row>
    <row r="73" spans="6:7">
      <c r="F73" t="e">
        <f>#REF!</f>
        <v>#REF!</v>
      </c>
      <c r="G73" t="s">
        <v>189</v>
      </c>
    </row>
  </sheetData>
  <phoneticPr fontId="94"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88197-BAD7-4798-B271-3BFE93DA0FC6}">
  <sheetPr>
    <pageSetUpPr fitToPage="1"/>
  </sheetPr>
  <dimension ref="A1:X69"/>
  <sheetViews>
    <sheetView showGridLines="0" tabSelected="1" topLeftCell="A29" zoomScale="70" zoomScaleNormal="70" workbookViewId="0">
      <selection activeCell="O46" sqref="O46"/>
    </sheetView>
  </sheetViews>
  <sheetFormatPr defaultColWidth="8.5" defaultRowHeight="12.6" outlineLevelRow="1"/>
  <cols>
    <col min="1" max="1" width="2.625" style="41" customWidth="1"/>
    <col min="2" max="2" width="12.5" style="41" customWidth="1"/>
    <col min="3" max="3" width="15.25" style="41" customWidth="1"/>
    <col min="4" max="4" width="9.25" style="41" customWidth="1"/>
    <col min="5" max="5" width="13" style="41" customWidth="1"/>
    <col min="6" max="6" width="11.125" style="41" customWidth="1"/>
    <col min="7" max="7" width="8.5" style="41"/>
    <col min="8" max="8" width="11.75" style="41" customWidth="1"/>
    <col min="9" max="9" width="12.5" style="41" customWidth="1"/>
    <col min="10" max="11" width="12.75" style="41" customWidth="1"/>
    <col min="12" max="13" width="13" style="41" customWidth="1"/>
    <col min="14" max="14" width="14.25" style="41" customWidth="1"/>
    <col min="15" max="17" width="15" style="41" customWidth="1"/>
    <col min="18" max="18" width="18.875" style="41" bestFit="1" customWidth="1"/>
    <col min="19" max="19" width="13.375" style="41" customWidth="1"/>
    <col min="20" max="20" width="10.25" style="41" customWidth="1"/>
    <col min="21" max="21" width="13.875" style="41" customWidth="1"/>
    <col min="22" max="22" width="13.75" style="41" customWidth="1"/>
    <col min="23" max="23" width="2.625" style="41" customWidth="1"/>
    <col min="24" max="24" width="1.625" style="41" customWidth="1"/>
    <col min="25" max="16384" width="8.5" style="41"/>
  </cols>
  <sheetData>
    <row r="1" spans="2:24" s="30" customFormat="1" ht="50.1" customHeight="1">
      <c r="B1" s="26" t="s">
        <v>190</v>
      </c>
      <c r="C1" s="29"/>
      <c r="D1" s="29"/>
      <c r="E1" s="29"/>
      <c r="F1" s="29"/>
      <c r="G1" s="29"/>
      <c r="H1" s="29"/>
      <c r="I1" s="29"/>
      <c r="J1" s="29"/>
      <c r="K1" s="29"/>
      <c r="L1" s="29"/>
      <c r="M1" s="29"/>
      <c r="N1" s="29"/>
      <c r="O1" s="29"/>
      <c r="P1" s="29"/>
      <c r="Q1" s="29"/>
      <c r="R1" s="29"/>
      <c r="S1" s="29"/>
      <c r="T1" s="29"/>
      <c r="U1" s="29"/>
      <c r="V1" s="29"/>
      <c r="X1" s="31"/>
    </row>
    <row r="2" spans="2:24" s="30" customFormat="1" ht="16.5">
      <c r="B2" s="32" t="s">
        <v>191</v>
      </c>
      <c r="C2" s="33"/>
      <c r="D2" s="34"/>
      <c r="E2" s="35"/>
      <c r="F2" s="35"/>
      <c r="G2" s="35"/>
      <c r="H2" s="35"/>
      <c r="I2" s="35"/>
      <c r="J2" s="35"/>
      <c r="K2" s="35"/>
      <c r="L2" s="35"/>
      <c r="M2" s="35"/>
      <c r="N2" s="35"/>
      <c r="O2" s="35"/>
      <c r="P2" s="35"/>
      <c r="Q2" s="35"/>
      <c r="R2" s="35"/>
      <c r="S2" s="35"/>
      <c r="T2" s="35"/>
      <c r="U2" s="35"/>
      <c r="V2" s="36"/>
      <c r="X2" s="37"/>
    </row>
    <row r="3" spans="2:24" ht="14.45">
      <c r="B3" s="38" t="s">
        <v>192</v>
      </c>
      <c r="C3" s="27" t="s">
        <v>193</v>
      </c>
      <c r="D3" s="39"/>
      <c r="E3" s="39"/>
      <c r="F3" s="39"/>
      <c r="G3" s="39"/>
      <c r="H3" s="39"/>
      <c r="I3" s="39"/>
      <c r="J3" s="39"/>
      <c r="K3" s="39"/>
      <c r="L3" s="39"/>
      <c r="M3" s="39"/>
      <c r="N3" s="39"/>
      <c r="O3" s="39"/>
      <c r="P3" s="39"/>
      <c r="Q3" s="39"/>
      <c r="R3" s="39"/>
      <c r="S3" s="39"/>
      <c r="T3" s="39"/>
      <c r="U3" s="39"/>
      <c r="V3" s="40"/>
      <c r="X3" s="42"/>
    </row>
    <row r="4" spans="2:24" ht="14.1">
      <c r="B4" s="95" t="s">
        <v>194</v>
      </c>
      <c r="C4" s="96"/>
      <c r="D4" s="97"/>
      <c r="E4" s="97"/>
      <c r="F4" s="97"/>
      <c r="G4" s="97"/>
      <c r="H4" s="97"/>
      <c r="I4" s="97"/>
      <c r="J4" s="97"/>
      <c r="K4" s="97"/>
      <c r="L4" s="97"/>
      <c r="M4" s="97"/>
      <c r="N4" s="97"/>
      <c r="O4" s="97"/>
      <c r="P4" s="97"/>
      <c r="Q4" s="97"/>
      <c r="R4" s="97"/>
      <c r="S4" s="97"/>
      <c r="T4" s="97"/>
      <c r="U4" s="97"/>
      <c r="V4" s="98"/>
      <c r="X4" s="42"/>
    </row>
    <row r="5" spans="2:24" ht="14.1">
      <c r="B5" s="43" t="s">
        <v>195</v>
      </c>
      <c r="C5" s="28" t="s">
        <v>196</v>
      </c>
      <c r="D5" s="44"/>
      <c r="E5" s="44"/>
      <c r="F5" s="44"/>
      <c r="G5" s="44"/>
      <c r="H5" s="44"/>
      <c r="I5" s="44"/>
      <c r="J5" s="44"/>
      <c r="K5" s="44"/>
      <c r="L5" s="44"/>
      <c r="M5" s="44"/>
      <c r="N5" s="44"/>
      <c r="O5" s="44"/>
      <c r="P5" s="44"/>
      <c r="Q5" s="44"/>
      <c r="R5" s="44"/>
      <c r="S5" s="44"/>
      <c r="T5" s="44"/>
      <c r="U5" s="44"/>
      <c r="V5" s="45"/>
      <c r="X5" s="42"/>
    </row>
    <row r="6" spans="2:24" ht="14.1">
      <c r="B6" s="77"/>
      <c r="C6" s="77"/>
      <c r="D6" s="46"/>
      <c r="E6" s="46"/>
      <c r="F6" s="46"/>
      <c r="G6" s="46"/>
      <c r="H6" s="46"/>
      <c r="I6" s="46"/>
      <c r="J6" s="46"/>
      <c r="K6" s="46"/>
      <c r="L6" s="46"/>
      <c r="M6" s="46"/>
      <c r="N6" s="46"/>
      <c r="O6" s="46"/>
      <c r="P6" s="46"/>
      <c r="Q6" s="46"/>
      <c r="R6" s="46"/>
      <c r="S6" s="46"/>
      <c r="T6" s="46"/>
      <c r="U6" s="46"/>
      <c r="V6" s="46"/>
      <c r="X6" s="42"/>
    </row>
    <row r="7" spans="2:24" s="49" customFormat="1" ht="15.6" customHeight="1">
      <c r="B7" s="78" t="s">
        <v>197</v>
      </c>
      <c r="C7" s="48"/>
      <c r="D7" s="48"/>
      <c r="E7" s="48"/>
      <c r="F7" s="48"/>
      <c r="G7" s="48"/>
      <c r="H7" s="48"/>
      <c r="I7" s="48"/>
      <c r="J7" s="48"/>
      <c r="K7" s="48"/>
      <c r="L7" s="48"/>
      <c r="M7" s="48"/>
      <c r="N7" s="48"/>
      <c r="O7" s="48"/>
      <c r="P7" s="48"/>
      <c r="Q7" s="48"/>
      <c r="R7" s="48"/>
      <c r="S7" s="48"/>
      <c r="T7" s="48"/>
      <c r="U7" s="48"/>
      <c r="V7" s="48"/>
      <c r="X7" s="42"/>
    </row>
    <row r="8" spans="2:24" ht="14.45">
      <c r="B8" s="81" t="s">
        <v>198</v>
      </c>
      <c r="C8" s="50"/>
      <c r="D8" s="50"/>
      <c r="X8" s="42"/>
    </row>
    <row r="9" spans="2:24" ht="14.45" customHeight="1">
      <c r="B9" s="47"/>
      <c r="C9" s="47"/>
      <c r="D9" s="47"/>
      <c r="X9" s="42"/>
    </row>
    <row r="10" spans="2:24" s="49" customFormat="1" ht="15.6" customHeight="1">
      <c r="B10" s="78" t="s">
        <v>199</v>
      </c>
      <c r="C10" s="48"/>
      <c r="D10" s="48"/>
      <c r="E10" s="48"/>
      <c r="F10" s="48"/>
      <c r="G10" s="48"/>
      <c r="H10" s="48"/>
      <c r="I10" s="48"/>
      <c r="J10" s="48"/>
      <c r="K10" s="48"/>
      <c r="L10" s="48"/>
      <c r="M10" s="48"/>
      <c r="N10" s="48"/>
      <c r="O10" s="48"/>
      <c r="P10" s="48"/>
      <c r="Q10" s="48"/>
      <c r="R10" s="48"/>
      <c r="S10" s="48"/>
      <c r="T10" s="48"/>
      <c r="U10" s="48"/>
      <c r="V10" s="48"/>
      <c r="X10" s="42"/>
    </row>
    <row r="11" spans="2:24" ht="14.45" customHeight="1">
      <c r="B11" s="84" t="s">
        <v>200</v>
      </c>
      <c r="C11" s="47"/>
      <c r="D11" s="47"/>
      <c r="X11" s="42"/>
    </row>
    <row r="12" spans="2:24" ht="14.45" customHeight="1">
      <c r="B12" s="80" t="s">
        <v>201</v>
      </c>
      <c r="C12" s="51"/>
      <c r="D12" s="51"/>
      <c r="X12" s="42"/>
    </row>
    <row r="13" spans="2:24" ht="14.45" customHeight="1">
      <c r="C13" s="149" t="s">
        <v>202</v>
      </c>
      <c r="D13" s="52"/>
      <c r="E13" s="47"/>
      <c r="X13" s="42"/>
    </row>
    <row r="14" spans="2:24" ht="14.45" customHeight="1">
      <c r="B14" s="80" t="s">
        <v>203</v>
      </c>
      <c r="C14" s="47"/>
      <c r="D14" s="52"/>
      <c r="X14" s="42"/>
    </row>
    <row r="15" spans="2:24" ht="14.45" customHeight="1">
      <c r="B15" s="80" t="s">
        <v>204</v>
      </c>
      <c r="C15" s="47"/>
      <c r="D15" s="52"/>
      <c r="X15" s="42"/>
    </row>
    <row r="16" spans="2:24" ht="54.95" customHeight="1">
      <c r="B16" s="150"/>
      <c r="C16" s="151"/>
      <c r="D16" s="151"/>
      <c r="E16" s="151"/>
      <c r="F16" s="151"/>
      <c r="G16" s="151"/>
      <c r="H16" s="151"/>
      <c r="I16" s="151"/>
      <c r="J16" s="151"/>
      <c r="K16" s="152"/>
      <c r="X16" s="42"/>
    </row>
    <row r="17" spans="2:24" ht="14.45" customHeight="1">
      <c r="B17" s="81" t="s">
        <v>205</v>
      </c>
      <c r="C17" s="50"/>
      <c r="D17" s="50"/>
      <c r="X17" s="42"/>
    </row>
    <row r="18" spans="2:24" ht="14.45" customHeight="1">
      <c r="B18" s="53"/>
      <c r="C18" s="153" t="str" cm="1">
        <f t="array" ref="C18">IFERROR(_xlfn.IFS(AND($C$3="非复杂实体*",$C$5="minimal"),"一些",AND($C$3="非复杂实体*",OR($C$5="low",$C$5="moderate",$C$5="high")),"有说服力",AND($C$3="复杂实体",$C$5="minimal"),"中等",AND($C$3="复杂实体",OR($C$5="low",$C$5="moderate",$C$5="high")),"有说服力"),"")</f>
        <v>有说服力</v>
      </c>
      <c r="D18" s="54" t="str">
        <f>IF(AND($C$18="有说服力",$C$13&lt;&gt;"高度精确"), "错误=说服性证据水平只能在高度精确的预期下获得",IF(AND($C$18="中等",$C$13="不太精确"), "错误=中等证据水平只能在高度或中等精确的预期下获得",""))</f>
        <v/>
      </c>
      <c r="X18" s="42"/>
    </row>
    <row r="19" spans="2:24" ht="14.45" customHeight="1">
      <c r="B19" s="85" t="s">
        <v>206</v>
      </c>
      <c r="C19" s="54"/>
      <c r="D19" s="54"/>
      <c r="X19" s="42"/>
    </row>
    <row r="20" spans="2:24" ht="14.45" customHeight="1">
      <c r="B20" s="84" t="s">
        <v>207</v>
      </c>
      <c r="C20" s="53"/>
      <c r="D20" s="53"/>
      <c r="X20" s="42"/>
    </row>
    <row r="21" spans="2:24" ht="14.45" customHeight="1">
      <c r="B21" s="80" t="s">
        <v>208</v>
      </c>
      <c r="C21" s="51"/>
      <c r="D21" s="51"/>
      <c r="X21" s="42"/>
    </row>
    <row r="22" spans="2:24" ht="30.95" customHeight="1">
      <c r="B22" s="83"/>
      <c r="C22" s="154">
        <f>IFERROR(1*$C$4,"")</f>
        <v>0</v>
      </c>
      <c r="D22" s="55"/>
      <c r="X22" s="42"/>
    </row>
    <row r="23" spans="2:24" ht="14.45" customHeight="1">
      <c r="B23" s="105" t="s">
        <v>209</v>
      </c>
      <c r="C23" s="51"/>
      <c r="D23" s="51"/>
      <c r="X23" s="42"/>
    </row>
    <row r="24" spans="2:24" ht="54" customHeight="1">
      <c r="B24" s="150"/>
      <c r="C24" s="151"/>
      <c r="D24" s="151"/>
      <c r="E24" s="151"/>
      <c r="F24" s="151"/>
      <c r="G24" s="151"/>
      <c r="H24" s="151"/>
      <c r="I24" s="151"/>
      <c r="J24" s="151"/>
      <c r="K24" s="152"/>
      <c r="X24" s="42"/>
    </row>
    <row r="25" spans="2:24" ht="14.1">
      <c r="X25" s="42"/>
    </row>
    <row r="26" spans="2:24" ht="14.45">
      <c r="B26" s="56" t="s">
        <v>210</v>
      </c>
      <c r="C26" s="3"/>
      <c r="D26" s="3"/>
      <c r="E26" s="3"/>
      <c r="F26" s="3"/>
      <c r="G26" s="3"/>
      <c r="H26" s="57"/>
      <c r="I26" s="58"/>
      <c r="J26" s="3"/>
      <c r="K26" s="59"/>
      <c r="L26" s="60"/>
      <c r="M26" s="60"/>
      <c r="N26" s="61"/>
      <c r="O26" s="61"/>
      <c r="P26" s="61"/>
      <c r="Q26" s="61"/>
      <c r="R26" s="62"/>
      <c r="S26" s="62"/>
      <c r="T26" s="62"/>
      <c r="X26" s="42"/>
    </row>
    <row r="27" spans="2:24" ht="14.1">
      <c r="B27" s="56"/>
      <c r="C27" s="3"/>
      <c r="D27" s="3"/>
      <c r="E27" s="3"/>
      <c r="F27" s="3"/>
      <c r="G27" s="3"/>
      <c r="H27" s="3"/>
      <c r="I27" s="3"/>
      <c r="J27" s="3"/>
      <c r="K27" s="3"/>
      <c r="N27" s="4" t="s">
        <v>211</v>
      </c>
      <c r="O27" s="4" t="s">
        <v>212</v>
      </c>
      <c r="P27" s="63" t="s">
        <v>213</v>
      </c>
      <c r="Q27" s="63" t="s">
        <v>214</v>
      </c>
      <c r="R27" s="91" t="s">
        <v>215</v>
      </c>
      <c r="S27" s="64" t="s">
        <v>216</v>
      </c>
      <c r="T27" s="64" t="s">
        <v>217</v>
      </c>
      <c r="U27" s="64"/>
      <c r="V27" s="64"/>
      <c r="X27" s="42"/>
    </row>
    <row r="28" spans="2:24" ht="15.6" customHeight="1">
      <c r="B28" s="99" t="s">
        <v>218</v>
      </c>
      <c r="C28" s="100"/>
      <c r="D28" s="100"/>
      <c r="E28" s="155" t="s">
        <v>219</v>
      </c>
      <c r="F28" s="156"/>
      <c r="G28" s="156"/>
      <c r="H28" s="156"/>
      <c r="I28" s="157"/>
      <c r="J28" s="158" t="s">
        <v>220</v>
      </c>
      <c r="K28" s="159"/>
      <c r="L28" s="159"/>
      <c r="M28" s="160"/>
      <c r="N28" s="158" t="s">
        <v>221</v>
      </c>
      <c r="O28" s="159"/>
      <c r="P28" s="159"/>
      <c r="Q28" s="159"/>
      <c r="R28" s="159"/>
      <c r="S28" s="160"/>
      <c r="T28" s="3"/>
      <c r="U28" s="3"/>
      <c r="V28" s="3"/>
      <c r="X28" s="42"/>
    </row>
    <row r="29" spans="2:24" ht="71.099999999999994">
      <c r="B29" s="161" t="s">
        <v>222</v>
      </c>
      <c r="C29" s="162" t="s">
        <v>223</v>
      </c>
      <c r="D29" s="162" t="s">
        <v>224</v>
      </c>
      <c r="E29" s="162" t="s">
        <v>225</v>
      </c>
      <c r="F29" s="162" t="s">
        <v>226</v>
      </c>
      <c r="G29" s="162" t="s">
        <v>227</v>
      </c>
      <c r="H29" s="162" t="s">
        <v>228</v>
      </c>
      <c r="I29" s="163" t="s">
        <v>229</v>
      </c>
      <c r="J29" s="90" t="s">
        <v>230</v>
      </c>
      <c r="K29" s="90" t="s">
        <v>231</v>
      </c>
      <c r="L29" s="90" t="s">
        <v>232</v>
      </c>
      <c r="M29" s="90" t="s">
        <v>233</v>
      </c>
      <c r="N29" s="89" t="s">
        <v>234</v>
      </c>
      <c r="O29" s="89" t="s">
        <v>235</v>
      </c>
      <c r="P29" s="89" t="s">
        <v>236</v>
      </c>
      <c r="Q29" s="89" t="s">
        <v>237</v>
      </c>
      <c r="R29" s="90" t="s">
        <v>238</v>
      </c>
      <c r="S29" s="163" t="s">
        <v>239</v>
      </c>
      <c r="T29" s="163" t="s">
        <v>240</v>
      </c>
      <c r="U29" s="164" t="s">
        <v>241</v>
      </c>
      <c r="V29" s="164" t="s">
        <v>242</v>
      </c>
      <c r="X29" s="42"/>
    </row>
    <row r="30" spans="2:24" ht="12.75" customHeight="1">
      <c r="B30" s="165"/>
      <c r="C30" s="166"/>
      <c r="D30" s="167"/>
      <c r="E30" s="168"/>
      <c r="F30" s="168"/>
      <c r="G30" s="168"/>
      <c r="H30" s="168"/>
      <c r="I30" s="168"/>
      <c r="J30" s="169">
        <v>12</v>
      </c>
      <c r="K30" s="170">
        <v>6</v>
      </c>
      <c r="L30" s="170">
        <v>6</v>
      </c>
      <c r="M30" s="170">
        <v>6</v>
      </c>
      <c r="N30" s="171" t="e">
        <f>(E30-H30-G30-I30)*(1-D30)/C30*12</f>
        <v>#DIV/0!</v>
      </c>
      <c r="O30" s="172" t="e">
        <f t="shared" ref="O30:O40" si="0">F30*(1-D30)/C30*K30</f>
        <v>#DIV/0!</v>
      </c>
      <c r="P30" s="172" t="e">
        <f>G30*(1-D30)/C30*L30</f>
        <v>#DIV/0!</v>
      </c>
      <c r="Q30" s="172" t="e">
        <f>I30*(1-D30)/C30*M30</f>
        <v>#DIV/0!</v>
      </c>
      <c r="R30" s="173" t="e">
        <f t="shared" ref="R30:R40" si="1">N30+O30+P30+Q30</f>
        <v>#DIV/0!</v>
      </c>
      <c r="S30" s="170"/>
      <c r="T30" s="174" t="e">
        <f>R30-S30</f>
        <v>#DIV/0!</v>
      </c>
      <c r="U30" s="175" t="str">
        <f t="shared" ref="U30:U40" si="2">IFERROR(S30/$S$41*$C$22,"")</f>
        <v/>
      </c>
      <c r="V30" s="176" t="str">
        <f>IFERROR(IF(ABS(T30)&gt;U30,"是","否"),"")</f>
        <v/>
      </c>
      <c r="X30" s="42"/>
    </row>
    <row r="31" spans="2:24" ht="12.75" customHeight="1">
      <c r="B31" s="165"/>
      <c r="C31" s="166"/>
      <c r="D31" s="167"/>
      <c r="E31" s="168"/>
      <c r="F31" s="168"/>
      <c r="G31" s="168"/>
      <c r="H31" s="168"/>
      <c r="I31" s="168"/>
      <c r="J31" s="169">
        <v>12</v>
      </c>
      <c r="K31" s="170">
        <v>6</v>
      </c>
      <c r="L31" s="170">
        <v>6</v>
      </c>
      <c r="M31" s="170">
        <v>6</v>
      </c>
      <c r="N31" s="171" t="e">
        <f t="shared" ref="N31:N40" si="3">(E31-H31-G31-I31)*(1-D31)/C31*12</f>
        <v>#DIV/0!</v>
      </c>
      <c r="O31" s="172" t="e">
        <f t="shared" si="0"/>
        <v>#DIV/0!</v>
      </c>
      <c r="P31" s="172" t="e">
        <f t="shared" ref="P31:P40" si="4">G31*(1-D31)/C31*L31</f>
        <v>#DIV/0!</v>
      </c>
      <c r="Q31" s="172" t="e">
        <f t="shared" ref="Q31:Q40" si="5">I31*(1-D31)/C31*M31</f>
        <v>#DIV/0!</v>
      </c>
      <c r="R31" s="173" t="e">
        <f t="shared" si="1"/>
        <v>#DIV/0!</v>
      </c>
      <c r="S31" s="170"/>
      <c r="T31" s="177" t="e">
        <f t="shared" ref="T31:T40" si="6">R31-S31</f>
        <v>#DIV/0!</v>
      </c>
      <c r="U31" s="175" t="str">
        <f t="shared" si="2"/>
        <v/>
      </c>
      <c r="V31" s="176" t="str">
        <f t="shared" ref="V31:V40" si="7">IFERROR(IF(ABS(T31)&gt;U31,"是","否"),"")</f>
        <v/>
      </c>
      <c r="X31" s="42"/>
    </row>
    <row r="32" spans="2:24" ht="12.75" customHeight="1">
      <c r="B32" s="165"/>
      <c r="C32" s="166"/>
      <c r="D32" s="167"/>
      <c r="E32" s="168"/>
      <c r="F32" s="168"/>
      <c r="G32" s="168"/>
      <c r="H32" s="168"/>
      <c r="I32" s="168"/>
      <c r="J32" s="169">
        <v>12</v>
      </c>
      <c r="K32" s="170">
        <v>6</v>
      </c>
      <c r="L32" s="170">
        <v>6</v>
      </c>
      <c r="M32" s="170">
        <v>6</v>
      </c>
      <c r="N32" s="171" t="e">
        <f t="shared" si="3"/>
        <v>#DIV/0!</v>
      </c>
      <c r="O32" s="172" t="e">
        <f t="shared" si="0"/>
        <v>#DIV/0!</v>
      </c>
      <c r="P32" s="172" t="e">
        <f t="shared" si="4"/>
        <v>#DIV/0!</v>
      </c>
      <c r="Q32" s="172" t="e">
        <f t="shared" si="5"/>
        <v>#DIV/0!</v>
      </c>
      <c r="R32" s="173" t="e">
        <f t="shared" si="1"/>
        <v>#DIV/0!</v>
      </c>
      <c r="S32" s="170"/>
      <c r="T32" s="177" t="e">
        <f t="shared" si="6"/>
        <v>#DIV/0!</v>
      </c>
      <c r="U32" s="175" t="str">
        <f t="shared" si="2"/>
        <v/>
      </c>
      <c r="V32" s="176" t="str">
        <f t="shared" si="7"/>
        <v/>
      </c>
      <c r="X32" s="42"/>
    </row>
    <row r="33" spans="2:24" ht="12.75" customHeight="1">
      <c r="B33" s="165"/>
      <c r="C33" s="166"/>
      <c r="D33" s="167"/>
      <c r="E33" s="168"/>
      <c r="F33" s="168"/>
      <c r="G33" s="168"/>
      <c r="H33" s="168"/>
      <c r="I33" s="168"/>
      <c r="J33" s="169">
        <v>12</v>
      </c>
      <c r="K33" s="170">
        <v>6</v>
      </c>
      <c r="L33" s="170">
        <v>6</v>
      </c>
      <c r="M33" s="170">
        <v>6</v>
      </c>
      <c r="N33" s="171" t="e">
        <f t="shared" si="3"/>
        <v>#DIV/0!</v>
      </c>
      <c r="O33" s="172" t="e">
        <f t="shared" si="0"/>
        <v>#DIV/0!</v>
      </c>
      <c r="P33" s="172" t="e">
        <f t="shared" si="4"/>
        <v>#DIV/0!</v>
      </c>
      <c r="Q33" s="172" t="e">
        <f t="shared" si="5"/>
        <v>#DIV/0!</v>
      </c>
      <c r="R33" s="173" t="e">
        <f t="shared" si="1"/>
        <v>#DIV/0!</v>
      </c>
      <c r="S33" s="170"/>
      <c r="T33" s="177" t="e">
        <f t="shared" si="6"/>
        <v>#DIV/0!</v>
      </c>
      <c r="U33" s="175" t="str">
        <f t="shared" si="2"/>
        <v/>
      </c>
      <c r="V33" s="176" t="str">
        <f t="shared" si="7"/>
        <v/>
      </c>
      <c r="X33" s="42"/>
    </row>
    <row r="34" spans="2:24" ht="12.75" customHeight="1">
      <c r="B34" s="165"/>
      <c r="C34" s="166"/>
      <c r="D34" s="167"/>
      <c r="E34" s="168"/>
      <c r="F34" s="168"/>
      <c r="G34" s="168"/>
      <c r="H34" s="168"/>
      <c r="I34" s="168"/>
      <c r="J34" s="169">
        <v>12</v>
      </c>
      <c r="K34" s="170">
        <v>6</v>
      </c>
      <c r="L34" s="170">
        <v>6</v>
      </c>
      <c r="M34" s="170">
        <v>6</v>
      </c>
      <c r="N34" s="171" t="e">
        <f t="shared" si="3"/>
        <v>#DIV/0!</v>
      </c>
      <c r="O34" s="172" t="e">
        <f t="shared" si="0"/>
        <v>#DIV/0!</v>
      </c>
      <c r="P34" s="172" t="e">
        <f t="shared" si="4"/>
        <v>#DIV/0!</v>
      </c>
      <c r="Q34" s="172" t="e">
        <f t="shared" si="5"/>
        <v>#DIV/0!</v>
      </c>
      <c r="R34" s="173" t="e">
        <f t="shared" si="1"/>
        <v>#DIV/0!</v>
      </c>
      <c r="S34" s="170"/>
      <c r="T34" s="177" t="e">
        <f t="shared" si="6"/>
        <v>#DIV/0!</v>
      </c>
      <c r="U34" s="175" t="str">
        <f t="shared" si="2"/>
        <v/>
      </c>
      <c r="V34" s="176" t="str">
        <f t="shared" si="7"/>
        <v/>
      </c>
      <c r="X34" s="42"/>
    </row>
    <row r="35" spans="2:24" ht="12.75" customHeight="1">
      <c r="B35" s="165"/>
      <c r="C35" s="166"/>
      <c r="D35" s="167"/>
      <c r="E35" s="168"/>
      <c r="F35" s="168"/>
      <c r="G35" s="168"/>
      <c r="H35" s="168"/>
      <c r="I35" s="168"/>
      <c r="J35" s="169">
        <v>12</v>
      </c>
      <c r="K35" s="170">
        <v>6</v>
      </c>
      <c r="L35" s="170">
        <v>6</v>
      </c>
      <c r="M35" s="170">
        <v>6</v>
      </c>
      <c r="N35" s="171" t="e">
        <f t="shared" si="3"/>
        <v>#DIV/0!</v>
      </c>
      <c r="O35" s="172" t="e">
        <f t="shared" si="0"/>
        <v>#DIV/0!</v>
      </c>
      <c r="P35" s="172" t="e">
        <f t="shared" si="4"/>
        <v>#DIV/0!</v>
      </c>
      <c r="Q35" s="172" t="e">
        <f t="shared" si="5"/>
        <v>#DIV/0!</v>
      </c>
      <c r="R35" s="173" t="e">
        <f t="shared" si="1"/>
        <v>#DIV/0!</v>
      </c>
      <c r="S35" s="170"/>
      <c r="T35" s="177" t="e">
        <f t="shared" si="6"/>
        <v>#DIV/0!</v>
      </c>
      <c r="U35" s="175" t="str">
        <f t="shared" si="2"/>
        <v/>
      </c>
      <c r="V35" s="176" t="str">
        <f t="shared" si="7"/>
        <v/>
      </c>
      <c r="X35" s="42"/>
    </row>
    <row r="36" spans="2:24" ht="12.75" customHeight="1">
      <c r="B36" s="165"/>
      <c r="C36" s="166"/>
      <c r="D36" s="167"/>
      <c r="E36" s="168"/>
      <c r="F36" s="168"/>
      <c r="G36" s="168"/>
      <c r="H36" s="168"/>
      <c r="I36" s="168"/>
      <c r="J36" s="169">
        <v>12</v>
      </c>
      <c r="K36" s="170">
        <v>6</v>
      </c>
      <c r="L36" s="170">
        <v>6</v>
      </c>
      <c r="M36" s="170">
        <v>6</v>
      </c>
      <c r="N36" s="171" t="e">
        <f t="shared" si="3"/>
        <v>#DIV/0!</v>
      </c>
      <c r="O36" s="172" t="e">
        <f t="shared" si="0"/>
        <v>#DIV/0!</v>
      </c>
      <c r="P36" s="172" t="e">
        <f t="shared" si="4"/>
        <v>#DIV/0!</v>
      </c>
      <c r="Q36" s="172" t="e">
        <f t="shared" si="5"/>
        <v>#DIV/0!</v>
      </c>
      <c r="R36" s="173" t="e">
        <f t="shared" si="1"/>
        <v>#DIV/0!</v>
      </c>
      <c r="S36" s="170"/>
      <c r="T36" s="177" t="e">
        <f t="shared" si="6"/>
        <v>#DIV/0!</v>
      </c>
      <c r="U36" s="175" t="str">
        <f t="shared" si="2"/>
        <v/>
      </c>
      <c r="V36" s="176" t="str">
        <f t="shared" si="7"/>
        <v/>
      </c>
      <c r="X36" s="42"/>
    </row>
    <row r="37" spans="2:24" ht="12.75" customHeight="1">
      <c r="B37" s="165"/>
      <c r="C37" s="166"/>
      <c r="D37" s="167"/>
      <c r="E37" s="168"/>
      <c r="F37" s="168"/>
      <c r="G37" s="168"/>
      <c r="H37" s="168"/>
      <c r="I37" s="168"/>
      <c r="J37" s="169">
        <v>12</v>
      </c>
      <c r="K37" s="170">
        <v>6</v>
      </c>
      <c r="L37" s="170">
        <v>6</v>
      </c>
      <c r="M37" s="170">
        <v>6</v>
      </c>
      <c r="N37" s="171" t="e">
        <f t="shared" si="3"/>
        <v>#DIV/0!</v>
      </c>
      <c r="O37" s="172" t="e">
        <f t="shared" si="0"/>
        <v>#DIV/0!</v>
      </c>
      <c r="P37" s="172" t="e">
        <f t="shared" si="4"/>
        <v>#DIV/0!</v>
      </c>
      <c r="Q37" s="172" t="e">
        <f t="shared" si="5"/>
        <v>#DIV/0!</v>
      </c>
      <c r="R37" s="173" t="e">
        <f t="shared" si="1"/>
        <v>#DIV/0!</v>
      </c>
      <c r="S37" s="170"/>
      <c r="T37" s="177" t="e">
        <f t="shared" si="6"/>
        <v>#DIV/0!</v>
      </c>
      <c r="U37" s="175" t="str">
        <f t="shared" si="2"/>
        <v/>
      </c>
      <c r="V37" s="176" t="str">
        <f t="shared" si="7"/>
        <v/>
      </c>
      <c r="X37" s="42"/>
    </row>
    <row r="38" spans="2:24" ht="12.75" customHeight="1">
      <c r="B38" s="165"/>
      <c r="C38" s="166"/>
      <c r="D38" s="167"/>
      <c r="E38" s="168"/>
      <c r="F38" s="168"/>
      <c r="G38" s="168"/>
      <c r="H38" s="168"/>
      <c r="I38" s="168"/>
      <c r="J38" s="169">
        <v>12</v>
      </c>
      <c r="K38" s="170">
        <v>6</v>
      </c>
      <c r="L38" s="170">
        <v>6</v>
      </c>
      <c r="M38" s="170">
        <v>6</v>
      </c>
      <c r="N38" s="171" t="e">
        <f t="shared" si="3"/>
        <v>#DIV/0!</v>
      </c>
      <c r="O38" s="172" t="e">
        <f t="shared" si="0"/>
        <v>#DIV/0!</v>
      </c>
      <c r="P38" s="172" t="e">
        <f t="shared" si="4"/>
        <v>#DIV/0!</v>
      </c>
      <c r="Q38" s="172" t="e">
        <f t="shared" si="5"/>
        <v>#DIV/0!</v>
      </c>
      <c r="R38" s="173" t="e">
        <f t="shared" si="1"/>
        <v>#DIV/0!</v>
      </c>
      <c r="S38" s="170"/>
      <c r="T38" s="177" t="e">
        <f t="shared" si="6"/>
        <v>#DIV/0!</v>
      </c>
      <c r="U38" s="175" t="str">
        <f t="shared" si="2"/>
        <v/>
      </c>
      <c r="V38" s="176" t="str">
        <f t="shared" si="7"/>
        <v/>
      </c>
      <c r="X38" s="42"/>
    </row>
    <row r="39" spans="2:24" ht="12.75" customHeight="1">
      <c r="B39" s="165"/>
      <c r="C39" s="166"/>
      <c r="D39" s="167"/>
      <c r="E39" s="168"/>
      <c r="F39" s="168"/>
      <c r="G39" s="168"/>
      <c r="H39" s="168"/>
      <c r="I39" s="168"/>
      <c r="J39" s="169">
        <v>12</v>
      </c>
      <c r="K39" s="170">
        <v>6</v>
      </c>
      <c r="L39" s="170">
        <v>6</v>
      </c>
      <c r="M39" s="170">
        <v>6</v>
      </c>
      <c r="N39" s="171" t="e">
        <f t="shared" si="3"/>
        <v>#DIV/0!</v>
      </c>
      <c r="O39" s="172" t="e">
        <f t="shared" si="0"/>
        <v>#DIV/0!</v>
      </c>
      <c r="P39" s="172" t="e">
        <f t="shared" si="4"/>
        <v>#DIV/0!</v>
      </c>
      <c r="Q39" s="172" t="e">
        <f t="shared" si="5"/>
        <v>#DIV/0!</v>
      </c>
      <c r="R39" s="173" t="e">
        <f t="shared" si="1"/>
        <v>#DIV/0!</v>
      </c>
      <c r="S39" s="170"/>
      <c r="T39" s="177" t="e">
        <f t="shared" si="6"/>
        <v>#DIV/0!</v>
      </c>
      <c r="U39" s="175" t="str">
        <f t="shared" si="2"/>
        <v/>
      </c>
      <c r="V39" s="176" t="str">
        <f t="shared" si="7"/>
        <v/>
      </c>
      <c r="X39" s="42"/>
    </row>
    <row r="40" spans="2:24" ht="14.1">
      <c r="B40" s="165"/>
      <c r="C40" s="166"/>
      <c r="D40" s="167"/>
      <c r="E40" s="168"/>
      <c r="F40" s="168"/>
      <c r="G40" s="168"/>
      <c r="H40" s="168"/>
      <c r="I40" s="168"/>
      <c r="J40" s="169">
        <v>12</v>
      </c>
      <c r="K40" s="170">
        <v>6</v>
      </c>
      <c r="L40" s="170">
        <v>6</v>
      </c>
      <c r="M40" s="170">
        <v>6</v>
      </c>
      <c r="N40" s="171" t="e">
        <f t="shared" si="3"/>
        <v>#DIV/0!</v>
      </c>
      <c r="O40" s="172" t="e">
        <f t="shared" si="0"/>
        <v>#DIV/0!</v>
      </c>
      <c r="P40" s="172" t="e">
        <f t="shared" si="4"/>
        <v>#DIV/0!</v>
      </c>
      <c r="Q40" s="172" t="e">
        <f t="shared" si="5"/>
        <v>#DIV/0!</v>
      </c>
      <c r="R40" s="173" t="e">
        <f t="shared" si="1"/>
        <v>#DIV/0!</v>
      </c>
      <c r="S40" s="170"/>
      <c r="T40" s="177" t="e">
        <f t="shared" si="6"/>
        <v>#DIV/0!</v>
      </c>
      <c r="U40" s="175" t="str">
        <f t="shared" si="2"/>
        <v/>
      </c>
      <c r="V40" s="176" t="str">
        <f t="shared" si="7"/>
        <v/>
      </c>
      <c r="X40" s="42"/>
    </row>
    <row r="41" spans="2:24" ht="13.5" customHeight="1">
      <c r="B41" s="178" t="s">
        <v>243</v>
      </c>
      <c r="C41" s="179"/>
      <c r="D41" s="179"/>
      <c r="E41" s="179">
        <f t="shared" ref="E41:H41" si="8">SUM(E30:E40)</f>
        <v>0</v>
      </c>
      <c r="F41" s="179">
        <f t="shared" si="8"/>
        <v>0</v>
      </c>
      <c r="G41" s="179">
        <f t="shared" si="8"/>
        <v>0</v>
      </c>
      <c r="H41" s="179">
        <f t="shared" si="8"/>
        <v>0</v>
      </c>
      <c r="I41" s="179">
        <f t="shared" ref="I41" si="9">SUM(I30:I40)</f>
        <v>0</v>
      </c>
      <c r="J41" s="179"/>
      <c r="K41" s="179"/>
      <c r="L41" s="179"/>
      <c r="M41" s="179"/>
      <c r="N41" s="179"/>
      <c r="O41" s="179"/>
      <c r="P41" s="179"/>
      <c r="Q41" s="179"/>
      <c r="R41" s="179" t="e">
        <f>SUM(R30:R40)</f>
        <v>#DIV/0!</v>
      </c>
      <c r="S41" s="179">
        <f>SUM(S30:S40)</f>
        <v>0</v>
      </c>
      <c r="T41" s="180"/>
      <c r="U41" s="181"/>
      <c r="V41" s="182" t="str">
        <f>IF(COUNTIF($V$30:$V$40, "是")&gt;0, "是", "否")</f>
        <v>否</v>
      </c>
      <c r="X41" s="42"/>
    </row>
    <row r="42" spans="2:24" ht="14.25" customHeight="1">
      <c r="E42" s="87" t="s">
        <v>244</v>
      </c>
      <c r="F42" s="87" t="s">
        <v>244</v>
      </c>
      <c r="G42" s="87" t="s">
        <v>244</v>
      </c>
      <c r="S42" s="87" t="s">
        <v>244</v>
      </c>
      <c r="X42" s="42"/>
    </row>
    <row r="43" spans="2:24" ht="14.25" customHeight="1">
      <c r="D43" s="87"/>
      <c r="E43" s="88"/>
      <c r="F43" s="88"/>
      <c r="G43" s="88"/>
      <c r="S43" s="65" t="s">
        <v>245</v>
      </c>
      <c r="T43" s="171" t="e">
        <f>ABS(SUM(T30:T40))</f>
        <v>#DIV/0!</v>
      </c>
      <c r="U43" s="66"/>
      <c r="X43" s="42"/>
    </row>
    <row r="44" spans="2:24" ht="14.25" customHeight="1">
      <c r="R44" s="65"/>
      <c r="S44" s="67" t="s">
        <v>246</v>
      </c>
      <c r="T44" s="86">
        <f>C22</f>
        <v>0</v>
      </c>
      <c r="U44" s="66"/>
      <c r="X44" s="42"/>
    </row>
    <row r="45" spans="2:24" ht="14.25" customHeight="1">
      <c r="B45" s="92" t="s">
        <v>247</v>
      </c>
      <c r="C45" s="51"/>
      <c r="D45" s="51"/>
      <c r="R45" s="67"/>
      <c r="S45" s="68" t="s">
        <v>248</v>
      </c>
      <c r="T45" s="183" t="str">
        <f>IFERROR(IF(OR(ABS(T43)&gt;T44,V41="是"),"是","否"),"")</f>
        <v/>
      </c>
      <c r="U45" s="82" t="str">
        <f>IF(T45="是","需进一步调查","达到证据级别，可得出结论")</f>
        <v>达到证据级别，可得出结论</v>
      </c>
      <c r="X45" s="42"/>
    </row>
    <row r="46" spans="2:24" ht="49.5" customHeight="1">
      <c r="B46" s="150"/>
      <c r="C46" s="151"/>
      <c r="D46" s="151"/>
      <c r="E46" s="151"/>
      <c r="F46" s="151"/>
      <c r="G46" s="151"/>
      <c r="H46" s="151"/>
      <c r="I46" s="151"/>
      <c r="J46" s="151"/>
      <c r="K46" s="152"/>
      <c r="R46" s="68"/>
      <c r="X46" s="42"/>
    </row>
    <row r="47" spans="2:24" ht="14.1">
      <c r="X47" s="42"/>
    </row>
    <row r="48" spans="2:24" s="49" customFormat="1" ht="15.6" customHeight="1">
      <c r="B48" s="79" t="s">
        <v>249</v>
      </c>
      <c r="C48" s="69"/>
      <c r="D48" s="69"/>
      <c r="E48" s="69"/>
      <c r="F48" s="69"/>
      <c r="G48" s="69"/>
      <c r="H48" s="69"/>
      <c r="I48" s="69"/>
      <c r="J48" s="69"/>
      <c r="K48" s="69"/>
      <c r="L48" s="69"/>
      <c r="M48" s="69"/>
      <c r="N48" s="48"/>
      <c r="O48" s="48"/>
      <c r="P48" s="48"/>
      <c r="Q48" s="48"/>
      <c r="R48" s="48"/>
      <c r="S48" s="48"/>
      <c r="T48" s="48"/>
      <c r="U48" s="48"/>
      <c r="V48" s="48"/>
      <c r="X48" s="42"/>
    </row>
    <row r="49" spans="1:24" ht="14.45" customHeight="1">
      <c r="C49" s="51"/>
      <c r="D49" s="51"/>
      <c r="X49" s="42"/>
    </row>
    <row r="50" spans="1:24" ht="14.45" customHeight="1">
      <c r="B50" s="80" t="s">
        <v>250</v>
      </c>
      <c r="C50" s="51"/>
      <c r="D50" s="51"/>
      <c r="X50" s="42"/>
    </row>
    <row r="51" spans="1:24" ht="14.25" customHeight="1">
      <c r="B51" s="119" t="str">
        <f>IF(T45="否",'K.03.1 SAP-高精确度'!D64,'K.03.1 SAP-高精确度'!D66)</f>
        <v>我们对不符合我们预期和超出我们偏差阈值的任何结果进行跟进。我们的跟进工作可能包括进一步调查数据、调查相关交易，以及询问管理层。我们评估并核实管理层给出的解释，考虑我们其它调查的结果，并对已通过这些程序获得适当支持的偏差部分进行量化。</v>
      </c>
      <c r="C51" s="119"/>
      <c r="D51" s="119"/>
      <c r="E51" s="119"/>
      <c r="F51" s="119"/>
      <c r="G51" s="119"/>
      <c r="H51" s="119"/>
      <c r="I51" s="119"/>
      <c r="J51" s="119"/>
      <c r="K51" s="119"/>
      <c r="L51" s="119"/>
      <c r="M51" s="119"/>
      <c r="X51" s="42"/>
    </row>
    <row r="52" spans="1:24" ht="14.45" customHeight="1">
      <c r="B52" s="119"/>
      <c r="C52" s="119"/>
      <c r="D52" s="119"/>
      <c r="E52" s="119"/>
      <c r="F52" s="119"/>
      <c r="G52" s="119"/>
      <c r="H52" s="119"/>
      <c r="I52" s="119"/>
      <c r="J52" s="119"/>
      <c r="K52" s="119"/>
      <c r="L52" s="119"/>
      <c r="M52" s="119"/>
      <c r="X52" s="42"/>
    </row>
    <row r="53" spans="1:24" ht="14.1">
      <c r="B53" s="119"/>
      <c r="C53" s="119"/>
      <c r="D53" s="119"/>
      <c r="E53" s="119"/>
      <c r="F53" s="119"/>
      <c r="G53" s="119"/>
      <c r="H53" s="119"/>
      <c r="I53" s="119"/>
      <c r="J53" s="119"/>
      <c r="K53" s="119"/>
      <c r="L53" s="119"/>
      <c r="M53" s="119"/>
      <c r="X53" s="42"/>
    </row>
    <row r="54" spans="1:24" ht="23.25" customHeight="1">
      <c r="B54" s="94"/>
      <c r="C54" s="120" t="str">
        <f>_xlfn.CONCAT(" - 在调查这些项目并核实其基本业务理由后，我们确定它们是适当的。我们已达到计划的证据水平：",$C$18,"。详细信息请参阅以上结果。")</f>
        <v xml:space="preserve"> - 在调查这些项目并核实其基本业务理由后，我们确定它们是适当的。我们已达到计划的证据水平：有说服力。详细信息请参阅以上结果。</v>
      </c>
      <c r="D54" s="120"/>
      <c r="E54" s="120"/>
      <c r="F54" s="120"/>
      <c r="G54" s="120"/>
      <c r="H54" s="120"/>
      <c r="I54" s="120"/>
      <c r="J54" s="120"/>
      <c r="K54" s="120"/>
      <c r="L54" s="120"/>
      <c r="M54" s="120"/>
      <c r="X54" s="42"/>
    </row>
    <row r="55" spans="1:24" ht="62.45" customHeight="1">
      <c r="B55" s="93"/>
      <c r="C55" s="117" t="s">
        <v>251</v>
      </c>
      <c r="D55" s="118"/>
      <c r="E55" s="118"/>
      <c r="F55" s="118"/>
      <c r="G55" s="118"/>
      <c r="H55" s="118"/>
      <c r="I55" s="118"/>
      <c r="J55" s="118"/>
      <c r="K55" s="118"/>
      <c r="L55" s="118"/>
      <c r="M55" s="118"/>
      <c r="X55" s="42"/>
    </row>
    <row r="56" spans="1:24" ht="14.1">
      <c r="D56" s="106"/>
      <c r="E56" s="106"/>
      <c r="F56" s="106"/>
      <c r="G56" s="106"/>
      <c r="H56" s="106"/>
      <c r="I56" s="106"/>
      <c r="J56" s="106"/>
      <c r="K56" s="106"/>
      <c r="L56" s="106"/>
      <c r="M56" s="106"/>
      <c r="X56" s="42"/>
    </row>
    <row r="57" spans="1:24" ht="7.5" customHeight="1">
      <c r="A57" s="42"/>
      <c r="B57" s="42"/>
      <c r="C57" s="42"/>
      <c r="D57" s="70"/>
      <c r="E57" s="42"/>
      <c r="F57" s="42"/>
      <c r="G57" s="42"/>
      <c r="H57" s="42"/>
      <c r="I57" s="42"/>
      <c r="J57" s="42"/>
      <c r="K57" s="42"/>
      <c r="L57" s="42"/>
      <c r="M57" s="42"/>
      <c r="N57" s="42"/>
      <c r="O57" s="42"/>
      <c r="P57" s="42"/>
      <c r="Q57" s="42"/>
      <c r="R57" s="42"/>
      <c r="S57" s="42"/>
      <c r="T57" s="42"/>
      <c r="U57" s="42"/>
      <c r="V57" s="42"/>
      <c r="W57" s="42"/>
      <c r="X57" s="42"/>
    </row>
    <row r="58" spans="1:24">
      <c r="B58" s="51"/>
      <c r="C58" s="51"/>
      <c r="D58" s="51"/>
    </row>
    <row r="59" spans="1:24">
      <c r="C59" s="51"/>
      <c r="D59" s="51"/>
    </row>
    <row r="64" spans="1:24" ht="30" hidden="1" customHeight="1" outlineLevel="1">
      <c r="C64" s="71" t="s">
        <v>252</v>
      </c>
      <c r="D64" s="101" t="str">
        <f>_xlfn.CONCAT("我们观察到没有不寻常的项目，且在分解层面和账户层面上，我们的预期与记录金额之间的差异均未超过我们的偏差阈值。 ",CHAR(10),"我们已达到计划的证据水平：",C18,"。")</f>
        <v>我们观察到没有不寻常的项目，且在分解层面和账户层面上，我们的预期与记录金额之间的差异均未超过我们的偏差阈值。 
我们已达到计划的证据水平：有说服力。</v>
      </c>
      <c r="E64" s="72"/>
    </row>
    <row r="65" spans="3:5" hidden="1" outlineLevel="1">
      <c r="C65" s="73"/>
      <c r="D65" s="102"/>
      <c r="E65" s="74"/>
    </row>
    <row r="66" spans="3:5" ht="36.75" hidden="1" customHeight="1" outlineLevel="1">
      <c r="C66" s="73"/>
      <c r="D66" s="103" t="s">
        <v>253</v>
      </c>
      <c r="E66" s="75"/>
    </row>
    <row r="67" spans="3:5" ht="52.5" hidden="1" customHeight="1" outlineLevel="1">
      <c r="C67" s="73" t="s">
        <v>254</v>
      </c>
      <c r="D67" s="103" t="str">
        <f>_xlfn.CONCAT(" - 在调查这些项目并核实其基本业务理由后，我们确定它们是适当的。我们已达到计划的证据水平：",$C$18,"。详细信息请参阅以上结果。")</f>
        <v xml:space="preserve"> - 在调查这些项目并核实其基本业务理由后，我们确定它们是适当的。我们已达到计划的证据水平：有说服力。详细信息请参阅以上结果。</v>
      </c>
      <c r="E67" s="75"/>
    </row>
    <row r="68" spans="3:5" ht="63" hidden="1" customHeight="1" outlineLevel="1">
      <c r="C68" s="76" t="s">
        <v>255</v>
      </c>
      <c r="D68" s="104" t="s">
        <v>256</v>
      </c>
      <c r="E68" s="25"/>
    </row>
    <row r="69" spans="3:5" collapsed="1"/>
  </sheetData>
  <sheetProtection algorithmName="SHA-512" hashValue="5gR96LQhZrJNTmJMEeu5G+ReSzvNCC7U6h9nbtLHnpoST/HPjG+mWyknkxQGrtTABryyWZgC9usCRuYSbUUh9w==" saltValue="2xhTNORqDg5sO7zsiuMd1g==" spinCount="100000" sheet="1" formatCells="0" formatColumns="0" formatRows="0" insertColumns="0" insertRows="0" insertHyperlinks="0" deleteColumns="0" deleteRows="0" sort="0" autoFilter="0" pivotTables="0"/>
  <autoFilter ref="B29:V29" xr:uid="{E5688197-BAD7-4798-B271-3BFE93DA0FC6}"/>
  <mergeCells count="9">
    <mergeCell ref="B16:K16"/>
    <mergeCell ref="N28:S28"/>
    <mergeCell ref="C55:M55"/>
    <mergeCell ref="B51:M53"/>
    <mergeCell ref="C54:M54"/>
    <mergeCell ref="E28:I28"/>
    <mergeCell ref="J28:M28"/>
    <mergeCell ref="B46:K46"/>
    <mergeCell ref="B24:K24"/>
  </mergeCells>
  <phoneticPr fontId="94" type="noConversion"/>
  <conditionalFormatting sqref="B16">
    <cfRule type="containsBlanks" dxfId="18" priority="50">
      <formula>LEN(TRIM(B16))=0</formula>
    </cfRule>
  </conditionalFormatting>
  <conditionalFormatting sqref="B24">
    <cfRule type="containsBlanks" dxfId="17" priority="43">
      <formula>LEN(TRIM(B24))=0</formula>
    </cfRule>
  </conditionalFormatting>
  <conditionalFormatting sqref="B46">
    <cfRule type="containsBlanks" dxfId="16" priority="46">
      <formula>LEN(TRIM(B46))=0</formula>
    </cfRule>
  </conditionalFormatting>
  <conditionalFormatting sqref="B54">
    <cfRule type="expression" dxfId="15" priority="17">
      <formula>B55="√"</formula>
    </cfRule>
    <cfRule type="expression" dxfId="14" priority="19">
      <formula>SUMPRODCUT((OR(B54="√",B55="√"))*(LEN(B55)=0))</formula>
    </cfRule>
  </conditionalFormatting>
  <conditionalFormatting sqref="B54:B55">
    <cfRule type="containsBlanks" dxfId="13" priority="23">
      <formula>LEN(TRIM(B54))=0</formula>
    </cfRule>
  </conditionalFormatting>
  <conditionalFormatting sqref="B55">
    <cfRule type="expression" dxfId="12" priority="18">
      <formula>B54="√"</formula>
    </cfRule>
  </conditionalFormatting>
  <conditionalFormatting sqref="B54:C54">
    <cfRule type="expression" dxfId="11" priority="31">
      <formula>$B$55&lt;&gt;""</formula>
    </cfRule>
  </conditionalFormatting>
  <conditionalFormatting sqref="B54:C55">
    <cfRule type="expression" dxfId="10" priority="183">
      <formula>$B$51=$D$64</formula>
    </cfRule>
  </conditionalFormatting>
  <conditionalFormatting sqref="B55:C55">
    <cfRule type="expression" dxfId="9" priority="32">
      <formula>$B$54&lt;&gt;""</formula>
    </cfRule>
  </conditionalFormatting>
  <conditionalFormatting sqref="B30:I40">
    <cfRule type="containsBlanks" dxfId="8" priority="3">
      <formula>LEN(TRIM(B30))=0</formula>
    </cfRule>
  </conditionalFormatting>
  <conditionalFormatting sqref="C3:C5 C13 B16 C18 C22 B24 B46">
    <cfRule type="containsBlanks" dxfId="7" priority="24">
      <formula>LEN(TRIM(B3))=0</formula>
    </cfRule>
  </conditionalFormatting>
  <conditionalFormatting sqref="C3:C5">
    <cfRule type="containsBlanks" dxfId="6" priority="25">
      <formula>LEN(TRIM(C3))=0</formula>
    </cfRule>
  </conditionalFormatting>
  <conditionalFormatting sqref="C13">
    <cfRule type="containsBlanks" dxfId="5" priority="52">
      <formula>LEN(TRIM(C13))=0</formula>
    </cfRule>
  </conditionalFormatting>
  <conditionalFormatting sqref="C18">
    <cfRule type="containsBlanks" dxfId="4" priority="33">
      <formula>LEN(TRIM(C18))=0</formula>
    </cfRule>
  </conditionalFormatting>
  <conditionalFormatting sqref="C22">
    <cfRule type="containsBlanks" dxfId="3" priority="41">
      <formula>LEN(TRIM(C22))=0</formula>
    </cfRule>
  </conditionalFormatting>
  <conditionalFormatting sqref="D22">
    <cfRule type="containsText" dxfId="2" priority="42" operator="containsText" text="ERROR">
      <formula>NOT(ISERROR(SEARCH("ERROR",D22)))</formula>
    </cfRule>
  </conditionalFormatting>
  <conditionalFormatting sqref="J30:M30 J31:J39 K31:M40">
    <cfRule type="containsBlanks" dxfId="1" priority="4">
      <formula>LEN(TRIM(J30))=0</formula>
    </cfRule>
  </conditionalFormatting>
  <conditionalFormatting sqref="S30:S40">
    <cfRule type="containsBlanks" dxfId="0" priority="1">
      <formula>LEN(TRIM(S30))=0</formula>
    </cfRule>
  </conditionalFormatting>
  <dataValidations count="4">
    <dataValidation type="list" allowBlank="1" showInputMessage="1" sqref="C5" xr:uid="{370DECC4-9264-4647-B5C2-9EC93FFFB76A}">
      <formula1>"Low,Moderate,High,Minimal不适用本模版"</formula1>
    </dataValidation>
    <dataValidation type="list" allowBlank="1" showInputMessage="1" sqref="C3" xr:uid="{402ED191-C43A-49F5-A041-0231A6A67E8A}">
      <formula1>"复杂实体,非复杂实体*"</formula1>
    </dataValidation>
    <dataValidation type="list" allowBlank="1" showInputMessage="1" sqref="V30:V40" xr:uid="{3EA37AAF-59D0-4535-925B-D22048D906D1}">
      <formula1>"是,否"</formula1>
    </dataValidation>
    <dataValidation type="list" allowBlank="1" showInputMessage="1" sqref="B54:B55" xr:uid="{D26E42CF-F676-4E05-9413-213715CD6F65}">
      <formula1>"√"</formula1>
    </dataValidation>
  </dataValidations>
  <pageMargins left="0.70866141732283472" right="0.70866141732283472" top="0.74803149606299213" bottom="0.74803149606299213" header="0.31496062992125984" footer="0.31496062992125984"/>
  <pageSetup paperSize="9" scale="31" fitToHeight="0" orientation="portrait" r:id="rId1"/>
  <headerFooter>
    <oddFooter>&amp;L表格264GL-SWP（2023年10月4日）</oddFooter>
  </headerFooter>
  <drawing r:id="rId2"/>
</worksheet>
</file>

<file path=customUI/_rels/customUI14.xml.rels><?xml version="1.0" encoding="UTF-8" standalone="yes"?>
<Relationships xmlns="http://schemas.openxmlformats.org/package/2006/relationships"><Relationship Id="DeleteRow" Type="http://schemas.openxmlformats.org/officeDocument/2006/relationships/image" Target="images/DeleteRow.jpg"/><Relationship Id="Extract" Type="http://schemas.openxmlformats.org/officeDocument/2006/relationships/image" Target="images/Extract.jpg"/><Relationship Id="AddRow" Type="http://schemas.openxmlformats.org/officeDocument/2006/relationships/image" Target="images/AddRow.jpg"/></Relationships>
</file>

<file path=customUI/customUI14.xml><?xml version="1.0" encoding="utf-8"?>
<customUI xmlns="http://schemas.microsoft.com/office/2009/07/customui">
  <ribbon>
    <tabs>
      <tab id="Enabler" label="AuditStandardization" visible="true">
        <group id="Func" label="ExcelFunction" visible="true">
          <button description="Extract Data for PPELead" enabled="true" id="Copy_Data" image="Extract" size="large" label="Extract Data For Lead" screentip="Extract Data For PPE Lead" showImage="true" showLabel="true" supertip="Extract Data For PPE Lead" visible="true" onAction="UploadPPEData"/>
          <button description="Extract CRA Data from Canvas" enabled="true" id="Extract_Data" image="Extract" size="large" label="Extract CRA Data From Canvas" screentip="Extract CRA Data From Canvas" showImage="true" showLabel="true" supertip="Extract CRA Data From Canvas" visible="true" onAction="UpdateCRA"/>
          <button description="Generate OSP" enabled="true" id="Generate_OSP" image="Extract" size="large" label="Generate OSP" screentip="Generate OSP Sheet" showImage="true" showLabel="true" supertip="Generate the OSP Sheet" visible="true" onAction="OSPforPPEButton"/>
          <button description="Goto PSP Selection" enabled="true" id="PSP_Selection" image="Extract" size="large" label="Goto PSP Selection" screentip="Goto PSP" showImage="true" showLabel="true" supertip="Goto PSP" visible="true" onAction="GotoPSPSelection"/>
          <button description="Generate New Macro" enabled="true" id="Generate_New" image="Extract" size="large" label="Generate New Macro" screentip="Generate New Macro" showImage="true" showLabel="true" supertip="Generate New Macro" visible="true" onAction="GenerateNewMacro"/>
          <button description="Extact Excel" enabled="true" id="Extract_Excel" image="Extract" size="large" label="Extract Excel" screentip="Saves workbook" showImage="true" showLabel="true" supertip="Save As Workbook" visible="true" onAction="ExtractExcel"/>
        </group>
      </tab>
    </tabs>
  </ribbon>
</customUI>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62989BB664902542A04262E315E25772" ma:contentTypeVersion="2" ma:contentTypeDescription="新建文档。" ma:contentTypeScope="" ma:versionID="578fd5862facbbe2d413169a5f3c2e98">
  <xsd:schema xmlns:xsd="http://www.w3.org/2001/XMLSchema" xmlns:xs="http://www.w3.org/2001/XMLSchema" xmlns:p="http://schemas.microsoft.com/office/2006/metadata/properties" xmlns:ns2="aa9bf47e-7d7d-4d70-9d97-7b2a84c9bd53" targetNamespace="http://schemas.microsoft.com/office/2006/metadata/properties" ma:root="true" ma:fieldsID="aeefad150e6d23681bded4825e0867ab" ns2:_="">
    <xsd:import namespace="aa9bf47e-7d7d-4d70-9d97-7b2a84c9bd53"/>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9bf47e-7d7d-4d70-9d97-7b2a84c9bd53"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78F6B95-7403-4997-8DE3-BE15EE4FAC88}"/>
</file>

<file path=customXml/itemProps2.xml><?xml version="1.0" encoding="utf-8"?>
<ds:datastoreItem xmlns:ds="http://schemas.openxmlformats.org/officeDocument/2006/customXml" ds:itemID="{F24E9DA6-74DD-488C-9C89-98AE865032CA}"/>
</file>

<file path=customXml/itemProps3.xml><?xml version="1.0" encoding="utf-8"?>
<ds:datastoreItem xmlns:ds="http://schemas.openxmlformats.org/officeDocument/2006/customXml" ds:itemID="{634E35E6-5B3F-4278-A13E-A6A53437F83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Skywind_K1_固定资产_20201231_sihan13.xlsx</dc:title>
  <dc:subject/>
  <dc:creator>Jyothi Prakash A</dc:creator>
  <cp:keywords>Final Audit.V5.K1.1107</cp:keywords>
  <dc:description>8C639849-B002-4EB7-A119-1A38F8B535F1</dc:description>
  <cp:lastModifiedBy/>
  <cp:revision/>
  <dcterms:created xsi:type="dcterms:W3CDTF">2006-09-16T00:00:00Z</dcterms:created>
  <dcterms:modified xsi:type="dcterms:W3CDTF">2026-04-30T09:53:12Z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0x01010062989BB664902542A04262E315E25772</vt:lpwstr>
  </property>
</Properties>
</file>