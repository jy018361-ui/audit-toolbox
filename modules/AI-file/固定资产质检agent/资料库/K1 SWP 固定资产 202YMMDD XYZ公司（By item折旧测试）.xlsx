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07/relationships/ui/extensibility" Target="customUI/customUI14.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defaultThemeVersion="124226"/>
  <mc:AlternateContent xmlns:mc="http://schemas.openxmlformats.org/markup-compatibility/2006">
    <mc:Choice Requires="x15">
      <x15ac:absPath xmlns:x15ac="http://schemas.microsoft.com/office/spreadsheetml/2010/11/ac" url="C:\Users\EQ877NU\Downloads\"/>
    </mc:Choice>
  </mc:AlternateContent>
  <xr:revisionPtr revIDLastSave="0" documentId="8_{5A761E62-C8DF-429B-8E35-7BC13DDBE962}" xr6:coauthVersionLast="47" xr6:coauthVersionMax="47" xr10:uidLastSave="{00000000-0000-0000-0000-000000000000}"/>
  <bookViews>
    <workbookView xWindow="-120" yWindow="-120" windowWidth="29040" windowHeight="15720" tabRatio="894" xr2:uid="{00000000-000D-0000-FFFF-FFFF00000000}"/>
  </bookViews>
  <sheets>
    <sheet name="K.03.2 折旧测试" sheetId="222" r:id="rId1"/>
    <sheet name="SkywindSettingSheet" sheetId="170" state="veryHidden" r:id="rId2"/>
  </sheets>
  <externalReferences>
    <externalReference r:id="rId3"/>
    <externalReference r:id="rId4"/>
  </externalReferences>
  <definedNames>
    <definedName name="_____dod1" localSheetId="0" hidden="1">{#N/A,#N/A,TRUE,"CPRD";#N/A,#N/A,TRUE,"BCCPDR";#N/A,#N/A,TRUE,"EWRD";#N/A,#N/A,TRUE,"5100";#N/A,#N/A,TRUE,"5110"}</definedName>
    <definedName name="_____dod1" hidden="1">{#N/A,#N/A,TRUE,"CPRD";#N/A,#N/A,TRUE,"BCCPDR";#N/A,#N/A,TRUE,"EWRD";#N/A,#N/A,TRUE,"5100";#N/A,#N/A,TRUE,"5110"}</definedName>
    <definedName name="____dod1" localSheetId="0" hidden="1">{#N/A,#N/A,TRUE,"CPRD";#N/A,#N/A,TRUE,"BCCPDR";#N/A,#N/A,TRUE,"EWRD";#N/A,#N/A,TRUE,"5100";#N/A,#N/A,TRUE,"5110"}</definedName>
    <definedName name="____dod1" hidden="1">{#N/A,#N/A,TRUE,"CPRD";#N/A,#N/A,TRUE,"BCCPDR";#N/A,#N/A,TRUE,"EWRD";#N/A,#N/A,TRUE,"5100";#N/A,#N/A,TRUE,"5110"}</definedName>
    <definedName name="___dod1" localSheetId="0" hidden="1">{#N/A,#N/A,TRUE,"CPRD";#N/A,#N/A,TRUE,"BCCPDR";#N/A,#N/A,TRUE,"EWRD";#N/A,#N/A,TRUE,"5100";#N/A,#N/A,TRUE,"5110"}</definedName>
    <definedName name="___dod1" hidden="1">{#N/A,#N/A,TRUE,"CPRD";#N/A,#N/A,TRUE,"BCCPDR";#N/A,#N/A,TRUE,"EWRD";#N/A,#N/A,TRUE,"5100";#N/A,#N/A,TRUE,"5110"}</definedName>
    <definedName name="___dog1" localSheetId="0"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localSheetId="0" hidden="1">{#N/A,#N/A,TRUE,"CPRD";#N/A,#N/A,TRUE,"BCCPDR";#N/A,#N/A,TRUE,"EWRD";#N/A,#N/A,TRUE,"5100";#N/A,#N/A,TRUE,"5110"}</definedName>
    <definedName name="__dod1" hidden="1">{#N/A,#N/A,TRUE,"CPRD";#N/A,#N/A,TRUE,"BCCPDR";#N/A,#N/A,TRUE,"EWRD";#N/A,#N/A,TRUE,"5100";#N/A,#N/A,TRUE,"5110"}</definedName>
    <definedName name="__dog1" localSheetId="0" hidden="1">{#N/A,#N/A,TRUE,"CPRD";#N/A,#N/A,TRUE,"BCCPDR";#N/A,#N/A,TRUE,"EWRD";#N/A,#N/A,TRUE,"5100";#N/A,#N/A,TRUE,"5110"}</definedName>
    <definedName name="__dog1" hidden="1">{#N/A,#N/A,TRUE,"CPRD";#N/A,#N/A,TRUE,"BCCPDR";#N/A,#N/A,TRUE,"EWRD";#N/A,#N/A,TRUE,"5100";#N/A,#N/A,TRUE,"5110"}</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6__123Graph_DCHART_3" hidden="1">#REF!</definedName>
    <definedName name="_dod1" localSheetId="0" hidden="1">{#N/A,#N/A,TRUE,"CPRD";#N/A,#N/A,TRUE,"BCCPDR";#N/A,#N/A,TRUE,"EWRD";#N/A,#N/A,TRUE,"5100";#N/A,#N/A,TRUE,"5110"}</definedName>
    <definedName name="_dod1" hidden="1">{#N/A,#N/A,TRUE,"CPRD";#N/A,#N/A,TRUE,"BCCPDR";#N/A,#N/A,TRUE,"EWRD";#N/A,#N/A,TRUE,"5100";#N/A,#N/A,TRUE,"5110"}</definedName>
    <definedName name="_dog1" localSheetId="0" hidden="1">{#N/A,#N/A,TRUE,"CPRD";#N/A,#N/A,TRUE,"BCCPDR";#N/A,#N/A,TRUE,"EWRD";#N/A,#N/A,TRUE,"5100";#N/A,#N/A,TRUE,"5110"}</definedName>
    <definedName name="_dog1" hidden="1">{#N/A,#N/A,TRUE,"CPRD";#N/A,#N/A,TRUE,"BCCPDR";#N/A,#N/A,TRUE,"EWRD";#N/A,#N/A,TRUE,"5100";#N/A,#N/A,TRUE,"5110"}</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Sort" localSheetId="0" hidden="1">#REF!</definedName>
    <definedName name="_Sort" hidden="1">#REF!</definedName>
    <definedName name="_Table1_In1" hidden="1">#REF!</definedName>
    <definedName name="_Table1_Out" hidden="1">#REF!</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0" hidden="1">#REF!</definedName>
    <definedName name="AS2TickmarkLS" hidden="1">#REF!</definedName>
    <definedName name="AS2VersionLS" hidden="1">300</definedName>
    <definedName name="asdg" hidden="1">{#N/A,#N/A,FALSE,"资产负债表";#N/A,#N/A,FALSE,"资产负债表"}</definedName>
    <definedName name="ass" localSheetId="0" hidden="1">{#N/A,#N/A,TRUE,"CPRD";#N/A,#N/A,TRUE,"BCCPDR";#N/A,#N/A,TRUE,"EWRD";#N/A,#N/A,TRUE,"5100";#N/A,#N/A,TRUE,"5110"}</definedName>
    <definedName name="ass" hidden="1">{#N/A,#N/A,TRUE,"CPRD";#N/A,#N/A,TRUE,"BCCPDR";#N/A,#N/A,TRUE,"EWRD";#N/A,#N/A,TRUE,"5100";#N/A,#N/A,TRUE,"5110"}</definedName>
    <definedName name="balanceofAS">[1]C_100Breakdown!$O$37:$O$47110</definedName>
    <definedName name="balanceofDep">[1]C_110函证控制表!$S$32:$S$64073</definedName>
    <definedName name="balanceofGua">[1]C_110函证控制表!$AW$32:$AW$64073</definedName>
    <definedName name="balanceofLC">[1]C_110函证控制表!$CB$32:$CB$64073</definedName>
    <definedName name="balanceofLoan">[1]C_110函证控制表!$AA$32:$AA$64073</definedName>
    <definedName name="BG_Del" hidden="1">15</definedName>
    <definedName name="BG_Ins" hidden="1">4</definedName>
    <definedName name="BG_Mod" hidden="1">6</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commercialBill">[1]C_110函证控制表!$BW$32:$BW$64073</definedName>
    <definedName name="creditorLoan">[1]C_110函证控制表!$AL$32:$AL$64073</definedName>
    <definedName name="currencyT">[1]C_100Breakdown!$K$37:$K$47110</definedName>
    <definedName name="DBS" hidden="1">#REF!</definedName>
    <definedName name="dcca" hidden="1">{#N/A,#N/A,FALSE,"资产负债表";#N/A,#N/A,FALSE,"资产负债表"}</definedName>
    <definedName name="debtorLoan">[1]C_110函证控制表!$AR$32:$AR$64073</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0" hidden="1">{#N/A,#N/A,TRUE,"CPRD";#N/A,#N/A,TRUE,"BCCPDR";#N/A,#N/A,TRUE,"EWRD";#N/A,#N/A,TRUE,"5100";#N/A,#N/A,TRUE,"5110"}</definedName>
    <definedName name="doddd" hidden="1">{#N/A,#N/A,TRUE,"CPRD";#N/A,#N/A,TRUE,"BCCPDR";#N/A,#N/A,TRUE,"EWRD";#N/A,#N/A,TRUE,"5100";#N/A,#N/A,TRUE,"5110"}</definedName>
    <definedName name="dog" localSheetId="0"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localSheetId="0" hidden="1">{#N/A,#N/A,TRUE,"CPRD";#N/A,#N/A,TRUE,"BCCPDR";#N/A,#N/A,TRUE,"EWRD";#N/A,#N/A,TRUE,"5100";#N/A,#N/A,TRUE,"5110"}</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EtradingContract">[1]C_110函证控制表!$CI$32:$CI$64073</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guaranteebyBank">[1]C_110函证控制表!$BC$32:$BC$64073</definedName>
    <definedName name="hadiah" hidden="1">{#N/A,#N/A,FALSE,"资产负债表";#N/A,#N/A,FALSE,"资产负债表"}</definedName>
    <definedName name="HdctTrnd" localSheetId="0" hidden="1">{#N/A,#N/A,TRUE,"CPRD";#N/A,#N/A,TRUE,"BCCPDR";#N/A,#N/A,TRUE,"EWRD";#N/A,#N/A,TRUE,"5100";#N/A,#N/A,TRUE,"5110"}</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localSheetId="0"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sCancelled">[1]C_100Breakdown!$V$37:$V$47110</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notused" hidden="1">{#N/A,#N/A,TRUE,"CPRD";#N/A,#N/A,TRUE,"BCCPDR";#N/A,#N/A,TRUE,"EWRD";#N/A,#N/A,TRUE,"5100";#N/A,#N/A,TRUE,"5110"}</definedName>
    <definedName name="numberofAccCancelled">[1]C_110函证控制表!$AG$32:$AG$64073</definedName>
    <definedName name="OrderTable" hidden="1">#REF!</definedName>
    <definedName name="otherpropertyDocs">[1]C_110函证控制表!$CO$32:$CO$64073</definedName>
    <definedName name="ProdForm" hidden="1">#REF!</definedName>
    <definedName name="Product" hidden="1">#REF!</definedName>
    <definedName name="qwertyuiopasdfghjkl" localSheetId="0" hidden="1">{"M2aPrint",#N/A,FALSE,"M2a"}</definedName>
    <definedName name="qwertyuiopasdfghjkl" hidden="1">{"M2aPrint",#N/A,FALSE,"M2a"}</definedName>
    <definedName name="qwwertyuiop" localSheetId="0" hidden="1">{"M2Print",#N/A,FALSE,"M2"}</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localSheetId="0"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ypeofCur">[1]C_110函证控制表!$O$32:$O$64073</definedName>
    <definedName name="ulead" hidden="1">{#N/A,#N/A,FALSE,"970301";#N/A,#N/A,FALSE,"970302";#N/A,#N/A,FALSE,"970303";#N/A,#N/A,FALSE,"970304";#N/A,#N/A,FALSE,"COM1";#N/A,#N/A,FALSE,"COM2"}</definedName>
    <definedName name="unduecommercialBill">[1]C_110函证控制表!$BO$32:$BO$64073</definedName>
    <definedName name="unduefinancialM">[1]C_110函证控制表!$CS$32:$CS$64073</definedName>
    <definedName name="uppaidacceptanceBill">[1]C_110函证控制表!$BI$32:$BI$64073</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{#N/A,#N/A,FALSE,"SUM";#N/A,#N/A,FALSE,"SK_TOT";#N/A,#N/A,FALSE,"YM";#N/A,#N/A,FALSE,"TSMC";#N/A,#N/A,FALSE,"ICW";#N/A,#N/A,FALSE,"Sheet1"}</definedName>
    <definedName name="wrn.ALL."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localSheetId="0" hidden="1">{#N/A,#N/A,TRUE,"CPRD";#N/A,#N/A,TRUE,"BCCPDR";#N/A,#N/A,TRUE,"EWRD";#N/A,#N/A,TRUE,"5100";#N/A,#N/A,TRUE,"5110"}</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localSheetId="0" hidden="1">{"M1Print",#N/A,FALSE,"M1"}</definedName>
    <definedName name="wrn.M1._.Operating._.Statement." hidden="1">{"M1Print",#N/A,FALSE,"M1"}</definedName>
    <definedName name="wrn.M1s._.Statistics." localSheetId="0" hidden="1">{"M1sPrint",#N/A,FALSE,"M1s"}</definedName>
    <definedName name="wrn.M1s._.Statistics." hidden="1">{"M1sPrint",#N/A,FALSE,"M1s"}</definedName>
    <definedName name="wrn.M2._.Balance._.Sheet." localSheetId="0" hidden="1">{"M2Print",#N/A,FALSE,"M2"}</definedName>
    <definedName name="wrn.M2._.Balance._.Sheet." hidden="1">{"M2Print",#N/A,FALSE,"M2"}</definedName>
    <definedName name="wrn.M2a._.Cashflow." localSheetId="0" hidden="1">{"M2aPrint",#N/A,FALSE,"M2a"}</definedName>
    <definedName name="wrn.M2a._.Cashflow." hidden="1">{"M2aPrint",#N/A,FALSE,"M2a"}</definedName>
    <definedName name="wrn.M4._.Inventories." localSheetId="0" hidden="1">{"M4Print",#N/A,FALSE,"M4"}</definedName>
    <definedName name="wrn.M4._.Inventories." hidden="1">{"M4Print",#N/A,FALSE,"M4"}</definedName>
    <definedName name="wrn.M5._.Flash._.and._.Forecast." localSheetId="0" hidden="1">{"M5Print",#N/A,FALSE,"M5"}</definedName>
    <definedName name="wrn.M5._.Flash._.and._.Forecast." hidden="1">{"M5Print",#N/A,FALSE,"M5"}</definedName>
    <definedName name="wrn.M6._.Management._.Summary." localSheetId="0" hidden="1">{"M6Print",#N/A,FALSE,"M6";"M6_1Print",#N/A,FALSE,"M6_1";"M6_2Print",#N/A,FALSE,"M6_2"}</definedName>
    <definedName name="wrn.M6._.Management._.Summary." hidden="1">{"M6Print",#N/A,FALSE,"M6";"M6_1Print",#N/A,FALSE,"M6_1";"M6_2Print",#N/A,FALSE,"M6_2"}</definedName>
    <definedName name="wrn.M7._.Financial._.Controllers._.report." localSheetId="0" hidden="1">{"M7_1Print",#N/A,TRUE,"M7_1";"M7_2Print",#N/A,TRUE,"M7_2"}</definedName>
    <definedName name="wrn.M7._.Financial._.Controllers._.report." hidden="1">{"M7_1Print",#N/A,TRUE,"M7_1";"M7_2Print",#N/A,TRUE,"M7_2"}</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hidden="1">{#N/A,#N/A,FALSE,"Marketing";#N/A,#N/A,FALSE,"Selling";#N/A,#N/A,FALSE,"Promotional";#N/A,#N/A,FALSE,"Advertising"}</definedName>
    <definedName name="wrn.sunmicro." hidden="1">{#N/A,#N/A,FALSE,"FREEMAN";#N/A,#N/A,FALSE,"STEPHEN";#N/A,#N/A,FALSE,"VICTOR"}</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localSheetId="0" hidden="1">{#N/A,#N/A,FALSE,"SUM";#N/A,#N/A,FALSE,"SK_TOT";#N/A,#N/A,FALSE,"YM";#N/A,#N/A,FALSE,"TSMC";#N/A,#N/A,FALSE,"ICW";#N/A,#N/A,FALSE,"Sheet1"}</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localSheetId="0" hidden="1">#REF!</definedName>
    <definedName name="XREF_COLUMN_10" hidden="1">#REF!</definedName>
    <definedName name="XREF_COLUMN_11" localSheetId="0" hidden="1">#REF!</definedName>
    <definedName name="XREF_COLUMN_11" hidden="1">#REF!</definedName>
    <definedName name="XREF_COLUMN_12" hidden="1">#REF!</definedName>
    <definedName name="XREF_COLUMN_19" localSheetId="0" hidden="1">#REF!</definedName>
    <definedName name="XREF_COLUMN_19" hidden="1">#REF!</definedName>
    <definedName name="XREF_COLUMN_2" localSheetId="0" hidden="1">#REF!</definedName>
    <definedName name="XREF_COLUMN_2" hidden="1">#REF!</definedName>
    <definedName name="XREF_COLUMN_20" localSheetId="0" hidden="1">#REF!</definedName>
    <definedName name="XREF_COLUMN_20" hidden="1">#REF!</definedName>
    <definedName name="XREF_COLUMN_21" hidden="1">#REF!</definedName>
    <definedName name="XREF_COLUMN_3" localSheetId="0" hidden="1">#REF!</definedName>
    <definedName name="XREF_COLUMN_3" hidden="1">#REF!</definedName>
    <definedName name="XREF_COLUMN_4" localSheetId="0" hidden="1">#REF!</definedName>
    <definedName name="XREF_COLUMN_4" hidden="1">#REF!</definedName>
    <definedName name="XREF_COLUMN_5" localSheetId="0" hidden="1">#REF!</definedName>
    <definedName name="XREF_COLUMN_5" hidden="1">#REF!</definedName>
    <definedName name="XREF_COLUMN_6" localSheetId="0" hidden="1">#REF!</definedName>
    <definedName name="XREF_COLUMN_6" hidden="1">#REF!</definedName>
    <definedName name="XREF_COLUMN_7" hidden="1">#REF!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0" hidden="1">#REF!</definedName>
    <definedName name="XRefCopy10Row" hidden="1">#REF!</definedName>
    <definedName name="XRefCopy11" localSheetId="0" hidden="1">#REF!</definedName>
    <definedName name="XRefCopy11" hidden="1">#REF!</definedName>
    <definedName name="XRefCopy11Row" localSheetId="0" hidden="1">#REF!</definedName>
    <definedName name="XRefCopy11Row" hidden="1">#REF!</definedName>
    <definedName name="XRefCopy12" hidden="1">#REF!</definedName>
    <definedName name="XRefCopy13" hidden="1">#REF!</definedName>
    <definedName name="XRefCopy13Row" localSheetId="0" hidden="1">#REF!</definedName>
    <definedName name="XRefCopy13Row" hidden="1">#REF!</definedName>
    <definedName name="XRefCopy14" localSheetId="0" hidden="1">#REF!</definedName>
    <definedName name="XRefCopy14" hidden="1">#REF!</definedName>
    <definedName name="XRefCopy15" hidden="1">#REF!</definedName>
    <definedName name="XRefCopy16Row" localSheetId="0" hidden="1">#REF!</definedName>
    <definedName name="XRefCopy16Row" hidden="1">#REF!</definedName>
    <definedName name="XRefCopy1Row" localSheetId="0"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localSheetId="0" hidden="1">#REF!</definedName>
    <definedName name="XRefPaste2" hidden="1">#REF!</definedName>
    <definedName name="XRefPaste24" localSheetId="0"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0" hidden="1">#REF!</definedName>
    <definedName name="XRefPaste6Row" hidden="1">#REF!</definedName>
    <definedName name="XRefPaste7" localSheetId="0"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0" hidden="1">{"M1Print",#N/A,FALSE,"M1"}</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0"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0" hidden="1">#REF!,#REF!</definedName>
    <definedName name="Z_E738B51C_56AE_4F9F_8D8A_36AD6137B90D_.wvu.PrintTitles" hidden="1">#REF!,#REF!</definedName>
    <definedName name="Z_E738B51C_56AE_4F9F_8D8A_36AD6137B90D_.wvu.Rows" localSheetId="0" hidden="1">#REF!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localSheetId="0" hidden="1">{"M1sPrint",#N/A,FALSE,"M1s"}</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222" l="1"/>
  <c r="Q11" i="222"/>
  <c r="Q12" i="222"/>
  <c r="Q13" i="222"/>
  <c r="Q14" i="222"/>
  <c r="Q15" i="222"/>
  <c r="Q16" i="222"/>
  <c r="Q9" i="222"/>
  <c r="O16" i="222"/>
  <c r="P16" i="222" s="1"/>
  <c r="R16" i="222" s="1"/>
  <c r="M17" i="222"/>
  <c r="L17" i="222"/>
  <c r="O9" i="222"/>
  <c r="P9" i="222" s="1"/>
  <c r="K17" i="222"/>
  <c r="J17" i="222"/>
  <c r="I17" i="222"/>
  <c r="H17" i="222"/>
  <c r="O15" i="222"/>
  <c r="P15" i="222" s="1"/>
  <c r="O14" i="222"/>
  <c r="P14" i="222" s="1"/>
  <c r="O13" i="222"/>
  <c r="P13" i="222" s="1"/>
  <c r="O12" i="222"/>
  <c r="P12" i="222" s="1"/>
  <c r="O11" i="222"/>
  <c r="P11" i="222" s="1"/>
  <c r="O10" i="222"/>
  <c r="P10" i="222" s="1"/>
  <c r="R9" i="222" l="1"/>
  <c r="R12" i="222"/>
  <c r="R15" i="222"/>
  <c r="R14" i="222"/>
  <c r="R10" i="222"/>
  <c r="R13" i="222"/>
  <c r="R11" i="222"/>
  <c r="Q17" i="222" l="1"/>
  <c r="R17" i="222" s="1"/>
  <c r="F73" i="170" l="1"/>
  <c r="F71" i="170"/>
  <c r="F70" i="170"/>
  <c r="F69" i="170"/>
  <c r="F68" i="170"/>
  <c r="R26" i="170" l="1"/>
  <c r="R25" i="170"/>
  <c r="R24" i="170"/>
  <c r="R23" i="170"/>
  <c r="R22" i="170"/>
  <c r="R21" i="170"/>
  <c r="R20" i="170"/>
  <c r="R19" i="170"/>
  <c r="R18" i="170"/>
  <c r="R17" i="170"/>
  <c r="R16" i="170"/>
  <c r="R15" i="170"/>
  <c r="F42" i="170" l="1"/>
  <c r="F41" i="170"/>
  <c r="F40" i="170" l="1"/>
  <c r="F39" i="170" l="1"/>
  <c r="H17" i="170"/>
  <c r="H16" i="170"/>
  <c r="H15" i="170"/>
  <c r="H14" i="170"/>
  <c r="H13" i="170"/>
  <c r="H12" i="170"/>
  <c r="H11" i="170"/>
  <c r="H10" i="170"/>
  <c r="F38" i="170"/>
  <c r="F37" i="170"/>
  <c r="F36" i="170"/>
  <c r="F35" i="170"/>
  <c r="F34" i="170"/>
  <c r="F33" i="170"/>
  <c r="F32" i="170"/>
  <c r="F31" i="170"/>
  <c r="F30" i="170"/>
  <c r="F29" i="170"/>
  <c r="F28" i="170"/>
  <c r="F27" i="170"/>
  <c r="F26" i="170"/>
  <c r="F25" i="170"/>
  <c r="F24" i="170"/>
  <c r="F23" i="170"/>
  <c r="F22" i="170"/>
  <c r="F21" i="170"/>
  <c r="F20" i="170"/>
  <c r="F19" i="170"/>
  <c r="F18" i="170"/>
  <c r="F17" i="170"/>
  <c r="F16" i="170"/>
  <c r="F15" i="170"/>
  <c r="F14" i="170"/>
  <c r="F13" i="170"/>
  <c r="F12" i="170"/>
  <c r="F11" i="170"/>
  <c r="F10" i="170"/>
</calcChain>
</file>

<file path=xl/sharedStrings.xml><?xml version="1.0" encoding="utf-8"?>
<sst xmlns="http://schemas.openxmlformats.org/spreadsheetml/2006/main" count="163" uniqueCount="160">
  <si>
    <t>标准工作底稿: K1 SWP 不动产、厂房和设备及相关账户（PPE）</t>
  </si>
  <si>
    <r>
      <t>K.03.2</t>
    </r>
    <r>
      <rPr>
        <b/>
        <sz val="12"/>
        <color rgb="FF000000"/>
        <rFont val="微软雅黑"/>
        <family val="2"/>
        <charset val="134"/>
      </rPr>
      <t>：折旧测试</t>
    </r>
    <phoneticPr fontId="96" type="noConversion"/>
  </si>
  <si>
    <t>7054f053-bac2-4036-a572-53d350c3c8de</t>
    <phoneticPr fontId="96" type="noConversion"/>
  </si>
  <si>
    <t>按公司的折旧政策重新计算本年应计提的折旧费用并与本年账面折旧金额对比。重新计算折旧出现差异的，我们进行进一步核查得出结论。</t>
  </si>
  <si>
    <t>DD</t>
  </si>
  <si>
    <t>FF</t>
    <phoneticPr fontId="99" type="noConversion"/>
  </si>
  <si>
    <t>GG=EE*(1-BB)/CC*FF</t>
    <phoneticPr fontId="99" type="noConversion"/>
  </si>
  <si>
    <t>HH=GG-DD</t>
    <phoneticPr fontId="99" type="noConversion"/>
  </si>
  <si>
    <t>固定资产明细清单</t>
    <phoneticPr fontId="96" type="noConversion"/>
  </si>
  <si>
    <t>CC</t>
  </si>
  <si>
    <t>BB</t>
  </si>
  <si>
    <t>EE</t>
  </si>
  <si>
    <r>
      <t xml:space="preserve">    </t>
    </r>
    <r>
      <rPr>
        <sz val="10"/>
        <color rgb="FF000000"/>
        <rFont val="微软雅黑"/>
        <family val="2"/>
        <charset val="134"/>
      </rPr>
      <t>若处置或报废，须填写</t>
    </r>
    <phoneticPr fontId="99" type="noConversion"/>
  </si>
  <si>
    <t>EY-by item折旧测算</t>
  </si>
  <si>
    <r>
      <rPr>
        <sz val="10"/>
        <rFont val="微软雅黑"/>
        <family val="2"/>
        <charset val="134"/>
      </rPr>
      <t>固定资产类别</t>
    </r>
  </si>
  <si>
    <r>
      <rPr>
        <sz val="10"/>
        <rFont val="微软雅黑"/>
        <family val="2"/>
        <charset val="134"/>
      </rPr>
      <t>固定资产编号</t>
    </r>
  </si>
  <si>
    <r>
      <rPr>
        <sz val="10"/>
        <rFont val="微软雅黑"/>
        <family val="2"/>
        <charset val="134"/>
      </rPr>
      <t>固定资产名称</t>
    </r>
  </si>
  <si>
    <r>
      <rPr>
        <sz val="10"/>
        <rFont val="微软雅黑"/>
        <family val="2"/>
        <charset val="134"/>
      </rPr>
      <t>入账开始日期</t>
    </r>
    <phoneticPr fontId="96" type="noConversion"/>
  </si>
  <si>
    <r>
      <t xml:space="preserve"> </t>
    </r>
    <r>
      <rPr>
        <sz val="10"/>
        <rFont val="微软雅黑"/>
        <family val="2"/>
        <charset val="134"/>
      </rPr>
      <t>使用寿命</t>
    </r>
    <r>
      <rPr>
        <sz val="10"/>
        <rFont val="Arail"/>
        <family val="2"/>
      </rPr>
      <t>(</t>
    </r>
    <r>
      <rPr>
        <sz val="10"/>
        <rFont val="微软雅黑"/>
        <family val="2"/>
        <charset val="134"/>
      </rPr>
      <t>月</t>
    </r>
    <r>
      <rPr>
        <sz val="10"/>
        <rFont val="Arail"/>
        <family val="2"/>
      </rPr>
      <t>)</t>
    </r>
  </si>
  <si>
    <r>
      <t xml:space="preserve"> </t>
    </r>
    <r>
      <rPr>
        <sz val="10"/>
        <rFont val="微软雅黑"/>
        <family val="2"/>
        <charset val="134"/>
      </rPr>
      <t>残值率</t>
    </r>
    <r>
      <rPr>
        <sz val="10"/>
        <rFont val="Arail"/>
        <family val="2"/>
      </rPr>
      <t xml:space="preserve"> </t>
    </r>
  </si>
  <si>
    <r>
      <rPr>
        <sz val="10"/>
        <rFont val="微软雅黑"/>
        <family val="2"/>
        <charset val="134"/>
      </rPr>
      <t>原值</t>
    </r>
    <phoneticPr fontId="96" type="noConversion"/>
  </si>
  <si>
    <r>
      <rPr>
        <sz val="10"/>
        <rFont val="微软雅黑"/>
        <family val="2"/>
        <charset val="134"/>
      </rPr>
      <t>累计折旧</t>
    </r>
    <phoneticPr fontId="96" type="noConversion"/>
  </si>
  <si>
    <r>
      <rPr>
        <sz val="10"/>
        <rFont val="微软雅黑"/>
        <family val="2"/>
        <charset val="134"/>
      </rPr>
      <t>减值准备</t>
    </r>
    <phoneticPr fontId="96" type="noConversion"/>
  </si>
  <si>
    <r>
      <rPr>
        <sz val="10"/>
        <rFont val="微软雅黑"/>
        <family val="2"/>
        <charset val="134"/>
      </rPr>
      <t>净值</t>
    </r>
    <phoneticPr fontId="96" type="noConversion"/>
  </si>
  <si>
    <t>本期计提折旧</t>
    <phoneticPr fontId="96" type="noConversion"/>
  </si>
  <si>
    <r>
      <rPr>
        <sz val="10"/>
        <color rgb="FF000000"/>
        <rFont val="微软雅黑"/>
        <family val="2"/>
        <charset val="134"/>
      </rPr>
      <t>处置日期</t>
    </r>
  </si>
  <si>
    <r>
      <rPr>
        <sz val="10"/>
        <color rgb="FF000000"/>
        <rFont val="微软雅黑"/>
        <family val="2"/>
        <charset val="134"/>
      </rPr>
      <t>原值减少金额</t>
    </r>
  </si>
  <si>
    <t>提足折旧时间</t>
    <phoneticPr fontId="96" type="noConversion"/>
  </si>
  <si>
    <t>本期应折旧月数</t>
    <phoneticPr fontId="96" type="noConversion"/>
  </si>
  <si>
    <t>本期应折旧金额</t>
    <phoneticPr fontId="96" type="noConversion"/>
  </si>
  <si>
    <t>本期差异</t>
  </si>
  <si>
    <t>标记</t>
  </si>
  <si>
    <t>120</t>
    <phoneticPr fontId="96" type="noConversion"/>
  </si>
  <si>
    <r>
      <rPr>
        <b/>
        <sz val="10"/>
        <rFont val="微软雅黑"/>
        <family val="2"/>
        <charset val="134"/>
      </rPr>
      <t>合计</t>
    </r>
    <phoneticPr fontId="96" type="noConversion"/>
  </si>
  <si>
    <t>Rx</t>
  </si>
  <si>
    <t>Notes</t>
    <phoneticPr fontId="99" type="noConversion"/>
  </si>
  <si>
    <t>db9ce45c-b5c9-4e6d-be28-967b500f20b6</t>
    <phoneticPr fontId="96" type="noConversion"/>
  </si>
  <si>
    <t>{"Id":"2120100351","IsProject":false,"ProjectId":"2006602268","TempProjectName":"云端天风测试","TempType":2,"Upload":"上传","Download":"下载"}</t>
  </si>
  <si>
    <t>ABC1VHBSsNAFLwX+g9L8BiCNGLFm8YUi1pCNiBSetiSl7pks1t2N4Yg/oCeRf/AoydPHvyb4M1fMClJKzHevPSyh5nZmTfM1/vHtN9D6LZ6EDJ2dL4E4xAZ7pWF4zyjPLQuhYw9sgRpnUBEUqbxNYA2UZfEMGujcVi68JSxBsDpPBCaMJeTOYOKjQhT0KZHFFhFGmun4LTlNCHJ6sQ6HIPWlC9WR23i1TmQXyFjdSyBxKHIeJvyReaIlOsSH9oN6AjWgAf7DehyTTUFVYLT2fo7JOIGwk4Op0lCZB5Uvf9sv5FgnTOoO/6sfeR7E6GhM8KTYiFJMqKMOVIo5UN0IUJoYirVnbmtO59Zu7Y1QMX9c/H0Urw9fL4+/svOg2HHzvbetu/c782+AQ==</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</si>
  <si>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96"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</si>
  <si>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96"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</si>
  <si>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96"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</si>
  <si>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96"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</si>
  <si>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phoneticPr fontId="96" type="noConversion"/>
  </si>
  <si>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phoneticPr fontId="96" type="noConversion"/>
  </si>
  <si>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phoneticPr fontId="96" type="noConversion"/>
  </si>
  <si>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phoneticPr fontId="96" type="noConversion"/>
  </si>
  <si>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phoneticPr fontId="96" type="noConversion"/>
  </si>
  <si>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phoneticPr fontId="96" type="noConversion"/>
  </si>
  <si>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96"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</si>
  <si>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96"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</si>
  <si>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96"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</si>
  <si>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96"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</si>
  <si>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96"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</si>
  <si>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96"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</si>
  <si>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96"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</si>
  <si>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96"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</si>
  <si>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96"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</si>
  <si>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96"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</si>
  <si>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96"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</si>
  <si>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96"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</si>
  <si>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96"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</si>
  <si>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96"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</si>
  <si>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96"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</si>
  <si>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96"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</si>
  <si>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96"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</si>
  <si>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phoneticPr fontId="96" type="noConversion"/>
  </si>
  <si>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phoneticPr fontId="96" type="noConversion"/>
  </si>
  <si>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phoneticPr fontId="96" type="noConversion"/>
  </si>
  <si>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phoneticPr fontId="96" type="noConversion"/>
  </si>
  <si>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phoneticPr fontId="96" type="noConversion"/>
  </si>
  <si>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96"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</si>
  <si>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96"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</si>
  <si>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96"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</si>
  <si>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96"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</si>
  <si>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96"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</si>
  <si>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96"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</si>
  <si>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96"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</si>
  <si>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96"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</si>
  <si>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96"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</si>
  <si>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96"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</si>
  <si>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96"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</si>
  <si>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96"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</si>
  <si>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96"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</si>
  <si>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96"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</si>
  <si>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96"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</si>
  <si>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96"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</si>
  <si>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96"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</si>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</sst>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3">
    <numFmt numFmtId="41" formatCode="_ * #,##0_ ;_ * \-#,##0_ ;_ * &quot;-&quot;_ ;_ @_ "/>
    <numFmt numFmtId="43" formatCode="_ * #,##0.00_ ;_ * \-#,##0.00_ ;_ * &quot;-&quot;??_ ;_ @_ "/>
    <numFmt numFmtId="176" formatCode="_(* #,##0.00_);_(* \(#,##0.00\);_(* &quot;-&quot;??_);_(@_)"/>
    <numFmt numFmtId="177" formatCode="&quot;$&quot;#,##0_);\(&quot;$&quot;#,##0\)"/>
    <numFmt numFmtId="178" formatCode="&quot;$&quot;#,##0.00_);\(&quot;$&quot;#,##0.00\)"/>
    <numFmt numFmtId="179" formatCode="_(* #,##0_);_(* \(#,##0\);_(* &quot;-&quot;_);_(@_)"/>
    <numFmt numFmtId="180" formatCode="_(&quot;$&quot;* #,##0.00_);_(&quot;$&quot;* \(#,##0.00\);_(&quot;$&quot;* &quot;-&quot;??_);_(@_)"/>
    <numFmt numFmtId="181" formatCode="#,##0;\(#,##0\)"/>
    <numFmt numFmtId="182" formatCode="_([$€-2]* #,##0.00_);_([$€-2]* \(#,##0.00\);_([$€-2]* &quot;-&quot;??_)"/>
    <numFmt numFmtId="183" formatCode="_-* #,##0.0000000000_-;\-* #,##0.0000000000_-;_-* &quot;-&quot;??_-;_-@_-"/>
    <numFmt numFmtId="184" formatCode="0.0%"/>
    <numFmt numFmtId="185" formatCode="&quot;¥&quot;#,##0;\-&quot;¥&quot;#,##0"/>
    <numFmt numFmtId="186" formatCode="#,##0;\-#,##0;&quot;-&quot;"/>
    <numFmt numFmtId="187" formatCode="&quot;$&quot;#,##0;[Red]&quot;$&quot;&quot;$&quot;&quot;$&quot;&quot;$&quot;&quot;$&quot;&quot;$&quot;&quot;$&quot;\-#,##0"/>
    <numFmt numFmtId="188" formatCode="_-* #,##0.00_-;\-* #,##0.00_-;_-* &quot;-&quot;??_-;_-@_-"/>
    <numFmt numFmtId="189" formatCode="#,##0.0_);\(#,##0.0\)"/>
    <numFmt numFmtId="190" formatCode="\$#,##0.00;\(\$#,##0.00\)"/>
    <numFmt numFmtId="191" formatCode="\$#,##0;\(\$#,##0\)"/>
    <numFmt numFmtId="192" formatCode="_ [$€-2]* #,##0.00_ ;_ [$€-2]* \-#,##0.00_ ;_ [$€-2]* &quot;-&quot;??_ "/>
    <numFmt numFmtId="193" formatCode="[$-804]aaaa;@"/>
    <numFmt numFmtId="194" formatCode="_-* #,##0\ _k_r_-;\-* #,##0\ _k_r_-;_-* &quot;-&quot;\ _k_r_-;_-@_-"/>
    <numFmt numFmtId="195" formatCode="_-* #,##0.00\ _k_r_-;\-* #,##0.00\ _k_r_-;_-* &quot;-&quot;??\ _k_r_-;_-@_-"/>
    <numFmt numFmtId="196" formatCode="#,##0.00_);#,##0.00\)"/>
    <numFmt numFmtId="197" formatCode="0.00000&quot;  &quot;"/>
    <numFmt numFmtId="198" formatCode="_-* #,##0_-;\-* #,##0_-;_-* &quot;-&quot;_-;_-@_-"/>
    <numFmt numFmtId="199" formatCode="_([$€-2]* #,##0.00000_);_([$€-2]* \(#,##0.00000\);_([$€-2]* &quot;-&quot;??_)"/>
    <numFmt numFmtId="200" formatCode="_-&quot;$&quot;* #,##0_-;\-&quot;$&quot;* #,##0_-;_-&quot;$&quot;* &quot;-&quot;_-;_-@_-"/>
    <numFmt numFmtId="201" formatCode="_-&quot;$&quot;* #,##0.00_-;\-&quot;$&quot;* #,##0.00_-;_-&quot;$&quot;* &quot;-&quot;??_-;_-@_-"/>
    <numFmt numFmtId="202" formatCode="&quot;\&quot;#,##0;[Red]&quot;\&quot;&quot;\&quot;\-#,##0"/>
    <numFmt numFmtId="203" formatCode="&quot;\&quot;#,##0.00;[Red]&quot;\&quot;&quot;\&quot;&quot;\&quot;&quot;\&quot;&quot;\&quot;&quot;\&quot;\-#,##0.00"/>
    <numFmt numFmtId="204" formatCode="&quot;\&quot;#,##0.00;[Red]&quot;\&quot;\-#,##0.00"/>
    <numFmt numFmtId="205" formatCode="&quot;\&quot;#,##0;[Red]&quot;\&quot;\-#,##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8">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微软雅黑"/>
      <family val="2"/>
      <charset val="134"/>
    </font>
    <font>
      <sz val="10"/>
      <color theme="1"/>
      <name val="Arial"/>
      <family val="2"/>
    </font>
    <font>
      <sz val="10"/>
      <color theme="1"/>
      <name val="微软雅黑"/>
      <family val="2"/>
      <charset val="134"/>
    </font>
    <font>
      <sz val="10"/>
      <name val="Arial"/>
      <family val="2"/>
    </font>
    <font>
      <sz val="10"/>
      <color indexed="8"/>
      <name val="Arial"/>
      <family val="2"/>
    </font>
    <font>
      <sz val="11"/>
      <color theme="1"/>
      <name val="Arial"/>
      <family val="2"/>
    </font>
    <font>
      <b/>
      <sz val="10"/>
      <color rgb="FFFF0000"/>
      <name val="Arial"/>
      <family val="2"/>
    </font>
    <font>
      <u/>
      <sz val="10"/>
      <color theme="10"/>
      <name val="Arial"/>
      <family val="2"/>
    </font>
    <font>
      <sz val="10"/>
      <color rgb="FF000000"/>
      <name val="Arial"/>
      <family val="2"/>
    </font>
    <font>
      <b/>
      <sz val="10"/>
      <name val="Arial"/>
      <family val="2"/>
    </font>
    <font>
      <b/>
      <sz val="10"/>
      <color theme="1"/>
      <name val="Arial"/>
      <family val="2"/>
    </font>
    <font>
      <sz val="10"/>
      <color indexed="10"/>
      <name val="Arial"/>
      <family val="2"/>
    </font>
    <font>
      <sz val="10"/>
      <name val="微软雅黑"/>
      <family val="2"/>
      <charset val="134"/>
    </font>
    <font>
      <b/>
      <sz val="10"/>
      <color indexed="8"/>
      <name val="Arial"/>
      <family val="2"/>
    </font>
    <font>
      <sz val="11"/>
      <color indexed="8"/>
      <name val="Calibri"/>
      <family val="2"/>
    </font>
    <font>
      <sz val="8"/>
      <name val="EYInterstate Light"/>
      <family val="2"/>
    </font>
    <font>
      <strike/>
      <sz val="10"/>
      <name val="Arial"/>
      <family val="2"/>
    </font>
    <font>
      <sz val="12"/>
      <name val="宋体"/>
      <family val="3"/>
      <charset val="134"/>
    </font>
    <font>
      <sz val="10"/>
      <name val="Tahoma"/>
      <family val="2"/>
    </font>
    <font>
      <sz val="10"/>
      <name val="Helv"/>
      <family val="2"/>
    </font>
    <font>
      <sz val="13"/>
      <name val="Tms Rmn"/>
      <family val="1"/>
    </font>
    <font>
      <sz val="12"/>
      <color indexed="9"/>
      <name val="宋体"/>
      <family val="3"/>
      <charset val="134"/>
    </font>
    <font>
      <sz val="12"/>
      <color indexed="8"/>
      <name val="宋体"/>
      <family val="3"/>
      <charset val="134"/>
    </font>
    <font>
      <sz val="11"/>
      <color theme="0"/>
      <name val="宋体"/>
      <family val="3"/>
      <charset val="134"/>
      <scheme val="minor"/>
    </font>
    <font>
      <sz val="11"/>
      <color rgb="FF9C0006"/>
      <name val="宋体"/>
      <family val="3"/>
      <charset val="134"/>
      <scheme val="minor"/>
    </font>
    <font>
      <b/>
      <sz val="10"/>
      <name val="Helv"/>
      <family val="2"/>
    </font>
    <font>
      <b/>
      <sz val="11"/>
      <color theme="0"/>
      <name val="宋体"/>
      <family val="3"/>
      <charset val="134"/>
    </font>
    <font>
      <b/>
      <sz val="11"/>
      <color theme="0"/>
      <name val="宋体"/>
      <family val="3"/>
      <charset val="134"/>
      <scheme val="minor"/>
    </font>
    <font>
      <b/>
      <sz val="13"/>
      <name val="Tms Rmn"/>
      <family val="1"/>
    </font>
    <font>
      <sz val="11"/>
      <color indexed="8"/>
      <name val="宋体"/>
      <family val="3"/>
      <charset val="134"/>
    </font>
    <font>
      <sz val="11"/>
      <color rgb="FF000000"/>
      <name val="Calibri"/>
      <family val="2"/>
    </font>
    <font>
      <sz val="10"/>
      <name val="Times New Roman"/>
      <family val="1"/>
    </font>
    <font>
      <b/>
      <sz val="11"/>
      <color rgb="FFFF0000"/>
      <name val="宋体"/>
      <family val="3"/>
      <charset val="134"/>
    </font>
    <font>
      <sz val="9"/>
      <name val="Times New Roman"/>
      <family val="1"/>
    </font>
    <font>
      <sz val="8"/>
      <name val="Arial"/>
      <family val="2"/>
    </font>
    <font>
      <sz val="10"/>
      <name val="宋体"/>
      <family val="3"/>
      <charset val="134"/>
    </font>
    <font>
      <sz val="11"/>
      <color rgb="FF006100"/>
      <name val="宋体"/>
      <family val="3"/>
      <charset val="134"/>
    </font>
    <font>
      <sz val="11"/>
      <color rgb="FF006100"/>
      <name val="宋体"/>
      <family val="3"/>
      <charset val="134"/>
      <scheme val="minor"/>
    </font>
    <font>
      <b/>
      <sz val="12"/>
      <name val="Helv"/>
      <family val="2"/>
    </font>
    <font>
      <b/>
      <sz val="12"/>
      <name val="Arial"/>
      <family val="2"/>
    </font>
    <font>
      <b/>
      <sz val="10"/>
      <color theme="1"/>
      <name val="宋体"/>
      <family val="3"/>
      <charset val="134"/>
    </font>
    <font>
      <u/>
      <sz val="11"/>
      <color theme="10"/>
      <name val="宋体"/>
      <family val="3"/>
      <charset val="134"/>
      <scheme val="minor"/>
    </font>
    <font>
      <u/>
      <sz val="11"/>
      <color theme="10"/>
      <name val="宋体"/>
      <family val="3"/>
      <charset val="134"/>
    </font>
    <font>
      <u/>
      <sz val="10"/>
      <color theme="10"/>
      <name val="等线"/>
      <family val="3"/>
      <charset val="134"/>
    </font>
    <font>
      <b/>
      <sz val="11"/>
      <name val="Helv"/>
      <family val="2"/>
    </font>
    <font>
      <sz val="11"/>
      <color rgb="FF9C5700"/>
      <name val="宋体"/>
      <family val="3"/>
      <charset val="134"/>
      <scheme val="minor"/>
    </font>
    <font>
      <sz val="12"/>
      <name val="Times New Roman"/>
      <family val="1"/>
    </font>
    <font>
      <sz val="10"/>
      <color theme="1"/>
      <name val="Times New Roman"/>
      <family val="1"/>
    </font>
    <font>
      <sz val="11"/>
      <color theme="1"/>
      <name val="宋体"/>
      <family val="3"/>
      <charset val="134"/>
    </font>
    <font>
      <sz val="12"/>
      <color theme="1"/>
      <name val="宋体"/>
      <family val="3"/>
      <charset val="134"/>
    </font>
    <font>
      <sz val="10"/>
      <color indexed="8"/>
      <name val="MS Sans Serif"/>
      <family val="2"/>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3"/>
      <charset val="134"/>
    </font>
    <font>
      <sz val="10"/>
      <name val="Arial Narrow"/>
      <family val="2"/>
    </font>
    <font>
      <sz val="14"/>
      <name val="柧挬"/>
      <family val="2"/>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宋体"/>
      <family val="3"/>
      <charset val="134"/>
      <scheme val="minor"/>
    </font>
    <font>
      <sz val="10"/>
      <color theme="1"/>
      <name val="等线"/>
      <family val="3"/>
      <charset val="134"/>
    </font>
    <font>
      <sz val="12"/>
      <color rgb="FF000000"/>
      <name val="Calibri"/>
      <family val="2"/>
    </font>
    <font>
      <u/>
      <sz val="12"/>
      <color indexed="12"/>
      <name val="宋体"/>
      <family val="3"/>
      <charset val="134"/>
    </font>
    <font>
      <u/>
      <sz val="10"/>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2"/>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3"/>
      <charset val="134"/>
    </font>
    <font>
      <sz val="12"/>
      <name val="바탕체"/>
      <family val="3"/>
    </font>
    <font>
      <sz val="10"/>
      <color rgb="FF000000"/>
      <name val="微软雅黑"/>
      <family val="2"/>
      <charset val="134"/>
    </font>
    <font>
      <b/>
      <sz val="10"/>
      <name val="微软雅黑"/>
      <family val="2"/>
      <charset val="134"/>
    </font>
    <font>
      <b/>
      <sz val="10"/>
      <color rgb="FFFF0000"/>
      <name val="微软雅黑"/>
      <family val="2"/>
      <charset val="134"/>
    </font>
    <font>
      <b/>
      <sz val="10"/>
      <color theme="1"/>
      <name val="微软雅黑"/>
      <family val="2"/>
      <charset val="134"/>
    </font>
    <font>
      <sz val="11"/>
      <color theme="1"/>
      <name val="宋体"/>
      <family val="2"/>
      <charset val="134"/>
      <scheme val="minor"/>
    </font>
    <font>
      <sz val="9"/>
      <name val="宋体"/>
      <family val="2"/>
      <charset val="134"/>
      <scheme val="minor"/>
    </font>
    <font>
      <sz val="10"/>
      <name val="宋体"/>
      <family val="2"/>
      <charset val="134"/>
    </font>
    <font>
      <u/>
      <sz val="11"/>
      <color theme="10"/>
      <name val="宋体"/>
      <family val="2"/>
      <scheme val="minor"/>
    </font>
    <font>
      <sz val="9"/>
      <name val="宋体"/>
      <family val="3"/>
      <charset val="134"/>
      <scheme val="minor"/>
    </font>
    <font>
      <sz val="10"/>
      <name val="宋体"/>
      <family val="3"/>
      <charset val="134"/>
    </font>
    <font>
      <sz val="11"/>
      <color theme="1"/>
      <name val="宋体"/>
      <family val="3"/>
      <charset val="134"/>
      <scheme val="minor"/>
    </font>
    <font>
      <b/>
      <sz val="10"/>
      <color rgb="FF000000"/>
      <name val="Arial"/>
      <family val="2"/>
    </font>
    <font>
      <b/>
      <sz val="10"/>
      <color rgb="FF000000"/>
      <name val="微软雅黑"/>
      <family val="2"/>
      <charset val="134"/>
    </font>
    <font>
      <b/>
      <sz val="9"/>
      <color rgb="FFFF0000"/>
      <name val="Arial"/>
      <family val="2"/>
    </font>
    <font>
      <sz val="10"/>
      <name val="Arail"/>
    </font>
    <font>
      <sz val="10"/>
      <name val="Arail"/>
      <family val="2"/>
    </font>
    <font>
      <b/>
      <sz val="10"/>
      <color theme="0"/>
      <name val="Arial"/>
      <family val="2"/>
    </font>
    <font>
      <sz val="8"/>
      <name val="EYInterstate Light"/>
    </font>
    <font>
      <b/>
      <strike/>
      <sz val="10"/>
      <color rgb="FF0000FF"/>
      <name val="Arial"/>
      <family val="2"/>
    </font>
    <font>
      <u/>
      <sz val="11"/>
      <color theme="10"/>
      <name val="宋体"/>
      <family val="2"/>
      <charset val="134"/>
      <scheme val="minor"/>
    </font>
    <font>
      <sz val="11"/>
      <color rgb="FF000000"/>
      <name val="Arial"/>
      <family val="2"/>
    </font>
    <font>
      <sz val="10"/>
      <color rgb="FF000000"/>
      <name val="微软雅黑"/>
      <family val="2"/>
    </font>
    <font>
      <sz val="10"/>
      <name val="微软雅黑"/>
      <family val="2"/>
    </font>
    <font>
      <b/>
      <sz val="14"/>
      <color rgb="FFFFFFFF"/>
      <name val="Arial"/>
      <family val="2"/>
    </font>
    <font>
      <b/>
      <sz val="12"/>
      <color rgb="FF000000"/>
      <name val="Arial"/>
      <family val="2"/>
    </font>
    <font>
      <b/>
      <sz val="12"/>
      <color rgb="FF000000"/>
      <name val="微软雅黑"/>
      <family val="2"/>
      <charset val="134"/>
    </font>
    <font>
      <b/>
      <sz val="14"/>
      <color rgb="FFFFFFFF"/>
      <name val="Arial"/>
      <family val="2"/>
      <charset val="134"/>
    </font>
  </fonts>
  <fills count="48">
    <fill>
      <patternFill patternType="none"/>
    </fill>
    <fill>
      <patternFill patternType="gray125"/>
    </fill>
    <fill>
      <patternFill patternType="solid">
        <fgColor theme="4" tint="0.79931028168584251"/>
        <bgColor indexed="64"/>
      </patternFill>
    </fill>
    <fill>
      <patternFill patternType="solid">
        <fgColor theme="9" tint="0.79931028168584251"/>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8626667073579"/>
        <bgColor indexed="64"/>
      </patternFill>
    </fill>
    <fill>
      <patternFill patternType="solid">
        <fgColor rgb="FF000000"/>
        <bgColor rgb="FF000000"/>
      </patternFill>
    </fill>
    <fill>
      <patternFill patternType="solid">
        <fgColor rgb="FFF2F2F2"/>
        <bgColor rgb="FF000000"/>
      </patternFill>
    </fill>
    <fill>
      <patternFill patternType="solid">
        <fgColor rgb="FF333399"/>
        <bgColor indexed="64"/>
      </patternFill>
    </fill>
  </fills>
  <borders count="31">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s>
  <cellStyleXfs count="1063">
    <xf numFmtId="0" fontId="0" fillId="0" borderId="0"/>
    <xf numFmtId="0" fontId="95" fillId="0" borderId="0"/>
    <xf numFmtId="0" fontId="20" fillId="0" borderId="0"/>
    <xf numFmtId="0" fontId="7" fillId="0" borderId="0"/>
    <xf numFmtId="0" fontId="95" fillId="0" borderId="0"/>
    <xf numFmtId="176" fontId="95" fillId="0" borderId="0" applyFont="0" applyFill="0" applyBorder="0" applyAlignment="0" applyProtection="0"/>
    <xf numFmtId="0" fontId="95" fillId="0" borderId="0"/>
    <xf numFmtId="0" fontId="95" fillId="0" borderId="0"/>
    <xf numFmtId="0" fontId="9" fillId="0" borderId="0"/>
    <xf numFmtId="0" fontId="21" fillId="0" borderId="0">
      <alignment vertical="center"/>
    </xf>
    <xf numFmtId="0" fontId="95" fillId="0" borderId="0"/>
    <xf numFmtId="176" fontId="9" fillId="0" borderId="0" applyFont="0" applyFill="0" applyBorder="0" applyAlignment="0" applyProtection="0"/>
    <xf numFmtId="0" fontId="22" fillId="0" borderId="0"/>
    <xf numFmtId="0" fontId="95" fillId="0" borderId="0"/>
    <xf numFmtId="0" fontId="9" fillId="0" borderId="0"/>
    <xf numFmtId="0" fontId="95" fillId="0" borderId="0"/>
    <xf numFmtId="9" fontId="95" fillId="0" borderId="0" applyFont="0" applyFill="0" applyBorder="0" applyAlignment="0" applyProtection="0"/>
    <xf numFmtId="0" fontId="95" fillId="0" borderId="0"/>
    <xf numFmtId="0" fontId="21" fillId="0" borderId="0">
      <alignment vertical="center"/>
    </xf>
    <xf numFmtId="179" fontId="95" fillId="0" borderId="0" applyFont="0" applyFill="0" applyBorder="0" applyAlignment="0" applyProtection="0"/>
    <xf numFmtId="179" fontId="9" fillId="0" borderId="0" applyFont="0" applyFill="0" applyBorder="0" applyAlignment="0" applyProtection="0"/>
    <xf numFmtId="0" fontId="23" fillId="0" borderId="0">
      <alignment vertical="center"/>
    </xf>
    <xf numFmtId="0" fontId="9" fillId="0" borderId="0"/>
    <xf numFmtId="0" fontId="95" fillId="0" borderId="0"/>
    <xf numFmtId="9" fontId="95" fillId="0" borderId="0" applyFont="0" applyFill="0" applyBorder="0" applyAlignment="0" applyProtection="0"/>
    <xf numFmtId="179" fontId="95" fillId="0" borderId="0" applyFont="0" applyFill="0" applyBorder="0" applyAlignment="0" applyProtection="0"/>
    <xf numFmtId="0" fontId="95" fillId="0" borderId="0">
      <alignment vertical="center"/>
    </xf>
    <xf numFmtId="0" fontId="95" fillId="0" borderId="0"/>
    <xf numFmtId="0" fontId="9" fillId="0" borderId="0"/>
    <xf numFmtId="176" fontId="9" fillId="0" borderId="0" applyFont="0" applyFill="0" applyBorder="0" applyAlignment="0" applyProtection="0"/>
    <xf numFmtId="0" fontId="24" fillId="0" borderId="0"/>
    <xf numFmtId="0" fontId="9" fillId="0" borderId="0"/>
    <xf numFmtId="182" fontId="25" fillId="0" borderId="0">
      <protection locked="0"/>
    </xf>
    <xf numFmtId="0" fontId="7" fillId="0" borderId="0"/>
    <xf numFmtId="0" fontId="23" fillId="0" borderId="0"/>
    <xf numFmtId="0" fontId="95" fillId="0" borderId="0">
      <alignment vertical="center"/>
      <protection locked="0"/>
    </xf>
    <xf numFmtId="179" fontId="23" fillId="0" borderId="0" applyFont="0" applyFill="0" applyBorder="0" applyAlignment="0" applyProtection="0"/>
    <xf numFmtId="0" fontId="21" fillId="0" borderId="0">
      <alignment vertical="center"/>
    </xf>
    <xf numFmtId="176" fontId="95" fillId="0" borderId="0" applyFont="0" applyFill="0" applyBorder="0" applyAlignment="0" applyProtection="0"/>
    <xf numFmtId="0" fontId="95" fillId="0" borderId="0" applyFont="0" applyFill="0" applyBorder="0" applyProtection="0"/>
    <xf numFmtId="0" fontId="9" fillId="0" borderId="0"/>
    <xf numFmtId="183" fontId="23" fillId="0" borderId="0" applyFont="0" applyFill="0" applyBorder="0" applyAlignment="0" applyProtection="0"/>
    <xf numFmtId="184" fontId="26" fillId="0" borderId="0" applyFont="0" applyFill="0" applyBorder="0" applyAlignment="0" applyProtection="0"/>
    <xf numFmtId="10" fontId="26" fillId="0" borderId="0" applyFont="0" applyFill="0" applyBorder="0" applyAlignment="0" applyProtection="0"/>
    <xf numFmtId="185" fontId="23" fillId="0" borderId="0" applyFont="0" applyFill="0" applyBorder="0" applyAlignment="0" applyProtection="0"/>
    <xf numFmtId="0" fontId="95" fillId="2" borderId="0" applyNumberFormat="0" applyBorder="0" applyProtection="0"/>
    <xf numFmtId="0" fontId="95" fillId="3" borderId="0" applyNumberFormat="0" applyBorder="0" applyProtection="0"/>
    <xf numFmtId="0" fontId="27" fillId="4"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7" fillId="10" borderId="0" applyNumberFormat="0" applyBorder="0" applyAlignment="0" applyProtection="0"/>
    <xf numFmtId="0" fontId="29" fillId="11" borderId="0" applyNumberFormat="0" applyBorder="0" applyProtection="0"/>
    <xf numFmtId="0" fontId="27" fillId="10" borderId="0" applyNumberFormat="0" applyBorder="0" applyAlignment="0" applyProtection="0"/>
    <xf numFmtId="0" fontId="28" fillId="8" borderId="0" applyNumberFormat="0" applyBorder="0" applyAlignment="0" applyProtection="0"/>
    <xf numFmtId="0" fontId="28" fillId="12"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8" fillId="5" borderId="0" applyNumberFormat="0" applyBorder="0" applyAlignment="0" applyProtection="0"/>
    <xf numFmtId="0" fontId="28" fillId="9" borderId="0" applyNumberFormat="0" applyBorder="0" applyAlignment="0" applyProtection="0"/>
    <xf numFmtId="0" fontId="27" fillId="9" borderId="0" applyNumberFormat="0" applyBorder="0" applyAlignment="0" applyProtection="0"/>
    <xf numFmtId="0" fontId="27" fillId="13" borderId="0" applyNumberFormat="0" applyBorder="0" applyAlignment="0" applyProtection="0"/>
    <xf numFmtId="0" fontId="28" fillId="14" borderId="0" applyNumberFormat="0" applyBorder="0" applyAlignment="0" applyProtection="0"/>
    <xf numFmtId="0" fontId="28" fillId="5" borderId="0" applyNumberFormat="0" applyBorder="0" applyAlignment="0" applyProtection="0"/>
    <xf numFmtId="0" fontId="27" fillId="6" borderId="0" applyNumberFormat="0" applyBorder="0" applyAlignment="0" applyProtection="0"/>
    <xf numFmtId="0" fontId="27" fillId="15" borderId="0" applyNumberFormat="0" applyBorder="0" applyAlignment="0" applyProtection="0"/>
    <xf numFmtId="0" fontId="28" fillId="8" borderId="0" applyNumberFormat="0" applyBorder="0" applyAlignment="0" applyProtection="0"/>
    <xf numFmtId="0" fontId="28" fillId="16" borderId="0" applyNumberFormat="0" applyBorder="0" applyAlignment="0" applyProtection="0"/>
    <xf numFmtId="0" fontId="27" fillId="16" borderId="0" applyNumberFormat="0" applyBorder="0" applyAlignment="0" applyProtection="0"/>
    <xf numFmtId="0" fontId="30" fillId="17" borderId="0" applyNumberFormat="0" applyBorder="0" applyProtection="0"/>
    <xf numFmtId="0" fontId="30" fillId="17" borderId="0" applyNumberFormat="0" applyBorder="0" applyProtection="0"/>
    <xf numFmtId="186" fontId="10" fillId="0" borderId="0" applyFill="0" applyBorder="0" applyAlignment="0"/>
    <xf numFmtId="0" fontId="31" fillId="0" borderId="0"/>
    <xf numFmtId="4" fontId="95" fillId="0" borderId="1">
      <alignment horizontal="right"/>
    </xf>
    <xf numFmtId="4" fontId="95" fillId="0" borderId="1">
      <alignment horizontal="right"/>
    </xf>
    <xf numFmtId="4" fontId="8" fillId="0" borderId="1">
      <alignment horizontal="right" vertical="center"/>
    </xf>
    <xf numFmtId="4" fontId="8" fillId="0" borderId="1">
      <alignment horizontal="right" vertical="center"/>
    </xf>
    <xf numFmtId="4" fontId="95" fillId="0" borderId="1">
      <alignment horizontal="right"/>
    </xf>
    <xf numFmtId="4" fontId="95" fillId="0" borderId="1">
      <alignment horizontal="right"/>
    </xf>
    <xf numFmtId="10" fontId="95" fillId="0" borderId="1" applyAlignment="0"/>
    <xf numFmtId="0" fontId="8" fillId="0" borderId="1">
      <alignment horizontal="right" vertical="center"/>
    </xf>
    <xf numFmtId="0" fontId="8" fillId="0" borderId="1">
      <alignment horizontal="right" vertical="center"/>
    </xf>
    <xf numFmtId="10" fontId="95" fillId="0" borderId="1" applyAlignment="0"/>
    <xf numFmtId="0" fontId="32" fillId="18" borderId="2" applyNumberFormat="0" applyAlignment="0" applyProtection="0"/>
    <xf numFmtId="0" fontId="33" fillId="19" borderId="3" applyNumberFormat="0" applyAlignment="0" applyProtection="0"/>
    <xf numFmtId="0" fontId="33" fillId="19" borderId="3" applyNumberFormat="0" applyAlignment="0" applyProtection="0"/>
    <xf numFmtId="0" fontId="34" fillId="0" borderId="4" applyNumberFormat="0" applyFill="0" applyProtection="0">
      <alignment horizontal="center"/>
    </xf>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35" fillId="0" borderId="0" applyFont="0" applyFill="0" applyBorder="0" applyAlignment="0" applyProtection="0"/>
    <xf numFmtId="179" fontId="23" fillId="0" borderId="0" applyFont="0" applyFill="0" applyBorder="0" applyAlignment="0" applyProtection="0"/>
    <xf numFmtId="179"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88" fontId="9"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9" fontId="95" fillId="0" borderId="0" applyFont="0" applyFill="0" applyBorder="0" applyAlignment="0" applyProtection="0"/>
    <xf numFmtId="176" fontId="9"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9" fontId="95" fillId="0" borderId="0" applyFont="0" applyFill="0" applyBorder="0" applyAlignment="0" applyProtection="0"/>
    <xf numFmtId="176" fontId="36"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9" fontId="95" fillId="0" borderId="0" applyFont="0" applyFill="0" applyBorder="0" applyAlignment="0" applyProtection="0"/>
    <xf numFmtId="179" fontId="95" fillId="0" borderId="0" applyFont="0" applyFill="0" applyBorder="0" applyAlignment="0" applyProtection="0"/>
    <xf numFmtId="176" fontId="36" fillId="0" borderId="0" applyFont="0" applyAlignment="0" applyProtection="0"/>
    <xf numFmtId="176" fontId="9" fillId="0" borderId="0" applyFont="0" applyFill="0" applyBorder="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36" fillId="0" borderId="0" applyFont="0" applyAlignment="0" applyProtection="0"/>
    <xf numFmtId="176" fontId="95" fillId="0" borderId="0" applyFont="0" applyAlignment="0" applyProtection="0"/>
    <xf numFmtId="176" fontId="36"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36"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9" fontId="95" fillId="0" borderId="0" applyFont="0" applyFill="0" applyBorder="0" applyAlignment="0" applyProtection="0"/>
    <xf numFmtId="176" fontId="9" fillId="0" borderId="0" applyFont="0" applyFill="0" applyBorder="0" applyAlignment="0" applyProtection="0"/>
    <xf numFmtId="176" fontId="36" fillId="0" borderId="0" applyFont="0" applyAlignment="0" applyProtection="0"/>
    <xf numFmtId="176" fontId="9" fillId="0" borderId="0" applyFont="0" applyFill="0" applyBorder="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6" fontId="95" fillId="0" borderId="0" applyFont="0" applyAlignment="0" applyProtection="0"/>
    <xf numFmtId="179" fontId="95" fillId="0" borderId="0" applyFont="0" applyFill="0" applyBorder="0" applyAlignment="0" applyProtection="0"/>
    <xf numFmtId="176" fontId="9" fillId="0" borderId="0" applyFont="0" applyFill="0" applyBorder="0" applyAlignment="0" applyProtection="0"/>
    <xf numFmtId="176" fontId="36" fillId="0" borderId="0" applyFont="0" applyAlignment="0" applyProtection="0"/>
    <xf numFmtId="176" fontId="95" fillId="0" borderId="0" applyFont="0" applyAlignment="0" applyProtection="0"/>
    <xf numFmtId="176" fontId="95" fillId="0" borderId="0" applyFont="0" applyAlignment="0" applyProtection="0"/>
    <xf numFmtId="176" fontId="9" fillId="0" borderId="0" applyFont="0" applyFill="0" applyBorder="0" applyAlignment="0" applyProtection="0"/>
    <xf numFmtId="176" fontId="9" fillId="0" borderId="0" applyFont="0" applyFill="0" applyBorder="0" applyAlignment="0" applyProtection="0"/>
    <xf numFmtId="179" fontId="95" fillId="0" borderId="0" applyFont="0" applyFill="0" applyBorder="0" applyAlignment="0" applyProtection="0"/>
    <xf numFmtId="176" fontId="9" fillId="0" borderId="0" applyFont="0" applyFill="0" applyBorder="0" applyAlignment="0" applyProtection="0"/>
    <xf numFmtId="176" fontId="36" fillId="0" borderId="0" applyFont="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Alignment="0"/>
    <xf numFmtId="176" fontId="95" fillId="0" borderId="0" applyAlignment="0"/>
    <xf numFmtId="176" fontId="95" fillId="0" borderId="0" applyFont="0" applyFill="0" applyBorder="0" applyAlignment="0" applyProtection="0"/>
    <xf numFmtId="176" fontId="95" fillId="0" borderId="0" applyFont="0" applyFill="0" applyBorder="0" applyAlignment="0" applyProtection="0"/>
    <xf numFmtId="176" fontId="95" fillId="0" borderId="0" applyAlignment="0"/>
    <xf numFmtId="176" fontId="95" fillId="0" borderId="0" applyFont="0" applyFill="0" applyBorder="0" applyAlignment="0" applyProtection="0"/>
    <xf numFmtId="176" fontId="95" fillId="0" borderId="0" applyAlignment="0"/>
    <xf numFmtId="176" fontId="95" fillId="0" borderId="0" applyFont="0" applyFill="0" applyBorder="0" applyAlignment="0" applyProtection="0"/>
    <xf numFmtId="176" fontId="36" fillId="0" borderId="0" applyAlignment="0"/>
    <xf numFmtId="176" fontId="95" fillId="0" borderId="0" applyFont="0" applyFill="0" applyBorder="0" applyAlignment="0" applyProtection="0"/>
    <xf numFmtId="176" fontId="95" fillId="0" borderId="0" applyFont="0" applyFill="0" applyBorder="0" applyAlignment="0" applyProtection="0"/>
    <xf numFmtId="176" fontId="95" fillId="0" borderId="0" applyAlignment="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Alignment="0"/>
    <xf numFmtId="176" fontId="95" fillId="0" borderId="0" applyFont="0" applyFill="0" applyBorder="0" applyAlignment="0" applyProtection="0"/>
    <xf numFmtId="176"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Alignment="0"/>
    <xf numFmtId="176" fontId="95" fillId="0" borderId="0" applyFont="0" applyFill="0" applyBorder="0" applyAlignment="0" applyProtection="0"/>
    <xf numFmtId="176" fontId="95" fillId="0" borderId="0" applyAlignment="0"/>
    <xf numFmtId="179" fontId="95" fillId="0" borderId="0" applyFont="0" applyFill="0" applyBorder="0" applyAlignment="0" applyProtection="0"/>
    <xf numFmtId="176" fontId="95" fillId="0" borderId="0" applyFont="0" applyFill="0" applyBorder="0" applyAlignment="0" applyProtection="0"/>
    <xf numFmtId="176" fontId="36" fillId="0" borderId="0" applyAlignment="0"/>
    <xf numFmtId="179" fontId="95" fillId="0" borderId="0" applyFont="0" applyFill="0" applyBorder="0" applyAlignment="0" applyProtection="0"/>
    <xf numFmtId="179" fontId="95" fillId="0" borderId="0" applyFont="0" applyFill="0" applyBorder="0" applyAlignment="0" applyProtection="0"/>
    <xf numFmtId="176" fontId="95" fillId="0" borderId="0" applyAlignment="0"/>
    <xf numFmtId="176" fontId="95" fillId="0" borderId="0" applyAlignment="0"/>
    <xf numFmtId="179" fontId="95" fillId="0" borderId="0" applyFont="0" applyFill="0" applyBorder="0" applyAlignment="0" applyProtection="0"/>
    <xf numFmtId="176" fontId="95" fillId="0" borderId="0" applyAlignment="0"/>
    <xf numFmtId="176" fontId="95" fillId="0" borderId="0" applyAlignment="0"/>
    <xf numFmtId="176" fontId="9" fillId="0" borderId="0" applyFont="0" applyFill="0" applyBorder="0" applyAlignment="0" applyProtection="0"/>
    <xf numFmtId="179" fontId="95" fillId="0" borderId="0" applyFont="0" applyFill="0" applyBorder="0" applyAlignment="0" applyProtection="0"/>
    <xf numFmtId="176" fontId="36" fillId="0" borderId="0" applyAlignment="0"/>
    <xf numFmtId="179" fontId="35" fillId="0" borderId="0" applyFont="0" applyFill="0" applyBorder="0" applyAlignment="0" applyProtection="0"/>
    <xf numFmtId="176" fontId="95" fillId="0" borderId="0" applyAlignment="0"/>
    <xf numFmtId="176" fontId="95" fillId="0" borderId="0" applyAlignment="0"/>
    <xf numFmtId="176" fontId="95" fillId="0" borderId="0" applyFont="0" applyFill="0" applyBorder="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6" fontId="36" fillId="0" borderId="0" applyAlignment="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6" fontId="95" fillId="0" borderId="0" applyFont="0" applyFill="0" applyBorder="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6" fontId="95" fillId="0" borderId="0" applyFont="0" applyFill="0" applyBorder="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6" fontId="95"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6" fontId="95"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6" fontId="95" fillId="0" borderId="0" applyFont="0" applyFill="0" applyBorder="0" applyAlignment="0" applyProtection="0"/>
    <xf numFmtId="179" fontId="9"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23"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23" fillId="0" borderId="0" applyFont="0" applyFill="0" applyBorder="0" applyAlignment="0" applyProtection="0"/>
    <xf numFmtId="176" fontId="95" fillId="0" borderId="0" applyFont="0" applyFill="0" applyBorder="0" applyAlignment="0" applyProtection="0"/>
    <xf numFmtId="176" fontId="23"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Protection="0"/>
    <xf numFmtId="176"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9"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81" fontId="37" fillId="0" borderId="0"/>
    <xf numFmtId="37" fontId="26" fillId="0" borderId="0" applyFont="0" applyFill="0" applyBorder="0" applyAlignment="0" applyProtection="0"/>
    <xf numFmtId="189" fontId="26" fillId="0" borderId="0" applyFont="0" applyFill="0" applyBorder="0" applyAlignment="0" applyProtection="0"/>
    <xf numFmtId="39" fontId="26" fillId="0" borderId="0" applyFont="0" applyFill="0" applyBorder="0" applyAlignment="0" applyProtection="0"/>
    <xf numFmtId="0" fontId="38" fillId="0" borderId="0" applyAlignment="0"/>
    <xf numFmtId="177" fontId="26" fillId="0" borderId="0" applyFont="0" applyFill="0" applyBorder="0" applyAlignment="0" applyProtection="0"/>
    <xf numFmtId="178" fontId="26" fillId="0" borderId="0" applyFont="0" applyFill="0" applyBorder="0" applyAlignment="0" applyProtection="0"/>
    <xf numFmtId="190" fontId="37" fillId="0" borderId="0"/>
    <xf numFmtId="0" fontId="95" fillId="0" borderId="1" applyAlignment="0"/>
    <xf numFmtId="0" fontId="95" fillId="0" borderId="1" applyAlignment="0"/>
    <xf numFmtId="0" fontId="95" fillId="0" borderId="1" applyAlignment="0"/>
    <xf numFmtId="0" fontId="95" fillId="0" borderId="1" applyAlignment="0"/>
    <xf numFmtId="0" fontId="95" fillId="0" borderId="1" applyAlignment="0"/>
    <xf numFmtId="0" fontId="95" fillId="0" borderId="1" applyAlignment="0"/>
    <xf numFmtId="0" fontId="95" fillId="0" borderId="1" applyAlignment="0"/>
    <xf numFmtId="0" fontId="95" fillId="0" borderId="1" applyAlignment="0"/>
    <xf numFmtId="191" fontId="37" fillId="0" borderId="0"/>
    <xf numFmtId="0" fontId="39" fillId="0" borderId="0">
      <alignment horizontal="left"/>
    </xf>
    <xf numFmtId="0" fontId="40" fillId="20" borderId="1"/>
    <xf numFmtId="0" fontId="40" fillId="20" borderId="1"/>
    <xf numFmtId="192" fontId="41" fillId="0" borderId="0" applyFont="0" applyFill="0" applyBorder="0" applyAlignment="0" applyProtection="0"/>
    <xf numFmtId="0" fontId="8" fillId="0" borderId="1" applyAlignment="0"/>
    <xf numFmtId="0" fontId="8" fillId="0" borderId="1" applyAlignment="0"/>
    <xf numFmtId="0" fontId="42" fillId="21" borderId="0" applyNumberFormat="0" applyBorder="0" applyAlignment="0" applyProtection="0"/>
    <xf numFmtId="0" fontId="43" fillId="22" borderId="0" applyNumberFormat="0" applyBorder="0" applyAlignment="0" applyProtection="0"/>
    <xf numFmtId="0" fontId="43" fillId="22" borderId="0" applyNumberFormat="0" applyBorder="0" applyAlignment="0" applyProtection="0"/>
    <xf numFmtId="0" fontId="43" fillId="22" borderId="0" applyNumberFormat="0" applyBorder="0" applyProtection="0"/>
    <xf numFmtId="0" fontId="43" fillId="22" borderId="0" applyNumberFormat="0" applyBorder="0" applyProtection="0"/>
    <xf numFmtId="0" fontId="40" fillId="9" borderId="0" applyNumberFormat="0" applyBorder="0" applyAlignment="0" applyProtection="0"/>
    <xf numFmtId="0" fontId="44" fillId="0" borderId="0">
      <alignment horizontal="left"/>
    </xf>
    <xf numFmtId="0" fontId="45" fillId="0" borderId="5" applyNumberFormat="0" applyProtection="0"/>
    <xf numFmtId="0" fontId="45" fillId="0" borderId="6">
      <alignment horizontal="left" vertical="center"/>
    </xf>
    <xf numFmtId="0" fontId="45" fillId="0" borderId="6">
      <alignment horizontal="left" vertical="center"/>
    </xf>
    <xf numFmtId="0" fontId="46" fillId="23" borderId="1">
      <alignment horizontal="center" vertical="center"/>
    </xf>
    <xf numFmtId="0" fontId="46" fillId="23" borderId="1">
      <alignment horizontal="center" vertical="center"/>
    </xf>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Protection="0"/>
    <xf numFmtId="0" fontId="13" fillId="0" borderId="0" applyNumberFormat="0" applyFill="0" applyBorder="0" applyAlignment="0" applyProtection="0"/>
    <xf numFmtId="0" fontId="47" fillId="0" borderId="0" applyNumberFormat="0" applyFill="0" applyBorder="0" applyAlignment="0" applyProtection="0"/>
    <xf numFmtId="0" fontId="13"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9" fillId="0" borderId="0" applyNumberFormat="0" applyFill="0" applyBorder="0" applyProtection="0"/>
    <xf numFmtId="0" fontId="47" fillId="0" borderId="0" applyNumberFormat="0" applyFill="0" applyBorder="0" applyAlignment="0" applyProtection="0"/>
    <xf numFmtId="0" fontId="47" fillId="0" borderId="0" applyNumberFormat="0" applyFill="0" applyBorder="0" applyProtection="0"/>
    <xf numFmtId="0" fontId="40" fillId="8" borderId="1" applyNumberFormat="0" applyBorder="0" applyAlignment="0" applyProtection="0"/>
    <xf numFmtId="0" fontId="40" fillId="8" borderId="1" applyNumberFormat="0" applyBorder="0" applyAlignment="0" applyProtection="0"/>
    <xf numFmtId="0" fontId="50" fillId="0" borderId="7"/>
    <xf numFmtId="0" fontId="51" fillId="24" borderId="0" applyNumberFormat="0" applyBorder="0" applyProtection="0"/>
    <xf numFmtId="184" fontId="23" fillId="0" borderId="0"/>
    <xf numFmtId="0" fontId="95" fillId="0" borderId="0" applyAlignment="0"/>
    <xf numFmtId="0" fontId="9" fillId="0" borderId="0"/>
    <xf numFmtId="0" fontId="95" fillId="0" borderId="0"/>
    <xf numFmtId="0" fontId="95" fillId="0" borderId="0"/>
    <xf numFmtId="0" fontId="95" fillId="0" borderId="0"/>
    <xf numFmtId="0" fontId="95" fillId="0" borderId="0" applyAlignment="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11"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 fillId="0" borderId="0"/>
    <xf numFmtId="0" fontId="20" fillId="0" borderId="0"/>
    <xf numFmtId="0" fontId="9" fillId="0" borderId="0"/>
    <xf numFmtId="0" fontId="95" fillId="0" borderId="0" applyAlignment="0"/>
    <xf numFmtId="0" fontId="9" fillId="0" borderId="0"/>
    <xf numFmtId="0" fontId="36" fillId="0" borderId="0" applyAlignment="0"/>
    <xf numFmtId="0" fontId="95" fillId="0" borderId="0"/>
    <xf numFmtId="0" fontId="95" fillId="0" borderId="0"/>
    <xf numFmtId="0" fontId="95" fillId="0" borderId="0"/>
    <xf numFmtId="0" fontId="95" fillId="0" borderId="0"/>
    <xf numFmtId="0" fontId="95" fillId="0" borderId="0"/>
    <xf numFmtId="0" fontId="95" fillId="0" borderId="0"/>
    <xf numFmtId="0" fontId="52" fillId="0" borderId="0"/>
    <xf numFmtId="0" fontId="95" fillId="0" borderId="0"/>
    <xf numFmtId="0" fontId="95" fillId="0" borderId="0"/>
    <xf numFmtId="0" fontId="95" fillId="0" borderId="0"/>
    <xf numFmtId="193" fontId="53" fillId="0" borderId="0" applyAlignment="0">
      <protection locked="0"/>
    </xf>
    <xf numFmtId="0" fontId="95" fillId="0" borderId="0"/>
    <xf numFmtId="0" fontId="54" fillId="0" borderId="0"/>
    <xf numFmtId="0" fontId="95" fillId="0" borderId="0" applyAlignment="0"/>
    <xf numFmtId="0" fontId="41" fillId="0" borderId="0"/>
    <xf numFmtId="0" fontId="41" fillId="0" borderId="0"/>
    <xf numFmtId="0" fontId="41" fillId="0" borderId="0"/>
    <xf numFmtId="0" fontId="95" fillId="0" borderId="0"/>
    <xf numFmtId="0" fontId="95" fillId="0" borderId="0"/>
    <xf numFmtId="0" fontId="36" fillId="0" borderId="0" applyAlignment="0"/>
    <xf numFmtId="0" fontId="95" fillId="0" borderId="0"/>
    <xf numFmtId="0" fontId="7" fillId="0" borderId="0"/>
    <xf numFmtId="0" fontId="95" fillId="0" borderId="0" applyAlignment="0"/>
    <xf numFmtId="0" fontId="95" fillId="0" borderId="0" applyAlignment="0"/>
    <xf numFmtId="0" fontId="95" fillId="0" borderId="0" applyAlignment="0"/>
    <xf numFmtId="0" fontId="95" fillId="0" borderId="0"/>
    <xf numFmtId="0" fontId="95" fillId="0" borderId="0" applyAlignment="0"/>
    <xf numFmtId="0" fontId="36" fillId="0" borderId="0" applyAlignment="0"/>
    <xf numFmtId="0" fontId="95" fillId="0" borderId="0" applyAlignment="0"/>
    <xf numFmtId="0" fontId="7" fillId="0" borderId="0" applyAlignment="0"/>
    <xf numFmtId="0" fontId="95" fillId="0" borderId="0">
      <alignment vertical="center"/>
    </xf>
    <xf numFmtId="0" fontId="95" fillId="0" borderId="0" applyAlignment="0"/>
    <xf numFmtId="0" fontId="36" fillId="0" borderId="0" applyAlignment="0"/>
    <xf numFmtId="0" fontId="95" fillId="0" borderId="0"/>
    <xf numFmtId="0" fontId="95" fillId="0" borderId="0"/>
    <xf numFmtId="0" fontId="55" fillId="0" borderId="0" applyAlignment="0"/>
    <xf numFmtId="0" fontId="95" fillId="0" borderId="0"/>
    <xf numFmtId="0" fontId="41" fillId="0" borderId="0"/>
    <xf numFmtId="0" fontId="95" fillId="0" borderId="0"/>
    <xf numFmtId="0" fontId="95" fillId="0" borderId="0"/>
    <xf numFmtId="0" fontId="95" fillId="0" borderId="0"/>
    <xf numFmtId="0" fontId="95" fillId="0" borderId="0"/>
    <xf numFmtId="0" fontId="54" fillId="0" borderId="0"/>
    <xf numFmtId="193" fontId="95" fillId="0" borderId="0">
      <protection locked="0"/>
    </xf>
    <xf numFmtId="0" fontId="35" fillId="0" borderId="0" applyAlignment="0">
      <protection locked="0"/>
    </xf>
    <xf numFmtId="0" fontId="23" fillId="0" borderId="0"/>
    <xf numFmtId="182" fontId="37" fillId="0" borderId="0">
      <protection locked="0"/>
    </xf>
    <xf numFmtId="0" fontId="9" fillId="0" borderId="0"/>
    <xf numFmtId="0" fontId="54" fillId="0" borderId="0"/>
    <xf numFmtId="9" fontId="95" fillId="0" borderId="0" applyAlignment="0"/>
    <xf numFmtId="0" fontId="35" fillId="0" borderId="0" applyAlignment="0">
      <protection locked="0"/>
    </xf>
    <xf numFmtId="0" fontId="95" fillId="0" borderId="0"/>
    <xf numFmtId="9" fontId="36" fillId="0" borderId="0" applyAlignment="0"/>
    <xf numFmtId="0" fontId="95" fillId="0" borderId="0"/>
    <xf numFmtId="0" fontId="95" fillId="0" borderId="0"/>
    <xf numFmtId="0" fontId="95" fillId="0" borderId="0"/>
    <xf numFmtId="0" fontId="95" fillId="0" borderId="0"/>
    <xf numFmtId="0" fontId="36" fillId="0" borderId="0"/>
    <xf numFmtId="0" fontId="95" fillId="0" borderId="0"/>
    <xf numFmtId="0" fontId="36" fillId="0" borderId="0"/>
    <xf numFmtId="0" fontId="95" fillId="0" borderId="0"/>
    <xf numFmtId="0" fontId="95" fillId="0" borderId="0"/>
    <xf numFmtId="0" fontId="95" fillId="0" borderId="0"/>
    <xf numFmtId="0" fontId="95" fillId="0" borderId="0"/>
    <xf numFmtId="0" fontId="36" fillId="0" borderId="0"/>
    <xf numFmtId="0" fontId="95" fillId="0" borderId="0"/>
    <xf numFmtId="0" fontId="36" fillId="0" borderId="0"/>
    <xf numFmtId="0" fontId="95" fillId="0" borderId="0"/>
    <xf numFmtId="0" fontId="95" fillId="0" borderId="0"/>
    <xf numFmtId="176" fontId="20" fillId="0" borderId="0" applyAlignment="0"/>
    <xf numFmtId="176" fontId="20" fillId="0" borderId="0" applyAlignment="0"/>
    <xf numFmtId="0" fontId="36" fillId="0" borderId="0"/>
    <xf numFmtId="0" fontId="41" fillId="0" borderId="0"/>
    <xf numFmtId="0" fontId="95" fillId="0" borderId="0"/>
    <xf numFmtId="0" fontId="95" fillId="0" borderId="0"/>
    <xf numFmtId="0" fontId="54" fillId="0" borderId="0"/>
    <xf numFmtId="0" fontId="95" fillId="0" borderId="0">
      <alignment vertical="center"/>
    </xf>
    <xf numFmtId="0" fontId="56" fillId="0" borderId="0"/>
    <xf numFmtId="10" fontId="9" fillId="0" borderId="0" applyFont="0" applyFill="0" applyBorder="0" applyAlignment="0" applyProtection="0"/>
    <xf numFmtId="184" fontId="95" fillId="0" borderId="0" applyFont="0" applyFill="0" applyBorder="0" applyAlignment="0" applyProtection="0"/>
    <xf numFmtId="9" fontId="95" fillId="0" borderId="0" applyAlignment="0"/>
    <xf numFmtId="184" fontId="95" fillId="0" borderId="0" applyFont="0" applyFill="0" applyBorder="0" applyAlignment="0" applyProtection="0"/>
    <xf numFmtId="9" fontId="9" fillId="0" borderId="0" applyFont="0" applyFill="0" applyBorder="0" applyAlignment="0" applyProtection="0"/>
    <xf numFmtId="184" fontId="95" fillId="0" borderId="0" applyFont="0" applyFill="0" applyBorder="0" applyAlignment="0" applyProtection="0"/>
    <xf numFmtId="184" fontId="95" fillId="0" borderId="0" applyFont="0" applyFill="0" applyBorder="0" applyAlignment="0" applyProtection="0"/>
    <xf numFmtId="9" fontId="23" fillId="0" borderId="0" applyFont="0" applyFill="0" applyBorder="0" applyAlignment="0" applyProtection="0"/>
    <xf numFmtId="9" fontId="95" fillId="0" borderId="0" applyFont="0" applyFill="0" applyBorder="0" applyProtection="0"/>
    <xf numFmtId="184" fontId="95" fillId="0" borderId="0" applyFont="0" applyFill="0" applyBorder="0" applyAlignment="0" applyProtection="0"/>
    <xf numFmtId="184" fontId="95" fillId="0" borderId="0" applyFont="0" applyFill="0" applyBorder="0" applyAlignment="0" applyProtection="0"/>
    <xf numFmtId="9" fontId="36" fillId="0" borderId="0" applyAlignment="0"/>
    <xf numFmtId="9" fontId="95" fillId="0" borderId="0" applyFont="0" applyFill="0" applyBorder="0" applyAlignment="0" applyProtection="0"/>
    <xf numFmtId="9" fontId="95" fillId="0" borderId="0" applyFont="0" applyFill="0" applyBorder="0" applyAlignment="0" applyProtection="0"/>
    <xf numFmtId="9" fontId="95" fillId="0" borderId="0" applyFont="0" applyFill="0" applyBorder="0" applyProtection="0"/>
    <xf numFmtId="9" fontId="95" fillId="0" borderId="0" applyFont="0" applyFill="0" applyBorder="0" applyProtection="0"/>
    <xf numFmtId="9" fontId="95" fillId="0" borderId="0" applyFont="0" applyFill="0" applyBorder="0" applyProtection="0"/>
    <xf numFmtId="9" fontId="95" fillId="0" borderId="0" applyFont="0" applyFill="0" applyBorder="0" applyProtection="0"/>
    <xf numFmtId="0" fontId="40" fillId="9" borderId="1"/>
    <xf numFmtId="0" fontId="40" fillId="9" borderId="1"/>
    <xf numFmtId="4" fontId="39" fillId="0" borderId="0">
      <alignment horizontal="right"/>
    </xf>
    <xf numFmtId="4" fontId="57" fillId="0" borderId="0">
      <alignment horizontal="right"/>
    </xf>
    <xf numFmtId="179" fontId="37" fillId="0" borderId="0" applyFont="0" applyFill="0" applyBorder="0" applyAlignment="0" applyProtection="0"/>
    <xf numFmtId="0" fontId="19" fillId="25" borderId="8" applyNumberFormat="0" applyProtection="0">
      <alignment vertical="center"/>
    </xf>
    <xf numFmtId="0" fontId="19" fillId="25" borderId="8" applyNumberFormat="0" applyProtection="0">
      <alignment vertical="center"/>
    </xf>
    <xf numFmtId="0" fontId="19" fillId="25" borderId="8" applyNumberFormat="0" applyProtection="0">
      <alignment vertical="center"/>
    </xf>
    <xf numFmtId="0" fontId="19" fillId="25" borderId="8" applyNumberFormat="0" applyProtection="0">
      <alignment vertical="center"/>
    </xf>
    <xf numFmtId="0" fontId="58" fillId="25" borderId="8" applyNumberFormat="0" applyProtection="0">
      <alignment vertical="center"/>
    </xf>
    <xf numFmtId="0" fontId="58" fillId="25" borderId="8" applyNumberFormat="0" applyProtection="0">
      <alignment vertical="center"/>
    </xf>
    <xf numFmtId="0" fontId="58" fillId="25" borderId="8" applyNumberFormat="0" applyProtection="0">
      <alignment vertical="center"/>
    </xf>
    <xf numFmtId="0" fontId="58" fillId="25" borderId="8" applyNumberFormat="0" applyProtection="0">
      <alignment vertical="center"/>
    </xf>
    <xf numFmtId="0" fontId="19" fillId="25" borderId="8" applyNumberFormat="0" applyProtection="0">
      <alignment horizontal="left" vertical="center" indent="1"/>
    </xf>
    <xf numFmtId="0" fontId="19" fillId="25" borderId="8" applyNumberFormat="0" applyProtection="0">
      <alignment horizontal="left" vertical="center" indent="1"/>
    </xf>
    <xf numFmtId="0" fontId="19" fillId="25" borderId="8" applyNumberFormat="0" applyProtection="0">
      <alignment horizontal="left" vertical="center" indent="1"/>
    </xf>
    <xf numFmtId="0" fontId="19" fillId="25" borderId="8" applyNumberFormat="0" applyProtection="0">
      <alignment horizontal="left" vertical="center" indent="1"/>
    </xf>
    <xf numFmtId="0" fontId="19" fillId="25" borderId="8" applyNumberFormat="0" applyProtection="0">
      <alignment horizontal="left" vertical="top" indent="1"/>
    </xf>
    <xf numFmtId="0" fontId="19" fillId="25" borderId="8" applyNumberFormat="0" applyProtection="0">
      <alignment horizontal="left" vertical="top" indent="1"/>
    </xf>
    <xf numFmtId="0" fontId="19" fillId="25" borderId="8" applyNumberFormat="0" applyProtection="0">
      <alignment horizontal="left" vertical="top" indent="1"/>
    </xf>
    <xf numFmtId="0" fontId="19" fillId="25" borderId="8" applyNumberFormat="0" applyProtection="0">
      <alignment horizontal="left" vertical="top" indent="1"/>
    </xf>
    <xf numFmtId="0" fontId="19" fillId="26" borderId="0" applyNumberFormat="0" applyProtection="0">
      <alignment horizontal="left" vertical="center" indent="1"/>
    </xf>
    <xf numFmtId="0" fontId="10" fillId="27" borderId="8" applyNumberFormat="0" applyProtection="0">
      <alignment horizontal="right" vertical="center"/>
    </xf>
    <xf numFmtId="0" fontId="10" fillId="27" borderId="8" applyNumberFormat="0" applyProtection="0">
      <alignment horizontal="right" vertical="center"/>
    </xf>
    <xf numFmtId="0" fontId="10" fillId="27" borderId="8" applyNumberFormat="0" applyProtection="0">
      <alignment horizontal="right" vertical="center"/>
    </xf>
    <xf numFmtId="0" fontId="10" fillId="27" borderId="8" applyNumberFormat="0" applyProtection="0">
      <alignment horizontal="right" vertical="center"/>
    </xf>
    <xf numFmtId="0" fontId="10" fillId="28" borderId="8" applyNumberFormat="0" applyProtection="0">
      <alignment horizontal="right" vertical="center"/>
    </xf>
    <xf numFmtId="0" fontId="10" fillId="28" borderId="8" applyNumberFormat="0" applyProtection="0">
      <alignment horizontal="right" vertical="center"/>
    </xf>
    <xf numFmtId="0" fontId="10" fillId="28" borderId="8" applyNumberFormat="0" applyProtection="0">
      <alignment horizontal="right" vertical="center"/>
    </xf>
    <xf numFmtId="0" fontId="10" fillId="28" borderId="8" applyNumberFormat="0" applyProtection="0">
      <alignment horizontal="right" vertical="center"/>
    </xf>
    <xf numFmtId="0" fontId="10" fillId="29" borderId="8" applyNumberFormat="0" applyProtection="0">
      <alignment horizontal="right" vertical="center"/>
    </xf>
    <xf numFmtId="0" fontId="10" fillId="29" borderId="8" applyNumberFormat="0" applyProtection="0">
      <alignment horizontal="right" vertical="center"/>
    </xf>
    <xf numFmtId="0" fontId="10" fillId="29" borderId="8" applyNumberFormat="0" applyProtection="0">
      <alignment horizontal="right" vertical="center"/>
    </xf>
    <xf numFmtId="0" fontId="10" fillId="29" borderId="8" applyNumberFormat="0" applyProtection="0">
      <alignment horizontal="right" vertical="center"/>
    </xf>
    <xf numFmtId="0" fontId="10" fillId="30" borderId="8" applyNumberFormat="0" applyProtection="0">
      <alignment horizontal="right" vertical="center"/>
    </xf>
    <xf numFmtId="0" fontId="10" fillId="30" borderId="8" applyNumberFormat="0" applyProtection="0">
      <alignment horizontal="right" vertical="center"/>
    </xf>
    <xf numFmtId="0" fontId="10" fillId="30" borderId="8" applyNumberFormat="0" applyProtection="0">
      <alignment horizontal="right" vertical="center"/>
    </xf>
    <xf numFmtId="0" fontId="10" fillId="30" borderId="8" applyNumberFormat="0" applyProtection="0">
      <alignment horizontal="right" vertical="center"/>
    </xf>
    <xf numFmtId="0" fontId="10" fillId="15" borderId="8" applyNumberFormat="0" applyProtection="0">
      <alignment horizontal="right" vertical="center"/>
    </xf>
    <xf numFmtId="0" fontId="10" fillId="15" borderId="8" applyNumberFormat="0" applyProtection="0">
      <alignment horizontal="right" vertical="center"/>
    </xf>
    <xf numFmtId="0" fontId="10" fillId="15" borderId="8" applyNumberFormat="0" applyProtection="0">
      <alignment horizontal="right" vertical="center"/>
    </xf>
    <xf numFmtId="0" fontId="10" fillId="15" borderId="8" applyNumberFormat="0" applyProtection="0">
      <alignment horizontal="right" vertical="center"/>
    </xf>
    <xf numFmtId="0" fontId="10" fillId="31" borderId="8" applyNumberFormat="0" applyProtection="0">
      <alignment horizontal="right" vertical="center"/>
    </xf>
    <xf numFmtId="0" fontId="10" fillId="31" borderId="8" applyNumberFormat="0" applyProtection="0">
      <alignment horizontal="right" vertical="center"/>
    </xf>
    <xf numFmtId="0" fontId="10" fillId="31" borderId="8" applyNumberFormat="0" applyProtection="0">
      <alignment horizontal="right" vertical="center"/>
    </xf>
    <xf numFmtId="0" fontId="10" fillId="31" borderId="8" applyNumberFormat="0" applyProtection="0">
      <alignment horizontal="right" vertical="center"/>
    </xf>
    <xf numFmtId="0" fontId="10" fillId="32" borderId="8" applyNumberFormat="0" applyProtection="0">
      <alignment horizontal="right" vertical="center"/>
    </xf>
    <xf numFmtId="0" fontId="10" fillId="32" borderId="8" applyNumberFormat="0" applyProtection="0">
      <alignment horizontal="right" vertical="center"/>
    </xf>
    <xf numFmtId="0" fontId="10" fillId="32" borderId="8" applyNumberFormat="0" applyProtection="0">
      <alignment horizontal="right" vertical="center"/>
    </xf>
    <xf numFmtId="0" fontId="10" fillId="32" borderId="8" applyNumberFormat="0" applyProtection="0">
      <alignment horizontal="right" vertical="center"/>
    </xf>
    <xf numFmtId="0" fontId="10" fillId="33" borderId="8" applyNumberFormat="0" applyProtection="0">
      <alignment horizontal="right" vertical="center"/>
    </xf>
    <xf numFmtId="0" fontId="10" fillId="33" borderId="8" applyNumberFormat="0" applyProtection="0">
      <alignment horizontal="right" vertical="center"/>
    </xf>
    <xf numFmtId="0" fontId="10" fillId="33" borderId="8" applyNumberFormat="0" applyProtection="0">
      <alignment horizontal="right" vertical="center"/>
    </xf>
    <xf numFmtId="0" fontId="10" fillId="33" borderId="8" applyNumberFormat="0" applyProtection="0">
      <alignment horizontal="right" vertical="center"/>
    </xf>
    <xf numFmtId="0" fontId="10" fillId="34" borderId="8" applyNumberFormat="0" applyProtection="0">
      <alignment horizontal="right" vertical="center"/>
    </xf>
    <xf numFmtId="0" fontId="10" fillId="34" borderId="8" applyNumberFormat="0" applyProtection="0">
      <alignment horizontal="right" vertical="center"/>
    </xf>
    <xf numFmtId="0" fontId="10" fillId="34" borderId="8" applyNumberFormat="0" applyProtection="0">
      <alignment horizontal="right" vertical="center"/>
    </xf>
    <xf numFmtId="0" fontId="10" fillId="34" borderId="8" applyNumberFormat="0" applyProtection="0">
      <alignment horizontal="right" vertical="center"/>
    </xf>
    <xf numFmtId="0" fontId="19" fillId="35" borderId="9" applyNumberFormat="0" applyProtection="0">
      <alignment horizontal="left" vertical="center" indent="1"/>
    </xf>
    <xf numFmtId="0" fontId="10" fillId="36" borderId="0" applyNumberFormat="0" applyProtection="0">
      <alignment horizontal="left" vertical="center" indent="1"/>
    </xf>
    <xf numFmtId="0" fontId="59" fillId="4" borderId="0" applyNumberFormat="0" applyProtection="0">
      <alignment horizontal="left" vertical="center" indent="1"/>
    </xf>
    <xf numFmtId="0" fontId="10" fillId="26" borderId="8" applyNumberFormat="0" applyProtection="0">
      <alignment horizontal="right" vertical="center"/>
    </xf>
    <xf numFmtId="0" fontId="10" fillId="26" borderId="8" applyNumberFormat="0" applyProtection="0">
      <alignment horizontal="right" vertical="center"/>
    </xf>
    <xf numFmtId="0" fontId="10" fillId="26" borderId="8" applyNumberFormat="0" applyProtection="0">
      <alignment horizontal="right" vertical="center"/>
    </xf>
    <xf numFmtId="0" fontId="10" fillId="26" borderId="8" applyNumberFormat="0" applyProtection="0">
      <alignment horizontal="right" vertical="center"/>
    </xf>
    <xf numFmtId="0" fontId="10" fillId="36" borderId="0" applyNumberFormat="0" applyProtection="0">
      <alignment horizontal="left" vertical="center" indent="1"/>
    </xf>
    <xf numFmtId="0" fontId="10" fillId="26" borderId="0" applyNumberFormat="0" applyProtection="0">
      <alignment horizontal="left" vertical="center" indent="1"/>
    </xf>
    <xf numFmtId="0" fontId="9" fillId="4" borderId="8" applyNumberFormat="0" applyProtection="0">
      <alignment horizontal="left" vertical="center" indent="1"/>
    </xf>
    <xf numFmtId="0" fontId="9" fillId="4" borderId="8" applyNumberFormat="0" applyProtection="0">
      <alignment horizontal="left" vertical="center" indent="1"/>
    </xf>
    <xf numFmtId="0" fontId="9" fillId="4" borderId="8" applyNumberFormat="0" applyProtection="0">
      <alignment horizontal="left" vertical="center" indent="1"/>
    </xf>
    <xf numFmtId="0" fontId="9" fillId="4" borderId="8" applyNumberFormat="0" applyProtection="0">
      <alignment horizontal="left" vertical="center" indent="1"/>
    </xf>
    <xf numFmtId="0" fontId="9" fillId="4" borderId="8" applyNumberFormat="0" applyProtection="0">
      <alignment horizontal="left" vertical="top" indent="1"/>
    </xf>
    <xf numFmtId="0" fontId="9" fillId="4" borderId="8" applyNumberFormat="0" applyProtection="0">
      <alignment horizontal="left" vertical="top" indent="1"/>
    </xf>
    <xf numFmtId="0" fontId="9" fillId="4" borderId="8" applyNumberFormat="0" applyProtection="0">
      <alignment horizontal="left" vertical="top" indent="1"/>
    </xf>
    <xf numFmtId="0" fontId="9" fillId="4" borderId="8" applyNumberFormat="0" applyProtection="0">
      <alignment horizontal="left" vertical="top" indent="1"/>
    </xf>
    <xf numFmtId="0" fontId="9" fillId="26" borderId="8" applyNumberFormat="0" applyProtection="0">
      <alignment horizontal="left" vertical="center" indent="1"/>
    </xf>
    <xf numFmtId="0" fontId="9" fillId="26" borderId="8" applyNumberFormat="0" applyProtection="0">
      <alignment horizontal="left" vertical="center" indent="1"/>
    </xf>
    <xf numFmtId="0" fontId="9" fillId="26" borderId="8" applyNumberFormat="0" applyProtection="0">
      <alignment horizontal="left" vertical="center" indent="1"/>
    </xf>
    <xf numFmtId="0" fontId="9" fillId="26" borderId="8" applyNumberFormat="0" applyProtection="0">
      <alignment horizontal="left" vertical="center" indent="1"/>
    </xf>
    <xf numFmtId="0" fontId="9" fillId="26" borderId="8" applyNumberFormat="0" applyProtection="0">
      <alignment horizontal="left" vertical="top" indent="1"/>
    </xf>
    <xf numFmtId="0" fontId="9" fillId="26" borderId="8" applyNumberFormat="0" applyProtection="0">
      <alignment horizontal="left" vertical="top" indent="1"/>
    </xf>
    <xf numFmtId="0" fontId="9" fillId="26" borderId="8" applyNumberFormat="0" applyProtection="0">
      <alignment horizontal="left" vertical="top" indent="1"/>
    </xf>
    <xf numFmtId="0" fontId="9" fillId="26" borderId="8" applyNumberFormat="0" applyProtection="0">
      <alignment horizontal="left" vertical="top" indent="1"/>
    </xf>
    <xf numFmtId="0" fontId="9" fillId="6" borderId="8" applyNumberFormat="0" applyProtection="0">
      <alignment horizontal="left" vertical="center" indent="1"/>
    </xf>
    <xf numFmtId="0" fontId="9" fillId="6" borderId="8" applyNumberFormat="0" applyProtection="0">
      <alignment horizontal="left" vertical="center" indent="1"/>
    </xf>
    <xf numFmtId="0" fontId="9" fillId="6" borderId="8" applyNumberFormat="0" applyProtection="0">
      <alignment horizontal="left" vertical="center" indent="1"/>
    </xf>
    <xf numFmtId="0" fontId="9" fillId="6" borderId="8" applyNumberFormat="0" applyProtection="0">
      <alignment horizontal="left" vertical="center" indent="1"/>
    </xf>
    <xf numFmtId="0" fontId="9" fillId="6" borderId="8" applyNumberFormat="0" applyProtection="0">
      <alignment horizontal="left" vertical="top" indent="1"/>
    </xf>
    <xf numFmtId="0" fontId="9" fillId="6" borderId="8" applyNumberFormat="0" applyProtection="0">
      <alignment horizontal="left" vertical="top" indent="1"/>
    </xf>
    <xf numFmtId="0" fontId="9" fillId="6" borderId="8" applyNumberFormat="0" applyProtection="0">
      <alignment horizontal="left" vertical="top" indent="1"/>
    </xf>
    <xf numFmtId="0" fontId="9" fillId="6" borderId="8" applyNumberFormat="0" applyProtection="0">
      <alignment horizontal="left" vertical="top" indent="1"/>
    </xf>
    <xf numFmtId="0" fontId="9" fillId="36" borderId="8" applyNumberFormat="0" applyProtection="0">
      <alignment horizontal="left" vertical="center" indent="1"/>
    </xf>
    <xf numFmtId="0" fontId="9" fillId="36" borderId="8" applyNumberFormat="0" applyProtection="0">
      <alignment horizontal="left" vertical="center" indent="1"/>
    </xf>
    <xf numFmtId="0" fontId="9" fillId="36" borderId="8" applyNumberFormat="0" applyProtection="0">
      <alignment horizontal="left" vertical="center" indent="1"/>
    </xf>
    <xf numFmtId="0" fontId="9" fillId="36" borderId="8" applyNumberFormat="0" applyProtection="0">
      <alignment horizontal="left" vertical="center" indent="1"/>
    </xf>
    <xf numFmtId="0" fontId="9" fillId="36" borderId="8" applyNumberFormat="0" applyProtection="0">
      <alignment horizontal="left" vertical="top" indent="1"/>
    </xf>
    <xf numFmtId="0" fontId="9" fillId="36" borderId="8" applyNumberFormat="0" applyProtection="0">
      <alignment horizontal="left" vertical="top" indent="1"/>
    </xf>
    <xf numFmtId="0" fontId="9" fillId="36" borderId="8" applyNumberFormat="0" applyProtection="0">
      <alignment horizontal="left" vertical="top" indent="1"/>
    </xf>
    <xf numFmtId="0" fontId="9" fillId="36" borderId="8" applyNumberFormat="0" applyProtection="0">
      <alignment horizontal="left" vertical="top" indent="1"/>
    </xf>
    <xf numFmtId="0" fontId="10" fillId="8" borderId="8" applyNumberFormat="0" applyProtection="0">
      <alignment vertical="center"/>
    </xf>
    <xf numFmtId="0" fontId="10" fillId="8" borderId="8" applyNumberFormat="0" applyProtection="0">
      <alignment vertical="center"/>
    </xf>
    <xf numFmtId="0" fontId="10" fillId="8" borderId="8" applyNumberFormat="0" applyProtection="0">
      <alignment vertical="center"/>
    </xf>
    <xf numFmtId="0" fontId="10" fillId="8" borderId="8" applyNumberFormat="0" applyProtection="0">
      <alignment vertical="center"/>
    </xf>
    <xf numFmtId="0" fontId="60" fillId="8" borderId="8" applyNumberFormat="0" applyProtection="0">
      <alignment vertical="center"/>
    </xf>
    <xf numFmtId="0" fontId="60" fillId="8" borderId="8" applyNumberFormat="0" applyProtection="0">
      <alignment vertical="center"/>
    </xf>
    <xf numFmtId="0" fontId="60" fillId="8" borderId="8" applyNumberFormat="0" applyProtection="0">
      <alignment vertical="center"/>
    </xf>
    <xf numFmtId="0" fontId="60" fillId="8" borderId="8" applyNumberFormat="0" applyProtection="0">
      <alignment vertical="center"/>
    </xf>
    <xf numFmtId="0" fontId="10" fillId="8" borderId="8" applyNumberFormat="0" applyProtection="0">
      <alignment horizontal="left" vertical="center" indent="1"/>
    </xf>
    <xf numFmtId="0" fontId="10" fillId="8" borderId="8" applyNumberFormat="0" applyProtection="0">
      <alignment horizontal="left" vertical="center" indent="1"/>
    </xf>
    <xf numFmtId="0" fontId="10" fillId="8" borderId="8" applyNumberFormat="0" applyProtection="0">
      <alignment horizontal="left" vertical="center" indent="1"/>
    </xf>
    <xf numFmtId="0" fontId="10" fillId="8" borderId="8" applyNumberFormat="0" applyProtection="0">
      <alignment horizontal="left" vertical="center" indent="1"/>
    </xf>
    <xf numFmtId="0" fontId="10" fillId="8" borderId="8" applyNumberFormat="0" applyProtection="0">
      <alignment horizontal="left" vertical="top" indent="1"/>
    </xf>
    <xf numFmtId="0" fontId="10" fillId="8" borderId="8" applyNumberFormat="0" applyProtection="0">
      <alignment horizontal="left" vertical="top" indent="1"/>
    </xf>
    <xf numFmtId="0" fontId="10" fillId="8" borderId="8" applyNumberFormat="0" applyProtection="0">
      <alignment horizontal="left" vertical="top" indent="1"/>
    </xf>
    <xf numFmtId="0" fontId="10" fillId="8" borderId="8" applyNumberFormat="0" applyProtection="0">
      <alignment horizontal="left" vertical="top" indent="1"/>
    </xf>
    <xf numFmtId="0" fontId="10" fillId="36" borderId="8" applyNumberFormat="0" applyProtection="0">
      <alignment horizontal="right" vertical="center"/>
    </xf>
    <xf numFmtId="0" fontId="10" fillId="36" borderId="8" applyNumberFormat="0" applyProtection="0">
      <alignment horizontal="right" vertical="center"/>
    </xf>
    <xf numFmtId="0" fontId="10" fillId="36" borderId="8" applyNumberFormat="0" applyProtection="0">
      <alignment horizontal="right" vertical="center"/>
    </xf>
    <xf numFmtId="0" fontId="10" fillId="36" borderId="8" applyNumberFormat="0" applyProtection="0">
      <alignment horizontal="right" vertical="center"/>
    </xf>
    <xf numFmtId="0" fontId="60" fillId="36" borderId="8" applyNumberFormat="0" applyProtection="0">
      <alignment horizontal="right" vertical="center"/>
    </xf>
    <xf numFmtId="0" fontId="60" fillId="36" borderId="8" applyNumberFormat="0" applyProtection="0">
      <alignment horizontal="right" vertical="center"/>
    </xf>
    <xf numFmtId="0" fontId="60" fillId="36" borderId="8" applyNumberFormat="0" applyProtection="0">
      <alignment horizontal="right" vertical="center"/>
    </xf>
    <xf numFmtId="0" fontId="60" fillId="36" borderId="8" applyNumberFormat="0" applyProtection="0">
      <alignment horizontal="right" vertical="center"/>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61" fillId="37" borderId="0" applyNumberFormat="0" applyProtection="0">
      <alignment horizontal="left" vertical="center" indent="1"/>
    </xf>
    <xf numFmtId="0" fontId="17" fillId="36" borderId="8" applyNumberFormat="0" applyProtection="0">
      <alignment horizontal="right" vertical="center"/>
    </xf>
    <xf numFmtId="0" fontId="17" fillId="36" borderId="8" applyNumberFormat="0" applyProtection="0">
      <alignment horizontal="right" vertical="center"/>
    </xf>
    <xf numFmtId="0" fontId="17" fillId="36" borderId="8" applyNumberFormat="0" applyProtection="0">
      <alignment horizontal="right" vertical="center"/>
    </xf>
    <xf numFmtId="0" fontId="17" fillId="36" borderId="8" applyNumberFormat="0" applyProtection="0">
      <alignment horizontal="right" vertical="center"/>
    </xf>
    <xf numFmtId="0" fontId="62" fillId="0" borderId="0">
      <alignment horizontal="left"/>
    </xf>
    <xf numFmtId="176" fontId="40" fillId="0" borderId="10"/>
    <xf numFmtId="0" fontId="50" fillId="0" borderId="0"/>
    <xf numFmtId="0" fontId="63" fillId="0" borderId="0">
      <alignment horizontal="center"/>
    </xf>
    <xf numFmtId="194" fontId="9" fillId="0" borderId="0" applyFont="0" applyFill="0" applyBorder="0" applyAlignment="0" applyProtection="0"/>
    <xf numFmtId="195" fontId="9" fillId="0" borderId="0" applyFont="0" applyFill="0" applyBorder="0" applyAlignment="0" applyProtection="0"/>
    <xf numFmtId="196" fontId="23" fillId="0" borderId="0" applyFont="0" applyFill="0" applyBorder="0" applyAlignment="0" applyProtection="0"/>
    <xf numFmtId="197" fontId="23" fillId="0" borderId="0" applyFont="0" applyFill="0" applyBorder="0" applyAlignment="0" applyProtection="0"/>
    <xf numFmtId="9" fontId="64" fillId="0" borderId="0" applyFont="0" applyFill="0" applyBorder="0" applyAlignment="0" applyProtection="0"/>
    <xf numFmtId="0" fontId="52" fillId="0" borderId="0"/>
    <xf numFmtId="0" fontId="65" fillId="0" borderId="0"/>
    <xf numFmtId="198" fontId="52" fillId="0" borderId="0" applyFont="0" applyFill="0" applyBorder="0" applyAlignment="0" applyProtection="0"/>
    <xf numFmtId="188" fontId="52" fillId="0" borderId="0" applyFont="0" applyFill="0" applyBorder="0" applyAlignment="0" applyProtection="0"/>
    <xf numFmtId="179" fontId="9" fillId="0" borderId="0" applyFont="0" applyFill="0" applyBorder="0" applyAlignment="0" applyProtection="0"/>
    <xf numFmtId="9" fontId="52" fillId="0" borderId="0" applyFont="0" applyFill="0" applyBorder="0" applyAlignment="0" applyProtection="0"/>
    <xf numFmtId="9" fontId="23" fillId="0" borderId="0" applyFont="0" applyFill="0" applyBorder="0" applyAlignment="0" applyProtection="0"/>
    <xf numFmtId="9" fontId="20" fillId="0" borderId="0" applyAlignment="0"/>
    <xf numFmtId="9" fontId="9" fillId="0" borderId="0" applyFont="0" applyFill="0" applyBorder="0" applyAlignment="0" applyProtection="0"/>
    <xf numFmtId="9" fontId="23" fillId="0" borderId="0" applyFont="0" applyFill="0" applyBorder="0" applyAlignment="0" applyProtection="0"/>
    <xf numFmtId="9" fontId="95" fillId="0" borderId="0" applyFont="0" applyFill="0" applyBorder="0" applyAlignment="0" applyProtection="0"/>
    <xf numFmtId="9" fontId="41" fillId="0" borderId="0" applyFont="0" applyFill="0" applyBorder="0" applyProtection="0"/>
    <xf numFmtId="0" fontId="66" fillId="0" borderId="0" applyFont="0" applyFill="0" applyBorder="0" applyAlignment="0" applyProtection="0"/>
    <xf numFmtId="0" fontId="66" fillId="0" borderId="0" applyFont="0" applyFill="0" applyBorder="0" applyAlignment="0" applyProtection="0"/>
    <xf numFmtId="0" fontId="67" fillId="0" borderId="0" applyNumberFormat="0" applyFill="0" applyBorder="0" applyProtection="0"/>
    <xf numFmtId="4" fontId="68" fillId="0" borderId="0">
      <alignment horizontal="right"/>
    </xf>
    <xf numFmtId="0" fontId="69" fillId="0" borderId="0" applyNumberFormat="0" applyFill="0" applyBorder="0" applyAlignment="0" applyProtection="0"/>
    <xf numFmtId="0" fontId="70" fillId="30" borderId="0" applyNumberFormat="0" applyBorder="0" applyProtection="0"/>
    <xf numFmtId="0" fontId="71" fillId="27" borderId="0" applyNumberFormat="0" applyBorder="0" applyProtection="0"/>
    <xf numFmtId="0" fontId="71" fillId="27" borderId="0" applyNumberFormat="0" applyBorder="0" applyProtection="0"/>
    <xf numFmtId="0" fontId="72" fillId="27" borderId="0" applyNumberFormat="0" applyBorder="0" applyAlignment="0" applyProtection="0"/>
    <xf numFmtId="0" fontId="71" fillId="27" borderId="0" applyNumberFormat="0" applyBorder="0" applyProtection="0"/>
    <xf numFmtId="0" fontId="71" fillId="27" borderId="0" applyNumberFormat="0" applyBorder="0" applyProtection="0"/>
    <xf numFmtId="0" fontId="71" fillId="27" borderId="0" applyNumberFormat="0" applyBorder="0" applyProtection="0"/>
    <xf numFmtId="0" fontId="71" fillId="27" borderId="0" applyNumberFormat="0" applyBorder="0" applyProtection="0"/>
    <xf numFmtId="0" fontId="71" fillId="27" borderId="0" applyNumberFormat="0" applyBorder="0" applyProtection="0"/>
    <xf numFmtId="0" fontId="71" fillId="27" borderId="0" applyNumberFormat="0" applyBorder="0" applyProtection="0"/>
    <xf numFmtId="0" fontId="71" fillId="27" borderId="0" applyNumberFormat="0" applyBorder="0" applyProtection="0"/>
    <xf numFmtId="0" fontId="70" fillId="30" borderId="0" applyNumberFormat="0" applyBorder="0" applyProtection="0"/>
    <xf numFmtId="0" fontId="70" fillId="30" borderId="0" applyNumberFormat="0" applyBorder="0" applyProtection="0"/>
    <xf numFmtId="0" fontId="73" fillId="20" borderId="0" applyNumberFormat="0" applyBorder="0" applyProtection="0"/>
    <xf numFmtId="0" fontId="71" fillId="27" borderId="0" applyNumberFormat="0" applyBorder="0" applyProtection="0"/>
    <xf numFmtId="0" fontId="70" fillId="30" borderId="0" applyNumberFormat="0" applyBorder="0" applyProtection="0"/>
    <xf numFmtId="0" fontId="70" fillId="30" borderId="0" applyNumberFormat="0" applyBorder="0" applyProtection="0"/>
    <xf numFmtId="0" fontId="73" fillId="20" borderId="0" applyNumberFormat="0" applyBorder="0" applyProtection="0"/>
    <xf numFmtId="0" fontId="70" fillId="30" borderId="0" applyNumberFormat="0" applyBorder="0" applyProtection="0"/>
    <xf numFmtId="0" fontId="70" fillId="30" borderId="0" applyNumberFormat="0" applyBorder="0" applyProtection="0"/>
    <xf numFmtId="0" fontId="70" fillId="30" borderId="0" applyNumberFormat="0" applyBorder="0" applyProtection="0"/>
    <xf numFmtId="0" fontId="71" fillId="27" borderId="0" applyNumberFormat="0" applyBorder="0" applyProtection="0"/>
    <xf numFmtId="0" fontId="70" fillId="30" borderId="0" applyNumberFormat="0" applyBorder="0" applyProtection="0"/>
    <xf numFmtId="0" fontId="70" fillId="30" borderId="0" applyNumberFormat="0" applyBorder="0" applyProtection="0"/>
    <xf numFmtId="0" fontId="70" fillId="30" borderId="0" applyNumberFormat="0" applyBorder="0" applyProtection="0"/>
    <xf numFmtId="0" fontId="70" fillId="30" borderId="0" applyNumberFormat="0" applyBorder="0" applyProtection="0"/>
    <xf numFmtId="0" fontId="23" fillId="0" borderId="0"/>
    <xf numFmtId="199" fontId="74" fillId="0" borderId="0"/>
    <xf numFmtId="0" fontId="41" fillId="0" borderId="0"/>
    <xf numFmtId="0" fontId="95" fillId="0" borderId="0"/>
    <xf numFmtId="0" fontId="95" fillId="0" borderId="0"/>
    <xf numFmtId="0" fontId="20" fillId="0" borderId="0">
      <protection locked="0"/>
    </xf>
    <xf numFmtId="0" fontId="9" fillId="0" borderId="0">
      <protection locked="0"/>
    </xf>
    <xf numFmtId="0" fontId="95" fillId="0" borderId="0"/>
    <xf numFmtId="0" fontId="20" fillId="0" borderId="0">
      <protection locked="0"/>
    </xf>
    <xf numFmtId="0" fontId="75" fillId="0" borderId="0">
      <alignment vertical="center"/>
    </xf>
    <xf numFmtId="0" fontId="75" fillId="0" borderId="0">
      <alignment vertical="center"/>
    </xf>
    <xf numFmtId="0" fontId="55" fillId="0" borderId="0"/>
    <xf numFmtId="199" fontId="41" fillId="0" borderId="0"/>
    <xf numFmtId="0" fontId="23" fillId="0" borderId="0"/>
    <xf numFmtId="0" fontId="41" fillId="0" borderId="0"/>
    <xf numFmtId="0" fontId="95" fillId="0" borderId="0"/>
    <xf numFmtId="0" fontId="95" fillId="0" borderId="0"/>
    <xf numFmtId="0" fontId="36" fillId="0" borderId="0"/>
    <xf numFmtId="0" fontId="95" fillId="0" borderId="0"/>
    <xf numFmtId="0" fontId="55" fillId="0" borderId="0"/>
    <xf numFmtId="0" fontId="95" fillId="0" borderId="0" applyAlignment="0"/>
    <xf numFmtId="0" fontId="9" fillId="0" borderId="0">
      <protection locked="0"/>
    </xf>
    <xf numFmtId="0" fontId="76" fillId="0" borderId="0"/>
    <xf numFmtId="0" fontId="41" fillId="0" borderId="0"/>
    <xf numFmtId="0" fontId="95" fillId="0" borderId="0"/>
    <xf numFmtId="0" fontId="95" fillId="0" borderId="0"/>
    <xf numFmtId="0" fontId="23" fillId="0" borderId="0"/>
    <xf numFmtId="0" fontId="95" fillId="0" borderId="0"/>
    <xf numFmtId="0" fontId="23" fillId="0" borderId="0">
      <alignment vertical="center"/>
    </xf>
    <xf numFmtId="0" fontId="95" fillId="0" borderId="0"/>
    <xf numFmtId="0" fontId="41" fillId="0" borderId="0"/>
    <xf numFmtId="0" fontId="95" fillId="0" borderId="0"/>
    <xf numFmtId="0" fontId="41" fillId="0" borderId="0"/>
    <xf numFmtId="0" fontId="95" fillId="0" borderId="0"/>
    <xf numFmtId="0" fontId="77" fillId="0" borderId="0" applyNumberFormat="0" applyFill="0" applyBorder="0">
      <protection locked="0"/>
    </xf>
    <xf numFmtId="0" fontId="77" fillId="0" borderId="0" applyNumberFormat="0" applyFill="0" applyBorder="0">
      <protection locked="0"/>
    </xf>
    <xf numFmtId="0" fontId="47" fillId="0" borderId="0" applyNumberFormat="0" applyFill="0" applyBorder="0" applyAlignment="0" applyProtection="0"/>
    <xf numFmtId="0" fontId="77" fillId="0" borderId="0" applyNumberFormat="0" applyFill="0" applyBorder="0">
      <protection locked="0"/>
    </xf>
    <xf numFmtId="0" fontId="78" fillId="0" borderId="0" applyNumberFormat="0" applyFill="0" applyBorder="0">
      <protection locked="0"/>
    </xf>
    <xf numFmtId="0" fontId="79" fillId="21" borderId="0" applyNumberFormat="0" applyBorder="0" applyProtection="0"/>
    <xf numFmtId="0" fontId="80" fillId="12" borderId="0" applyNumberFormat="0" applyBorder="0" applyProtection="0"/>
    <xf numFmtId="0" fontId="80" fillId="21" borderId="0" applyNumberFormat="0" applyBorder="0" applyProtection="0"/>
    <xf numFmtId="0" fontId="80" fillId="21" borderId="0" applyNumberFormat="0" applyBorder="0" applyProtection="0"/>
    <xf numFmtId="0" fontId="80" fillId="21" borderId="0" applyNumberFormat="0" applyBorder="0" applyProtection="0"/>
    <xf numFmtId="0" fontId="80" fillId="12" borderId="0" applyNumberFormat="0" applyBorder="0" applyProtection="0"/>
    <xf numFmtId="0" fontId="81" fillId="12" borderId="0" applyNumberFormat="0" applyBorder="0" applyAlignment="0" applyProtection="0"/>
    <xf numFmtId="0" fontId="80" fillId="12" borderId="0" applyNumberFormat="0" applyBorder="0" applyProtection="0"/>
    <xf numFmtId="0" fontId="80" fillId="12" borderId="0" applyNumberFormat="0" applyBorder="0" applyProtection="0"/>
    <xf numFmtId="0" fontId="80" fillId="12" borderId="0" applyNumberFormat="0" applyBorder="0" applyProtection="0"/>
    <xf numFmtId="0" fontId="80" fillId="12" borderId="0" applyNumberFormat="0" applyBorder="0" applyProtection="0"/>
    <xf numFmtId="0" fontId="80" fillId="12" borderId="0" applyNumberFormat="0" applyBorder="0" applyProtection="0"/>
    <xf numFmtId="0" fontId="80" fillId="12" borderId="0" applyNumberFormat="0" applyBorder="0" applyProtection="0"/>
    <xf numFmtId="0" fontId="80" fillId="12" borderId="0" applyNumberFormat="0" applyBorder="0" applyProtection="0"/>
    <xf numFmtId="0" fontId="80" fillId="21" borderId="0" applyNumberFormat="0" applyBorder="0" applyProtection="0"/>
    <xf numFmtId="0" fontId="79" fillId="21" borderId="0" applyNumberFormat="0" applyBorder="0" applyProtection="0"/>
    <xf numFmtId="0" fontId="80" fillId="12" borderId="0" applyNumberFormat="0" applyBorder="0" applyProtection="0"/>
    <xf numFmtId="0" fontId="79" fillId="21" borderId="0" applyNumberFormat="0" applyBorder="0" applyProtection="0"/>
    <xf numFmtId="0" fontId="80" fillId="21" borderId="0" applyNumberFormat="0" applyBorder="0" applyProtection="0"/>
    <xf numFmtId="0" fontId="79" fillId="21" borderId="0" applyNumberFormat="0" applyBorder="0" applyProtection="0"/>
    <xf numFmtId="0" fontId="79" fillId="21" borderId="0" applyNumberFormat="0" applyBorder="0" applyProtection="0"/>
    <xf numFmtId="0" fontId="82" fillId="38" borderId="0" applyNumberFormat="0" applyBorder="0" applyProtection="0"/>
    <xf numFmtId="0" fontId="79" fillId="21" borderId="0" applyNumberFormat="0" applyBorder="0" applyProtection="0"/>
    <xf numFmtId="0" fontId="82" fillId="38" borderId="0" applyNumberFormat="0" applyBorder="0" applyProtection="0"/>
    <xf numFmtId="0" fontId="79" fillId="21" borderId="0" applyNumberFormat="0" applyBorder="0" applyProtection="0"/>
    <xf numFmtId="0" fontId="79" fillId="21" borderId="0" applyNumberFormat="0" applyBorder="0" applyProtection="0"/>
    <xf numFmtId="0" fontId="80" fillId="12" borderId="0" applyNumberFormat="0" applyBorder="0" applyProtection="0"/>
    <xf numFmtId="0" fontId="80" fillId="21" borderId="0" applyNumberFormat="0" applyBorder="0" applyProtection="0"/>
    <xf numFmtId="0" fontId="80" fillId="21" borderId="0" applyNumberFormat="0" applyBorder="0" applyProtection="0"/>
    <xf numFmtId="0" fontId="79" fillId="21" borderId="0" applyNumberFormat="0" applyBorder="0" applyProtection="0"/>
    <xf numFmtId="0" fontId="80" fillId="21" borderId="0" applyNumberFormat="0" applyBorder="0" applyProtection="0"/>
    <xf numFmtId="0" fontId="79" fillId="21" borderId="0" applyNumberFormat="0" applyBorder="0" applyProtection="0"/>
    <xf numFmtId="0" fontId="80" fillId="21" borderId="0" applyNumberFormat="0" applyBorder="0" applyProtection="0"/>
    <xf numFmtId="0" fontId="79" fillId="21" borderId="0" applyNumberFormat="0" applyBorder="0" applyProtection="0"/>
    <xf numFmtId="0" fontId="79" fillId="21" borderId="0" applyNumberFormat="0" applyBorder="0" applyProtection="0"/>
    <xf numFmtId="0" fontId="79" fillId="21" borderId="0" applyNumberFormat="0" applyBorder="0" applyProtection="0"/>
    <xf numFmtId="0" fontId="82" fillId="38" borderId="0" applyNumberFormat="0" applyBorder="0" applyProtection="0"/>
    <xf numFmtId="0" fontId="79" fillId="21" borderId="0" applyNumberFormat="0" applyBorder="0" applyProtection="0"/>
    <xf numFmtId="0" fontId="82" fillId="38" borderId="0" applyNumberFormat="0" applyBorder="0" applyProtection="0"/>
    <xf numFmtId="0" fontId="80" fillId="21" borderId="0" applyNumberFormat="0" applyBorder="0" applyProtection="0"/>
    <xf numFmtId="4" fontId="83" fillId="0" borderId="0" applyFont="0" applyFill="0" applyBorder="0" applyAlignment="0" applyProtection="0"/>
    <xf numFmtId="179" fontId="9" fillId="0" borderId="0" applyFont="0" applyFill="0" applyBorder="0" applyAlignment="0" applyProtection="0"/>
    <xf numFmtId="200" fontId="84" fillId="0" borderId="0" applyFont="0" applyFill="0" applyBorder="0" applyAlignment="0" applyProtection="0"/>
    <xf numFmtId="201" fontId="84" fillId="0" borderId="0" applyFont="0" applyFill="0" applyBorder="0" applyAlignment="0" applyProtection="0"/>
    <xf numFmtId="202" fontId="9" fillId="0" borderId="0" applyFont="0" applyFill="0" applyBorder="0" applyAlignment="0" applyProtection="0"/>
    <xf numFmtId="203" fontId="9" fillId="0" borderId="0" applyFont="0" applyFill="0" applyBorder="0" applyAlignment="0" applyProtection="0"/>
    <xf numFmtId="204" fontId="85" fillId="0" borderId="0" applyFont="0" applyFill="0" applyBorder="0" applyAlignment="0" applyProtection="0"/>
    <xf numFmtId="205" fontId="85" fillId="0" borderId="0" applyFont="0" applyFill="0" applyBorder="0" applyAlignment="0" applyProtection="0"/>
    <xf numFmtId="200" fontId="52" fillId="0" borderId="0" applyFont="0" applyFill="0" applyBorder="0" applyAlignment="0" applyProtection="0"/>
    <xf numFmtId="201" fontId="52" fillId="0" borderId="0" applyFont="0" applyFill="0" applyBorder="0" applyAlignment="0" applyProtection="0"/>
    <xf numFmtId="0" fontId="37" fillId="0" borderId="0"/>
    <xf numFmtId="179" fontId="37" fillId="0" borderId="0" applyFont="0" applyFill="0" applyBorder="0" applyAlignment="0" applyProtection="0"/>
    <xf numFmtId="176" fontId="37" fillId="0" borderId="0" applyFont="0" applyFill="0" applyBorder="0" applyAlignment="0" applyProtection="0"/>
    <xf numFmtId="179"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0" fillId="0" borderId="0" applyFont="0" applyAlignment="0" applyProtection="0"/>
    <xf numFmtId="176" fontId="95" fillId="0" borderId="0" applyFont="0" applyProtection="0"/>
    <xf numFmtId="176" fontId="95" fillId="0" borderId="0" applyFont="0" applyFill="0" applyBorder="0" applyProtection="0"/>
    <xf numFmtId="176" fontId="95" fillId="0" borderId="0" applyFont="0" applyProtection="0"/>
    <xf numFmtId="176" fontId="9" fillId="0" borderId="0" applyFont="0" applyFill="0" applyBorder="0" applyAlignment="0" applyProtection="0"/>
    <xf numFmtId="176" fontId="95" fillId="0" borderId="0" applyFont="0" applyFill="0" applyBorder="0" applyProtection="0"/>
    <xf numFmtId="176" fontId="95" fillId="0" borderId="0" applyFont="0" applyProtection="0"/>
    <xf numFmtId="176" fontId="95" fillId="0" borderId="0" applyFont="0" applyProtection="0"/>
    <xf numFmtId="176" fontId="20" fillId="0" borderId="0" applyAlignment="0"/>
    <xf numFmtId="176" fontId="20" fillId="0" borderId="0" applyAlignment="0"/>
    <xf numFmtId="176" fontId="9" fillId="0" borderId="0" applyFont="0" applyFill="0" applyBorder="0" applyAlignment="0" applyProtection="0"/>
    <xf numFmtId="176" fontId="36" fillId="0" borderId="0" applyFont="0" applyProtection="0"/>
    <xf numFmtId="176" fontId="41" fillId="0" borderId="0" applyFont="0" applyFill="0" applyBorder="0" applyAlignment="0" applyProtection="0"/>
    <xf numFmtId="176" fontId="41" fillId="0" borderId="0" applyFont="0" applyFill="0" applyBorder="0" applyAlignment="0" applyProtection="0"/>
    <xf numFmtId="176" fontId="95" fillId="0" borderId="0" applyFont="0" applyProtection="0"/>
    <xf numFmtId="176" fontId="95" fillId="0" borderId="0" applyFont="0" applyProtection="0"/>
    <xf numFmtId="176" fontId="95" fillId="0" borderId="0" applyFont="0" applyFill="0" applyBorder="0" applyProtection="0"/>
    <xf numFmtId="176" fontId="23" fillId="0" borderId="0" applyFont="0" applyFill="0" applyBorder="0" applyAlignment="0" applyProtection="0"/>
    <xf numFmtId="176" fontId="23" fillId="0" borderId="0" applyFont="0" applyFill="0" applyBorder="0" applyAlignment="0" applyProtection="0"/>
    <xf numFmtId="176" fontId="95" fillId="0" borderId="0" applyFont="0" applyProtection="0"/>
    <xf numFmtId="176" fontId="95" fillId="0" borderId="0" applyFont="0" applyProtection="0"/>
    <xf numFmtId="176" fontId="95" fillId="0" borderId="0" applyFont="0" applyProtection="0"/>
    <xf numFmtId="176" fontId="95" fillId="0" borderId="0" applyFont="0" applyProtection="0"/>
    <xf numFmtId="176" fontId="36" fillId="0" borderId="0" applyFont="0" applyProtection="0"/>
    <xf numFmtId="176" fontId="95" fillId="0" borderId="0" applyFont="0" applyProtection="0"/>
    <xf numFmtId="176" fontId="95" fillId="0" borderId="0" applyFont="0" applyProtection="0"/>
    <xf numFmtId="176" fontId="95" fillId="0" borderId="0" applyFont="0" applyProtection="0"/>
    <xf numFmtId="176" fontId="95" fillId="0" borderId="0" applyFont="0" applyProtection="0"/>
    <xf numFmtId="176" fontId="36" fillId="0" borderId="0" applyFont="0" applyProtection="0"/>
    <xf numFmtId="176" fontId="23" fillId="0" borderId="0" applyFont="0" applyFill="0" applyBorder="0" applyAlignment="0" applyProtection="0"/>
    <xf numFmtId="176" fontId="95" fillId="0" borderId="0" applyFont="0" applyProtection="0"/>
    <xf numFmtId="176" fontId="95" fillId="0" borderId="0" applyFo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6" fontId="95" fillId="0" borderId="0" applyFont="0" applyFill="0" applyBorder="0" applyAlignment="0" applyProtection="0"/>
    <xf numFmtId="179" fontId="23" fillId="0" borderId="0" applyFont="0" applyFill="0" applyBorder="0" applyAlignment="0" applyProtection="0"/>
    <xf numFmtId="0" fontId="86" fillId="0" borderId="0"/>
    <xf numFmtId="0" fontId="87" fillId="39" borderId="0" applyNumberFormat="0" applyBorder="0" applyAlignment="0" applyProtection="0"/>
    <xf numFmtId="0" fontId="87" fillId="40" borderId="0" applyNumberFormat="0" applyBorder="0" applyAlignment="0" applyProtection="0"/>
    <xf numFmtId="0" fontId="87" fillId="41" borderId="0" applyNumberFormat="0" applyBorder="0" applyAlignment="0" applyProtection="0"/>
    <xf numFmtId="0" fontId="73" fillId="25" borderId="0" applyNumberFormat="0" applyBorder="0" applyProtection="0"/>
    <xf numFmtId="0" fontId="73" fillId="42" borderId="0" applyNumberFormat="0" applyBorder="0" applyProtection="0"/>
    <xf numFmtId="0" fontId="73" fillId="42" borderId="0" applyNumberFormat="0" applyBorder="0" applyProtection="0"/>
    <xf numFmtId="0" fontId="73" fillId="28" borderId="0" applyNumberFormat="0" applyBorder="0" applyProtection="0"/>
    <xf numFmtId="0" fontId="73" fillId="25" borderId="0" applyNumberFormat="0" applyBorder="0" applyProtection="0"/>
    <xf numFmtId="0" fontId="73" fillId="16" borderId="0" applyNumberFormat="0" applyBorder="0" applyProtection="0"/>
    <xf numFmtId="180" fontId="9" fillId="0" borderId="0" applyFont="0" applyFill="0" applyBorder="0" applyAlignment="0" applyProtection="0"/>
    <xf numFmtId="206" fontId="83" fillId="0" borderId="0" applyFont="0" applyFill="0" applyBorder="0" applyAlignment="0" applyProtection="0"/>
    <xf numFmtId="0" fontId="52" fillId="0" borderId="0"/>
    <xf numFmtId="0" fontId="84" fillId="0" borderId="0"/>
    <xf numFmtId="0" fontId="88" fillId="0" borderId="0"/>
    <xf numFmtId="40" fontId="66" fillId="0" borderId="0" applyFont="0" applyFill="0" applyBorder="0" applyAlignment="0" applyProtection="0"/>
    <xf numFmtId="38" fontId="66" fillId="0" borderId="0" applyFont="0" applyFill="0" applyBorder="0" applyAlignment="0" applyProtection="0"/>
    <xf numFmtId="0" fontId="9" fillId="0" borderId="1" applyNumberFormat="0"/>
    <xf numFmtId="0" fontId="9" fillId="0" borderId="1" applyNumberFormat="0"/>
    <xf numFmtId="38" fontId="89" fillId="0" borderId="0" applyFont="0" applyFill="0" applyBorder="0" applyAlignment="0" applyProtection="0"/>
    <xf numFmtId="40"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0" fontId="90" fillId="0" borderId="0"/>
    <xf numFmtId="0" fontId="95" fillId="0" borderId="0"/>
    <xf numFmtId="0" fontId="95" fillId="0" borderId="0"/>
    <xf numFmtId="0" fontId="13" fillId="0" borderId="0" applyNumberFormat="0" applyFill="0" applyBorder="0" applyAlignment="0" applyProtection="0"/>
    <xf numFmtId="0" fontId="97" fillId="0" borderId="0"/>
    <xf numFmtId="176" fontId="23" fillId="0" borderId="0" applyFont="0" applyFill="0" applyBorder="0" applyAlignment="0" applyProtection="0"/>
    <xf numFmtId="176" fontId="95" fillId="0" borderId="0" applyFont="0" applyFill="0" applyBorder="0" applyAlignment="0" applyProtection="0"/>
    <xf numFmtId="9" fontId="95" fillId="0" borderId="0" applyFont="0" applyFill="0" applyBorder="0" applyAlignment="0" applyProtection="0"/>
    <xf numFmtId="0" fontId="5" fillId="0" borderId="0"/>
    <xf numFmtId="0" fontId="78" fillId="0" borderId="0" applyNumberFormat="0" applyFill="0" applyBorder="0">
      <protection locked="0"/>
    </xf>
    <xf numFmtId="176" fontId="95" fillId="0" borderId="0" applyFont="0" applyFill="0" applyBorder="0" applyAlignment="0" applyProtection="0"/>
    <xf numFmtId="0" fontId="23" fillId="0" borderId="0"/>
    <xf numFmtId="0" fontId="4" fillId="0" borderId="0"/>
    <xf numFmtId="0" fontId="95" fillId="0" borderId="0"/>
    <xf numFmtId="0" fontId="3" fillId="0" borderId="0"/>
    <xf numFmtId="0" fontId="13" fillId="0" borderId="0" applyNumberFormat="0" applyFill="0" applyBorder="0" applyAlignment="0" applyProtection="0"/>
    <xf numFmtId="0" fontId="95" fillId="0" borderId="0"/>
    <xf numFmtId="176" fontId="95" fillId="0" borderId="0" applyFont="0" applyFill="0" applyBorder="0" applyAlignment="0" applyProtection="0"/>
    <xf numFmtId="0" fontId="2" fillId="0" borderId="0"/>
    <xf numFmtId="0" fontId="98" fillId="0" borderId="0" applyNumberFormat="0" applyFill="0" applyBorder="0" applyAlignment="0" applyProtection="0"/>
    <xf numFmtId="0" fontId="95" fillId="0" borderId="0">
      <alignment vertical="center"/>
    </xf>
    <xf numFmtId="0" fontId="100" fillId="0" borderId="0"/>
    <xf numFmtId="0" fontId="95" fillId="0" borderId="0">
      <alignment vertical="center"/>
    </xf>
    <xf numFmtId="0" fontId="41" fillId="0" borderId="0"/>
    <xf numFmtId="0" fontId="1" fillId="0" borderId="0"/>
    <xf numFmtId="176" fontId="95" fillId="0" borderId="0" applyFont="0" applyFill="0" applyBorder="0" applyAlignment="0" applyProtection="0"/>
    <xf numFmtId="0" fontId="41" fillId="0" borderId="0"/>
    <xf numFmtId="0" fontId="101" fillId="0" borderId="0"/>
    <xf numFmtId="0" fontId="41" fillId="0" borderId="0"/>
    <xf numFmtId="0" fontId="101" fillId="0" borderId="0">
      <alignment vertical="center"/>
    </xf>
    <xf numFmtId="0" fontId="108" fillId="0" borderId="0">
      <alignment vertical="center"/>
    </xf>
    <xf numFmtId="0" fontId="101" fillId="0" borderId="0"/>
    <xf numFmtId="0" fontId="110" fillId="0" borderId="0" applyNumberFormat="0" applyFill="0" applyBorder="0" applyAlignment="0" applyProtection="0"/>
    <xf numFmtId="43" fontId="95" fillId="0" borderId="0" applyFont="0" applyFill="0" applyBorder="0" applyAlignment="0" applyProtection="0"/>
    <xf numFmtId="0" fontId="95" fillId="0" borderId="0"/>
    <xf numFmtId="0" fontId="101" fillId="0" borderId="0"/>
    <xf numFmtId="0" fontId="101" fillId="0" borderId="0">
      <alignment vertical="center"/>
    </xf>
    <xf numFmtId="0" fontId="95" fillId="0" borderId="0"/>
    <xf numFmtId="0" fontId="101" fillId="0" borderId="0"/>
    <xf numFmtId="0" fontId="1" fillId="0" borderId="0"/>
    <xf numFmtId="0" fontId="1" fillId="0" borderId="0"/>
    <xf numFmtId="43" fontId="101" fillId="0" borderId="0" applyFont="0" applyFill="0" applyBorder="0" applyAlignment="0" applyProtection="0"/>
    <xf numFmtId="41" fontId="9" fillId="0" borderId="0" applyFont="0" applyFill="0" applyBorder="0" applyAlignment="0" applyProtection="0"/>
    <xf numFmtId="43" fontId="95" fillId="0" borderId="0" applyFont="0" applyFill="0" applyBorder="0" applyAlignment="0" applyProtection="0"/>
    <xf numFmtId="43" fontId="95" fillId="0" borderId="0" applyFont="0" applyFill="0" applyBorder="0" applyAlignment="0" applyProtection="0"/>
    <xf numFmtId="0" fontId="98" fillId="0" borderId="0" applyNumberFormat="0" applyFill="0" applyBorder="0" applyAlignment="0" applyProtection="0"/>
    <xf numFmtId="43" fontId="1" fillId="0" borderId="0" applyFont="0" applyFill="0" applyBorder="0" applyAlignment="0" applyProtection="0"/>
  </cellStyleXfs>
  <cellXfs count="112">
    <xf numFmtId="0" fontId="0" fillId="0" borderId="0" xfId="0"/>
    <xf numFmtId="0" fontId="9" fillId="0" borderId="0" xfId="0" applyFont="1" applyAlignment="1">
      <alignment vertical="center"/>
    </xf>
    <xf numFmtId="0" fontId="12" fillId="0" borderId="0" xfId="0" applyFont="1" applyAlignment="1">
      <alignment vertical="center"/>
    </xf>
    <xf numFmtId="10" fontId="9" fillId="0" borderId="0" xfId="0" applyNumberFormat="1" applyFont="1" applyAlignment="1">
      <alignment vertical="center"/>
    </xf>
    <xf numFmtId="0" fontId="15" fillId="0" borderId="0" xfId="31" applyFont="1" applyAlignment="1">
      <alignment horizontal="center" vertical="center"/>
    </xf>
    <xf numFmtId="0" fontId="7" fillId="0" borderId="0" xfId="0" applyFont="1"/>
    <xf numFmtId="176" fontId="15" fillId="0" borderId="0" xfId="5" applyFont="1" applyFill="1" applyBorder="1" applyAlignment="1">
      <alignment vertical="center" wrapText="1"/>
    </xf>
    <xf numFmtId="0" fontId="7" fillId="0" borderId="0" xfId="1" applyFont="1" applyAlignment="1">
      <alignment vertical="center"/>
    </xf>
    <xf numFmtId="0" fontId="7" fillId="43" borderId="0" xfId="1" applyFont="1" applyFill="1" applyAlignment="1">
      <alignment vertical="center"/>
    </xf>
    <xf numFmtId="0" fontId="7" fillId="0" borderId="0" xfId="1" applyFont="1" applyAlignment="1">
      <alignment horizontal="center" vertical="center"/>
    </xf>
    <xf numFmtId="14" fontId="9" fillId="0" borderId="0" xfId="0" applyNumberFormat="1" applyFont="1" applyAlignment="1">
      <alignment vertical="center"/>
    </xf>
    <xf numFmtId="49" fontId="0" fillId="0" borderId="0" xfId="0" applyNumberFormat="1"/>
    <xf numFmtId="0" fontId="12" fillId="0" borderId="0" xfId="1" applyFont="1" applyAlignment="1">
      <alignment vertical="center"/>
    </xf>
    <xf numFmtId="0" fontId="9" fillId="0" borderId="0" xfId="18" applyFont="1" applyAlignment="1">
      <alignment horizontal="left" vertical="center"/>
    </xf>
    <xf numFmtId="0" fontId="15" fillId="0" borderId="0" xfId="18" applyFont="1" applyAlignment="1">
      <alignment horizontal="right" vertical="center"/>
    </xf>
    <xf numFmtId="0" fontId="15" fillId="0" borderId="0" xfId="18" applyFont="1" applyAlignment="1">
      <alignment vertical="center" wrapText="1"/>
    </xf>
    <xf numFmtId="49" fontId="7" fillId="0" borderId="0" xfId="1" applyNumberFormat="1" applyFont="1" applyAlignment="1">
      <alignment vertical="center"/>
    </xf>
    <xf numFmtId="0" fontId="16" fillId="43" borderId="0" xfId="1" applyFont="1" applyFill="1" applyAlignment="1">
      <alignment vertical="center"/>
    </xf>
    <xf numFmtId="0" fontId="15" fillId="0" borderId="0" xfId="30" applyFont="1" applyAlignment="1">
      <alignment vertical="center"/>
    </xf>
    <xf numFmtId="0" fontId="15" fillId="0" borderId="0" xfId="21" applyFont="1" applyAlignment="1"/>
    <xf numFmtId="0" fontId="104" fillId="0" borderId="0" xfId="0" applyFont="1" applyAlignment="1">
      <alignment horizontal="center" vertical="center"/>
    </xf>
    <xf numFmtId="0" fontId="12" fillId="43" borderId="0" xfId="1" applyFont="1" applyFill="1" applyAlignment="1">
      <alignment vertical="center"/>
    </xf>
    <xf numFmtId="0" fontId="12" fillId="0" borderId="0" xfId="1" applyFont="1" applyAlignment="1">
      <alignment horizontal="center" vertical="center"/>
    </xf>
    <xf numFmtId="0" fontId="107" fillId="0" borderId="0" xfId="1" applyFont="1" applyAlignment="1">
      <alignment vertical="center"/>
    </xf>
    <xf numFmtId="0" fontId="102" fillId="0" borderId="0" xfId="0" applyFont="1" applyAlignment="1" applyProtection="1">
      <alignment horizontal="center" vertical="center"/>
      <protection locked="0"/>
    </xf>
    <xf numFmtId="14" fontId="102" fillId="0" borderId="0" xfId="0" applyNumberFormat="1" applyFont="1" applyAlignment="1" applyProtection="1">
      <alignment horizontal="center" vertical="center"/>
      <protection locked="0"/>
    </xf>
    <xf numFmtId="0" fontId="102" fillId="43" borderId="0" xfId="1" applyFont="1" applyFill="1" applyAlignment="1">
      <alignment horizontal="center" vertical="center"/>
    </xf>
    <xf numFmtId="0" fontId="92" fillId="0" borderId="0" xfId="21" applyFont="1" applyAlignment="1"/>
    <xf numFmtId="176" fontId="9" fillId="0" borderId="0" xfId="5" applyFont="1" applyAlignment="1">
      <alignment horizontal="right" vertical="center" shrinkToFit="1"/>
    </xf>
    <xf numFmtId="0" fontId="93" fillId="0" borderId="0" xfId="541" applyFont="1" applyAlignment="1">
      <alignment horizontal="center" vertical="center"/>
    </xf>
    <xf numFmtId="0" fontId="93" fillId="43" borderId="0" xfId="541" applyFont="1" applyFill="1" applyAlignment="1">
      <alignment horizontal="center" vertical="center"/>
    </xf>
    <xf numFmtId="0" fontId="93" fillId="0" borderId="0" xfId="541" applyFont="1" applyAlignment="1">
      <alignment horizontal="left" vertical="center"/>
    </xf>
    <xf numFmtId="0" fontId="111" fillId="0" borderId="0" xfId="0" applyFont="1" applyAlignment="1">
      <alignment vertical="center"/>
    </xf>
    <xf numFmtId="0" fontId="12" fillId="0" borderId="0" xfId="0" applyFont="1" applyAlignment="1">
      <alignment horizontal="left" vertical="center"/>
    </xf>
    <xf numFmtId="0" fontId="7" fillId="0" borderId="0" xfId="541" applyFont="1" applyAlignment="1">
      <alignment horizontal="center" vertical="center"/>
    </xf>
    <xf numFmtId="0" fontId="12" fillId="0" borderId="0" xfId="541" applyFont="1" applyAlignment="1">
      <alignment horizontal="center" vertical="center"/>
    </xf>
    <xf numFmtId="0" fontId="9" fillId="0" borderId="0" xfId="1050" applyFont="1" applyAlignment="1">
      <alignment vertical="center"/>
    </xf>
    <xf numFmtId="0" fontId="16" fillId="0" borderId="0" xfId="1" applyFont="1" applyAlignment="1">
      <alignment vertical="center"/>
    </xf>
    <xf numFmtId="0" fontId="94" fillId="0" borderId="0" xfId="0" applyFont="1" applyAlignment="1">
      <alignment horizontal="left" vertical="top"/>
    </xf>
    <xf numFmtId="0" fontId="94" fillId="0" borderId="0" xfId="0" applyFont="1" applyAlignment="1">
      <alignment horizontal="left" vertical="top" wrapText="1"/>
    </xf>
    <xf numFmtId="0" fontId="7" fillId="47" borderId="0" xfId="1056" applyFont="1" applyFill="1" applyAlignment="1" applyProtection="1">
      <alignment vertical="center"/>
      <protection locked="0"/>
    </xf>
    <xf numFmtId="0" fontId="103" fillId="0" borderId="0" xfId="0" applyFont="1" applyAlignment="1">
      <alignment vertical="center"/>
    </xf>
    <xf numFmtId="0" fontId="14" fillId="0" borderId="0" xfId="0" applyFont="1" applyAlignment="1">
      <alignment vertical="center"/>
    </xf>
    <xf numFmtId="14" fontId="6" fillId="0" borderId="13" xfId="448" applyNumberFormat="1" applyFont="1" applyFill="1" applyBorder="1" applyAlignment="1">
      <alignment horizontal="right" vertical="center" shrinkToFit="1"/>
    </xf>
    <xf numFmtId="0" fontId="12" fillId="0" borderId="0" xfId="4" applyFont="1" applyAlignment="1" applyProtection="1">
      <alignment horizontal="center" vertical="center"/>
      <protection locked="0"/>
    </xf>
    <xf numFmtId="0" fontId="9" fillId="0" borderId="0" xfId="0" applyFont="1" applyAlignment="1" applyProtection="1">
      <alignment horizontal="left" vertical="center"/>
      <protection locked="0"/>
    </xf>
    <xf numFmtId="0" fontId="9" fillId="0" borderId="0" xfId="0" applyFont="1" applyAlignment="1" applyProtection="1">
      <alignment horizontal="center" vertical="center"/>
      <protection locked="0"/>
    </xf>
    <xf numFmtId="176" fontId="9" fillId="0" borderId="0" xfId="0" applyNumberFormat="1" applyFont="1" applyAlignment="1" applyProtection="1">
      <alignment horizontal="justify" vertical="center"/>
      <protection locked="0"/>
    </xf>
    <xf numFmtId="0" fontId="112" fillId="0" borderId="17" xfId="0" applyFont="1" applyBorder="1" applyAlignment="1">
      <alignment horizontal="center" vertical="center"/>
    </xf>
    <xf numFmtId="43" fontId="113" fillId="0" borderId="17" xfId="1049" applyFont="1" applyBorder="1" applyAlignment="1" applyProtection="1">
      <alignment horizontal="left" vertical="center"/>
      <protection locked="0"/>
    </xf>
    <xf numFmtId="0" fontId="113" fillId="0" borderId="18" xfId="0" applyFont="1" applyBorder="1" applyAlignment="1">
      <alignment horizontal="center" vertical="center" wrapText="1"/>
    </xf>
    <xf numFmtId="14" fontId="7" fillId="0" borderId="11" xfId="0" applyNumberFormat="1" applyFont="1" applyBorder="1" applyAlignment="1">
      <alignment horizontal="center" vertical="center"/>
    </xf>
    <xf numFmtId="0" fontId="109" fillId="0" borderId="19" xfId="1" applyFont="1" applyBorder="1" applyAlignment="1">
      <alignment horizontal="right" vertical="center" shrinkToFit="1"/>
    </xf>
    <xf numFmtId="14" fontId="6" fillId="0" borderId="20" xfId="448" applyNumberFormat="1" applyFont="1" applyFill="1" applyBorder="1" applyAlignment="1">
      <alignment horizontal="right" vertical="center" shrinkToFit="1"/>
    </xf>
    <xf numFmtId="43" fontId="113" fillId="0" borderId="20" xfId="1049" applyFont="1" applyBorder="1" applyAlignment="1" applyProtection="1">
      <alignment horizontal="left" vertical="center"/>
      <protection locked="0"/>
    </xf>
    <xf numFmtId="0" fontId="109" fillId="0" borderId="21" xfId="1" applyFont="1" applyBorder="1" applyAlignment="1">
      <alignment horizontal="right" vertical="center" shrinkToFit="1"/>
    </xf>
    <xf numFmtId="176" fontId="7" fillId="0" borderId="23" xfId="139" applyFont="1" applyFill="1" applyBorder="1" applyAlignment="1">
      <alignment horizontal="right" vertical="center" shrinkToFit="1"/>
    </xf>
    <xf numFmtId="0" fontId="93" fillId="0" borderId="0" xfId="0" applyFont="1"/>
    <xf numFmtId="14" fontId="91" fillId="44" borderId="22" xfId="0" applyNumberFormat="1" applyFont="1" applyFill="1" applyBorder="1" applyAlignment="1">
      <alignment vertical="center"/>
    </xf>
    <xf numFmtId="0" fontId="117" fillId="45" borderId="23" xfId="0" applyFont="1" applyFill="1" applyBorder="1" applyAlignment="1">
      <alignment vertical="center"/>
    </xf>
    <xf numFmtId="0" fontId="115" fillId="46" borderId="23" xfId="0" applyFont="1" applyFill="1" applyBorder="1" applyAlignment="1">
      <alignment vertical="center"/>
    </xf>
    <xf numFmtId="0" fontId="105" fillId="0" borderId="22" xfId="0" applyFont="1" applyBorder="1" applyAlignment="1" applyProtection="1">
      <alignment horizontal="center" vertical="center"/>
      <protection locked="0"/>
    </xf>
    <xf numFmtId="0" fontId="106" fillId="0" borderId="22" xfId="0" applyFont="1" applyBorder="1" applyAlignment="1" applyProtection="1">
      <alignment horizontal="center" vertical="center"/>
      <protection locked="0"/>
    </xf>
    <xf numFmtId="0" fontId="106" fillId="0" borderId="22"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protection locked="0"/>
    </xf>
    <xf numFmtId="0" fontId="9" fillId="0" borderId="22"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14" fillId="0" borderId="22" xfId="0" applyFont="1" applyBorder="1" applyAlignment="1">
      <alignment horizontal="center" vertical="center"/>
    </xf>
    <xf numFmtId="0" fontId="14" fillId="0" borderId="23" xfId="0" applyFont="1" applyBorder="1" applyAlignment="1">
      <alignment horizontal="center" vertical="center"/>
    </xf>
    <xf numFmtId="49" fontId="9" fillId="0" borderId="22" xfId="0" applyNumberFormat="1" applyFont="1" applyBorder="1" applyAlignment="1" applyProtection="1">
      <alignment horizontal="left" vertical="center" wrapText="1"/>
      <protection locked="0"/>
    </xf>
    <xf numFmtId="49" fontId="9" fillId="0" borderId="22" xfId="0" applyNumberFormat="1" applyFont="1" applyBorder="1" applyAlignment="1" applyProtection="1">
      <alignment horizontal="left" vertical="center"/>
      <protection locked="0"/>
    </xf>
    <xf numFmtId="49" fontId="9" fillId="0" borderId="22" xfId="0" applyNumberFormat="1" applyFont="1" applyBorder="1" applyAlignment="1" applyProtection="1">
      <alignment horizontal="left" vertical="center" shrinkToFit="1"/>
      <protection locked="0"/>
    </xf>
    <xf numFmtId="14" fontId="9" fillId="0" borderId="22" xfId="0" applyNumberFormat="1" applyFont="1" applyBorder="1" applyAlignment="1" applyProtection="1">
      <alignment horizontal="left" vertical="center" shrinkToFit="1"/>
      <protection locked="0"/>
    </xf>
    <xf numFmtId="9" fontId="9" fillId="0" borderId="22" xfId="16" applyFont="1" applyBorder="1" applyAlignment="1" applyProtection="1">
      <alignment horizontal="left" vertical="center"/>
      <protection locked="0"/>
    </xf>
    <xf numFmtId="0" fontId="9" fillId="43" borderId="22" xfId="0" applyFont="1" applyFill="1" applyBorder="1" applyAlignment="1" applyProtection="1">
      <alignment horizontal="left" vertical="center" wrapText="1"/>
      <protection locked="0"/>
    </xf>
    <xf numFmtId="49" fontId="9" fillId="43" borderId="22" xfId="0" applyNumberFormat="1" applyFont="1" applyFill="1" applyBorder="1" applyAlignment="1" applyProtection="1">
      <alignment horizontal="left" vertical="center"/>
      <protection locked="0"/>
    </xf>
    <xf numFmtId="0" fontId="9" fillId="43" borderId="22" xfId="0" applyFont="1" applyFill="1" applyBorder="1" applyAlignment="1" applyProtection="1">
      <alignment horizontal="left" vertical="center" shrinkToFit="1"/>
      <protection locked="0"/>
    </xf>
    <xf numFmtId="14" fontId="9" fillId="43" borderId="22" xfId="0" applyNumberFormat="1" applyFont="1" applyFill="1" applyBorder="1" applyAlignment="1" applyProtection="1">
      <alignment horizontal="left" vertical="center" shrinkToFit="1"/>
      <protection locked="0"/>
    </xf>
    <xf numFmtId="9" fontId="9" fillId="43" borderId="22" xfId="16" applyFont="1" applyFill="1" applyBorder="1" applyAlignment="1" applyProtection="1">
      <alignment horizontal="left" vertical="center"/>
      <protection locked="0"/>
    </xf>
    <xf numFmtId="14" fontId="9" fillId="43" borderId="22" xfId="0" applyNumberFormat="1" applyFont="1" applyFill="1" applyBorder="1" applyAlignment="1" applyProtection="1">
      <alignment horizontal="left" vertical="center"/>
      <protection locked="0"/>
    </xf>
    <xf numFmtId="0" fontId="15" fillId="0" borderId="22" xfId="0" applyFont="1" applyBorder="1" applyAlignment="1" applyProtection="1">
      <alignment horizontal="justify" vertical="center"/>
      <protection locked="0"/>
    </xf>
    <xf numFmtId="0" fontId="16" fillId="0" borderId="22" xfId="5" applyNumberFormat="1" applyFont="1" applyFill="1" applyBorder="1" applyAlignment="1">
      <alignment vertical="center"/>
    </xf>
    <xf numFmtId="0" fontId="15" fillId="0" borderId="22" xfId="0" applyFont="1" applyBorder="1" applyAlignment="1" applyProtection="1">
      <alignment horizontal="center" vertical="center"/>
      <protection locked="0"/>
    </xf>
    <xf numFmtId="0" fontId="15" fillId="0" borderId="22" xfId="0" applyFont="1" applyBorder="1" applyAlignment="1" applyProtection="1">
      <alignment horizontal="left" vertical="center"/>
      <protection locked="0"/>
    </xf>
    <xf numFmtId="0" fontId="114" fillId="45" borderId="6" xfId="0" applyFont="1" applyFill="1" applyBorder="1" applyAlignment="1">
      <alignment vertical="center"/>
    </xf>
    <xf numFmtId="0" fontId="117" fillId="45" borderId="6" xfId="0" applyFont="1" applyFill="1" applyBorder="1" applyAlignment="1">
      <alignment vertical="center"/>
    </xf>
    <xf numFmtId="0" fontId="115" fillId="46" borderId="6" xfId="0" applyFont="1" applyFill="1" applyBorder="1" applyAlignment="1">
      <alignment vertical="center" wrapText="1"/>
    </xf>
    <xf numFmtId="14" fontId="12" fillId="0" borderId="0" xfId="0" applyNumberFormat="1"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0" xfId="21" applyFont="1" applyAlignment="1">
      <alignment horizontal="center"/>
    </xf>
    <xf numFmtId="176" fontId="6" fillId="0" borderId="13" xfId="139" applyNumberFormat="1" applyFont="1" applyFill="1" applyBorder="1" applyAlignment="1">
      <alignment horizontal="right" vertical="center" shrinkToFit="1"/>
    </xf>
    <xf numFmtId="176" fontId="6" fillId="0" borderId="20" xfId="139" applyNumberFormat="1" applyFont="1" applyFill="1" applyBorder="1" applyAlignment="1">
      <alignment horizontal="right" vertical="center" shrinkToFit="1"/>
    </xf>
    <xf numFmtId="176" fontId="7" fillId="0" borderId="12" xfId="139" applyNumberFormat="1" applyFont="1" applyFill="1" applyBorder="1" applyAlignment="1">
      <alignment horizontal="right" vertical="center" shrinkToFit="1"/>
    </xf>
    <xf numFmtId="176" fontId="9" fillId="0" borderId="22" xfId="5" applyNumberFormat="1" applyFont="1" applyBorder="1" applyAlignment="1" applyProtection="1">
      <alignment horizontal="right" vertical="center" shrinkToFit="1"/>
      <protection locked="0"/>
    </xf>
    <xf numFmtId="176" fontId="9" fillId="0" borderId="22" xfId="5" applyNumberFormat="1" applyFont="1" applyFill="1" applyBorder="1" applyAlignment="1" applyProtection="1">
      <alignment horizontal="right" vertical="center" shrinkToFit="1"/>
      <protection locked="0"/>
    </xf>
    <xf numFmtId="176" fontId="9" fillId="43" borderId="22" xfId="5" applyNumberFormat="1" applyFont="1" applyFill="1" applyBorder="1" applyAlignment="1" applyProtection="1">
      <alignment horizontal="right" vertical="center" shrinkToFit="1"/>
      <protection locked="0"/>
    </xf>
    <xf numFmtId="176" fontId="15" fillId="0" borderId="22" xfId="5" applyNumberFormat="1" applyFont="1" applyBorder="1" applyAlignment="1" applyProtection="1">
      <alignment horizontal="right" vertical="center" shrinkToFit="1"/>
      <protection locked="0"/>
    </xf>
    <xf numFmtId="176" fontId="6" fillId="0" borderId="22" xfId="1" applyNumberFormat="1" applyFont="1" applyBorder="1" applyAlignment="1">
      <alignment horizontal="right" vertical="center" shrinkToFit="1"/>
    </xf>
    <xf numFmtId="0" fontId="18" fillId="0" borderId="28" xfId="0" applyFont="1" applyBorder="1" applyAlignment="1">
      <alignment horizontal="left" vertical="center" wrapText="1"/>
    </xf>
    <xf numFmtId="0" fontId="18" fillId="0" borderId="15" xfId="0" applyFont="1" applyBorder="1" applyAlignment="1">
      <alignment horizontal="left" vertical="center" wrapText="1"/>
    </xf>
    <xf numFmtId="0" fontId="18" fillId="0" borderId="0" xfId="0" applyFont="1" applyAlignment="1">
      <alignment horizontal="left" vertical="center" wrapText="1"/>
    </xf>
    <xf numFmtId="0" fontId="18" fillId="0" borderId="16" xfId="0" applyFont="1" applyBorder="1" applyAlignment="1">
      <alignment horizontal="left" vertical="center" wrapText="1"/>
    </xf>
    <xf numFmtId="0" fontId="18" fillId="0" borderId="12" xfId="0" applyFont="1" applyBorder="1" applyAlignment="1">
      <alignment horizontal="left" vertical="center" wrapText="1"/>
    </xf>
    <xf numFmtId="0" fontId="18" fillId="0" borderId="4" xfId="0" applyFont="1" applyBorder="1" applyAlignment="1">
      <alignment horizontal="left" vertical="center" wrapText="1"/>
    </xf>
    <xf numFmtId="0" fontId="18" fillId="0" borderId="14" xfId="0" applyFont="1" applyBorder="1" applyAlignment="1">
      <alignment horizontal="left" vertical="center" wrapText="1"/>
    </xf>
    <xf numFmtId="0" fontId="103" fillId="44" borderId="25" xfId="0" applyFont="1" applyFill="1" applyBorder="1" applyAlignment="1">
      <alignment horizontal="center" vertical="center"/>
    </xf>
    <xf numFmtId="0" fontId="103" fillId="44" borderId="26" xfId="0" applyFont="1" applyFill="1" applyBorder="1" applyAlignment="1">
      <alignment horizontal="center" vertical="center"/>
    </xf>
    <xf numFmtId="0" fontId="103" fillId="44" borderId="27" xfId="0" applyFont="1" applyFill="1" applyBorder="1" applyAlignment="1">
      <alignment horizontal="center" vertical="center"/>
    </xf>
    <xf numFmtId="0" fontId="14" fillId="44" borderId="23" xfId="0" applyFont="1" applyFill="1" applyBorder="1" applyAlignment="1">
      <alignment horizontal="center" vertical="center"/>
    </xf>
    <xf numFmtId="0" fontId="14" fillId="44" borderId="24" xfId="0" applyFont="1" applyFill="1" applyBorder="1" applyAlignment="1">
      <alignment horizontal="center" vertical="center"/>
    </xf>
    <xf numFmtId="0" fontId="18" fillId="0" borderId="29" xfId="0" applyFont="1" applyBorder="1" applyAlignment="1">
      <alignment horizontal="left" vertical="center" wrapText="1"/>
    </xf>
    <xf numFmtId="0" fontId="18" fillId="0" borderId="30" xfId="0" applyFont="1" applyBorder="1" applyAlignment="1">
      <alignment horizontal="left" vertical="center" wrapText="1"/>
    </xf>
  </cellXfs>
  <cellStyles count="1063">
    <cellStyle name="_x000a_mouse.drv=lm" xfId="40" xr:uid="{00000000-0005-0000-0000-00002D000000}"/>
    <cellStyle name="0%" xfId="41" xr:uid="{00000000-0005-0000-0000-00002E000000}"/>
    <cellStyle name="0.0%" xfId="42" xr:uid="{00000000-0005-0000-0000-00002F000000}"/>
    <cellStyle name="0.00%" xfId="43" xr:uid="{00000000-0005-0000-0000-000030000000}"/>
    <cellStyle name="00" xfId="44" xr:uid="{00000000-0005-0000-0000-000031000000}"/>
    <cellStyle name="20% - Accent1 2" xfId="45" xr:uid="{00000000-0005-0000-0000-000032000000}"/>
    <cellStyle name="20% - Accent6 2" xfId="46" xr:uid="{00000000-0005-0000-0000-000033000000}"/>
    <cellStyle name="Accent1" xfId="47" xr:uid="{00000000-0005-0000-0000-000034000000}"/>
    <cellStyle name="Accent1 - 20%" xfId="48" xr:uid="{00000000-0005-0000-0000-000035000000}"/>
    <cellStyle name="Accent1 - 40%" xfId="49" xr:uid="{00000000-0005-0000-0000-000036000000}"/>
    <cellStyle name="Accent1 - 60%" xfId="50" xr:uid="{00000000-0005-0000-0000-000037000000}"/>
    <cellStyle name="Accent2" xfId="51" xr:uid="{00000000-0005-0000-0000-000038000000}"/>
    <cellStyle name="Accent2 - 20%" xfId="52" xr:uid="{00000000-0005-0000-0000-000039000000}"/>
    <cellStyle name="Accent2 - 40%" xfId="53" xr:uid="{00000000-0005-0000-0000-00003A000000}"/>
    <cellStyle name="Accent2 - 60%" xfId="54" xr:uid="{00000000-0005-0000-0000-00003B000000}"/>
    <cellStyle name="Accent2 2" xfId="55" xr:uid="{00000000-0005-0000-0000-00003C000000}"/>
    <cellStyle name="Accent3" xfId="56" xr:uid="{00000000-0005-0000-0000-00003D000000}"/>
    <cellStyle name="Accent3 - 20%" xfId="57" xr:uid="{00000000-0005-0000-0000-00003E000000}"/>
    <cellStyle name="Accent3 - 40%" xfId="58" xr:uid="{00000000-0005-0000-0000-00003F000000}"/>
    <cellStyle name="Accent3 - 60%" xfId="59" xr:uid="{00000000-0005-0000-0000-000040000000}"/>
    <cellStyle name="Accent4" xfId="60" xr:uid="{00000000-0005-0000-0000-000041000000}"/>
    <cellStyle name="Accent4 - 20%" xfId="61" xr:uid="{00000000-0005-0000-0000-000042000000}"/>
    <cellStyle name="Accent4 - 40%" xfId="62" xr:uid="{00000000-0005-0000-0000-000043000000}"/>
    <cellStyle name="Accent4 - 60%" xfId="63" xr:uid="{00000000-0005-0000-0000-000044000000}"/>
    <cellStyle name="Accent5" xfId="64" xr:uid="{00000000-0005-0000-0000-000045000000}"/>
    <cellStyle name="Accent5 - 20%" xfId="65" xr:uid="{00000000-0005-0000-0000-000046000000}"/>
    <cellStyle name="Accent5 - 40%" xfId="66" xr:uid="{00000000-0005-0000-0000-000047000000}"/>
    <cellStyle name="Accent5 - 60%" xfId="67" xr:uid="{00000000-0005-0000-0000-000048000000}"/>
    <cellStyle name="Accent6" xfId="68" xr:uid="{00000000-0005-0000-0000-000049000000}"/>
    <cellStyle name="Accent6 - 20%" xfId="69" xr:uid="{00000000-0005-0000-0000-00004A000000}"/>
    <cellStyle name="Accent6 - 40%" xfId="70" xr:uid="{00000000-0005-0000-0000-00004B000000}"/>
    <cellStyle name="Accent6 - 60%" xfId="71" xr:uid="{00000000-0005-0000-0000-00004C000000}"/>
    <cellStyle name="Bad 2" xfId="72" xr:uid="{00000000-0005-0000-0000-00004D000000}"/>
    <cellStyle name="Bad 3" xfId="73" xr:uid="{00000000-0005-0000-0000-00004E000000}"/>
    <cellStyle name="Calc Currency (0)" xfId="74" xr:uid="{00000000-0005-0000-0000-00004F000000}"/>
    <cellStyle name="category" xfId="75" xr:uid="{00000000-0005-0000-0000-000050000000}"/>
    <cellStyle name="cellStyleNum" xfId="76" xr:uid="{00000000-0005-0000-0000-000051000000}"/>
    <cellStyle name="cellStyleNum 2" xfId="77" xr:uid="{00000000-0005-0000-0000-000052000000}"/>
    <cellStyle name="cellStyleNum 2 2" xfId="78" xr:uid="{00000000-0005-0000-0000-000053000000}"/>
    <cellStyle name="cellStyleNum 2 2 2" xfId="79" xr:uid="{00000000-0005-0000-0000-000054000000}"/>
    <cellStyle name="cellStyleNum 2 3" xfId="80" xr:uid="{00000000-0005-0000-0000-000055000000}"/>
    <cellStyle name="cellStyleNum 3" xfId="81" xr:uid="{00000000-0005-0000-0000-000056000000}"/>
    <cellStyle name="cellStylePer" xfId="82" xr:uid="{00000000-0005-0000-0000-000057000000}"/>
    <cellStyle name="cellStylePer 2" xfId="83" xr:uid="{00000000-0005-0000-0000-000058000000}"/>
    <cellStyle name="cellStylePer 2 2" xfId="84" xr:uid="{00000000-0005-0000-0000-000059000000}"/>
    <cellStyle name="cellStylePer 3" xfId="85" xr:uid="{00000000-0005-0000-0000-00005A000000}"/>
    <cellStyle name="Check Cell 2" xfId="86" xr:uid="{00000000-0005-0000-0000-00005B000000}"/>
    <cellStyle name="Check Cell 2 2" xfId="87" xr:uid="{00000000-0005-0000-0000-00005C000000}"/>
    <cellStyle name="Check Cell 2 3" xfId="88" xr:uid="{00000000-0005-0000-0000-00005D000000}"/>
    <cellStyle name="Col Heads" xfId="89" xr:uid="{00000000-0005-0000-0000-00005E000000}"/>
    <cellStyle name="Comma" xfId="5" xr:uid="{0E1FD743-77C2-4347-A670-078DCC29466E}"/>
    <cellStyle name="Comma  - Style1" xfId="90" xr:uid="{00000000-0005-0000-0000-00005F000000}"/>
    <cellStyle name="Comma  - Style2" xfId="91" xr:uid="{00000000-0005-0000-0000-000060000000}"/>
    <cellStyle name="Comma  - Style3" xfId="92" xr:uid="{00000000-0005-0000-0000-000061000000}"/>
    <cellStyle name="Comma  - Style4" xfId="93" xr:uid="{00000000-0005-0000-0000-000062000000}"/>
    <cellStyle name="Comma  - Style5" xfId="94" xr:uid="{00000000-0005-0000-0000-000063000000}"/>
    <cellStyle name="Comma  - Style6" xfId="95" xr:uid="{00000000-0005-0000-0000-000064000000}"/>
    <cellStyle name="Comma  - Style7" xfId="96" xr:uid="{00000000-0005-0000-0000-000065000000}"/>
    <cellStyle name="Comma  - Style8" xfId="97" xr:uid="{00000000-0005-0000-0000-000066000000}"/>
    <cellStyle name="Comma [0] 2" xfId="98" xr:uid="{00000000-0005-0000-0000-000067000000}"/>
    <cellStyle name="Comma [0] 2 2" xfId="99" xr:uid="{00000000-0005-0000-0000-000068000000}"/>
    <cellStyle name="Comma [0] 2 2 2" xfId="100" xr:uid="{00000000-0005-0000-0000-000069000000}"/>
    <cellStyle name="Comma [0] 2 2 2 2" xfId="101" xr:uid="{00000000-0005-0000-0000-00006A000000}"/>
    <cellStyle name="Comma [0] 2 2 2 2 2" xfId="102" xr:uid="{00000000-0005-0000-0000-00006B000000}"/>
    <cellStyle name="Comma [0] 2 2 2 2 2 2" xfId="103" xr:uid="{00000000-0005-0000-0000-00006C000000}"/>
    <cellStyle name="Comma [0] 2 2 2 2 3" xfId="104" xr:uid="{00000000-0005-0000-0000-00006D000000}"/>
    <cellStyle name="Comma [0] 2 2 2 2 4" xfId="105" xr:uid="{00000000-0005-0000-0000-00006E000000}"/>
    <cellStyle name="Comma [0] 2 2 2 2 5" xfId="106" xr:uid="{00000000-0005-0000-0000-00006F000000}"/>
    <cellStyle name="Comma [0] 2 2 2 3" xfId="107" xr:uid="{00000000-0005-0000-0000-000070000000}"/>
    <cellStyle name="Comma [0] 2 2 2 4" xfId="108" xr:uid="{00000000-0005-0000-0000-000071000000}"/>
    <cellStyle name="Comma [0] 2 2 2 5" xfId="109" xr:uid="{00000000-0005-0000-0000-000072000000}"/>
    <cellStyle name="Comma [0] 2 2 3" xfId="110" xr:uid="{00000000-0005-0000-0000-000073000000}"/>
    <cellStyle name="Comma [0] 2 2 3 2" xfId="111" xr:uid="{00000000-0005-0000-0000-000074000000}"/>
    <cellStyle name="Comma [0] 2 2 3 3" xfId="112" xr:uid="{00000000-0005-0000-0000-000075000000}"/>
    <cellStyle name="Comma [0] 2 2 4" xfId="113" xr:uid="{00000000-0005-0000-0000-000076000000}"/>
    <cellStyle name="Comma [0] 2 2 4 2" xfId="114" xr:uid="{00000000-0005-0000-0000-000077000000}"/>
    <cellStyle name="Comma [0] 2 2 4 3" xfId="115" xr:uid="{00000000-0005-0000-0000-000078000000}"/>
    <cellStyle name="Comma [0] 2 2 5" xfId="116" xr:uid="{00000000-0005-0000-0000-000079000000}"/>
    <cellStyle name="Comma [0] 2 3" xfId="117" xr:uid="{00000000-0005-0000-0000-00007A000000}"/>
    <cellStyle name="Comma [0] 2 3 2" xfId="118" xr:uid="{00000000-0005-0000-0000-00007B000000}"/>
    <cellStyle name="Comma [0] 2 3 2 2" xfId="119" xr:uid="{00000000-0005-0000-0000-00007C000000}"/>
    <cellStyle name="Comma [0] 2 3 2 3" xfId="120" xr:uid="{00000000-0005-0000-0000-00007D000000}"/>
    <cellStyle name="Comma [0] 2 3 3" xfId="121" xr:uid="{00000000-0005-0000-0000-00007E000000}"/>
    <cellStyle name="Comma [0] 2 3 3 2" xfId="122" xr:uid="{00000000-0005-0000-0000-00007F000000}"/>
    <cellStyle name="Comma [0] 2 3 3 3" xfId="123" xr:uid="{00000000-0005-0000-0000-000080000000}"/>
    <cellStyle name="Comma [0] 2 3 4" xfId="124" xr:uid="{00000000-0005-0000-0000-000081000000}"/>
    <cellStyle name="Comma [0] 2 3 5" xfId="125" xr:uid="{00000000-0005-0000-0000-000082000000}"/>
    <cellStyle name="Comma [0] 2 4" xfId="126" xr:uid="{00000000-0005-0000-0000-000083000000}"/>
    <cellStyle name="Comma [0] 2 4 2" xfId="127" xr:uid="{00000000-0005-0000-0000-000084000000}"/>
    <cellStyle name="Comma [0] 2 4 2 2" xfId="128" xr:uid="{00000000-0005-0000-0000-000085000000}"/>
    <cellStyle name="Comma [0] 2 4 3" xfId="129" xr:uid="{00000000-0005-0000-0000-000086000000}"/>
    <cellStyle name="Comma [0] 2 4 4" xfId="130" xr:uid="{00000000-0005-0000-0000-000087000000}"/>
    <cellStyle name="Comma [0] 2 5" xfId="131" xr:uid="{00000000-0005-0000-0000-000088000000}"/>
    <cellStyle name="Comma [0] 2 5 2" xfId="132" xr:uid="{00000000-0005-0000-0000-000089000000}"/>
    <cellStyle name="Comma [0] 2 5 3" xfId="133" xr:uid="{00000000-0005-0000-0000-00008A000000}"/>
    <cellStyle name="Comma [0] 2 6" xfId="134" xr:uid="{00000000-0005-0000-0000-00008B000000}"/>
    <cellStyle name="Comma [0] 2 6 2" xfId="135" xr:uid="{00000000-0005-0000-0000-00008C000000}"/>
    <cellStyle name="Comma [0] 2 7" xfId="136" xr:uid="{00000000-0005-0000-0000-00008D000000}"/>
    <cellStyle name="Comma [0] 3" xfId="19" xr:uid="{00000000-0005-0000-0000-000017000000}"/>
    <cellStyle name="Comma [0] 3 2" xfId="137" xr:uid="{00000000-0005-0000-0000-00008E000000}"/>
    <cellStyle name="Comma [0] 3 3" xfId="138" xr:uid="{00000000-0005-0000-0000-00008F000000}"/>
    <cellStyle name="Comma 10" xfId="139" xr:uid="{00000000-0005-0000-0000-000090000000}"/>
    <cellStyle name="Comma 10 2" xfId="140" xr:uid="{00000000-0005-0000-0000-000091000000}"/>
    <cellStyle name="Comma 10 2 2" xfId="141" xr:uid="{00000000-0005-0000-0000-000092000000}"/>
    <cellStyle name="Comma 10 2 3" xfId="142" xr:uid="{00000000-0005-0000-0000-000093000000}"/>
    <cellStyle name="Comma 10 2 4" xfId="143" xr:uid="{00000000-0005-0000-0000-000094000000}"/>
    <cellStyle name="Comma 10 2 5" xfId="1026" xr:uid="{F18CEAD7-46DC-4720-816D-1E5F83E08704}"/>
    <cellStyle name="Comma 10 3" xfId="144" xr:uid="{00000000-0005-0000-0000-000095000000}"/>
    <cellStyle name="Comma 10 3 2" xfId="145" xr:uid="{00000000-0005-0000-0000-000096000000}"/>
    <cellStyle name="Comma 10 4" xfId="146" xr:uid="{00000000-0005-0000-0000-000097000000}"/>
    <cellStyle name="Comma 11" xfId="147" xr:uid="{00000000-0005-0000-0000-000098000000}"/>
    <cellStyle name="Comma 11 2" xfId="148" xr:uid="{00000000-0005-0000-0000-000099000000}"/>
    <cellStyle name="Comma 11 2 2" xfId="149" xr:uid="{00000000-0005-0000-0000-00009A000000}"/>
    <cellStyle name="Comma 11 3" xfId="150" xr:uid="{00000000-0005-0000-0000-00009B000000}"/>
    <cellStyle name="Comma 11 3 2" xfId="151" xr:uid="{00000000-0005-0000-0000-00009C000000}"/>
    <cellStyle name="Comma 11 4" xfId="152" xr:uid="{00000000-0005-0000-0000-00009D000000}"/>
    <cellStyle name="Comma 12" xfId="153" xr:uid="{00000000-0005-0000-0000-00009E000000}"/>
    <cellStyle name="Comma 12 2" xfId="154" xr:uid="{00000000-0005-0000-0000-00009F000000}"/>
    <cellStyle name="Comma 12 3" xfId="155" xr:uid="{00000000-0005-0000-0000-0000A0000000}"/>
    <cellStyle name="Comma 12 3 2" xfId="156" xr:uid="{00000000-0005-0000-0000-0000A1000000}"/>
    <cellStyle name="Comma 12 4" xfId="157" xr:uid="{00000000-0005-0000-0000-0000A2000000}"/>
    <cellStyle name="Comma 12 4 2" xfId="158" xr:uid="{00000000-0005-0000-0000-0000A3000000}"/>
    <cellStyle name="Comma 12 5" xfId="159" xr:uid="{00000000-0005-0000-0000-0000A4000000}"/>
    <cellStyle name="Comma 13" xfId="160" xr:uid="{00000000-0005-0000-0000-0000A5000000}"/>
    <cellStyle name="Comma 13 2" xfId="161" xr:uid="{00000000-0005-0000-0000-0000A6000000}"/>
    <cellStyle name="Comma 13 2 2" xfId="162" xr:uid="{00000000-0005-0000-0000-0000A7000000}"/>
    <cellStyle name="Comma 13 3" xfId="163" xr:uid="{00000000-0005-0000-0000-0000A8000000}"/>
    <cellStyle name="Comma 13 3 2" xfId="164" xr:uid="{00000000-0005-0000-0000-0000A9000000}"/>
    <cellStyle name="Comma 13 4" xfId="165" xr:uid="{00000000-0005-0000-0000-0000AA000000}"/>
    <cellStyle name="Comma 14" xfId="166" xr:uid="{00000000-0005-0000-0000-0000AB000000}"/>
    <cellStyle name="Comma 14 2" xfId="167" xr:uid="{00000000-0005-0000-0000-0000AC000000}"/>
    <cellStyle name="Comma 14 2 2" xfId="168" xr:uid="{00000000-0005-0000-0000-0000AD000000}"/>
    <cellStyle name="Comma 14 3" xfId="169" xr:uid="{00000000-0005-0000-0000-0000AE000000}"/>
    <cellStyle name="Comma 14 3 2" xfId="170" xr:uid="{00000000-0005-0000-0000-0000AF000000}"/>
    <cellStyle name="Comma 14 4" xfId="171" xr:uid="{00000000-0005-0000-0000-0000B0000000}"/>
    <cellStyle name="Comma 15" xfId="172" xr:uid="{00000000-0005-0000-0000-0000B1000000}"/>
    <cellStyle name="Comma 15 2" xfId="173" xr:uid="{00000000-0005-0000-0000-0000B2000000}"/>
    <cellStyle name="Comma 15 2 2" xfId="174" xr:uid="{00000000-0005-0000-0000-0000B3000000}"/>
    <cellStyle name="Comma 15 3" xfId="175" xr:uid="{00000000-0005-0000-0000-0000B4000000}"/>
    <cellStyle name="Comma 15 3 2" xfId="176" xr:uid="{00000000-0005-0000-0000-0000B5000000}"/>
    <cellStyle name="Comma 15 4" xfId="177" xr:uid="{00000000-0005-0000-0000-0000B6000000}"/>
    <cellStyle name="Comma 16" xfId="178" xr:uid="{00000000-0005-0000-0000-0000B7000000}"/>
    <cellStyle name="Comma 16 2" xfId="179" xr:uid="{00000000-0005-0000-0000-0000B8000000}"/>
    <cellStyle name="Comma 16 2 2" xfId="180" xr:uid="{00000000-0005-0000-0000-0000B9000000}"/>
    <cellStyle name="Comma 16 2 2 2" xfId="181" xr:uid="{00000000-0005-0000-0000-0000BA000000}"/>
    <cellStyle name="Comma 16 2 3" xfId="182" xr:uid="{00000000-0005-0000-0000-0000BB000000}"/>
    <cellStyle name="Comma 16 2 3 2" xfId="183" xr:uid="{00000000-0005-0000-0000-0000BC000000}"/>
    <cellStyle name="Comma 16 2 4" xfId="184" xr:uid="{00000000-0005-0000-0000-0000BD000000}"/>
    <cellStyle name="Comma 16 3" xfId="185" xr:uid="{00000000-0005-0000-0000-0000BE000000}"/>
    <cellStyle name="Comma 16 3 2" xfId="186" xr:uid="{00000000-0005-0000-0000-0000BF000000}"/>
    <cellStyle name="Comma 16 3 2 2" xfId="187" xr:uid="{00000000-0005-0000-0000-0000C0000000}"/>
    <cellStyle name="Comma 16 3 3" xfId="188" xr:uid="{00000000-0005-0000-0000-0000C1000000}"/>
    <cellStyle name="Comma 16 3 3 2" xfId="189" xr:uid="{00000000-0005-0000-0000-0000C2000000}"/>
    <cellStyle name="Comma 16 3 4" xfId="190" xr:uid="{00000000-0005-0000-0000-0000C3000000}"/>
    <cellStyle name="Comma 16 4" xfId="191" xr:uid="{00000000-0005-0000-0000-0000C4000000}"/>
    <cellStyle name="Comma 16 4 2" xfId="192" xr:uid="{00000000-0005-0000-0000-0000C5000000}"/>
    <cellStyle name="Comma 16 5" xfId="193" xr:uid="{00000000-0005-0000-0000-0000C6000000}"/>
    <cellStyle name="Comma 16 5 2" xfId="194" xr:uid="{00000000-0005-0000-0000-0000C7000000}"/>
    <cellStyle name="Comma 16 6" xfId="195" xr:uid="{00000000-0005-0000-0000-0000C8000000}"/>
    <cellStyle name="Comma 17" xfId="196" xr:uid="{00000000-0005-0000-0000-0000C9000000}"/>
    <cellStyle name="Comma 17 2" xfId="197" xr:uid="{00000000-0005-0000-0000-0000CA000000}"/>
    <cellStyle name="Comma 17 2 2" xfId="198" xr:uid="{00000000-0005-0000-0000-0000CB000000}"/>
    <cellStyle name="Comma 17 3" xfId="199" xr:uid="{00000000-0005-0000-0000-0000CC000000}"/>
    <cellStyle name="Comma 17 3 2" xfId="200" xr:uid="{00000000-0005-0000-0000-0000CD000000}"/>
    <cellStyle name="Comma 17 4" xfId="201" xr:uid="{00000000-0005-0000-0000-0000CE000000}"/>
    <cellStyle name="Comma 18" xfId="202" xr:uid="{00000000-0005-0000-0000-0000CF000000}"/>
    <cellStyle name="Comma 18 2" xfId="203" xr:uid="{00000000-0005-0000-0000-0000D0000000}"/>
    <cellStyle name="Comma 18 2 2" xfId="204" xr:uid="{00000000-0005-0000-0000-0000D1000000}"/>
    <cellStyle name="Comma 18 3" xfId="205" xr:uid="{00000000-0005-0000-0000-0000D2000000}"/>
    <cellStyle name="Comma 18 3 2" xfId="206" xr:uid="{00000000-0005-0000-0000-0000D3000000}"/>
    <cellStyle name="Comma 18 4" xfId="207" xr:uid="{00000000-0005-0000-0000-0000D4000000}"/>
    <cellStyle name="Comma 19" xfId="208" xr:uid="{00000000-0005-0000-0000-0000D5000000}"/>
    <cellStyle name="Comma 19 2" xfId="209" xr:uid="{00000000-0005-0000-0000-0000D6000000}"/>
    <cellStyle name="Comma 19 2 2" xfId="210" xr:uid="{00000000-0005-0000-0000-0000D7000000}"/>
    <cellStyle name="Comma 19 3" xfId="211" xr:uid="{00000000-0005-0000-0000-0000D8000000}"/>
    <cellStyle name="Comma 19 3 2" xfId="212" xr:uid="{00000000-0005-0000-0000-0000D9000000}"/>
    <cellStyle name="Comma 19 4" xfId="213" xr:uid="{00000000-0005-0000-0000-0000DA000000}"/>
    <cellStyle name="Comma 2" xfId="11" xr:uid="{00000000-0005-0000-0000-000010000000}"/>
    <cellStyle name="Comma 2 10" xfId="214" xr:uid="{00000000-0005-0000-0000-0000DB000000}"/>
    <cellStyle name="Comma 2 11" xfId="25" xr:uid="{00000000-0005-0000-0000-00001D000000}"/>
    <cellStyle name="Comma 2 12" xfId="215" xr:uid="{00000000-0005-0000-0000-0000DC000000}"/>
    <cellStyle name="Comma 2 2" xfId="29" xr:uid="{00000000-0005-0000-0000-000022000000}"/>
    <cellStyle name="Comma 2 2 2" xfId="216" xr:uid="{00000000-0005-0000-0000-0000DD000000}"/>
    <cellStyle name="Comma 2 2 2 2" xfId="217" xr:uid="{00000000-0005-0000-0000-0000DE000000}"/>
    <cellStyle name="Comma 2 2 2 2 2" xfId="218" xr:uid="{00000000-0005-0000-0000-0000DF000000}"/>
    <cellStyle name="Comma 2 2 2 2 2 2" xfId="219" xr:uid="{00000000-0005-0000-0000-0000E0000000}"/>
    <cellStyle name="Comma 2 2 2 2 3" xfId="220" xr:uid="{00000000-0005-0000-0000-0000E1000000}"/>
    <cellStyle name="Comma 2 2 2 2 4" xfId="221" xr:uid="{00000000-0005-0000-0000-0000E2000000}"/>
    <cellStyle name="Comma 2 2 2 2 5" xfId="222" xr:uid="{00000000-0005-0000-0000-0000E3000000}"/>
    <cellStyle name="Comma 2 2 2 2_1" xfId="223" xr:uid="{00000000-0005-0000-0000-0000E4000000}"/>
    <cellStyle name="Comma 2 2 2 3" xfId="224" xr:uid="{00000000-0005-0000-0000-0000E5000000}"/>
    <cellStyle name="Comma 2 2 2 3 2" xfId="225" xr:uid="{00000000-0005-0000-0000-0000E6000000}"/>
    <cellStyle name="Comma 2 2 2 4" xfId="226" xr:uid="{00000000-0005-0000-0000-0000E7000000}"/>
    <cellStyle name="Comma 2 2 2 5" xfId="227" xr:uid="{00000000-0005-0000-0000-0000E8000000}"/>
    <cellStyle name="Comma 2 2 2 6" xfId="228" xr:uid="{00000000-0005-0000-0000-0000E9000000}"/>
    <cellStyle name="Comma 2 2 2 7" xfId="229" xr:uid="{00000000-0005-0000-0000-0000EA000000}"/>
    <cellStyle name="Comma 2 2 2_1" xfId="230" xr:uid="{00000000-0005-0000-0000-0000EB000000}"/>
    <cellStyle name="Comma 2 2 3" xfId="231" xr:uid="{00000000-0005-0000-0000-0000EC000000}"/>
    <cellStyle name="Comma 2 2 3 2" xfId="232" xr:uid="{00000000-0005-0000-0000-0000ED000000}"/>
    <cellStyle name="Comma 2 2 3 2 2" xfId="233" xr:uid="{00000000-0005-0000-0000-0000EE000000}"/>
    <cellStyle name="Comma 2 2 3 2 2 2" xfId="234" xr:uid="{00000000-0005-0000-0000-0000EF000000}"/>
    <cellStyle name="Comma 2 2 3 2 2 2 2" xfId="235" xr:uid="{00000000-0005-0000-0000-0000F0000000}"/>
    <cellStyle name="Comma 2 2 3 2 2 3" xfId="236" xr:uid="{00000000-0005-0000-0000-0000F1000000}"/>
    <cellStyle name="Comma 2 2 3 2 2_1" xfId="237" xr:uid="{00000000-0005-0000-0000-0000F2000000}"/>
    <cellStyle name="Comma 2 2 3 2 3" xfId="238" xr:uid="{00000000-0005-0000-0000-0000F3000000}"/>
    <cellStyle name="Comma 2 2 3 2_1" xfId="239" xr:uid="{00000000-0005-0000-0000-0000F4000000}"/>
    <cellStyle name="Comma 2 2 3 3" xfId="240" xr:uid="{00000000-0005-0000-0000-0000F5000000}"/>
    <cellStyle name="Comma 2 2 3 3 2" xfId="241" xr:uid="{00000000-0005-0000-0000-0000F6000000}"/>
    <cellStyle name="Comma 2 2 3 3 2 2" xfId="242" xr:uid="{00000000-0005-0000-0000-0000F7000000}"/>
    <cellStyle name="Comma 2 2 3 3 3" xfId="243" xr:uid="{00000000-0005-0000-0000-0000F8000000}"/>
    <cellStyle name="Comma 2 2 3 3_1" xfId="244" xr:uid="{00000000-0005-0000-0000-0000F9000000}"/>
    <cellStyle name="Comma 2 2 3 4" xfId="245" xr:uid="{00000000-0005-0000-0000-0000FA000000}"/>
    <cellStyle name="Comma 2 2 3 4 2" xfId="246" xr:uid="{00000000-0005-0000-0000-0000FB000000}"/>
    <cellStyle name="Comma 2 2 3 5" xfId="247" xr:uid="{00000000-0005-0000-0000-0000FC000000}"/>
    <cellStyle name="Comma 2 2 3 6" xfId="248" xr:uid="{00000000-0005-0000-0000-0000FD000000}"/>
    <cellStyle name="Comma 2 2 3 7" xfId="249" xr:uid="{00000000-0005-0000-0000-0000FE000000}"/>
    <cellStyle name="Comma 2 2 3 8" xfId="250" xr:uid="{00000000-0005-0000-0000-0000FF000000}"/>
    <cellStyle name="Comma 2 2 3_1" xfId="251" xr:uid="{00000000-0005-0000-0000-000000010000}"/>
    <cellStyle name="Comma 2 2 4" xfId="252" xr:uid="{00000000-0005-0000-0000-000001010000}"/>
    <cellStyle name="Comma 2 2 4 2" xfId="253" xr:uid="{00000000-0005-0000-0000-000002010000}"/>
    <cellStyle name="Comma 2 2 4 2 2" xfId="254" xr:uid="{00000000-0005-0000-0000-000003010000}"/>
    <cellStyle name="Comma 2 2 4 3" xfId="255" xr:uid="{00000000-0005-0000-0000-000004010000}"/>
    <cellStyle name="Comma 2 2 4 4" xfId="256" xr:uid="{00000000-0005-0000-0000-000005010000}"/>
    <cellStyle name="Comma 2 2 4 5" xfId="257" xr:uid="{00000000-0005-0000-0000-000006010000}"/>
    <cellStyle name="Comma 2 2 4 6" xfId="258" xr:uid="{00000000-0005-0000-0000-000007010000}"/>
    <cellStyle name="Comma 2 2 4_1" xfId="259" xr:uid="{00000000-0005-0000-0000-000008010000}"/>
    <cellStyle name="Comma 2 2 5" xfId="260" xr:uid="{00000000-0005-0000-0000-000009010000}"/>
    <cellStyle name="Comma 2 2 5 2" xfId="261" xr:uid="{00000000-0005-0000-0000-00000A010000}"/>
    <cellStyle name="Comma 2 2 6" xfId="262" xr:uid="{00000000-0005-0000-0000-00000B010000}"/>
    <cellStyle name="Comma 2 2 7" xfId="263" xr:uid="{00000000-0005-0000-0000-00000C010000}"/>
    <cellStyle name="Comma 2 2 8" xfId="264" xr:uid="{00000000-0005-0000-0000-00000D010000}"/>
    <cellStyle name="Comma 2 2 9" xfId="265" xr:uid="{00000000-0005-0000-0000-00000E010000}"/>
    <cellStyle name="Comma 2 2_1" xfId="266" xr:uid="{00000000-0005-0000-0000-00000F010000}"/>
    <cellStyle name="Comma 2 3" xfId="267" xr:uid="{00000000-0005-0000-0000-000010010000}"/>
    <cellStyle name="Comma 2 3 2" xfId="268" xr:uid="{00000000-0005-0000-0000-000011010000}"/>
    <cellStyle name="Comma 2 3 2 2" xfId="269" xr:uid="{00000000-0005-0000-0000-000012010000}"/>
    <cellStyle name="Comma 2 3 2 2 2" xfId="270" xr:uid="{00000000-0005-0000-0000-000013010000}"/>
    <cellStyle name="Comma 2 3 2 2 3" xfId="271" xr:uid="{00000000-0005-0000-0000-000014010000}"/>
    <cellStyle name="Comma 2 3 2 2 4" xfId="272" xr:uid="{00000000-0005-0000-0000-000015010000}"/>
    <cellStyle name="Comma 2 3 2 3" xfId="273" xr:uid="{00000000-0005-0000-0000-000016010000}"/>
    <cellStyle name="Comma 2 3 2 3 2" xfId="274" xr:uid="{00000000-0005-0000-0000-000017010000}"/>
    <cellStyle name="Comma 2 3 2 3 3" xfId="275" xr:uid="{00000000-0005-0000-0000-000018010000}"/>
    <cellStyle name="Comma 2 3 2 4" xfId="276" xr:uid="{00000000-0005-0000-0000-000019010000}"/>
    <cellStyle name="Comma 2 3 2 5" xfId="277" xr:uid="{00000000-0005-0000-0000-00001A010000}"/>
    <cellStyle name="Comma 2 3 2_1" xfId="278" xr:uid="{00000000-0005-0000-0000-00001B010000}"/>
    <cellStyle name="Comma 2 3 3" xfId="279" xr:uid="{00000000-0005-0000-0000-00001C010000}"/>
    <cellStyle name="Comma 2 3 3 2" xfId="280" xr:uid="{00000000-0005-0000-0000-00001D010000}"/>
    <cellStyle name="Comma 2 3 3 2 2" xfId="281" xr:uid="{00000000-0005-0000-0000-00001E010000}"/>
    <cellStyle name="Comma 2 3 3 2 3" xfId="282" xr:uid="{00000000-0005-0000-0000-00001F010000}"/>
    <cellStyle name="Comma 2 3 3 3" xfId="283" xr:uid="{00000000-0005-0000-0000-000020010000}"/>
    <cellStyle name="Comma 2 3 3 3 2" xfId="284" xr:uid="{00000000-0005-0000-0000-000021010000}"/>
    <cellStyle name="Comma 2 3 3 4" xfId="285" xr:uid="{00000000-0005-0000-0000-000022010000}"/>
    <cellStyle name="Comma 2 3 3 5" xfId="286" xr:uid="{00000000-0005-0000-0000-000023010000}"/>
    <cellStyle name="Comma 2 3 4" xfId="287" xr:uid="{00000000-0005-0000-0000-000024010000}"/>
    <cellStyle name="Comma 2 3 4 2" xfId="288" xr:uid="{00000000-0005-0000-0000-000025010000}"/>
    <cellStyle name="Comma 2 3 4 3" xfId="289" xr:uid="{00000000-0005-0000-0000-000026010000}"/>
    <cellStyle name="Comma 2 3 4 4" xfId="290" xr:uid="{00000000-0005-0000-0000-000027010000}"/>
    <cellStyle name="Comma 2 3 5" xfId="291" xr:uid="{00000000-0005-0000-0000-000028010000}"/>
    <cellStyle name="Comma 2 3 5 2" xfId="292" xr:uid="{00000000-0005-0000-0000-000029010000}"/>
    <cellStyle name="Comma 2 3 5 3" xfId="293" xr:uid="{00000000-0005-0000-0000-00002A010000}"/>
    <cellStyle name="Comma 2 3 6" xfId="294" xr:uid="{00000000-0005-0000-0000-00002B010000}"/>
    <cellStyle name="Comma 2 3 7" xfId="295" xr:uid="{00000000-0005-0000-0000-00002C010000}"/>
    <cellStyle name="Comma 2 3 8" xfId="296" xr:uid="{00000000-0005-0000-0000-00002D010000}"/>
    <cellStyle name="Comma 2 3_1" xfId="297" xr:uid="{00000000-0005-0000-0000-00002E010000}"/>
    <cellStyle name="Comma 2 4" xfId="298" xr:uid="{00000000-0005-0000-0000-00002F010000}"/>
    <cellStyle name="Comma 2 4 2" xfId="299" xr:uid="{00000000-0005-0000-0000-000030010000}"/>
    <cellStyle name="Comma 2 4 2 2" xfId="300" xr:uid="{00000000-0005-0000-0000-000031010000}"/>
    <cellStyle name="Comma 2 4 2 3" xfId="301" xr:uid="{00000000-0005-0000-0000-000032010000}"/>
    <cellStyle name="Comma 2 4 2 4" xfId="302" xr:uid="{00000000-0005-0000-0000-000033010000}"/>
    <cellStyle name="Comma 2 4 3" xfId="303" xr:uid="{00000000-0005-0000-0000-000034010000}"/>
    <cellStyle name="Comma 2 4 4" xfId="304" xr:uid="{00000000-0005-0000-0000-000035010000}"/>
    <cellStyle name="Comma 2 4 5" xfId="305" xr:uid="{00000000-0005-0000-0000-000036010000}"/>
    <cellStyle name="Comma 2 4 6" xfId="306" xr:uid="{00000000-0005-0000-0000-000037010000}"/>
    <cellStyle name="Comma 2 4_1" xfId="307" xr:uid="{00000000-0005-0000-0000-000038010000}"/>
    <cellStyle name="Comma 2 5" xfId="308" xr:uid="{00000000-0005-0000-0000-000039010000}"/>
    <cellStyle name="Comma 2 5 2" xfId="309" xr:uid="{00000000-0005-0000-0000-00003A010000}"/>
    <cellStyle name="Comma 2 5 3" xfId="310" xr:uid="{00000000-0005-0000-0000-00003B010000}"/>
    <cellStyle name="Comma 2 5 4" xfId="311" xr:uid="{00000000-0005-0000-0000-00003C010000}"/>
    <cellStyle name="Comma 2 6" xfId="312" xr:uid="{00000000-0005-0000-0000-00003D010000}"/>
    <cellStyle name="Comma 2 6 2" xfId="313" xr:uid="{00000000-0005-0000-0000-00003E010000}"/>
    <cellStyle name="Comma 2 7" xfId="314" xr:uid="{00000000-0005-0000-0000-00003F010000}"/>
    <cellStyle name="Comma 2 7 2" xfId="315" xr:uid="{00000000-0005-0000-0000-000040010000}"/>
    <cellStyle name="Comma 2 8" xfId="316" xr:uid="{00000000-0005-0000-0000-000041010000}"/>
    <cellStyle name="Comma 2 8 2" xfId="317" xr:uid="{00000000-0005-0000-0000-000042010000}"/>
    <cellStyle name="Comma 2 9" xfId="318" xr:uid="{00000000-0005-0000-0000-000043010000}"/>
    <cellStyle name="Comma 2 9 2" xfId="319" xr:uid="{00000000-0005-0000-0000-000044010000}"/>
    <cellStyle name="Comma 2_1" xfId="320" xr:uid="{00000000-0005-0000-0000-000045010000}"/>
    <cellStyle name="Comma 20" xfId="321" xr:uid="{00000000-0005-0000-0000-000046010000}"/>
    <cellStyle name="Comma 20 2" xfId="322" xr:uid="{00000000-0005-0000-0000-000047010000}"/>
    <cellStyle name="Comma 20 2 2" xfId="323" xr:uid="{00000000-0005-0000-0000-000048010000}"/>
    <cellStyle name="Comma 20 3" xfId="324" xr:uid="{00000000-0005-0000-0000-000049010000}"/>
    <cellStyle name="Comma 20 3 2" xfId="325" xr:uid="{00000000-0005-0000-0000-00004A010000}"/>
    <cellStyle name="Comma 20 4" xfId="326" xr:uid="{00000000-0005-0000-0000-00004B010000}"/>
    <cellStyle name="Comma 21" xfId="327" xr:uid="{00000000-0005-0000-0000-00004C010000}"/>
    <cellStyle name="Comma 21 2" xfId="328" xr:uid="{00000000-0005-0000-0000-00004D010000}"/>
    <cellStyle name="Comma 21 2 2" xfId="329" xr:uid="{00000000-0005-0000-0000-00004E010000}"/>
    <cellStyle name="Comma 21 3" xfId="330" xr:uid="{00000000-0005-0000-0000-00004F010000}"/>
    <cellStyle name="Comma 21 3 2" xfId="331" xr:uid="{00000000-0005-0000-0000-000050010000}"/>
    <cellStyle name="Comma 21 4" xfId="332" xr:uid="{00000000-0005-0000-0000-000051010000}"/>
    <cellStyle name="Comma 22" xfId="333" xr:uid="{00000000-0005-0000-0000-000052010000}"/>
    <cellStyle name="Comma 22 2" xfId="334" xr:uid="{00000000-0005-0000-0000-000053010000}"/>
    <cellStyle name="Comma 22 2 2" xfId="335" xr:uid="{00000000-0005-0000-0000-000054010000}"/>
    <cellStyle name="Comma 22 3" xfId="336" xr:uid="{00000000-0005-0000-0000-000055010000}"/>
    <cellStyle name="Comma 22 3 2" xfId="337" xr:uid="{00000000-0005-0000-0000-000056010000}"/>
    <cellStyle name="Comma 22 4" xfId="338" xr:uid="{00000000-0005-0000-0000-000057010000}"/>
    <cellStyle name="Comma 23" xfId="339" xr:uid="{00000000-0005-0000-0000-000058010000}"/>
    <cellStyle name="Comma 23 2" xfId="340" xr:uid="{00000000-0005-0000-0000-000059010000}"/>
    <cellStyle name="Comma 23 2 2" xfId="341" xr:uid="{00000000-0005-0000-0000-00005A010000}"/>
    <cellStyle name="Comma 23 3" xfId="342" xr:uid="{00000000-0005-0000-0000-00005B010000}"/>
    <cellStyle name="Comma 23 3 2" xfId="343" xr:uid="{00000000-0005-0000-0000-00005C010000}"/>
    <cellStyle name="Comma 23 4" xfId="344" xr:uid="{00000000-0005-0000-0000-00005D010000}"/>
    <cellStyle name="Comma 24" xfId="345" xr:uid="{00000000-0005-0000-0000-00005E010000}"/>
    <cellStyle name="Comma 24 2" xfId="346" xr:uid="{00000000-0005-0000-0000-00005F010000}"/>
    <cellStyle name="Comma 24 2 2" xfId="347" xr:uid="{00000000-0005-0000-0000-000060010000}"/>
    <cellStyle name="Comma 24 3" xfId="348" xr:uid="{00000000-0005-0000-0000-000061010000}"/>
    <cellStyle name="Comma 24 3 2" xfId="349" xr:uid="{00000000-0005-0000-0000-000062010000}"/>
    <cellStyle name="Comma 24 4" xfId="350" xr:uid="{00000000-0005-0000-0000-000063010000}"/>
    <cellStyle name="Comma 25" xfId="351" xr:uid="{00000000-0005-0000-0000-000064010000}"/>
    <cellStyle name="Comma 25 2" xfId="352" xr:uid="{00000000-0005-0000-0000-000065010000}"/>
    <cellStyle name="Comma 25 2 2" xfId="353" xr:uid="{00000000-0005-0000-0000-000066010000}"/>
    <cellStyle name="Comma 25 3" xfId="354" xr:uid="{00000000-0005-0000-0000-000067010000}"/>
    <cellStyle name="Comma 25 3 2" xfId="355" xr:uid="{00000000-0005-0000-0000-000068010000}"/>
    <cellStyle name="Comma 25 4" xfId="356" xr:uid="{00000000-0005-0000-0000-000069010000}"/>
    <cellStyle name="Comma 26" xfId="357" xr:uid="{00000000-0005-0000-0000-00006A010000}"/>
    <cellStyle name="Comma 26 2" xfId="358" xr:uid="{00000000-0005-0000-0000-00006B010000}"/>
    <cellStyle name="Comma 26 2 2" xfId="359" xr:uid="{00000000-0005-0000-0000-00006C010000}"/>
    <cellStyle name="Comma 26 3" xfId="360" xr:uid="{00000000-0005-0000-0000-00006D010000}"/>
    <cellStyle name="Comma 26 3 2" xfId="361" xr:uid="{00000000-0005-0000-0000-00006E010000}"/>
    <cellStyle name="Comma 26 4" xfId="362" xr:uid="{00000000-0005-0000-0000-00006F010000}"/>
    <cellStyle name="Comma 27" xfId="363" xr:uid="{00000000-0005-0000-0000-000070010000}"/>
    <cellStyle name="Comma 27 2" xfId="364" xr:uid="{00000000-0005-0000-0000-000071010000}"/>
    <cellStyle name="Comma 27 2 2" xfId="365" xr:uid="{00000000-0005-0000-0000-000072010000}"/>
    <cellStyle name="Comma 27 3" xfId="366" xr:uid="{00000000-0005-0000-0000-000073010000}"/>
    <cellStyle name="Comma 27 3 2" xfId="367" xr:uid="{00000000-0005-0000-0000-000074010000}"/>
    <cellStyle name="Comma 27 4" xfId="368" xr:uid="{00000000-0005-0000-0000-000075010000}"/>
    <cellStyle name="Comma 28" xfId="369" xr:uid="{00000000-0005-0000-0000-000076010000}"/>
    <cellStyle name="Comma 28 2" xfId="370" xr:uid="{00000000-0005-0000-0000-000077010000}"/>
    <cellStyle name="Comma 28 2 2" xfId="371" xr:uid="{00000000-0005-0000-0000-000078010000}"/>
    <cellStyle name="Comma 28 3" xfId="372" xr:uid="{00000000-0005-0000-0000-000079010000}"/>
    <cellStyle name="Comma 28 3 2" xfId="373" xr:uid="{00000000-0005-0000-0000-00007A010000}"/>
    <cellStyle name="Comma 28 4" xfId="374" xr:uid="{00000000-0005-0000-0000-00007B010000}"/>
    <cellStyle name="Comma 29" xfId="375" xr:uid="{00000000-0005-0000-0000-00007C010000}"/>
    <cellStyle name="Comma 29 2" xfId="376" xr:uid="{00000000-0005-0000-0000-00007D010000}"/>
    <cellStyle name="Comma 29 2 2" xfId="377" xr:uid="{00000000-0005-0000-0000-00007E010000}"/>
    <cellStyle name="Comma 29 3" xfId="378" xr:uid="{00000000-0005-0000-0000-00007F010000}"/>
    <cellStyle name="Comma 29 3 2" xfId="379" xr:uid="{00000000-0005-0000-0000-000080010000}"/>
    <cellStyle name="Comma 29 4" xfId="380" xr:uid="{00000000-0005-0000-0000-000081010000}"/>
    <cellStyle name="Comma 3" xfId="20" xr:uid="{00000000-0005-0000-0000-000018000000}"/>
    <cellStyle name="Comma 3 2" xfId="381" xr:uid="{00000000-0005-0000-0000-000082010000}"/>
    <cellStyle name="Comma 3 2 2" xfId="382" xr:uid="{00000000-0005-0000-0000-000083010000}"/>
    <cellStyle name="Comma 3 2 2 2" xfId="383" xr:uid="{00000000-0005-0000-0000-000084010000}"/>
    <cellStyle name="Comma 3 2 2 3" xfId="384" xr:uid="{00000000-0005-0000-0000-000085010000}"/>
    <cellStyle name="Comma 3 2 3" xfId="385" xr:uid="{00000000-0005-0000-0000-000086010000}"/>
    <cellStyle name="Comma 3 2 3 2" xfId="386" xr:uid="{00000000-0005-0000-0000-000087010000}"/>
    <cellStyle name="Comma 3 2 4" xfId="387" xr:uid="{00000000-0005-0000-0000-000088010000}"/>
    <cellStyle name="Comma 3 2 5" xfId="388" xr:uid="{00000000-0005-0000-0000-000089010000}"/>
    <cellStyle name="Comma 3 3" xfId="389" xr:uid="{00000000-0005-0000-0000-00008A010000}"/>
    <cellStyle name="Comma 3 3 2" xfId="390" xr:uid="{00000000-0005-0000-0000-00008B010000}"/>
    <cellStyle name="Comma 3 3 2 2" xfId="391" xr:uid="{00000000-0005-0000-0000-00008C010000}"/>
    <cellStyle name="Comma 3 3 3" xfId="392" xr:uid="{00000000-0005-0000-0000-00008D010000}"/>
    <cellStyle name="Comma 3 3 3 2" xfId="393" xr:uid="{00000000-0005-0000-0000-00008E010000}"/>
    <cellStyle name="Comma 3 3 4" xfId="394" xr:uid="{00000000-0005-0000-0000-00008F010000}"/>
    <cellStyle name="Comma 3 3 5" xfId="395" xr:uid="{00000000-0005-0000-0000-000090010000}"/>
    <cellStyle name="Comma 3 3 6" xfId="1058" xr:uid="{DBAF9FF5-CB80-49BF-B683-6FDD02B54E03}"/>
    <cellStyle name="Comma 3 4" xfId="396" xr:uid="{00000000-0005-0000-0000-000091010000}"/>
    <cellStyle name="Comma 3 4 2" xfId="397" xr:uid="{00000000-0005-0000-0000-000092010000}"/>
    <cellStyle name="Comma 3 4 3" xfId="398" xr:uid="{00000000-0005-0000-0000-000093010000}"/>
    <cellStyle name="Comma 3 5" xfId="399" xr:uid="{00000000-0005-0000-0000-000094010000}"/>
    <cellStyle name="Comma 3 5 2" xfId="400" xr:uid="{00000000-0005-0000-0000-000095010000}"/>
    <cellStyle name="Comma 3 6" xfId="401" xr:uid="{00000000-0005-0000-0000-000096010000}"/>
    <cellStyle name="Comma 3 7" xfId="402" xr:uid="{00000000-0005-0000-0000-000097010000}"/>
    <cellStyle name="Comma 30" xfId="403" xr:uid="{00000000-0005-0000-0000-000098010000}"/>
    <cellStyle name="Comma 30 2" xfId="404" xr:uid="{00000000-0005-0000-0000-000099010000}"/>
    <cellStyle name="Comma 30 2 2" xfId="405" xr:uid="{00000000-0005-0000-0000-00009A010000}"/>
    <cellStyle name="Comma 30 3" xfId="406" xr:uid="{00000000-0005-0000-0000-00009B010000}"/>
    <cellStyle name="Comma 30 3 2" xfId="407" xr:uid="{00000000-0005-0000-0000-00009C010000}"/>
    <cellStyle name="Comma 30 4" xfId="408" xr:uid="{00000000-0005-0000-0000-00009D010000}"/>
    <cellStyle name="Comma 31" xfId="409" xr:uid="{00000000-0005-0000-0000-00009E010000}"/>
    <cellStyle name="Comma 31 2" xfId="410" xr:uid="{00000000-0005-0000-0000-00009F010000}"/>
    <cellStyle name="Comma 31 2 2" xfId="411" xr:uid="{00000000-0005-0000-0000-0000A0010000}"/>
    <cellStyle name="Comma 31 3" xfId="412" xr:uid="{00000000-0005-0000-0000-0000A1010000}"/>
    <cellStyle name="Comma 31 3 2" xfId="413" xr:uid="{00000000-0005-0000-0000-0000A2010000}"/>
    <cellStyle name="Comma 31 4" xfId="414" xr:uid="{00000000-0005-0000-0000-0000A3010000}"/>
    <cellStyle name="Comma 32" xfId="415" xr:uid="{00000000-0005-0000-0000-0000A4010000}"/>
    <cellStyle name="Comma 32 2" xfId="416" xr:uid="{00000000-0005-0000-0000-0000A5010000}"/>
    <cellStyle name="Comma 32 2 2" xfId="417" xr:uid="{00000000-0005-0000-0000-0000A6010000}"/>
    <cellStyle name="Comma 32 3" xfId="418" xr:uid="{00000000-0005-0000-0000-0000A7010000}"/>
    <cellStyle name="Comma 32 3 2" xfId="419" xr:uid="{00000000-0005-0000-0000-0000A8010000}"/>
    <cellStyle name="Comma 32 4" xfId="420" xr:uid="{00000000-0005-0000-0000-0000A9010000}"/>
    <cellStyle name="Comma 33" xfId="421" xr:uid="{00000000-0005-0000-0000-0000AA010000}"/>
    <cellStyle name="Comma 33 2" xfId="422" xr:uid="{00000000-0005-0000-0000-0000AB010000}"/>
    <cellStyle name="Comma 34" xfId="423" xr:uid="{00000000-0005-0000-0000-0000AC010000}"/>
    <cellStyle name="Comma 34 2" xfId="424" xr:uid="{00000000-0005-0000-0000-0000AD010000}"/>
    <cellStyle name="Comma 35" xfId="425" xr:uid="{00000000-0005-0000-0000-0000AE010000}"/>
    <cellStyle name="Comma 35 2" xfId="426" xr:uid="{00000000-0005-0000-0000-0000AF010000}"/>
    <cellStyle name="Comma 36" xfId="427" xr:uid="{00000000-0005-0000-0000-0000B0010000}"/>
    <cellStyle name="Comma 36 2" xfId="428" xr:uid="{00000000-0005-0000-0000-0000B1010000}"/>
    <cellStyle name="Comma 37" xfId="429" xr:uid="{00000000-0005-0000-0000-0000B2010000}"/>
    <cellStyle name="Comma 38" xfId="430" xr:uid="{00000000-0005-0000-0000-0000B3010000}"/>
    <cellStyle name="Comma 39" xfId="1021" xr:uid="{540244AD-CDA5-4C8E-82A8-2E22769EACB9}"/>
    <cellStyle name="Comma 4" xfId="431" xr:uid="{00000000-0005-0000-0000-0000B4010000}"/>
    <cellStyle name="Comma 4 2" xfId="432" xr:uid="{00000000-0005-0000-0000-0000B5010000}"/>
    <cellStyle name="Comma 4 2 2" xfId="433" xr:uid="{00000000-0005-0000-0000-0000B6010000}"/>
    <cellStyle name="Comma 4 2 3" xfId="434" xr:uid="{00000000-0005-0000-0000-0000B7010000}"/>
    <cellStyle name="Comma 4 3" xfId="435" xr:uid="{00000000-0005-0000-0000-0000B8010000}"/>
    <cellStyle name="Comma 4 3 2" xfId="436" xr:uid="{00000000-0005-0000-0000-0000B9010000}"/>
    <cellStyle name="Comma 4 3 3" xfId="437" xr:uid="{00000000-0005-0000-0000-0000BA010000}"/>
    <cellStyle name="Comma 4 4" xfId="438" xr:uid="{00000000-0005-0000-0000-0000BB010000}"/>
    <cellStyle name="Comma 4 4 4" xfId="1060" xr:uid="{C129738D-DA85-4030-A277-34E637325675}"/>
    <cellStyle name="Comma 4 5" xfId="439" xr:uid="{00000000-0005-0000-0000-0000BC010000}"/>
    <cellStyle name="Comma 41" xfId="1041" xr:uid="{0E1D98EF-84AF-48CD-9EB9-4664F8BD070A}"/>
    <cellStyle name="Comma 5" xfId="38" xr:uid="{00000000-0005-0000-0000-00002B000000}"/>
    <cellStyle name="Comma 5 2" xfId="440" xr:uid="{00000000-0005-0000-0000-0000BD010000}"/>
    <cellStyle name="Comma 5 2 2" xfId="441" xr:uid="{00000000-0005-0000-0000-0000BE010000}"/>
    <cellStyle name="Comma 5 2 3" xfId="442" xr:uid="{00000000-0005-0000-0000-0000BF010000}"/>
    <cellStyle name="Comma 5 3" xfId="443" xr:uid="{00000000-0005-0000-0000-0000C0010000}"/>
    <cellStyle name="Comma 5 3 2" xfId="444" xr:uid="{00000000-0005-0000-0000-0000C1010000}"/>
    <cellStyle name="Comma 5 3 3" xfId="445" xr:uid="{00000000-0005-0000-0000-0000C2010000}"/>
    <cellStyle name="Comma 5 4" xfId="446" xr:uid="{00000000-0005-0000-0000-0000C3010000}"/>
    <cellStyle name="Comma 5 5" xfId="447" xr:uid="{00000000-0005-0000-0000-0000C4010000}"/>
    <cellStyle name="Comma 6" xfId="448" xr:uid="{00000000-0005-0000-0000-0000C5010000}"/>
    <cellStyle name="Comma 6 2" xfId="449" xr:uid="{00000000-0005-0000-0000-0000C6010000}"/>
    <cellStyle name="Comma 6 2 2" xfId="450" xr:uid="{00000000-0005-0000-0000-0000C7010000}"/>
    <cellStyle name="Comma 6 3" xfId="451" xr:uid="{00000000-0005-0000-0000-0000C8010000}"/>
    <cellStyle name="Comma 6 3 2" xfId="452" xr:uid="{00000000-0005-0000-0000-0000C9010000}"/>
    <cellStyle name="Comma 6 4" xfId="453" xr:uid="{00000000-0005-0000-0000-0000CA010000}"/>
    <cellStyle name="Comma 6 5" xfId="454" xr:uid="{00000000-0005-0000-0000-0000CB010000}"/>
    <cellStyle name="Comma 7" xfId="455" xr:uid="{00000000-0005-0000-0000-0000CC010000}"/>
    <cellStyle name="Comma 7 2" xfId="456" xr:uid="{00000000-0005-0000-0000-0000CD010000}"/>
    <cellStyle name="Comma 7 2 2" xfId="457" xr:uid="{00000000-0005-0000-0000-0000CE010000}"/>
    <cellStyle name="Comma 7 3" xfId="458" xr:uid="{00000000-0005-0000-0000-0000CF010000}"/>
    <cellStyle name="Comma 7 3 2" xfId="459" xr:uid="{00000000-0005-0000-0000-0000D0010000}"/>
    <cellStyle name="Comma 7 4" xfId="460" xr:uid="{00000000-0005-0000-0000-0000D1010000}"/>
    <cellStyle name="Comma 7 5" xfId="461" xr:uid="{00000000-0005-0000-0000-0000D2010000}"/>
    <cellStyle name="Comma 8" xfId="462" xr:uid="{00000000-0005-0000-0000-0000D3010000}"/>
    <cellStyle name="Comma 8 2" xfId="463" xr:uid="{00000000-0005-0000-0000-0000D4010000}"/>
    <cellStyle name="Comma 8 2 2" xfId="464" xr:uid="{00000000-0005-0000-0000-0000D5010000}"/>
    <cellStyle name="Comma 8 3" xfId="465" xr:uid="{00000000-0005-0000-0000-0000D6010000}"/>
    <cellStyle name="Comma 8 3 2" xfId="466" xr:uid="{00000000-0005-0000-0000-0000D7010000}"/>
    <cellStyle name="Comma 8 4" xfId="467" xr:uid="{00000000-0005-0000-0000-0000D8010000}"/>
    <cellStyle name="Comma 8 5" xfId="468" xr:uid="{00000000-0005-0000-0000-0000D9010000}"/>
    <cellStyle name="Comma 84" xfId="469" xr:uid="{00000000-0005-0000-0000-0000DA010000}"/>
    <cellStyle name="Comma 84 2" xfId="470" xr:uid="{00000000-0005-0000-0000-0000DB010000}"/>
    <cellStyle name="Comma 84 2 2" xfId="471" xr:uid="{00000000-0005-0000-0000-0000DC010000}"/>
    <cellStyle name="Comma 84 2 2 2" xfId="472" xr:uid="{00000000-0005-0000-0000-0000DD010000}"/>
    <cellStyle name="Comma 84 2 3" xfId="473" xr:uid="{00000000-0005-0000-0000-0000DE010000}"/>
    <cellStyle name="Comma 84 2 3 2" xfId="474" xr:uid="{00000000-0005-0000-0000-0000DF010000}"/>
    <cellStyle name="Comma 84 2 4" xfId="475" xr:uid="{00000000-0005-0000-0000-0000E0010000}"/>
    <cellStyle name="Comma 84 3" xfId="476" xr:uid="{00000000-0005-0000-0000-0000E1010000}"/>
    <cellStyle name="Comma 84 3 2" xfId="477" xr:uid="{00000000-0005-0000-0000-0000E2010000}"/>
    <cellStyle name="Comma 84 4" xfId="478" xr:uid="{00000000-0005-0000-0000-0000E3010000}"/>
    <cellStyle name="Comma 9" xfId="479" xr:uid="{00000000-0005-0000-0000-0000E4010000}"/>
    <cellStyle name="Comma 9 2" xfId="480" xr:uid="{00000000-0005-0000-0000-0000E5010000}"/>
    <cellStyle name="Comma 9 2 2" xfId="481" xr:uid="{00000000-0005-0000-0000-0000E6010000}"/>
    <cellStyle name="Comma 9 3" xfId="482" xr:uid="{00000000-0005-0000-0000-0000E7010000}"/>
    <cellStyle name="Comma 9 3 2" xfId="483" xr:uid="{00000000-0005-0000-0000-0000E8010000}"/>
    <cellStyle name="Comma 9 4" xfId="484" xr:uid="{00000000-0005-0000-0000-0000E9010000}"/>
    <cellStyle name="comma zerodec" xfId="485" xr:uid="{00000000-0005-0000-0000-0000EA010000}"/>
    <cellStyle name="Comma,0" xfId="486" xr:uid="{00000000-0005-0000-0000-0000EB010000}"/>
    <cellStyle name="Comma,1" xfId="487" xr:uid="{00000000-0005-0000-0000-0000EC010000}"/>
    <cellStyle name="Comma,2" xfId="488" xr:uid="{00000000-0005-0000-0000-0000ED010000}"/>
    <cellStyle name="consultationStyle" xfId="489" xr:uid="{00000000-0005-0000-0000-0000EE010000}"/>
    <cellStyle name="Currency,0" xfId="490" xr:uid="{00000000-0005-0000-0000-0000EF010000}"/>
    <cellStyle name="Currency,2" xfId="491" xr:uid="{00000000-0005-0000-0000-0000F0010000}"/>
    <cellStyle name="Currency1" xfId="492" xr:uid="{00000000-0005-0000-0000-0000F1010000}"/>
    <cellStyle name="dataStyle" xfId="493" xr:uid="{00000000-0005-0000-0000-0000F2010000}"/>
    <cellStyle name="dataStyle 2" xfId="494" xr:uid="{00000000-0005-0000-0000-0000F3010000}"/>
    <cellStyle name="dataStyle 2 2" xfId="495" xr:uid="{00000000-0005-0000-0000-0000F4010000}"/>
    <cellStyle name="dataStyle 3" xfId="496" xr:uid="{00000000-0005-0000-0000-0000F5010000}"/>
    <cellStyle name="dataStyle 3 2" xfId="497" xr:uid="{00000000-0005-0000-0000-0000F6010000}"/>
    <cellStyle name="dataStyle 4" xfId="498" xr:uid="{00000000-0005-0000-0000-0000F7010000}"/>
    <cellStyle name="dateStyle" xfId="499" xr:uid="{00000000-0005-0000-0000-0000F8010000}"/>
    <cellStyle name="dateStyle 2" xfId="500" xr:uid="{00000000-0005-0000-0000-0000F9010000}"/>
    <cellStyle name="Dollar (zero dec)" xfId="501" xr:uid="{00000000-0005-0000-0000-0000FA010000}"/>
    <cellStyle name="entry" xfId="502" xr:uid="{00000000-0005-0000-0000-0000FB010000}"/>
    <cellStyle name="entry box" xfId="503" xr:uid="{00000000-0005-0000-0000-0000FC010000}"/>
    <cellStyle name="entry box 2" xfId="504" xr:uid="{00000000-0005-0000-0000-0000FD010000}"/>
    <cellStyle name="Euro" xfId="505" xr:uid="{00000000-0005-0000-0000-0000FE010000}"/>
    <cellStyle name="evenStyle" xfId="506" xr:uid="{00000000-0005-0000-0000-0000FF010000}"/>
    <cellStyle name="evenStyle 2" xfId="507" xr:uid="{00000000-0005-0000-0000-000000020000}"/>
    <cellStyle name="Good 2" xfId="508" xr:uid="{00000000-0005-0000-0000-000001020000}"/>
    <cellStyle name="Good 2 2" xfId="509" xr:uid="{00000000-0005-0000-0000-000002020000}"/>
    <cellStyle name="Good 2 3" xfId="510" xr:uid="{00000000-0005-0000-0000-000003020000}"/>
    <cellStyle name="Good 3" xfId="511" xr:uid="{00000000-0005-0000-0000-000004020000}"/>
    <cellStyle name="Good 4" xfId="512" xr:uid="{00000000-0005-0000-0000-000005020000}"/>
    <cellStyle name="Grey" xfId="513" xr:uid="{00000000-0005-0000-0000-000006020000}"/>
    <cellStyle name="HEADER" xfId="514" xr:uid="{00000000-0005-0000-0000-000007020000}"/>
    <cellStyle name="Header1" xfId="515" xr:uid="{00000000-0005-0000-0000-000008020000}"/>
    <cellStyle name="Header2" xfId="516" xr:uid="{00000000-0005-0000-0000-000009020000}"/>
    <cellStyle name="Header2 2" xfId="517" xr:uid="{00000000-0005-0000-0000-00000A020000}"/>
    <cellStyle name="headStyle" xfId="518" xr:uid="{00000000-0005-0000-0000-00000B020000}"/>
    <cellStyle name="headStyle 2" xfId="519" xr:uid="{00000000-0005-0000-0000-00000C020000}"/>
    <cellStyle name="Hyperlink" xfId="1048" xr:uid="{00000000-000B-0000-0000-000008000000}"/>
    <cellStyle name="Hyperlink 2" xfId="520" xr:uid="{00000000-0005-0000-0000-00000D020000}"/>
    <cellStyle name="Hyperlink 2 2" xfId="521" xr:uid="{00000000-0005-0000-0000-00000E020000}"/>
    <cellStyle name="Hyperlink 2 2 2" xfId="522" xr:uid="{00000000-0005-0000-0000-00000F020000}"/>
    <cellStyle name="Hyperlink 2 2 3" xfId="523" xr:uid="{00000000-0005-0000-0000-000010020000}"/>
    <cellStyle name="Hyperlink 2 2 4" xfId="524" xr:uid="{00000000-0005-0000-0000-000011020000}"/>
    <cellStyle name="Hyperlink 2 3" xfId="525" xr:uid="{00000000-0005-0000-0000-000012020000}"/>
    <cellStyle name="Hyperlink 3" xfId="526" xr:uid="{00000000-0005-0000-0000-000013020000}"/>
    <cellStyle name="Hyperlink 4" xfId="527" xr:uid="{00000000-0005-0000-0000-000014020000}"/>
    <cellStyle name="Hyperlink 4 2" xfId="528" xr:uid="{00000000-0005-0000-0000-000015020000}"/>
    <cellStyle name="Hyperlink 4 2 2" xfId="529" xr:uid="{00000000-0005-0000-0000-000016020000}"/>
    <cellStyle name="Hyperlink 5" xfId="530" xr:uid="{00000000-0005-0000-0000-000017020000}"/>
    <cellStyle name="Hyperlink 5 2" xfId="531" xr:uid="{00000000-0005-0000-0000-000018020000}"/>
    <cellStyle name="Hyperlink 6" xfId="532" xr:uid="{00000000-0005-0000-0000-000019020000}"/>
    <cellStyle name="Hyperlink 7" xfId="1025" xr:uid="{DD97BD69-2E0E-42EF-BB38-A5C654B1B9CB}"/>
    <cellStyle name="Input [yellow]" xfId="533" xr:uid="{00000000-0005-0000-0000-00001A020000}"/>
    <cellStyle name="Input [yellow] 2" xfId="534" xr:uid="{00000000-0005-0000-0000-00001B020000}"/>
    <cellStyle name="Model" xfId="535" xr:uid="{00000000-0005-0000-0000-00001C020000}"/>
    <cellStyle name="Neutral 2" xfId="536" xr:uid="{00000000-0005-0000-0000-00001D020000}"/>
    <cellStyle name="Normal - Style1" xfId="537" xr:uid="{00000000-0005-0000-0000-00001E020000}"/>
    <cellStyle name="Normal 10" xfId="538" xr:uid="{00000000-0005-0000-0000-00001F020000}"/>
    <cellStyle name="Normal 10 10" xfId="8" xr:uid="{00000000-0005-0000-0000-00000D000000}"/>
    <cellStyle name="Normal 10 10 2" xfId="539" xr:uid="{00000000-0005-0000-0000-000020020000}"/>
    <cellStyle name="Normal 10 2" xfId="1040" xr:uid="{F971FF89-54EE-4E05-9107-A85D81C68CC8}"/>
    <cellStyle name="Normal 10 2 2" xfId="540" xr:uid="{00000000-0005-0000-0000-000021020000}"/>
    <cellStyle name="Normal 10 2 2 2" xfId="31" xr:uid="{00000000-0005-0000-0000-000024000000}"/>
    <cellStyle name="Normal 10 3" xfId="1054" xr:uid="{F456D090-AC7D-448C-8C40-0E3EC3A706E0}"/>
    <cellStyle name="Normal 103" xfId="1" xr:uid="{00000000-0005-0000-0000-000006000000}"/>
    <cellStyle name="Normal 103 2" xfId="541" xr:uid="{00000000-0005-0000-0000-000022020000}"/>
    <cellStyle name="Normal 106 2" xfId="542" xr:uid="{00000000-0005-0000-0000-000023020000}"/>
    <cellStyle name="Normal 11" xfId="543" xr:uid="{00000000-0005-0000-0000-000024020000}"/>
    <cellStyle name="Normal 111 2" xfId="23" xr:uid="{00000000-0005-0000-0000-00001B000000}"/>
    <cellStyle name="Normal 111 2 2" xfId="27" xr:uid="{00000000-0005-0000-0000-00001F000000}"/>
    <cellStyle name="Normal 111 2 3" xfId="544" xr:uid="{00000000-0005-0000-0000-000025020000}"/>
    <cellStyle name="Normal 111 2 3 2" xfId="545" xr:uid="{00000000-0005-0000-0000-000026020000}"/>
    <cellStyle name="Normal 118" xfId="15" xr:uid="{00000000-0005-0000-0000-000014000000}"/>
    <cellStyle name="Normal 118 2" xfId="546" xr:uid="{00000000-0005-0000-0000-000027020000}"/>
    <cellStyle name="Normal 12" xfId="26" xr:uid="{00000000-0005-0000-0000-00001E000000}"/>
    <cellStyle name="Normal 12 2" xfId="1017" xr:uid="{00000000-0005-0000-0000-0000FE030000}"/>
    <cellStyle name="Normal 121" xfId="547" xr:uid="{00000000-0005-0000-0000-000028020000}"/>
    <cellStyle name="Normal 121 2" xfId="13" xr:uid="{00000000-0005-0000-0000-000012000000}"/>
    <cellStyle name="Normal 121 2 2" xfId="17" xr:uid="{00000000-0005-0000-0000-000015000000}"/>
    <cellStyle name="Normal 121 2 2 2" xfId="548" xr:uid="{00000000-0005-0000-0000-000029020000}"/>
    <cellStyle name="Normal 121 2 2 2 2" xfId="549" xr:uid="{00000000-0005-0000-0000-00002A020000}"/>
    <cellStyle name="Normal 121 2 2 2 4" xfId="1043" xr:uid="{EBD8D31A-8479-48B5-BB2A-C00206D06443}"/>
    <cellStyle name="Normal 121 2 2 3" xfId="550" xr:uid="{00000000-0005-0000-0000-00002B020000}"/>
    <cellStyle name="Normal 121 2 3" xfId="551" xr:uid="{00000000-0005-0000-0000-00002C020000}"/>
    <cellStyle name="Normal 121 2 3 2" xfId="552" xr:uid="{00000000-0005-0000-0000-00002D020000}"/>
    <cellStyle name="Normal 121 2 4" xfId="553" xr:uid="{00000000-0005-0000-0000-00002E020000}"/>
    <cellStyle name="Normal 121 4" xfId="1047" xr:uid="{24AB0C55-4F1D-4541-A912-D976A8D917B4}"/>
    <cellStyle name="Normal 124" xfId="554" xr:uid="{00000000-0005-0000-0000-00002F020000}"/>
    <cellStyle name="Normal 124 2" xfId="555" xr:uid="{00000000-0005-0000-0000-000030020000}"/>
    <cellStyle name="Normal 124 2 2" xfId="556" xr:uid="{00000000-0005-0000-0000-000031020000}"/>
    <cellStyle name="Normal 125" xfId="557" xr:uid="{00000000-0005-0000-0000-000032020000}"/>
    <cellStyle name="Normal 125 2" xfId="558" xr:uid="{00000000-0005-0000-0000-000033020000}"/>
    <cellStyle name="Normal 125 2 2" xfId="559" xr:uid="{00000000-0005-0000-0000-000034020000}"/>
    <cellStyle name="Normal 125 3" xfId="560" xr:uid="{00000000-0005-0000-0000-000035020000}"/>
    <cellStyle name="Normal 126" xfId="561" xr:uid="{00000000-0005-0000-0000-000036020000}"/>
    <cellStyle name="Normal 126 2" xfId="562" xr:uid="{00000000-0005-0000-0000-000037020000}"/>
    <cellStyle name="Normal 126 2 2" xfId="563" xr:uid="{00000000-0005-0000-0000-000038020000}"/>
    <cellStyle name="Normal 126 3" xfId="564" xr:uid="{00000000-0005-0000-0000-000039020000}"/>
    <cellStyle name="Normal 129" xfId="565" xr:uid="{00000000-0005-0000-0000-00003A020000}"/>
    <cellStyle name="Normal 129 2" xfId="566" xr:uid="{00000000-0005-0000-0000-00003B020000}"/>
    <cellStyle name="Normal 13" xfId="1020" xr:uid="{F0B332F0-BED6-44E2-AC76-EA2ABB9F7DD4}"/>
    <cellStyle name="Normal 13 2" xfId="1032" xr:uid="{1FB9C1DB-064D-4926-9CD2-E7623D41B358}"/>
    <cellStyle name="Normal 14" xfId="1029" xr:uid="{8A75AE87-2226-4624-8B55-85CA444844C4}"/>
    <cellStyle name="Normal 182" xfId="567" xr:uid="{00000000-0005-0000-0000-00003C020000}"/>
    <cellStyle name="Normal 182 2" xfId="568" xr:uid="{00000000-0005-0000-0000-00003D020000}"/>
    <cellStyle name="Normal 19" xfId="1055" xr:uid="{28356AD7-5F18-485B-94A6-0833B8F2B1CC}"/>
    <cellStyle name="Normal 2" xfId="18" xr:uid="{00000000-0005-0000-0000-000016000000}"/>
    <cellStyle name="Normal 2 10" xfId="1044" xr:uid="{96A2C45E-3575-48CF-B303-B766D066FF86}"/>
    <cellStyle name="Normal 2 10 2" xfId="14" xr:uid="{00000000-0005-0000-0000-000013000000}"/>
    <cellStyle name="Normal 2 10 2 2" xfId="569" xr:uid="{00000000-0005-0000-0000-00003E020000}"/>
    <cellStyle name="Normal 2 16" xfId="570" xr:uid="{00000000-0005-0000-0000-00003F020000}"/>
    <cellStyle name="Normal 2 18" xfId="571" xr:uid="{00000000-0005-0000-0000-000040020000}"/>
    <cellStyle name="Normal 2 2" xfId="22" xr:uid="{00000000-0005-0000-0000-00001A000000}"/>
    <cellStyle name="Normal 2 2 2" xfId="37" xr:uid="{00000000-0005-0000-0000-00002A000000}"/>
    <cellStyle name="Normal 2 2 2 2" xfId="572" xr:uid="{00000000-0005-0000-0000-000041020000}"/>
    <cellStyle name="Normal 2 2 3" xfId="573" xr:uid="{00000000-0005-0000-0000-000042020000}"/>
    <cellStyle name="Normal 2 2 3 2" xfId="9" xr:uid="{00000000-0005-0000-0000-00000E000000}"/>
    <cellStyle name="Normal 2 2 4" xfId="1046" xr:uid="{48BEE6D7-E0C2-4A42-A688-64EB11E26250}"/>
    <cellStyle name="Normal 2 2_2" xfId="574" xr:uid="{00000000-0005-0000-0000-000043020000}"/>
    <cellStyle name="Normal 2 24" xfId="30" xr:uid="{00000000-0005-0000-0000-000023000000}"/>
    <cellStyle name="Normal 2 3" xfId="4" xr:uid="{00000000-0005-0000-0000-000009000000}"/>
    <cellStyle name="Normal 2 3 2" xfId="575" xr:uid="{00000000-0005-0000-0000-000044020000}"/>
    <cellStyle name="Normal 2 3 2 2" xfId="10" xr:uid="{00000000-0005-0000-0000-00000F000000}"/>
    <cellStyle name="Normal 2 3 2 2 2" xfId="576" xr:uid="{00000000-0005-0000-0000-000045020000}"/>
    <cellStyle name="Normal 2 3 2 2 3" xfId="577" xr:uid="{00000000-0005-0000-0000-000046020000}"/>
    <cellStyle name="Normal 2 3 2 3" xfId="578" xr:uid="{00000000-0005-0000-0000-000047020000}"/>
    <cellStyle name="Normal 2 3 2 4" xfId="579" xr:uid="{00000000-0005-0000-0000-000048020000}"/>
    <cellStyle name="Normal 2 3 3" xfId="6" xr:uid="{00000000-0005-0000-0000-00000B000000}"/>
    <cellStyle name="Normal 2 3 3 2" xfId="7" xr:uid="{00000000-0005-0000-0000-00000C000000}"/>
    <cellStyle name="Normal 2 3 4" xfId="580" xr:uid="{00000000-0005-0000-0000-000049020000}"/>
    <cellStyle name="Normal 2 3 4 2" xfId="581" xr:uid="{00000000-0005-0000-0000-00004A020000}"/>
    <cellStyle name="Normal 2 3 5" xfId="582" xr:uid="{00000000-0005-0000-0000-00004B020000}"/>
    <cellStyle name="Normal 2 3 6 2" xfId="1053" xr:uid="{75EC500E-71F5-4A4B-BBBD-C5D8967A9E55}"/>
    <cellStyle name="Normal 2 4" xfId="33" xr:uid="{00000000-0005-0000-0000-000026000000}"/>
    <cellStyle name="Normal 2 4 2" xfId="583" xr:uid="{00000000-0005-0000-0000-00004C020000}"/>
    <cellStyle name="Normal 2 4 2 2" xfId="584" xr:uid="{00000000-0005-0000-0000-00004D020000}"/>
    <cellStyle name="Normal 2 4 3" xfId="585" xr:uid="{00000000-0005-0000-0000-00004E020000}"/>
    <cellStyle name="Normal 2 4 4" xfId="586" xr:uid="{00000000-0005-0000-0000-00004F020000}"/>
    <cellStyle name="Normal 2 5" xfId="587" xr:uid="{00000000-0005-0000-0000-000050020000}"/>
    <cellStyle name="Normal 2 5 2" xfId="588" xr:uid="{00000000-0005-0000-0000-000051020000}"/>
    <cellStyle name="Normal 2 6" xfId="589" xr:uid="{00000000-0005-0000-0000-000052020000}"/>
    <cellStyle name="Normal 2 7" xfId="590" xr:uid="{00000000-0005-0000-0000-000053020000}"/>
    <cellStyle name="Normal 2 8" xfId="591" xr:uid="{00000000-0005-0000-0000-000054020000}"/>
    <cellStyle name="Normal 2 9" xfId="592" xr:uid="{00000000-0005-0000-0000-000055020000}"/>
    <cellStyle name="Normal 2 9 2" xfId="593" xr:uid="{00000000-0005-0000-0000-000056020000}"/>
    <cellStyle name="Normal 2_1" xfId="594" xr:uid="{00000000-0005-0000-0000-000057020000}"/>
    <cellStyle name="Normal 3" xfId="595" xr:uid="{00000000-0005-0000-0000-000058020000}"/>
    <cellStyle name="Normal 3 2" xfId="596" xr:uid="{00000000-0005-0000-0000-000059020000}"/>
    <cellStyle name="Normal 3 2 2" xfId="597" xr:uid="{00000000-0005-0000-0000-00005A020000}"/>
    <cellStyle name="Normal 3 2 2 2 2" xfId="2" xr:uid="{00000000-0005-0000-0000-000007000000}"/>
    <cellStyle name="Normal 3 2 3" xfId="598" xr:uid="{00000000-0005-0000-0000-00005B020000}"/>
    <cellStyle name="Normal 3 2 3 2" xfId="599" xr:uid="{00000000-0005-0000-0000-00005C020000}"/>
    <cellStyle name="Normal 3 2 4" xfId="600" xr:uid="{00000000-0005-0000-0000-00005D020000}"/>
    <cellStyle name="Normal 3 2 5" xfId="601" xr:uid="{00000000-0005-0000-0000-00005E020000}"/>
    <cellStyle name="Normal 3 2_2" xfId="602" xr:uid="{00000000-0005-0000-0000-00005F020000}"/>
    <cellStyle name="Normal 3 3" xfId="603" xr:uid="{00000000-0005-0000-0000-000060020000}"/>
    <cellStyle name="Normal 3 3 2" xfId="604" xr:uid="{00000000-0005-0000-0000-000061020000}"/>
    <cellStyle name="Normal 3 4" xfId="605" xr:uid="{00000000-0005-0000-0000-000062020000}"/>
    <cellStyle name="Normal 3 5" xfId="606" xr:uid="{00000000-0005-0000-0000-000063020000}"/>
    <cellStyle name="Normal 3_1" xfId="607" xr:uid="{00000000-0005-0000-0000-000064020000}"/>
    <cellStyle name="Normal 32" xfId="608" xr:uid="{00000000-0005-0000-0000-000065020000}"/>
    <cellStyle name="Normal 32 2" xfId="609" xr:uid="{00000000-0005-0000-0000-000066020000}"/>
    <cellStyle name="Normal 4" xfId="3" xr:uid="{00000000-0005-0000-0000-000008000000}"/>
    <cellStyle name="Normal 4 2" xfId="32" xr:uid="{00000000-0005-0000-0000-000025000000}"/>
    <cellStyle name="Normal 4 2 2" xfId="610" xr:uid="{00000000-0005-0000-0000-000067020000}"/>
    <cellStyle name="Normal 4 2 3" xfId="611" xr:uid="{00000000-0005-0000-0000-000068020000}"/>
    <cellStyle name="Normal 4 3" xfId="612" xr:uid="{00000000-0005-0000-0000-000069020000}"/>
    <cellStyle name="Normal 4 3 2" xfId="613" xr:uid="{00000000-0005-0000-0000-00006A020000}"/>
    <cellStyle name="Normal 4 3 3" xfId="614" xr:uid="{00000000-0005-0000-0000-00006B020000}"/>
    <cellStyle name="Normal 4 4" xfId="615" xr:uid="{00000000-0005-0000-0000-00006C020000}"/>
    <cellStyle name="Normal 4 5" xfId="616" xr:uid="{00000000-0005-0000-0000-00006D020000}"/>
    <cellStyle name="Normal 5" xfId="28" xr:uid="{00000000-0005-0000-0000-000021000000}"/>
    <cellStyle name="Normal 5 2" xfId="617" xr:uid="{00000000-0005-0000-0000-00006E020000}"/>
    <cellStyle name="Normal 5 2 2" xfId="618" xr:uid="{00000000-0005-0000-0000-00006F020000}"/>
    <cellStyle name="Normal 5 3" xfId="619" xr:uid="{00000000-0005-0000-0000-000070020000}"/>
    <cellStyle name="Normal 5 4" xfId="620" xr:uid="{00000000-0005-0000-0000-000071020000}"/>
    <cellStyle name="Normal 56" xfId="621" xr:uid="{00000000-0005-0000-0000-000072020000}"/>
    <cellStyle name="Normal 6" xfId="622" xr:uid="{00000000-0005-0000-0000-000073020000}"/>
    <cellStyle name="Normal 6 2" xfId="623" xr:uid="{00000000-0005-0000-0000-000074020000}"/>
    <cellStyle name="Normal 6 2 2" xfId="624" xr:uid="{00000000-0005-0000-0000-000075020000}"/>
    <cellStyle name="Normal 6 3" xfId="625" xr:uid="{00000000-0005-0000-0000-000076020000}"/>
    <cellStyle name="Normal 6 4" xfId="626" xr:uid="{00000000-0005-0000-0000-000077020000}"/>
    <cellStyle name="Normal 6_3" xfId="627" xr:uid="{00000000-0005-0000-0000-000078020000}"/>
    <cellStyle name="Normal 7" xfId="628" xr:uid="{00000000-0005-0000-0000-000079020000}"/>
    <cellStyle name="Normal 7 2" xfId="629" xr:uid="{00000000-0005-0000-0000-00007A020000}"/>
    <cellStyle name="Normal 7 2 2" xfId="630" xr:uid="{00000000-0005-0000-0000-00007B020000}"/>
    <cellStyle name="Normal 7 2 2 2" xfId="631" xr:uid="{00000000-0005-0000-0000-00007C020000}"/>
    <cellStyle name="Normal 7 2 2_1" xfId="632" xr:uid="{00000000-0005-0000-0000-00007D020000}"/>
    <cellStyle name="Normal 7 2 3" xfId="633" xr:uid="{00000000-0005-0000-0000-00007E020000}"/>
    <cellStyle name="Normal 7 2_1" xfId="634" xr:uid="{00000000-0005-0000-0000-00007F020000}"/>
    <cellStyle name="Normal 7 3" xfId="635" xr:uid="{00000000-0005-0000-0000-000080020000}"/>
    <cellStyle name="Normal 7 3 2" xfId="636" xr:uid="{00000000-0005-0000-0000-000081020000}"/>
    <cellStyle name="Normal 7 3 3" xfId="637" xr:uid="{00000000-0005-0000-0000-000082020000}"/>
    <cellStyle name="Normal 7 3 3 2" xfId="638" xr:uid="{00000000-0005-0000-0000-000083020000}"/>
    <cellStyle name="Normal 7 3 3_1" xfId="639" xr:uid="{00000000-0005-0000-0000-000084020000}"/>
    <cellStyle name="Normal 7 3 4" xfId="640" xr:uid="{00000000-0005-0000-0000-000085020000}"/>
    <cellStyle name="Normal 7 3_1" xfId="641" xr:uid="{00000000-0005-0000-0000-000086020000}"/>
    <cellStyle name="Normal 7 4" xfId="642" xr:uid="{00000000-0005-0000-0000-000087020000}"/>
    <cellStyle name="Normal 7 5" xfId="643" xr:uid="{00000000-0005-0000-0000-000088020000}"/>
    <cellStyle name="Normal 7 6" xfId="644" xr:uid="{00000000-0005-0000-0000-000089020000}"/>
    <cellStyle name="Normal 7 7" xfId="645" xr:uid="{00000000-0005-0000-0000-00008A020000}"/>
    <cellStyle name="Normal 7_1" xfId="646" xr:uid="{00000000-0005-0000-0000-00008B020000}"/>
    <cellStyle name="Normal 8" xfId="647" xr:uid="{00000000-0005-0000-0000-00008C020000}"/>
    <cellStyle name="Normal 8 2" xfId="648" xr:uid="{00000000-0005-0000-0000-00008D020000}"/>
    <cellStyle name="Normal 8 3" xfId="649" xr:uid="{00000000-0005-0000-0000-00008E020000}"/>
    <cellStyle name="Normal 9" xfId="650" xr:uid="{00000000-0005-0000-0000-00008F020000}"/>
    <cellStyle name="Normal 9 2" xfId="651" xr:uid="{00000000-0005-0000-0000-000090020000}"/>
    <cellStyle name="Normal 9 2 2" xfId="1045" xr:uid="{2E4501A9-1E7E-4A56-8CC9-07C5BE8CA435}"/>
    <cellStyle name="Normal_Sheet2" xfId="12" xr:uid="{00000000-0005-0000-0000-000011000000}"/>
    <cellStyle name="Normalny_Arkusz1" xfId="652" xr:uid="{00000000-0005-0000-0000-000091020000}"/>
    <cellStyle name="Percent [2]" xfId="653" xr:uid="{00000000-0005-0000-0000-000092020000}"/>
    <cellStyle name="Percent 2" xfId="24" xr:uid="{00000000-0005-0000-0000-00001C000000}"/>
    <cellStyle name="Percent 2 2" xfId="654" xr:uid="{00000000-0005-0000-0000-000093020000}"/>
    <cellStyle name="Percent 2 2 2" xfId="655" xr:uid="{00000000-0005-0000-0000-000094020000}"/>
    <cellStyle name="Percent 2 2 3" xfId="656" xr:uid="{00000000-0005-0000-0000-000095020000}"/>
    <cellStyle name="Percent 2 3" xfId="657" xr:uid="{00000000-0005-0000-0000-000096020000}"/>
    <cellStyle name="Percent 2 3 2" xfId="658" xr:uid="{00000000-0005-0000-0000-000097020000}"/>
    <cellStyle name="Percent 2 3 2 2" xfId="659" xr:uid="{00000000-0005-0000-0000-000098020000}"/>
    <cellStyle name="Percent 2 3 3" xfId="660" xr:uid="{00000000-0005-0000-0000-000099020000}"/>
    <cellStyle name="Percent 2 4" xfId="661" xr:uid="{00000000-0005-0000-0000-00009A020000}"/>
    <cellStyle name="Percent 2 5" xfId="662" xr:uid="{00000000-0005-0000-0000-00009B020000}"/>
    <cellStyle name="Percent 2 6" xfId="663" xr:uid="{00000000-0005-0000-0000-00009C020000}"/>
    <cellStyle name="Percent 2_3" xfId="664" xr:uid="{00000000-0005-0000-0000-00009D020000}"/>
    <cellStyle name="Percent 3" xfId="665" xr:uid="{00000000-0005-0000-0000-00009E020000}"/>
    <cellStyle name="Percent 3 2" xfId="666" xr:uid="{00000000-0005-0000-0000-00009F020000}"/>
    <cellStyle name="Percent 4" xfId="667" xr:uid="{00000000-0005-0000-0000-0000A0020000}"/>
    <cellStyle name="Percent 4 2" xfId="668" xr:uid="{00000000-0005-0000-0000-0000A1020000}"/>
    <cellStyle name="Percent 5" xfId="669" xr:uid="{00000000-0005-0000-0000-0000A2020000}"/>
    <cellStyle name="Percent 6" xfId="670" xr:uid="{00000000-0005-0000-0000-0000A3020000}"/>
    <cellStyle name="Prefilled" xfId="671" xr:uid="{00000000-0005-0000-0000-0000A4020000}"/>
    <cellStyle name="Prefilled 2" xfId="672" xr:uid="{00000000-0005-0000-0000-0000A5020000}"/>
    <cellStyle name="price" xfId="673" xr:uid="{00000000-0005-0000-0000-0000A6020000}"/>
    <cellStyle name="revised" xfId="674" xr:uid="{00000000-0005-0000-0000-0000A7020000}"/>
    <cellStyle name="row_def_array" xfId="675" xr:uid="{00000000-0005-0000-0000-0000A8020000}"/>
    <cellStyle name="SAPBEXaggData" xfId="676" xr:uid="{00000000-0005-0000-0000-0000A9020000}"/>
    <cellStyle name="SAPBEXaggData 2" xfId="677" xr:uid="{00000000-0005-0000-0000-0000AA020000}"/>
    <cellStyle name="SAPBEXaggData 2 2" xfId="678" xr:uid="{00000000-0005-0000-0000-0000AB020000}"/>
    <cellStyle name="SAPBEXaggData 3" xfId="679" xr:uid="{00000000-0005-0000-0000-0000AC020000}"/>
    <cellStyle name="SAPBEXaggDataEmph" xfId="680" xr:uid="{00000000-0005-0000-0000-0000AD020000}"/>
    <cellStyle name="SAPBEXaggDataEmph 2" xfId="681" xr:uid="{00000000-0005-0000-0000-0000AE020000}"/>
    <cellStyle name="SAPBEXaggDataEmph 2 2" xfId="682" xr:uid="{00000000-0005-0000-0000-0000AF020000}"/>
    <cellStyle name="SAPBEXaggDataEmph 3" xfId="683" xr:uid="{00000000-0005-0000-0000-0000B0020000}"/>
    <cellStyle name="SAPBEXaggItem" xfId="684" xr:uid="{00000000-0005-0000-0000-0000B1020000}"/>
    <cellStyle name="SAPBEXaggItem 2" xfId="685" xr:uid="{00000000-0005-0000-0000-0000B2020000}"/>
    <cellStyle name="SAPBEXaggItem 2 2" xfId="686" xr:uid="{00000000-0005-0000-0000-0000B3020000}"/>
    <cellStyle name="SAPBEXaggItem 3" xfId="687" xr:uid="{00000000-0005-0000-0000-0000B4020000}"/>
    <cellStyle name="SAPBEXaggItemX" xfId="688" xr:uid="{00000000-0005-0000-0000-0000B5020000}"/>
    <cellStyle name="SAPBEXaggItemX 2" xfId="689" xr:uid="{00000000-0005-0000-0000-0000B6020000}"/>
    <cellStyle name="SAPBEXaggItemX 2 2" xfId="690" xr:uid="{00000000-0005-0000-0000-0000B7020000}"/>
    <cellStyle name="SAPBEXaggItemX 3" xfId="691" xr:uid="{00000000-0005-0000-0000-0000B8020000}"/>
    <cellStyle name="SAPBEXchaText" xfId="692" xr:uid="{00000000-0005-0000-0000-0000B9020000}"/>
    <cellStyle name="SAPBEXexcBad7" xfId="693" xr:uid="{00000000-0005-0000-0000-0000BA020000}"/>
    <cellStyle name="SAPBEXexcBad7 2" xfId="694" xr:uid="{00000000-0005-0000-0000-0000BB020000}"/>
    <cellStyle name="SAPBEXexcBad7 2 2" xfId="695" xr:uid="{00000000-0005-0000-0000-0000BC020000}"/>
    <cellStyle name="SAPBEXexcBad7 3" xfId="696" xr:uid="{00000000-0005-0000-0000-0000BD020000}"/>
    <cellStyle name="SAPBEXexcBad8" xfId="697" xr:uid="{00000000-0005-0000-0000-0000BE020000}"/>
    <cellStyle name="SAPBEXexcBad8 2" xfId="698" xr:uid="{00000000-0005-0000-0000-0000BF020000}"/>
    <cellStyle name="SAPBEXexcBad8 2 2" xfId="699" xr:uid="{00000000-0005-0000-0000-0000C0020000}"/>
    <cellStyle name="SAPBEXexcBad8 3" xfId="700" xr:uid="{00000000-0005-0000-0000-0000C1020000}"/>
    <cellStyle name="SAPBEXexcBad9" xfId="701" xr:uid="{00000000-0005-0000-0000-0000C2020000}"/>
    <cellStyle name="SAPBEXexcBad9 2" xfId="702" xr:uid="{00000000-0005-0000-0000-0000C3020000}"/>
    <cellStyle name="SAPBEXexcBad9 2 2" xfId="703" xr:uid="{00000000-0005-0000-0000-0000C4020000}"/>
    <cellStyle name="SAPBEXexcBad9 3" xfId="704" xr:uid="{00000000-0005-0000-0000-0000C5020000}"/>
    <cellStyle name="SAPBEXexcCritical4" xfId="705" xr:uid="{00000000-0005-0000-0000-0000C6020000}"/>
    <cellStyle name="SAPBEXexcCritical4 2" xfId="706" xr:uid="{00000000-0005-0000-0000-0000C7020000}"/>
    <cellStyle name="SAPBEXexcCritical4 2 2" xfId="707" xr:uid="{00000000-0005-0000-0000-0000C8020000}"/>
    <cellStyle name="SAPBEXexcCritical4 3" xfId="708" xr:uid="{00000000-0005-0000-0000-0000C9020000}"/>
    <cellStyle name="SAPBEXexcCritical5" xfId="709" xr:uid="{00000000-0005-0000-0000-0000CA020000}"/>
    <cellStyle name="SAPBEXexcCritical5 2" xfId="710" xr:uid="{00000000-0005-0000-0000-0000CB020000}"/>
    <cellStyle name="SAPBEXexcCritical5 2 2" xfId="711" xr:uid="{00000000-0005-0000-0000-0000CC020000}"/>
    <cellStyle name="SAPBEXexcCritical5 3" xfId="712" xr:uid="{00000000-0005-0000-0000-0000CD020000}"/>
    <cellStyle name="SAPBEXexcCritical6" xfId="713" xr:uid="{00000000-0005-0000-0000-0000CE020000}"/>
    <cellStyle name="SAPBEXexcCritical6 2" xfId="714" xr:uid="{00000000-0005-0000-0000-0000CF020000}"/>
    <cellStyle name="SAPBEXexcCritical6 2 2" xfId="715" xr:uid="{00000000-0005-0000-0000-0000D0020000}"/>
    <cellStyle name="SAPBEXexcCritical6 3" xfId="716" xr:uid="{00000000-0005-0000-0000-0000D1020000}"/>
    <cellStyle name="SAPBEXexcGood1" xfId="717" xr:uid="{00000000-0005-0000-0000-0000D2020000}"/>
    <cellStyle name="SAPBEXexcGood1 2" xfId="718" xr:uid="{00000000-0005-0000-0000-0000D3020000}"/>
    <cellStyle name="SAPBEXexcGood1 2 2" xfId="719" xr:uid="{00000000-0005-0000-0000-0000D4020000}"/>
    <cellStyle name="SAPBEXexcGood1 3" xfId="720" xr:uid="{00000000-0005-0000-0000-0000D5020000}"/>
    <cellStyle name="SAPBEXexcGood2" xfId="721" xr:uid="{00000000-0005-0000-0000-0000D6020000}"/>
    <cellStyle name="SAPBEXexcGood2 2" xfId="722" xr:uid="{00000000-0005-0000-0000-0000D7020000}"/>
    <cellStyle name="SAPBEXexcGood2 2 2" xfId="723" xr:uid="{00000000-0005-0000-0000-0000D8020000}"/>
    <cellStyle name="SAPBEXexcGood2 3" xfId="724" xr:uid="{00000000-0005-0000-0000-0000D9020000}"/>
    <cellStyle name="SAPBEXexcGood3" xfId="725" xr:uid="{00000000-0005-0000-0000-0000DA020000}"/>
    <cellStyle name="SAPBEXexcGood3 2" xfId="726" xr:uid="{00000000-0005-0000-0000-0000DB020000}"/>
    <cellStyle name="SAPBEXexcGood3 2 2" xfId="727" xr:uid="{00000000-0005-0000-0000-0000DC020000}"/>
    <cellStyle name="SAPBEXexcGood3 3" xfId="728" xr:uid="{00000000-0005-0000-0000-0000DD020000}"/>
    <cellStyle name="SAPBEXfilterDrill" xfId="729" xr:uid="{00000000-0005-0000-0000-0000DE020000}"/>
    <cellStyle name="SAPBEXfilterItem" xfId="730" xr:uid="{00000000-0005-0000-0000-0000DF020000}"/>
    <cellStyle name="SAPBEXfilterText" xfId="731" xr:uid="{00000000-0005-0000-0000-0000E0020000}"/>
    <cellStyle name="SAPBEXformats" xfId="732" xr:uid="{00000000-0005-0000-0000-0000E1020000}"/>
    <cellStyle name="SAPBEXformats 2" xfId="733" xr:uid="{00000000-0005-0000-0000-0000E2020000}"/>
    <cellStyle name="SAPBEXformats 2 2" xfId="734" xr:uid="{00000000-0005-0000-0000-0000E3020000}"/>
    <cellStyle name="SAPBEXformats 3" xfId="735" xr:uid="{00000000-0005-0000-0000-0000E4020000}"/>
    <cellStyle name="SAPBEXheaderItem" xfId="736" xr:uid="{00000000-0005-0000-0000-0000E5020000}"/>
    <cellStyle name="SAPBEXheaderText" xfId="737" xr:uid="{00000000-0005-0000-0000-0000E6020000}"/>
    <cellStyle name="SAPBEXHLevel0" xfId="738" xr:uid="{00000000-0005-0000-0000-0000E7020000}"/>
    <cellStyle name="SAPBEXHLevel0 2" xfId="739" xr:uid="{00000000-0005-0000-0000-0000E8020000}"/>
    <cellStyle name="SAPBEXHLevel0 2 2" xfId="740" xr:uid="{00000000-0005-0000-0000-0000E9020000}"/>
    <cellStyle name="SAPBEXHLevel0 3" xfId="741" xr:uid="{00000000-0005-0000-0000-0000EA020000}"/>
    <cellStyle name="SAPBEXHLevel0X" xfId="742" xr:uid="{00000000-0005-0000-0000-0000EB020000}"/>
    <cellStyle name="SAPBEXHLevel0X 2" xfId="743" xr:uid="{00000000-0005-0000-0000-0000EC020000}"/>
    <cellStyle name="SAPBEXHLevel0X 2 2" xfId="744" xr:uid="{00000000-0005-0000-0000-0000ED020000}"/>
    <cellStyle name="SAPBEXHLevel0X 3" xfId="745" xr:uid="{00000000-0005-0000-0000-0000EE020000}"/>
    <cellStyle name="SAPBEXHLevel1" xfId="746" xr:uid="{00000000-0005-0000-0000-0000EF020000}"/>
    <cellStyle name="SAPBEXHLevel1 2" xfId="747" xr:uid="{00000000-0005-0000-0000-0000F0020000}"/>
    <cellStyle name="SAPBEXHLevel1 2 2" xfId="748" xr:uid="{00000000-0005-0000-0000-0000F1020000}"/>
    <cellStyle name="SAPBEXHLevel1 3" xfId="749" xr:uid="{00000000-0005-0000-0000-0000F2020000}"/>
    <cellStyle name="SAPBEXHLevel1X" xfId="750" xr:uid="{00000000-0005-0000-0000-0000F3020000}"/>
    <cellStyle name="SAPBEXHLevel1X 2" xfId="751" xr:uid="{00000000-0005-0000-0000-0000F4020000}"/>
    <cellStyle name="SAPBEXHLevel1X 2 2" xfId="752" xr:uid="{00000000-0005-0000-0000-0000F5020000}"/>
    <cellStyle name="SAPBEXHLevel1X 3" xfId="753" xr:uid="{00000000-0005-0000-0000-0000F6020000}"/>
    <cellStyle name="SAPBEXHLevel2" xfId="754" xr:uid="{00000000-0005-0000-0000-0000F7020000}"/>
    <cellStyle name="SAPBEXHLevel2 2" xfId="755" xr:uid="{00000000-0005-0000-0000-0000F8020000}"/>
    <cellStyle name="SAPBEXHLevel2 2 2" xfId="756" xr:uid="{00000000-0005-0000-0000-0000F9020000}"/>
    <cellStyle name="SAPBEXHLevel2 3" xfId="757" xr:uid="{00000000-0005-0000-0000-0000FA020000}"/>
    <cellStyle name="SAPBEXHLevel2X" xfId="758" xr:uid="{00000000-0005-0000-0000-0000FB020000}"/>
    <cellStyle name="SAPBEXHLevel2X 2" xfId="759" xr:uid="{00000000-0005-0000-0000-0000FC020000}"/>
    <cellStyle name="SAPBEXHLevel2X 2 2" xfId="760" xr:uid="{00000000-0005-0000-0000-0000FD020000}"/>
    <cellStyle name="SAPBEXHLevel2X 3" xfId="761" xr:uid="{00000000-0005-0000-0000-0000FE020000}"/>
    <cellStyle name="SAPBEXHLevel3" xfId="762" xr:uid="{00000000-0005-0000-0000-0000FF020000}"/>
    <cellStyle name="SAPBEXHLevel3 2" xfId="763" xr:uid="{00000000-0005-0000-0000-000000030000}"/>
    <cellStyle name="SAPBEXHLevel3 2 2" xfId="764" xr:uid="{00000000-0005-0000-0000-000001030000}"/>
    <cellStyle name="SAPBEXHLevel3 3" xfId="765" xr:uid="{00000000-0005-0000-0000-000002030000}"/>
    <cellStyle name="SAPBEXHLevel3X" xfId="766" xr:uid="{00000000-0005-0000-0000-000003030000}"/>
    <cellStyle name="SAPBEXHLevel3X 2" xfId="767" xr:uid="{00000000-0005-0000-0000-000004030000}"/>
    <cellStyle name="SAPBEXHLevel3X 2 2" xfId="768" xr:uid="{00000000-0005-0000-0000-000005030000}"/>
    <cellStyle name="SAPBEXHLevel3X 3" xfId="769" xr:uid="{00000000-0005-0000-0000-000006030000}"/>
    <cellStyle name="SAPBEXresData" xfId="770" xr:uid="{00000000-0005-0000-0000-000007030000}"/>
    <cellStyle name="SAPBEXresData 2" xfId="771" xr:uid="{00000000-0005-0000-0000-000008030000}"/>
    <cellStyle name="SAPBEXresData 2 2" xfId="772" xr:uid="{00000000-0005-0000-0000-000009030000}"/>
    <cellStyle name="SAPBEXresData 3" xfId="773" xr:uid="{00000000-0005-0000-0000-00000A030000}"/>
    <cellStyle name="SAPBEXresDataEmph" xfId="774" xr:uid="{00000000-0005-0000-0000-00000B030000}"/>
    <cellStyle name="SAPBEXresDataEmph 2" xfId="775" xr:uid="{00000000-0005-0000-0000-00000C030000}"/>
    <cellStyle name="SAPBEXresDataEmph 2 2" xfId="776" xr:uid="{00000000-0005-0000-0000-00000D030000}"/>
    <cellStyle name="SAPBEXresDataEmph 3" xfId="777" xr:uid="{00000000-0005-0000-0000-00000E030000}"/>
    <cellStyle name="SAPBEXresItem" xfId="778" xr:uid="{00000000-0005-0000-0000-00000F030000}"/>
    <cellStyle name="SAPBEXresItem 2" xfId="779" xr:uid="{00000000-0005-0000-0000-000010030000}"/>
    <cellStyle name="SAPBEXresItem 2 2" xfId="780" xr:uid="{00000000-0005-0000-0000-000011030000}"/>
    <cellStyle name="SAPBEXresItem 3" xfId="781" xr:uid="{00000000-0005-0000-0000-000012030000}"/>
    <cellStyle name="SAPBEXresItemX" xfId="782" xr:uid="{00000000-0005-0000-0000-000013030000}"/>
    <cellStyle name="SAPBEXresItemX 2" xfId="783" xr:uid="{00000000-0005-0000-0000-000014030000}"/>
    <cellStyle name="SAPBEXresItemX 2 2" xfId="784" xr:uid="{00000000-0005-0000-0000-000015030000}"/>
    <cellStyle name="SAPBEXresItemX 3" xfId="785" xr:uid="{00000000-0005-0000-0000-000016030000}"/>
    <cellStyle name="SAPBEXstdData" xfId="786" xr:uid="{00000000-0005-0000-0000-000017030000}"/>
    <cellStyle name="SAPBEXstdData 2" xfId="787" xr:uid="{00000000-0005-0000-0000-000018030000}"/>
    <cellStyle name="SAPBEXstdData 2 2" xfId="788" xr:uid="{00000000-0005-0000-0000-000019030000}"/>
    <cellStyle name="SAPBEXstdData 3" xfId="789" xr:uid="{00000000-0005-0000-0000-00001A030000}"/>
    <cellStyle name="SAPBEXstdDataEmph" xfId="790" xr:uid="{00000000-0005-0000-0000-00001B030000}"/>
    <cellStyle name="SAPBEXstdDataEmph 2" xfId="791" xr:uid="{00000000-0005-0000-0000-00001C030000}"/>
    <cellStyle name="SAPBEXstdDataEmph 2 2" xfId="792" xr:uid="{00000000-0005-0000-0000-00001D030000}"/>
    <cellStyle name="SAPBEXstdDataEmph 3" xfId="793" xr:uid="{00000000-0005-0000-0000-00001E030000}"/>
    <cellStyle name="SAPBEXstdItem" xfId="794" xr:uid="{00000000-0005-0000-0000-00001F030000}"/>
    <cellStyle name="SAPBEXstdItem 2" xfId="795" xr:uid="{00000000-0005-0000-0000-000020030000}"/>
    <cellStyle name="SAPBEXstdItem 2 2" xfId="796" xr:uid="{00000000-0005-0000-0000-000021030000}"/>
    <cellStyle name="SAPBEXstdItem 3" xfId="797" xr:uid="{00000000-0005-0000-0000-000022030000}"/>
    <cellStyle name="SAPBEXstdItemX" xfId="798" xr:uid="{00000000-0005-0000-0000-000023030000}"/>
    <cellStyle name="SAPBEXstdItemX 2" xfId="799" xr:uid="{00000000-0005-0000-0000-000024030000}"/>
    <cellStyle name="SAPBEXstdItemX 2 2" xfId="800" xr:uid="{00000000-0005-0000-0000-000025030000}"/>
    <cellStyle name="SAPBEXstdItemX 3" xfId="801" xr:uid="{00000000-0005-0000-0000-000026030000}"/>
    <cellStyle name="SAPBEXtitle" xfId="802" xr:uid="{00000000-0005-0000-0000-000027030000}"/>
    <cellStyle name="SAPBEXundefined" xfId="803" xr:uid="{00000000-0005-0000-0000-000028030000}"/>
    <cellStyle name="SAPBEXundefined 2" xfId="804" xr:uid="{00000000-0005-0000-0000-000029030000}"/>
    <cellStyle name="SAPBEXundefined 2 2" xfId="805" xr:uid="{00000000-0005-0000-0000-00002A030000}"/>
    <cellStyle name="SAPBEXundefined 3" xfId="806" xr:uid="{00000000-0005-0000-0000-00002B030000}"/>
    <cellStyle name="section" xfId="807" xr:uid="{00000000-0005-0000-0000-00002C030000}"/>
    <cellStyle name="SOR" xfId="808" xr:uid="{00000000-0005-0000-0000-00002D030000}"/>
    <cellStyle name="subhead" xfId="809" xr:uid="{00000000-0005-0000-0000-00002E030000}"/>
    <cellStyle name="title" xfId="810" xr:uid="{00000000-0005-0000-0000-00002F030000}"/>
    <cellStyle name="Tusental (0)_pldt" xfId="811" xr:uid="{00000000-0005-0000-0000-000030030000}"/>
    <cellStyle name="Tusental_pldt" xfId="812" xr:uid="{00000000-0005-0000-0000-000031030000}"/>
    <cellStyle name="Valuta (0)_pldt" xfId="813" xr:uid="{00000000-0005-0000-0000-000032030000}"/>
    <cellStyle name="Valuta_pldt" xfId="814" xr:uid="{00000000-0005-0000-0000-000033030000}"/>
    <cellStyle name="パーセント_laroux" xfId="815" xr:uid="{00000000-0005-0000-0000-000034030000}"/>
    <cellStyle name="_PLDT" xfId="816" xr:uid="{00000000-0005-0000-0000-000035030000}"/>
    <cellStyle name="_laroux" xfId="817" xr:uid="{00000000-0005-0000-0000-000036030000}"/>
    <cellStyle name="だ[0]_PLDT" xfId="818" xr:uid="{00000000-0005-0000-0000-000037030000}"/>
    <cellStyle name="だ_PLDT" xfId="819" xr:uid="{00000000-0005-0000-0000-000038030000}"/>
    <cellStyle name="だ[0]_Total (2)" xfId="820" xr:uid="{00000000-0005-0000-0000-000039030000}"/>
    <cellStyle name="だ_laroux" xfId="821" xr:uid="{00000000-0005-0000-0000-00003A030000}"/>
    <cellStyle name="百分比" xfId="16" builtinId="5"/>
    <cellStyle name="百分比 2" xfId="822" xr:uid="{00000000-0005-0000-0000-00003B030000}"/>
    <cellStyle name="百分比 2 2" xfId="823" xr:uid="{00000000-0005-0000-0000-00003C030000}"/>
    <cellStyle name="百分比 2 3" xfId="824" xr:uid="{00000000-0005-0000-0000-00003D030000}"/>
    <cellStyle name="百分比 3" xfId="825" xr:uid="{00000000-0005-0000-0000-00003E030000}"/>
    <cellStyle name="百分比 3 2" xfId="826" xr:uid="{00000000-0005-0000-0000-00003F030000}"/>
    <cellStyle name="百分比 4" xfId="827" xr:uid="{00000000-0005-0000-0000-000040030000}"/>
    <cellStyle name="百分比 4 2" xfId="1023" xr:uid="{7D856C46-3A8F-446E-B8A1-9DDC3ACE7B97}"/>
    <cellStyle name="捠壿 [0.00]_PRODUCT DETAIL Q1" xfId="828" xr:uid="{00000000-0005-0000-0000-000041030000}"/>
    <cellStyle name="捠壿_PRODUCT DETAIL Q1" xfId="829" xr:uid="{00000000-0005-0000-0000-000042030000}"/>
    <cellStyle name="标题 5" xfId="830" xr:uid="{00000000-0005-0000-0000-000043030000}"/>
    <cellStyle name="標準_１１月価格表" xfId="831" xr:uid="{00000000-0005-0000-0000-000044030000}"/>
    <cellStyle name="表标题" xfId="832" xr:uid="{00000000-0005-0000-0000-000045030000}"/>
    <cellStyle name="差_10存货" xfId="833" xr:uid="{00000000-0005-0000-0000-000046030000}"/>
    <cellStyle name="差_19-无形资产（空白模板）" xfId="834" xr:uid="{00000000-0005-0000-0000-000047030000}"/>
    <cellStyle name="差_2-交易性金融资产（空白模板）" xfId="835" xr:uid="{00000000-0005-0000-0000-000048030000}"/>
    <cellStyle name="差_3-2 进一步审计程序-采购与付款循环" xfId="836" xr:uid="{00000000-0005-0000-0000-000049030000}"/>
    <cellStyle name="差_3-3 进一步审计程序-存货与生产循环" xfId="837" xr:uid="{00000000-0005-0000-0000-00004A030000}"/>
    <cellStyle name="差_49-营业收入（空白模板）" xfId="838" xr:uid="{00000000-0005-0000-0000-00004B030000}"/>
    <cellStyle name="差_4-应收账款（空白模板）" xfId="839" xr:uid="{00000000-0005-0000-0000-00004C030000}"/>
    <cellStyle name="差_50-营业成本（空白模板）" xfId="840" xr:uid="{00000000-0005-0000-0000-00004D030000}"/>
    <cellStyle name="差_51-营业税金及附加（空白模板）" xfId="841" xr:uid="{00000000-0005-0000-0000-00004E030000}"/>
    <cellStyle name="差_54-财务费用（空白模板）" xfId="842" xr:uid="{00000000-0005-0000-0000-00004F030000}"/>
    <cellStyle name="差_55-资产减值损失（空白模板）" xfId="843" xr:uid="{00000000-0005-0000-0000-000050030000}"/>
    <cellStyle name="差_9管理费用" xfId="844" xr:uid="{00000000-0005-0000-0000-000051030000}"/>
    <cellStyle name="差_Book2" xfId="845" xr:uid="{00000000-0005-0000-0000-000052030000}"/>
    <cellStyle name="差_dxn底稿目录" xfId="846" xr:uid="{00000000-0005-0000-0000-000053030000}"/>
    <cellStyle name="差_Sheet1" xfId="847" xr:uid="{00000000-0005-0000-0000-000054030000}"/>
    <cellStyle name="差_ZA0货币资金审定表 " xfId="848" xr:uid="{00000000-0005-0000-0000-000055030000}"/>
    <cellStyle name="差_存货" xfId="849" xr:uid="{00000000-0005-0000-0000-000056030000}"/>
    <cellStyle name="差_大信底稿目录" xfId="850" xr:uid="{00000000-0005-0000-0000-000057030000}"/>
    <cellStyle name="差_底稿设置宏" xfId="851" xr:uid="{00000000-0005-0000-0000-000058030000}"/>
    <cellStyle name="差_货币资金" xfId="852" xr:uid="{00000000-0005-0000-0000-000059030000}"/>
    <cellStyle name="差_货币资金 天职" xfId="853" xr:uid="{00000000-0005-0000-0000-00005A030000}"/>
    <cellStyle name="差_货币资金 岳华" xfId="854" xr:uid="{00000000-0005-0000-0000-00005B030000}"/>
    <cellStyle name="差_无形资产" xfId="855" xr:uid="{00000000-0005-0000-0000-00005C030000}"/>
    <cellStyle name="差_应付职工薪酬" xfId="856" xr:uid="{00000000-0005-0000-0000-00005D030000}"/>
    <cellStyle name="差_应收账款" xfId="857" xr:uid="{00000000-0005-0000-0000-00005E030000}"/>
    <cellStyle name="差_账项明细表" xfId="858" xr:uid="{00000000-0005-0000-0000-00005F030000}"/>
    <cellStyle name="常规" xfId="0" builtinId="0"/>
    <cellStyle name="常规 10" xfId="1018" xr:uid="{C96432C3-390B-4537-8AE4-382702EB1585}"/>
    <cellStyle name="常规 10 2" xfId="1050" xr:uid="{FB6D3C9B-3651-48DD-81E0-1D2ACABE9062}"/>
    <cellStyle name="常规 10 5" xfId="1052" xr:uid="{64CC0B88-D120-41B8-B1E4-C25A4323276E}"/>
    <cellStyle name="常规 11" xfId="1056" xr:uid="{74E0C162-06E0-4F6B-BFA3-EA051B922598}"/>
    <cellStyle name="常规 14" xfId="1051" xr:uid="{224A5671-9056-4327-B540-642D3410CD9E}"/>
    <cellStyle name="常规 2" xfId="859" xr:uid="{00000000-0005-0000-0000-000060030000}"/>
    <cellStyle name="常规 2- " xfId="860" xr:uid="{00000000-0005-0000-0000-000061030000}"/>
    <cellStyle name="常规 2 2" xfId="34" xr:uid="{00000000-0005-0000-0000-000027000000}"/>
    <cellStyle name="常规 2 2 2" xfId="861" xr:uid="{00000000-0005-0000-0000-000062030000}"/>
    <cellStyle name="常规 2 2 2 2" xfId="862" xr:uid="{00000000-0005-0000-0000-000063030000}"/>
    <cellStyle name="常规 2 2 2 2 2" xfId="863" xr:uid="{00000000-0005-0000-0000-000064030000}"/>
    <cellStyle name="常规 2 2 2 3" xfId="864" xr:uid="{00000000-0005-0000-0000-000065030000}"/>
    <cellStyle name="常规 2 2 3" xfId="865" xr:uid="{00000000-0005-0000-0000-000066030000}"/>
    <cellStyle name="常规 2 2 3 2" xfId="866" xr:uid="{00000000-0005-0000-0000-000067030000}"/>
    <cellStyle name="常规 2 2 3 3 2" xfId="1027" xr:uid="{F52973B2-46ED-4360-B90C-5083FFC0B76E}"/>
    <cellStyle name="常规 2 2 4" xfId="1036" xr:uid="{26A4B409-A7D2-4F80-A7E1-1569895596EE}"/>
    <cellStyle name="常规 2 2 5" xfId="1038" xr:uid="{DC22D449-0497-4AA0-AD7C-D120726E6B70}"/>
    <cellStyle name="常规 2 3" xfId="867" xr:uid="{00000000-0005-0000-0000-000068030000}"/>
    <cellStyle name="常规 2 4" xfId="868" xr:uid="{00000000-0005-0000-0000-000069030000}"/>
    <cellStyle name="常规 2 5" xfId="869" xr:uid="{00000000-0005-0000-0000-00006A030000}"/>
    <cellStyle name="常规 2 6" xfId="870" xr:uid="{00000000-0005-0000-0000-00006B030000}"/>
    <cellStyle name="常规 2 7" xfId="871" xr:uid="{00000000-0005-0000-0000-00006C030000}"/>
    <cellStyle name="常规 2_10存货" xfId="872" xr:uid="{00000000-0005-0000-0000-00006D030000}"/>
    <cellStyle name="常规 3" xfId="35" xr:uid="{00000000-0005-0000-0000-000028000000}"/>
    <cellStyle name="常规 3 2" xfId="873" xr:uid="{00000000-0005-0000-0000-00006E030000}"/>
    <cellStyle name="常规 3 2 2" xfId="874" xr:uid="{00000000-0005-0000-0000-00006F030000}"/>
    <cellStyle name="常规 3 2 2 2" xfId="875" xr:uid="{00000000-0005-0000-0000-000070030000}"/>
    <cellStyle name="常规 3 2 4" xfId="1042" xr:uid="{E5552044-4342-4822-8C93-1701DBC5E72B}"/>
    <cellStyle name="常规 3 2_3" xfId="876" xr:uid="{00000000-0005-0000-0000-000071030000}"/>
    <cellStyle name="常规 3 3" xfId="877" xr:uid="{00000000-0005-0000-0000-000072030000}"/>
    <cellStyle name="常规 3 3 2" xfId="878" xr:uid="{00000000-0005-0000-0000-000073030000}"/>
    <cellStyle name="常规 3 4" xfId="879" xr:uid="{00000000-0005-0000-0000-000074030000}"/>
    <cellStyle name="常规 3 5" xfId="880" xr:uid="{00000000-0005-0000-0000-000075030000}"/>
    <cellStyle name="常规 3_1" xfId="881" xr:uid="{00000000-0005-0000-0000-000076030000}"/>
    <cellStyle name="常规 4" xfId="882" xr:uid="{00000000-0005-0000-0000-000077030000}"/>
    <cellStyle name="常规 4 2" xfId="883" xr:uid="{00000000-0005-0000-0000-000078030000}"/>
    <cellStyle name="常规 4 3" xfId="884" xr:uid="{00000000-0005-0000-0000-000079030000}"/>
    <cellStyle name="常规 5" xfId="885" xr:uid="{00000000-0005-0000-0000-00007A030000}"/>
    <cellStyle name="常规 5 2" xfId="886" xr:uid="{00000000-0005-0000-0000-00007B030000}"/>
    <cellStyle name="常规 6" xfId="887" xr:uid="{00000000-0005-0000-0000-00007C030000}"/>
    <cellStyle name="常规 6 2" xfId="888" xr:uid="{00000000-0005-0000-0000-00007D030000}"/>
    <cellStyle name="常规 7" xfId="889" xr:uid="{00000000-0005-0000-0000-00007E030000}"/>
    <cellStyle name="常规 7 2" xfId="890" xr:uid="{00000000-0005-0000-0000-00007F030000}"/>
    <cellStyle name="常规 8" xfId="891" xr:uid="{00000000-0005-0000-0000-000080030000}"/>
    <cellStyle name="常规 8 2" xfId="892" xr:uid="{00000000-0005-0000-0000-000081030000}"/>
    <cellStyle name="常规 9" xfId="1037" xr:uid="{EE4A2AC3-DA5E-432B-AFB1-D825F4D377C3}"/>
    <cellStyle name="常规 9 2" xfId="1024" xr:uid="{952FEDA3-8EA7-47F2-999B-8BA848E4940C}"/>
    <cellStyle name="常规 9 2 2" xfId="1028" xr:uid="{F70F00BF-0584-428F-A950-EF479CE51373}"/>
    <cellStyle name="常规 9 2 3" xfId="1030" xr:uid="{D1317745-A2F5-4F1A-BC34-DA8F68CC513E}"/>
    <cellStyle name="常规 9 3" xfId="1039" xr:uid="{FE668B23-BDCE-49FF-AD83-5C83D0C2370F}"/>
    <cellStyle name="常规_Book1" xfId="21" xr:uid="{00000000-0005-0000-0000-000019000000}"/>
    <cellStyle name="超级链接_综合类底稿表格" xfId="893" xr:uid="{00000000-0005-0000-0000-000082030000}"/>
    <cellStyle name="超連結 2" xfId="1035" xr:uid="{CCB8E706-FA15-4881-ACE9-00F5CC47BDFD}"/>
    <cellStyle name="超链接 2" xfId="894" xr:uid="{00000000-0005-0000-0000-000083030000}"/>
    <cellStyle name="超链接 2 2" xfId="895" xr:uid="{00000000-0005-0000-0000-000084030000}"/>
    <cellStyle name="超链接 2 2 2" xfId="1031" xr:uid="{BA966A2C-6DC1-486F-B1A2-3B1DDBCE049B}"/>
    <cellStyle name="超链接 2 3" xfId="1019" xr:uid="{03F29CCC-F2CD-4518-8212-5843EBF71FF9}"/>
    <cellStyle name="超链接 3" xfId="896" xr:uid="{00000000-0005-0000-0000-000085030000}"/>
    <cellStyle name="超链接 4" xfId="897" xr:uid="{00000000-0005-0000-0000-000086030000}"/>
    <cellStyle name="超链接 5" xfId="1061" xr:uid="{C7FD2038-E21F-4482-A048-7574094317BF}"/>
    <cellStyle name="好_10存货" xfId="898" xr:uid="{00000000-0005-0000-0000-000087030000}"/>
    <cellStyle name="好_19-无形资产（空白模板）" xfId="899" xr:uid="{00000000-0005-0000-0000-000088030000}"/>
    <cellStyle name="好_1财务费用" xfId="900" xr:uid="{00000000-0005-0000-0000-000089030000}"/>
    <cellStyle name="好_1营业收入" xfId="901" xr:uid="{00000000-0005-0000-0000-00008A030000}"/>
    <cellStyle name="好_1资产减值损失" xfId="902" xr:uid="{00000000-0005-0000-0000-00008B030000}"/>
    <cellStyle name="好_2-交易性金融资产（空白模板）" xfId="903" xr:uid="{00000000-0005-0000-0000-00008C030000}"/>
    <cellStyle name="好_3-2 进一步审计程序-采购与付款循环" xfId="904" xr:uid="{00000000-0005-0000-0000-00008D030000}"/>
    <cellStyle name="好_3-3 进一步审计程序-存货与生产循环" xfId="905" xr:uid="{00000000-0005-0000-0000-00008E030000}"/>
    <cellStyle name="好_49-营业收入（空白模板）" xfId="906" xr:uid="{00000000-0005-0000-0000-00008F030000}"/>
    <cellStyle name="好_4-应收账款（空白模板）" xfId="907" xr:uid="{00000000-0005-0000-0000-000090030000}"/>
    <cellStyle name="好_50-营业成本（空白模板）" xfId="908" xr:uid="{00000000-0005-0000-0000-000091030000}"/>
    <cellStyle name="好_51-营业税金及附加（空白模板）" xfId="909" xr:uid="{00000000-0005-0000-0000-000092030000}"/>
    <cellStyle name="好_54-财务费用（空白模板）" xfId="910" xr:uid="{00000000-0005-0000-0000-000093030000}"/>
    <cellStyle name="好_55-资产减值损失（空白模板）" xfId="911" xr:uid="{00000000-0005-0000-0000-000094030000}"/>
    <cellStyle name="好_9管理费用" xfId="912" xr:uid="{00000000-0005-0000-0000-000095030000}"/>
    <cellStyle name="好_Book2" xfId="913" xr:uid="{00000000-0005-0000-0000-000096030000}"/>
    <cellStyle name="好_Sheet1" xfId="914" xr:uid="{00000000-0005-0000-0000-000097030000}"/>
    <cellStyle name="好_ZA0货币资金审定表 " xfId="915" xr:uid="{00000000-0005-0000-0000-000098030000}"/>
    <cellStyle name="好_财务费用" xfId="916" xr:uid="{00000000-0005-0000-0000-000099030000}"/>
    <cellStyle name="好_存货" xfId="917" xr:uid="{00000000-0005-0000-0000-00009A030000}"/>
    <cellStyle name="好_存货 - 复制" xfId="918" xr:uid="{00000000-0005-0000-0000-00009B030000}"/>
    <cellStyle name="好_大信底稿目录" xfId="919" xr:uid="{00000000-0005-0000-0000-00009C030000}"/>
    <cellStyle name="好_底稿设置宏" xfId="920" xr:uid="{00000000-0005-0000-0000-00009D030000}"/>
    <cellStyle name="好_底稿设置宏_大信底稿目录" xfId="921" xr:uid="{00000000-0005-0000-0000-00009E030000}"/>
    <cellStyle name="好_货币资金" xfId="922" xr:uid="{00000000-0005-0000-0000-00009F030000}"/>
    <cellStyle name="好_货币资金 天职" xfId="923" xr:uid="{00000000-0005-0000-0000-0000A0030000}"/>
    <cellStyle name="好_货币资金 岳华" xfId="924" xr:uid="{00000000-0005-0000-0000-0000A1030000}"/>
    <cellStyle name="好_实收资本(股本)" xfId="925" xr:uid="{00000000-0005-0000-0000-0000A2030000}"/>
    <cellStyle name="好_无形资产" xfId="926" xr:uid="{00000000-0005-0000-0000-0000A3030000}"/>
    <cellStyle name="好_银行函证结果汇总表" xfId="927" xr:uid="{00000000-0005-0000-0000-0000A4030000}"/>
    <cellStyle name="好_应付职工薪酬" xfId="929" xr:uid="{00000000-0005-0000-0000-0000A6030000}"/>
    <cellStyle name="好_应收利息" xfId="930" xr:uid="{00000000-0005-0000-0000-0000A7030000}"/>
    <cellStyle name="好_应收账款" xfId="931" xr:uid="{00000000-0005-0000-0000-0000A8030000}"/>
    <cellStyle name="好_营业收入" xfId="928" xr:uid="{00000000-0005-0000-0000-0000A5030000}"/>
    <cellStyle name="好_账项明细表" xfId="932" xr:uid="{00000000-0005-0000-0000-0000A9030000}"/>
    <cellStyle name="好_资产负债标准底稿" xfId="933" xr:uid="{00000000-0005-0000-0000-0000AA030000}"/>
    <cellStyle name="好_资产负债标准底稿_大信底稿目录" xfId="934" xr:uid="{00000000-0005-0000-0000-0000AB030000}"/>
    <cellStyle name="好_资产负债类底稿模版" xfId="935" xr:uid="{00000000-0005-0000-0000-0000AC030000}"/>
    <cellStyle name="好_资产负债类底稿模版_大信底稿目录" xfId="936" xr:uid="{00000000-0005-0000-0000-0000AD030000}"/>
    <cellStyle name="好_资产减值损失" xfId="937" xr:uid="{00000000-0005-0000-0000-0000AE030000}"/>
    <cellStyle name="桁区切り [0.00]_１１月価格表" xfId="938" xr:uid="{00000000-0005-0000-0000-0000AF030000}"/>
    <cellStyle name="桁区切り_１１月価格表" xfId="939" xr:uid="{00000000-0005-0000-0000-0000B0030000}"/>
    <cellStyle name="貨幣 [0]_SGV" xfId="940" xr:uid="{00000000-0005-0000-0000-0000B1030000}"/>
    <cellStyle name="貨幣_SGV" xfId="941" xr:uid="{00000000-0005-0000-0000-0000B2030000}"/>
    <cellStyle name="霓付 [0]_1202" xfId="942" xr:uid="{00000000-0005-0000-0000-0000B3030000}"/>
    <cellStyle name="霓付_1202" xfId="943" xr:uid="{00000000-0005-0000-0000-0000B4030000}"/>
    <cellStyle name="烹拳 [0]_1202" xfId="944" xr:uid="{00000000-0005-0000-0000-0000B5030000}"/>
    <cellStyle name="烹拳_1202" xfId="945" xr:uid="{00000000-0005-0000-0000-0000B6030000}"/>
    <cellStyle name="砯刽 [0]_PLDT" xfId="946" xr:uid="{00000000-0005-0000-0000-0000B7030000}"/>
    <cellStyle name="砯刽_PLDT" xfId="947" xr:uid="{00000000-0005-0000-0000-0000B8030000}"/>
    <cellStyle name="普通_ 白土" xfId="948" xr:uid="{00000000-0005-0000-0000-0000B9030000}"/>
    <cellStyle name="千分位[0]_ 白土" xfId="949" xr:uid="{00000000-0005-0000-0000-0000BA030000}"/>
    <cellStyle name="千分位_ 白土" xfId="950" xr:uid="{00000000-0005-0000-0000-0000BB030000}"/>
    <cellStyle name="千位[0]_1995" xfId="951" xr:uid="{00000000-0005-0000-0000-0000BC030000}"/>
    <cellStyle name="千位_1995" xfId="952" xr:uid="{00000000-0005-0000-0000-0000BD030000}"/>
    <cellStyle name="千位分隔 10" xfId="1049" xr:uid="{49039917-37D6-432E-AA08-089E597BE514}"/>
    <cellStyle name="千位分隔 10 2" xfId="1062" xr:uid="{2F51C2DD-11AB-4649-B39F-CEE8CA97DF4A}"/>
    <cellStyle name="千位分隔 10 3" xfId="1059" xr:uid="{6F2595B0-9762-4779-BBF5-3AC2608397B9}"/>
    <cellStyle name="千位分隔 13" xfId="1057" xr:uid="{8C81435C-BF2D-4E94-8CD7-F55C1601D74C}"/>
    <cellStyle name="千位分隔 2" xfId="953" xr:uid="{00000000-0005-0000-0000-0000BE030000}"/>
    <cellStyle name="千位分隔 2 2" xfId="39" xr:uid="{00000000-0005-0000-0000-00002C000000}"/>
    <cellStyle name="千位分隔 2 2 2" xfId="954" xr:uid="{00000000-0005-0000-0000-0000BF030000}"/>
    <cellStyle name="千位分隔 2 2 2 2" xfId="955" xr:uid="{00000000-0005-0000-0000-0000C0030000}"/>
    <cellStyle name="千位分隔 2 2 3" xfId="956" xr:uid="{00000000-0005-0000-0000-0000C1030000}"/>
    <cellStyle name="千位分隔 2 2 4" xfId="957" xr:uid="{00000000-0005-0000-0000-0000C2030000}"/>
    <cellStyle name="千位分隔 2 2 5" xfId="958" xr:uid="{00000000-0005-0000-0000-0000C3030000}"/>
    <cellStyle name="千位分隔 2 3" xfId="959" xr:uid="{00000000-0005-0000-0000-0000C4030000}"/>
    <cellStyle name="千位分隔 2 3 2" xfId="960" xr:uid="{00000000-0005-0000-0000-0000C5030000}"/>
    <cellStyle name="千位分隔 2 3 3" xfId="961" xr:uid="{00000000-0005-0000-0000-0000C6030000}"/>
    <cellStyle name="千位分隔 2 4" xfId="962" xr:uid="{00000000-0005-0000-0000-0000C7030000}"/>
    <cellStyle name="千位分隔 2 5" xfId="963" xr:uid="{00000000-0005-0000-0000-0000C8030000}"/>
    <cellStyle name="千位分隔 2 6" xfId="964" xr:uid="{00000000-0005-0000-0000-0000C9030000}"/>
    <cellStyle name="千位分隔 2_1" xfId="965" xr:uid="{00000000-0005-0000-0000-0000CA030000}"/>
    <cellStyle name="千位分隔 3" xfId="966" xr:uid="{00000000-0005-0000-0000-0000CB030000}"/>
    <cellStyle name="千位分隔 3 2" xfId="967" xr:uid="{00000000-0005-0000-0000-0000CC030000}"/>
    <cellStyle name="千位分隔 3 2 2" xfId="968" xr:uid="{00000000-0005-0000-0000-0000CD030000}"/>
    <cellStyle name="千位分隔 3 3" xfId="969" xr:uid="{00000000-0005-0000-0000-0000CE030000}"/>
    <cellStyle name="千位分隔 3 4" xfId="970" xr:uid="{00000000-0005-0000-0000-0000CF030000}"/>
    <cellStyle name="千位分隔 4" xfId="971" xr:uid="{00000000-0005-0000-0000-0000D0030000}"/>
    <cellStyle name="千位分隔 4 2" xfId="972" xr:uid="{00000000-0005-0000-0000-0000D1030000}"/>
    <cellStyle name="千位分隔 4 2 2" xfId="973" xr:uid="{00000000-0005-0000-0000-0000D2030000}"/>
    <cellStyle name="千位分隔 4 2 2 2" xfId="974" xr:uid="{00000000-0005-0000-0000-0000D3030000}"/>
    <cellStyle name="千位分隔 4 2 3" xfId="975" xr:uid="{00000000-0005-0000-0000-0000D4030000}"/>
    <cellStyle name="千位分隔 4 2 4" xfId="976" xr:uid="{00000000-0005-0000-0000-0000D5030000}"/>
    <cellStyle name="千位分隔 4 2_1" xfId="977" xr:uid="{00000000-0005-0000-0000-0000D6030000}"/>
    <cellStyle name="千位分隔 4 3" xfId="978" xr:uid="{00000000-0005-0000-0000-0000D7030000}"/>
    <cellStyle name="千位分隔 4 3 2" xfId="979" xr:uid="{00000000-0005-0000-0000-0000D8030000}"/>
    <cellStyle name="千位分隔 4 4" xfId="980" xr:uid="{00000000-0005-0000-0000-0000D9030000}"/>
    <cellStyle name="千位分隔 4 5" xfId="981" xr:uid="{00000000-0005-0000-0000-0000DA030000}"/>
    <cellStyle name="千位分隔 4_1" xfId="982" xr:uid="{00000000-0005-0000-0000-0000DB030000}"/>
    <cellStyle name="千位分隔 5" xfId="983" xr:uid="{00000000-0005-0000-0000-0000DC030000}"/>
    <cellStyle name="千位分隔 5 2" xfId="984" xr:uid="{00000000-0005-0000-0000-0000DD030000}"/>
    <cellStyle name="千位分隔 5 3" xfId="985" xr:uid="{00000000-0005-0000-0000-0000DE030000}"/>
    <cellStyle name="千位分隔 6" xfId="986" xr:uid="{00000000-0005-0000-0000-0000DF030000}"/>
    <cellStyle name="千位分隔 6 2" xfId="987" xr:uid="{00000000-0005-0000-0000-0000E0030000}"/>
    <cellStyle name="千位分隔 7" xfId="988" xr:uid="{00000000-0005-0000-0000-0000E1030000}"/>
    <cellStyle name="千位分隔 7 2" xfId="989" xr:uid="{00000000-0005-0000-0000-0000E2030000}"/>
    <cellStyle name="千位分隔 7 3" xfId="1022" xr:uid="{73A9AC16-CE07-4703-BEF6-9C4BF8F48EEC}"/>
    <cellStyle name="千位分隔 8" xfId="990" xr:uid="{00000000-0005-0000-0000-0000E3030000}"/>
    <cellStyle name="千位分隔 8 2" xfId="991" xr:uid="{00000000-0005-0000-0000-0000E4030000}"/>
    <cellStyle name="千位分隔 9" xfId="1033" xr:uid="{B3F85CF0-C3E4-474C-86D4-7947892A2DD3}"/>
    <cellStyle name="千位分隔[0] 2" xfId="36" xr:uid="{00000000-0005-0000-0000-000029000000}"/>
    <cellStyle name="千位分隔[0] 2 2" xfId="992" xr:uid="{00000000-0005-0000-0000-0000E5030000}"/>
    <cellStyle name="钎霖_(沥焊何巩)岿喊牢盔拌裙" xfId="993" xr:uid="{00000000-0005-0000-0000-0000E6030000}"/>
    <cellStyle name="强调 1" xfId="994" xr:uid="{00000000-0005-0000-0000-0000E7030000}"/>
    <cellStyle name="强调 2" xfId="995" xr:uid="{00000000-0005-0000-0000-0000E8030000}"/>
    <cellStyle name="强调 3" xfId="996" xr:uid="{00000000-0005-0000-0000-0000E9030000}"/>
    <cellStyle name="强调文字颜色 1" xfId="997" xr:uid="{00000000-0005-0000-0000-0000EA030000}"/>
    <cellStyle name="强调文字颜色 2" xfId="998" xr:uid="{00000000-0005-0000-0000-0000EB030000}"/>
    <cellStyle name="强调文字颜色 3" xfId="999" xr:uid="{00000000-0005-0000-0000-0000EC030000}"/>
    <cellStyle name="强调文字颜色 4" xfId="1000" xr:uid="{00000000-0005-0000-0000-0000ED030000}"/>
    <cellStyle name="强调文字颜色 5" xfId="1001" xr:uid="{00000000-0005-0000-0000-0000EE030000}"/>
    <cellStyle name="强调文字颜色 6" xfId="1002" xr:uid="{00000000-0005-0000-0000-0000EF030000}"/>
    <cellStyle name="通貨 [0.00]_１１月価格表" xfId="1003" xr:uid="{00000000-0005-0000-0000-0000F0030000}"/>
    <cellStyle name="通貨_１１月価格表" xfId="1004" xr:uid="{00000000-0005-0000-0000-0000F1030000}"/>
    <cellStyle name="样式 1" xfId="1005" xr:uid="{00000000-0005-0000-0000-0000F2030000}"/>
    <cellStyle name="一般 2" xfId="1034" xr:uid="{FCB23121-3D7F-421B-8774-C2F8C0336CDC}"/>
    <cellStyle name="一般_SGV" xfId="1006" xr:uid="{00000000-0005-0000-0000-0000F3030000}"/>
    <cellStyle name="昗弨_BOOKSHIP" xfId="1007" xr:uid="{00000000-0005-0000-0000-0000F4030000}"/>
    <cellStyle name="寘嬫愗傝 [0.00]_PRODUCT DETAIL Q1" xfId="1008" xr:uid="{00000000-0005-0000-0000-0000F5030000}"/>
    <cellStyle name="寘嬫愗傝_PRODUCT DETAIL Q1" xfId="1009" xr:uid="{00000000-0005-0000-0000-0000F6030000}"/>
    <cellStyle name="资产" xfId="1010" xr:uid="{00000000-0005-0000-0000-0000F7030000}"/>
    <cellStyle name="资产 2" xfId="1011" xr:uid="{00000000-0005-0000-0000-0000F8030000}"/>
    <cellStyle name="콤마 [0]_BOILER-CO1" xfId="1012" xr:uid="{00000000-0005-0000-0000-0000F9030000}"/>
    <cellStyle name="콤마_BOILER-CO1" xfId="1013" xr:uid="{00000000-0005-0000-0000-0000FA030000}"/>
    <cellStyle name="통화 [0]_BOILER-CO1" xfId="1014" xr:uid="{00000000-0005-0000-0000-0000FB030000}"/>
    <cellStyle name="통화_BOILER-CO1" xfId="1015" xr:uid="{00000000-0005-0000-0000-0000FC030000}"/>
    <cellStyle name="표준_0N-HANDLING " xfId="1016" xr:uid="{00000000-0005-0000-0000-0000FD030000}"/>
  </cellStyles>
  <dxfs count="16">
    <dxf>
      <font>
        <b/>
        <i val="0"/>
        <strike/>
        <color rgb="FF0000FF"/>
      </font>
    </dxf>
    <dxf>
      <fill>
        <patternFill>
          <bgColor rgb="FFFFFFCC"/>
        </patternFill>
      </fill>
    </dxf>
    <dxf>
      <fill>
        <patternFill>
          <bgColor rgb="FFFFFFCC"/>
        </patternFill>
      </fill>
    </dxf>
    <dxf>
      <fill>
        <patternFill>
          <bgColor rgb="FFFFFFCC"/>
        </patternFill>
      </fill>
    </dxf>
    <dxf>
      <border>
        <left style="thin">
          <color auto="1"/>
        </left>
        <right style="thin">
          <color auto="1"/>
        </right>
      </border>
    </dxf>
    <dxf>
      <border>
        <left style="thin">
          <color auto="1"/>
        </left>
        <right style="thin">
          <color auto="1"/>
        </right>
      </border>
    </dxf>
    <dxf>
      <fill>
        <patternFill>
          <bgColor theme="0" tint="-0.1499069185460982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00000000-0011-0000-FFFF-FFFF00000000}">
      <tableStyleElement type="wholeTable" dxfId="15"/>
      <tableStyleElement type="totalRow" dxfId="14"/>
      <tableStyleElement type="firstRowStripe" dxfId="13"/>
      <tableStyleElement type="secondRowStripe" dxfId="12"/>
      <tableStyleElement type="firstColumnStripe" dxfId="11"/>
      <tableStyleElement type="secondColumnStripe" dxfId="10"/>
    </tableStyle>
    <tableStyle name="MySqlDefault" table="0" count="0" xr9:uid="{00000000-0011-0000-FFFF-FFFF01000000}"/>
    <tableStyle name="Table Style 1 2" pivot="0" count="6" xr9:uid="{00000000-0011-0000-FFFF-FFFF02000000}">
      <tableStyleElement type="wholeTable" dxfId="9"/>
      <tableStyleElement type="totalRow" dxfId="8"/>
      <tableStyleElement type="firstRowStripe" dxfId="7"/>
      <tableStyleElement type="secondRowStripe" dxfId="6"/>
      <tableStyleElement type="firstColumnStripe" dxfId="5"/>
      <tableStyleElement type="secondColumnStripe" dxfId="4"/>
    </tableStyle>
  </tableStyles>
  <colors>
    <mruColors>
      <color rgb="FFFFFFCC"/>
      <color rgb="FF0563C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3.1%26K,%E5%80%BC%E9%87%91%E9%A2%9D%E7%AD%89%E3%80%82"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176893</xdr:colOff>
      <xdr:row>3</xdr:row>
      <xdr:rowOff>0</xdr:rowOff>
    </xdr:from>
    <xdr:to>
      <xdr:col>6</xdr:col>
      <xdr:colOff>433010</xdr:colOff>
      <xdr:row>4</xdr:row>
      <xdr:rowOff>47625</xdr:rowOff>
    </xdr:to>
    <xdr:pic>
      <xdr:nvPicPr>
        <xdr:cNvPr id="2" name="Picture 1">
          <a:hlinkClick xmlns:r="http://schemas.openxmlformats.org/officeDocument/2006/relationships" r:id="rId1" tooltip="折旧政策"/>
          <a:extLst>
            <a:ext uri="{FF2B5EF4-FFF2-40B4-BE49-F238E27FC236}">
              <a16:creationId xmlns:a16="http://schemas.microsoft.com/office/drawing/2014/main" id="{9349F459-670C-4249-88AA-1DEC2929F937}"/>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2"/>
        <a:stretch>
          <a:fillRect/>
        </a:stretch>
      </xdr:blipFill>
      <xdr:spPr>
        <a:xfrm>
          <a:off x="6395357" y="1020536"/>
          <a:ext cx="256117" cy="247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ychinamanaged.sharepoint.cn/Users/XV199MW/Desktop/2023&#24180;&#24213;&#31295;&#27169;&#26495;&#20462;&#25913;/&#24180;&#23457;&#24213;&#31295;&#27169;&#26495;-0731/&#24050;review/&#26631;&#20934;&#23457;&#35745;&#24213;&#31295;&#27169;&#26495;_C_&#36135;&#24065;&#36164;&#37329;_202YMMDD_XYZ&#20844;&#21496;_v1.5.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ychinamanaged.sharepoint.cn/sites/GCknowledgecenter/Shared%20Documents/&#23457;&#35745;&#26631;&#20934;&#24213;&#31295;/&#26631;&#20934;&#23457;&#35745;&#24213;&#31295;&#27169;&#26495;&#31532;&#20116;&#29256;-&#20351;&#29992;&#29256;/L1%20SWP%20&#26080;&#24418;&#36164;&#20135;%20202YMMDD%20XYZ&#20844;&#21496;.xlsx" TargetMode="External"/><Relationship Id="rId1" Type="http://schemas.openxmlformats.org/officeDocument/2006/relationships/externalLinkPath" Target="https://eychinamanaged.sharepoint.cn/sites/GCknowledgecenter/Shared%20Documents/&#23457;&#35745;&#26631;&#20934;&#24213;&#31295;/&#26631;&#20934;&#23457;&#35745;&#24213;&#31295;&#27169;&#26495;&#31532;&#20116;&#29256;-&#20351;&#29992;&#29256;/L1%20SWP%20&#26080;&#24418;&#36164;&#20135;%20202YMMDD%20XYZ&#20844;&#2149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_100Breakdown"/>
      <sheetName val="C_110函证控制表"/>
      <sheetName val="SkywindSettingSheet"/>
      <sheetName val="Sheet1"/>
      <sheetName val="修改记录表"/>
      <sheetName val="汇总"/>
      <sheetName val="C_有限风险账户"/>
      <sheetName val="C_Lead"/>
      <sheetName val="C_120函控表交叉核对表"/>
      <sheetName val="C_200银行余额调节表"/>
      <sheetName val="C_400利息测试"/>
      <sheetName val="OSP"/>
      <sheetName val="IPE"/>
      <sheetName val="报告披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汇总"/>
      <sheetName val="L1.00 Lead"/>
      <sheetName val="L1.01.1 BKD"/>
      <sheetName val="L1.01.1a IA list"/>
      <sheetName val="L1.02.1 新增测试"/>
      <sheetName val="L1.02.1a 选样输出"/>
      <sheetName val="L1.02.1b 新增清单"/>
      <sheetName val="L1.02.2 处置测试"/>
      <sheetName val="L1.02.2a 选样输出"/>
      <sheetName val="L1.02.2b 处置清单"/>
      <sheetName val="L1.03 摊销测试"/>
      <sheetName val="SkywindSettingSheet"/>
      <sheetName val="DS_INTERNAL_SETTINGS_STORAGE"/>
      <sheetName val="DS_INTERNAL_DOCGROUP_STORAGE"/>
      <sheetName val="DS_INTERNAL_DOCUMENT_STORAGE"/>
      <sheetName val="DS_INTERNAL_SNIP_STORAGE"/>
    </sheetNames>
    <sheetDataSet>
      <sheetData sheetId="0">
        <row r="5">
          <cell r="D5">
            <v>45657</v>
          </cell>
        </row>
      </sheetData>
      <sheetData sheetId="1"/>
      <sheetData sheetId="2">
        <row r="15">
          <cell r="G15" t="str">
            <v>土地使用权</v>
          </cell>
        </row>
      </sheetData>
      <sheetData sheetId="3"/>
      <sheetData sheetId="4"/>
      <sheetData sheetId="5"/>
      <sheetData sheetId="6">
        <row r="5">
          <cell r="D5" t="str">
            <v>土地使用权</v>
          </cell>
        </row>
      </sheetData>
      <sheetData sheetId="7"/>
      <sheetData sheetId="8"/>
      <sheetData sheetId="9">
        <row r="29">
          <cell r="D29" t="str">
            <v>无形资产编号</v>
          </cell>
          <cell r="E29" t="str">
            <v>无形资产名称</v>
          </cell>
          <cell r="F29" t="str">
            <v>原值</v>
          </cell>
          <cell r="G29" t="str">
            <v>累计摊销</v>
          </cell>
          <cell r="H29" t="str">
            <v>减值</v>
          </cell>
          <cell r="I29" t="str">
            <v>净值</v>
          </cell>
          <cell r="J29" t="str">
            <v>处置日期</v>
          </cell>
          <cell r="K29" t="str">
            <v>减少方式</v>
          </cell>
        </row>
        <row r="30">
          <cell r="I30">
            <v>0</v>
          </cell>
          <cell r="K30" t="str">
            <v>处置</v>
          </cell>
        </row>
        <row r="31">
          <cell r="I31">
            <v>0</v>
          </cell>
          <cell r="K31" t="str">
            <v>报废</v>
          </cell>
        </row>
        <row r="32">
          <cell r="I32">
            <v>0</v>
          </cell>
          <cell r="K32" t="str">
            <v>其他转出</v>
          </cell>
        </row>
        <row r="33">
          <cell r="I33">
            <v>0</v>
          </cell>
        </row>
        <row r="34">
          <cell r="I34">
            <v>0</v>
          </cell>
        </row>
      </sheetData>
      <sheetData sheetId="10"/>
      <sheetData sheetId="1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F7A2-B06C-4AC5-9FFA-9B653720EA7B}">
  <dimension ref="A1:AH27"/>
  <sheetViews>
    <sheetView showGridLines="0" tabSelected="1" zoomScale="70" zoomScaleNormal="70" zoomScaleSheetLayoutView="70" workbookViewId="0">
      <selection activeCell="Q9" sqref="Q9:Q16"/>
    </sheetView>
  </sheetViews>
  <sheetFormatPr defaultColWidth="8.125" defaultRowHeight="12.75" customHeight="1"/>
  <cols>
    <col min="1" max="1" width="4.625" style="2" customWidth="1"/>
    <col min="2" max="2" width="15.375" style="1" customWidth="1"/>
    <col min="3" max="3" width="16.875" style="1" customWidth="1"/>
    <col min="4" max="4" width="12.375" style="1" bestFit="1" customWidth="1"/>
    <col min="5" max="5" width="14.5" style="1" bestFit="1" customWidth="1"/>
    <col min="6" max="6" width="17.875" style="1" customWidth="1"/>
    <col min="7" max="7" width="14" style="1" customWidth="1"/>
    <col min="8" max="11" width="13.875" style="1" customWidth="1"/>
    <col min="12" max="13" width="12.875" style="1" customWidth="1"/>
    <col min="14" max="14" width="11.75" style="1" customWidth="1"/>
    <col min="15" max="15" width="15.125" style="1" customWidth="1"/>
    <col min="16" max="16" width="14.25" style="1" bestFit="1" customWidth="1"/>
    <col min="17" max="17" width="19.75" style="1" customWidth="1"/>
    <col min="18" max="18" width="11.375" style="1" bestFit="1" customWidth="1"/>
    <col min="19" max="19" width="4.875" style="1" bestFit="1" customWidth="1"/>
    <col min="20" max="20" width="2.375" style="1" customWidth="1"/>
    <col min="21" max="21" width="1.875" style="1" customWidth="1"/>
    <col min="22" max="22" width="10.25" style="1" customWidth="1"/>
    <col min="23" max="23" width="11.375" style="1" customWidth="1"/>
    <col min="24" max="16384" width="8.125" style="1"/>
  </cols>
  <sheetData>
    <row r="1" spans="1:34" s="5" customFormat="1" ht="34.5" customHeight="1">
      <c r="A1" s="32"/>
      <c r="B1" s="59"/>
      <c r="C1" s="84"/>
      <c r="D1" s="84"/>
      <c r="E1" s="84"/>
      <c r="F1" s="84"/>
      <c r="G1" s="84"/>
      <c r="H1" s="84"/>
      <c r="I1" s="84" t="s">
        <v>0</v>
      </c>
      <c r="J1" s="85"/>
      <c r="K1" s="84"/>
      <c r="L1" s="84"/>
      <c r="M1" s="84"/>
      <c r="N1" s="84"/>
      <c r="O1" s="84"/>
      <c r="P1" s="84"/>
      <c r="Q1" s="84"/>
      <c r="R1" s="84"/>
      <c r="S1" s="84"/>
      <c r="U1" s="40"/>
    </row>
    <row r="2" spans="1:34" s="5" customFormat="1" ht="18">
      <c r="A2" s="42"/>
      <c r="B2" s="60" t="s">
        <v>1</v>
      </c>
      <c r="C2" s="86"/>
      <c r="D2" s="86"/>
      <c r="E2" s="86"/>
      <c r="F2" s="86"/>
      <c r="G2" s="86"/>
      <c r="H2" s="86"/>
      <c r="I2" s="86"/>
      <c r="J2" s="86"/>
      <c r="K2" s="86"/>
      <c r="L2" s="86"/>
      <c r="M2" s="86"/>
      <c r="N2" s="86"/>
      <c r="O2" s="86"/>
      <c r="P2" s="86"/>
      <c r="Q2" s="86"/>
      <c r="R2" s="86"/>
      <c r="S2" s="86"/>
      <c r="U2" s="40"/>
    </row>
    <row r="3" spans="1:34" s="7" customFormat="1">
      <c r="A3" s="23" t="s">
        <v>2</v>
      </c>
      <c r="B3" s="13"/>
      <c r="C3" s="13"/>
      <c r="D3" s="14"/>
      <c r="E3" s="6"/>
      <c r="F3" s="15"/>
      <c r="G3" s="15"/>
      <c r="H3" s="15"/>
      <c r="I3" s="16"/>
      <c r="J3" s="16"/>
      <c r="K3" s="16"/>
      <c r="L3" s="16"/>
      <c r="M3" s="16"/>
      <c r="N3" s="16"/>
      <c r="O3" s="16"/>
      <c r="P3" s="16"/>
      <c r="Q3" s="16"/>
      <c r="R3" s="16"/>
      <c r="S3" s="16"/>
      <c r="T3" s="16"/>
      <c r="U3" s="40"/>
      <c r="V3" s="16"/>
      <c r="W3" s="16"/>
      <c r="X3" s="16"/>
      <c r="Y3" s="16"/>
      <c r="Z3" s="16"/>
      <c r="AA3" s="16"/>
      <c r="AB3" s="16"/>
      <c r="AC3" s="16"/>
      <c r="AD3" s="16"/>
      <c r="AE3" s="16"/>
      <c r="AF3" s="16"/>
      <c r="AG3" s="16"/>
      <c r="AH3" s="16"/>
    </row>
    <row r="4" spans="1:34" s="37" customFormat="1" ht="16.5">
      <c r="B4" s="38"/>
      <c r="C4" s="39"/>
      <c r="D4" s="39"/>
      <c r="E4" s="39"/>
      <c r="F4" s="39"/>
      <c r="G4" s="39"/>
      <c r="H4" s="39"/>
      <c r="I4" s="39"/>
      <c r="J4" s="39"/>
      <c r="K4" s="39"/>
      <c r="M4" s="39"/>
      <c r="U4" s="40"/>
    </row>
    <row r="5" spans="1:34" s="37" customFormat="1" ht="14.25" customHeight="1">
      <c r="B5" s="41" t="s">
        <v>3</v>
      </c>
      <c r="C5" s="39"/>
      <c r="D5" s="39"/>
      <c r="E5" s="39"/>
      <c r="F5" s="39"/>
      <c r="G5" s="39"/>
      <c r="H5" s="39"/>
      <c r="I5" s="39"/>
      <c r="J5" s="39"/>
      <c r="K5" s="39"/>
      <c r="M5" s="39"/>
      <c r="U5" s="40"/>
    </row>
    <row r="6" spans="1:34" s="17" customFormat="1" ht="20.100000000000001" customHeight="1">
      <c r="A6" s="21"/>
      <c r="B6" s="57"/>
      <c r="C6" s="19"/>
      <c r="D6" s="19"/>
      <c r="E6" s="19"/>
      <c r="F6" s="19"/>
      <c r="G6" s="19"/>
      <c r="H6" s="19"/>
      <c r="I6" s="19"/>
      <c r="J6" s="19"/>
      <c r="K6" s="19"/>
      <c r="L6" s="89" t="s">
        <v>4</v>
      </c>
      <c r="M6" s="34"/>
      <c r="N6" s="35"/>
      <c r="O6" s="30"/>
      <c r="P6" s="29" t="s">
        <v>5</v>
      </c>
      <c r="Q6" s="31" t="s">
        <v>6</v>
      </c>
      <c r="R6" s="31" t="s">
        <v>7</v>
      </c>
      <c r="U6" s="40"/>
    </row>
    <row r="7" spans="1:34" s="8" customFormat="1" ht="17.25" customHeight="1">
      <c r="A7" s="21"/>
      <c r="B7" s="27" t="s">
        <v>8</v>
      </c>
      <c r="C7" s="24"/>
      <c r="D7" s="24"/>
      <c r="E7" s="25"/>
      <c r="F7" s="87" t="s">
        <v>9</v>
      </c>
      <c r="G7" s="88" t="s">
        <v>10</v>
      </c>
      <c r="H7" s="88" t="s">
        <v>11</v>
      </c>
      <c r="I7" s="26"/>
      <c r="J7" s="26"/>
      <c r="K7" s="26"/>
      <c r="L7" s="58">
        <v>46022</v>
      </c>
      <c r="M7" s="108" t="s">
        <v>12</v>
      </c>
      <c r="N7" s="109"/>
      <c r="O7" s="105" t="s">
        <v>13</v>
      </c>
      <c r="P7" s="106"/>
      <c r="Q7" s="106"/>
      <c r="R7" s="106"/>
      <c r="S7" s="107"/>
      <c r="U7" s="40"/>
    </row>
    <row r="8" spans="1:34" s="9" customFormat="1" ht="21" customHeight="1">
      <c r="A8" s="22"/>
      <c r="B8" s="61" t="s">
        <v>14</v>
      </c>
      <c r="C8" s="62" t="s">
        <v>15</v>
      </c>
      <c r="D8" s="62" t="s">
        <v>16</v>
      </c>
      <c r="E8" s="62" t="s">
        <v>17</v>
      </c>
      <c r="F8" s="62" t="s">
        <v>18</v>
      </c>
      <c r="G8" s="63" t="s">
        <v>19</v>
      </c>
      <c r="H8" s="64" t="s">
        <v>20</v>
      </c>
      <c r="I8" s="64" t="s">
        <v>21</v>
      </c>
      <c r="J8" s="64" t="s">
        <v>22</v>
      </c>
      <c r="K8" s="65" t="s">
        <v>23</v>
      </c>
      <c r="L8" s="66" t="s">
        <v>24</v>
      </c>
      <c r="M8" s="67" t="s">
        <v>25</v>
      </c>
      <c r="N8" s="68" t="s">
        <v>26</v>
      </c>
      <c r="O8" s="48" t="s">
        <v>27</v>
      </c>
      <c r="P8" s="49" t="s">
        <v>28</v>
      </c>
      <c r="Q8" s="48" t="s">
        <v>29</v>
      </c>
      <c r="R8" s="48" t="s">
        <v>30</v>
      </c>
      <c r="S8" s="50" t="s">
        <v>31</v>
      </c>
      <c r="U8" s="40"/>
    </row>
    <row r="9" spans="1:34" s="8" customFormat="1" ht="16.5">
      <c r="A9" s="21"/>
      <c r="B9" s="69"/>
      <c r="C9" s="70"/>
      <c r="D9" s="71"/>
      <c r="E9" s="72">
        <v>45870</v>
      </c>
      <c r="F9" s="71" t="s">
        <v>32</v>
      </c>
      <c r="G9" s="73"/>
      <c r="H9" s="93"/>
      <c r="I9" s="93"/>
      <c r="J9" s="93"/>
      <c r="K9" s="94"/>
      <c r="L9" s="94"/>
      <c r="M9" s="51">
        <v>45962</v>
      </c>
      <c r="N9" s="92"/>
      <c r="O9" s="43">
        <f>IFERROR(EOMONTH(E9,F9),"")</f>
        <v>49552</v>
      </c>
      <c r="P9" s="56">
        <f>IFERROR(IF(OR(AND(M9&lt;&gt;"",YEAR(M9)&lt;YEAR($L$7)),AND(O9&lt;&gt;"",YEAR(O9)&lt;YEAR($L$7))),0,IF(YEAR(E9)&gt;YEAR($L$7),0,IF(OR((IF(YEAR(E9)&lt;YEAR($L$7),1,IF(MONTH(E9)=12,99,MONTH(E9)+1))&gt;12),(IF(YEAR(E9)&lt;YEAR($L$7),1,IF(MONTH(E9)=12,99,MONTH(E9)+1))&gt;MIN(MONTH($L$7),IF(AND(M9&lt;&gt;"",YEAR(M9)=YEAR($L$7)),MONTH(M9),99),IF(AND(O9&lt;&gt;"",YEAR(O9)=YEAR($L$7)),MONTH(O9),99)))),0,MIN(MONTH($L$7),IF(AND(M9&lt;&gt;"",YEAR(M9)=YEAR($L$7)),MONTH(M9),99),IF(AND(O9&lt;&gt;"",YEAR(O9)=YEAR($L$7)),MONTH(O9),99))-IF(YEAR(E9)&lt;YEAR($L$7),1,IF(MONTH(E9)=12,99,MONTH(E9)+1))+1))),0)</f>
        <v>3</v>
      </c>
      <c r="Q9" s="90">
        <f>IFERROR(IF(N9=0,(H9*(1-G9))/F9*P9,(N9*(1-G9))/F9*P9),0)</f>
        <v>0</v>
      </c>
      <c r="R9" s="90">
        <f t="shared" ref="R9:R17" si="0">Q9-L9</f>
        <v>0</v>
      </c>
      <c r="S9" s="52"/>
      <c r="U9" s="40"/>
    </row>
    <row r="10" spans="1:34" s="8" customFormat="1" ht="16.5">
      <c r="A10" s="21"/>
      <c r="B10" s="69"/>
      <c r="C10" s="70"/>
      <c r="D10" s="71"/>
      <c r="E10" s="72"/>
      <c r="F10" s="71"/>
      <c r="G10" s="73"/>
      <c r="H10" s="93"/>
      <c r="I10" s="93"/>
      <c r="J10" s="93"/>
      <c r="K10" s="93"/>
      <c r="L10" s="93"/>
      <c r="M10" s="51"/>
      <c r="N10" s="92"/>
      <c r="O10" s="43">
        <f t="shared" ref="O10:O16" si="1">IFERROR(EOMONTH(E10,F10),"")</f>
        <v>31</v>
      </c>
      <c r="P10" s="56">
        <f t="shared" ref="P10:P16" si="2">IFERROR(IF(OR(AND(M10&lt;&gt;"",YEAR(M10)&lt;YEAR($L$7)),AND(O10&lt;&gt;"",YEAR(O10)&lt;YEAR($L$7))),0,IF(YEAR(E10)&gt;YEAR($L$7),0,IF(OR((IF(YEAR(E10)&lt;YEAR($L$7),1,IF(MONTH(E10)=12,99,MONTH(E10)+1))&gt;12),(IF(YEAR(E10)&lt;YEAR($L$7),1,IF(MONTH(E10)=12,99,MONTH(E10)+1))&gt;MIN(MONTH($L$7),IF(AND(M10&lt;&gt;"",YEAR(M10)=YEAR($L$7)),MONTH(M10),99),IF(AND(O10&lt;&gt;"",YEAR(O10)=YEAR($L$7)),MONTH(O10),99)))),0,MIN(MONTH($L$7),IF(AND(M10&lt;&gt;"",YEAR(M10)=YEAR($L$7)),MONTH(M10),99),IF(AND(O10&lt;&gt;"",YEAR(O10)=YEAR($L$7)),MONTH(O10),99))-IF(YEAR(E10)&lt;YEAR($L$7),1,IF(MONTH(E10)=12,99,MONTH(E10)+1))+1))),0)</f>
        <v>0</v>
      </c>
      <c r="Q10" s="90">
        <f t="shared" ref="Q10:Q16" si="3">IFERROR(IF(N10=0,(H10*(1-G10))/F10*P10,(N10*(1-G10))/F10*P10),0)</f>
        <v>0</v>
      </c>
      <c r="R10" s="90">
        <f t="shared" si="0"/>
        <v>0</v>
      </c>
      <c r="S10" s="52"/>
      <c r="U10" s="40"/>
    </row>
    <row r="11" spans="1:34" s="8" customFormat="1" ht="16.5">
      <c r="A11" s="21"/>
      <c r="B11" s="69"/>
      <c r="C11" s="70"/>
      <c r="D11" s="71"/>
      <c r="E11" s="72"/>
      <c r="F11" s="71"/>
      <c r="G11" s="73"/>
      <c r="H11" s="93"/>
      <c r="I11" s="93"/>
      <c r="J11" s="93"/>
      <c r="K11" s="93"/>
      <c r="L11" s="93"/>
      <c r="M11" s="51"/>
      <c r="N11" s="92"/>
      <c r="O11" s="43">
        <f t="shared" si="1"/>
        <v>31</v>
      </c>
      <c r="P11" s="56">
        <f t="shared" si="2"/>
        <v>0</v>
      </c>
      <c r="Q11" s="90">
        <f t="shared" si="3"/>
        <v>0</v>
      </c>
      <c r="R11" s="90">
        <f t="shared" si="0"/>
        <v>0</v>
      </c>
      <c r="S11" s="52"/>
      <c r="U11" s="40"/>
    </row>
    <row r="12" spans="1:34" s="8" customFormat="1" ht="16.5">
      <c r="A12" s="21"/>
      <c r="B12" s="74"/>
      <c r="C12" s="75"/>
      <c r="D12" s="76"/>
      <c r="E12" s="77"/>
      <c r="F12" s="76"/>
      <c r="G12" s="78"/>
      <c r="H12" s="95"/>
      <c r="I12" s="95"/>
      <c r="J12" s="95"/>
      <c r="K12" s="95"/>
      <c r="L12" s="95"/>
      <c r="M12" s="51"/>
      <c r="N12" s="92"/>
      <c r="O12" s="43">
        <f t="shared" si="1"/>
        <v>31</v>
      </c>
      <c r="P12" s="56">
        <f t="shared" si="2"/>
        <v>0</v>
      </c>
      <c r="Q12" s="90">
        <f t="shared" si="3"/>
        <v>0</v>
      </c>
      <c r="R12" s="90">
        <f t="shared" si="0"/>
        <v>0</v>
      </c>
      <c r="S12" s="52"/>
      <c r="U12" s="40"/>
    </row>
    <row r="13" spans="1:34" s="8" customFormat="1" ht="16.5">
      <c r="A13" s="21"/>
      <c r="B13" s="74"/>
      <c r="C13" s="75"/>
      <c r="D13" s="76"/>
      <c r="E13" s="77"/>
      <c r="F13" s="76"/>
      <c r="G13" s="78"/>
      <c r="H13" s="95"/>
      <c r="I13" s="95"/>
      <c r="J13" s="95"/>
      <c r="K13" s="95"/>
      <c r="L13" s="95"/>
      <c r="M13" s="51"/>
      <c r="N13" s="92"/>
      <c r="O13" s="43">
        <f t="shared" si="1"/>
        <v>31</v>
      </c>
      <c r="P13" s="56">
        <f t="shared" si="2"/>
        <v>0</v>
      </c>
      <c r="Q13" s="90">
        <f t="shared" si="3"/>
        <v>0</v>
      </c>
      <c r="R13" s="90">
        <f t="shared" si="0"/>
        <v>0</v>
      </c>
      <c r="S13" s="52"/>
      <c r="U13" s="40"/>
    </row>
    <row r="14" spans="1:34" s="8" customFormat="1" ht="16.5">
      <c r="A14" s="21"/>
      <c r="B14" s="74"/>
      <c r="C14" s="75"/>
      <c r="D14" s="76"/>
      <c r="E14" s="77"/>
      <c r="F14" s="76"/>
      <c r="G14" s="78"/>
      <c r="H14" s="95"/>
      <c r="I14" s="95"/>
      <c r="J14" s="95"/>
      <c r="K14" s="95"/>
      <c r="L14" s="95"/>
      <c r="M14" s="51"/>
      <c r="N14" s="92"/>
      <c r="O14" s="43">
        <f t="shared" si="1"/>
        <v>31</v>
      </c>
      <c r="P14" s="56">
        <f t="shared" si="2"/>
        <v>0</v>
      </c>
      <c r="Q14" s="90">
        <f t="shared" si="3"/>
        <v>0</v>
      </c>
      <c r="R14" s="90">
        <f t="shared" si="0"/>
        <v>0</v>
      </c>
      <c r="S14" s="52"/>
      <c r="U14" s="40"/>
    </row>
    <row r="15" spans="1:34" s="8" customFormat="1" ht="16.5">
      <c r="A15" s="21"/>
      <c r="B15" s="74"/>
      <c r="C15" s="75"/>
      <c r="D15" s="76"/>
      <c r="E15" s="77"/>
      <c r="F15" s="76"/>
      <c r="G15" s="79"/>
      <c r="H15" s="95"/>
      <c r="I15" s="95"/>
      <c r="J15" s="95"/>
      <c r="K15" s="95"/>
      <c r="L15" s="95"/>
      <c r="M15" s="51"/>
      <c r="N15" s="92"/>
      <c r="O15" s="43">
        <f t="shared" si="1"/>
        <v>31</v>
      </c>
      <c r="P15" s="56">
        <f t="shared" si="2"/>
        <v>0</v>
      </c>
      <c r="Q15" s="90">
        <f t="shared" si="3"/>
        <v>0</v>
      </c>
      <c r="R15" s="90">
        <f t="shared" si="0"/>
        <v>0</v>
      </c>
      <c r="S15" s="52"/>
      <c r="U15" s="40"/>
    </row>
    <row r="16" spans="1:34" s="8" customFormat="1" ht="16.5">
      <c r="A16" s="21"/>
      <c r="B16" s="74"/>
      <c r="C16" s="75"/>
      <c r="D16" s="76"/>
      <c r="E16" s="77"/>
      <c r="F16" s="76"/>
      <c r="G16" s="79"/>
      <c r="H16" s="95"/>
      <c r="I16" s="95"/>
      <c r="J16" s="95"/>
      <c r="K16" s="95"/>
      <c r="L16" s="95"/>
      <c r="M16" s="51"/>
      <c r="N16" s="92"/>
      <c r="O16" s="43">
        <f t="shared" si="1"/>
        <v>31</v>
      </c>
      <c r="P16" s="56">
        <f t="shared" si="2"/>
        <v>0</v>
      </c>
      <c r="Q16" s="90">
        <f t="shared" si="3"/>
        <v>0</v>
      </c>
      <c r="R16" s="90">
        <f t="shared" si="0"/>
        <v>0</v>
      </c>
      <c r="S16" s="52"/>
      <c r="U16" s="40"/>
    </row>
    <row r="17" spans="1:21" s="8" customFormat="1" ht="16.5">
      <c r="A17" s="21"/>
      <c r="B17" s="80" t="s">
        <v>33</v>
      </c>
      <c r="C17" s="81"/>
      <c r="D17" s="82"/>
      <c r="E17" s="82"/>
      <c r="F17" s="82"/>
      <c r="G17" s="83"/>
      <c r="H17" s="96">
        <f>SUM(H9:H15)</f>
        <v>0</v>
      </c>
      <c r="I17" s="96">
        <f>SUM(I9:I15)</f>
        <v>0</v>
      </c>
      <c r="J17" s="96">
        <f>SUM(J9:J15)</f>
        <v>0</v>
      </c>
      <c r="K17" s="96">
        <f>SUM(K9:K15)</f>
        <v>0</v>
      </c>
      <c r="L17" s="97">
        <f>SUM(L9:L16)</f>
        <v>0</v>
      </c>
      <c r="M17" s="51" t="str">
        <f>IFERROR(VLOOKUP($L$7,'[2]L1.02.2b 处置清单'!$D$29:$K$36,7,0),"")</f>
        <v/>
      </c>
      <c r="N17" s="92"/>
      <c r="O17" s="53"/>
      <c r="P17" s="54"/>
      <c r="Q17" s="91">
        <f>SUM(Q9:Q16)</f>
        <v>0</v>
      </c>
      <c r="R17" s="91">
        <f t="shared" si="0"/>
        <v>0</v>
      </c>
      <c r="S17" s="55"/>
      <c r="U17" s="40"/>
    </row>
    <row r="18" spans="1:21" s="7" customFormat="1">
      <c r="A18" s="12"/>
      <c r="B18" s="45"/>
      <c r="C18" s="46"/>
      <c r="D18" s="46"/>
      <c r="E18" s="45"/>
      <c r="F18" s="45"/>
      <c r="G18" s="47"/>
      <c r="H18" s="44" t="s">
        <v>34</v>
      </c>
      <c r="I18" s="44" t="s">
        <v>34</v>
      </c>
      <c r="J18" s="44" t="s">
        <v>34</v>
      </c>
      <c r="K18" s="44" t="s">
        <v>34</v>
      </c>
      <c r="L18" s="36"/>
      <c r="M18" s="36"/>
      <c r="N18" s="36"/>
      <c r="U18" s="40"/>
    </row>
    <row r="19" spans="1:21" ht="12.75" customHeight="1">
      <c r="F19" s="10"/>
      <c r="I19" s="3"/>
      <c r="U19" s="40"/>
    </row>
    <row r="20" spans="1:21" ht="12.75" customHeight="1">
      <c r="B20" s="33" t="s">
        <v>35</v>
      </c>
      <c r="C20" s="18"/>
      <c r="D20" s="28"/>
      <c r="E20" s="28"/>
      <c r="F20" s="28"/>
      <c r="G20" s="28"/>
      <c r="H20" s="28"/>
      <c r="I20" s="28"/>
      <c r="J20" s="20"/>
      <c r="K20" s="28"/>
      <c r="N20" s="4"/>
      <c r="U20" s="40"/>
    </row>
    <row r="21" spans="1:21" ht="12.75" customHeight="1">
      <c r="B21" s="98"/>
      <c r="C21" s="110"/>
      <c r="D21" s="110"/>
      <c r="E21" s="110"/>
      <c r="F21" s="110"/>
      <c r="G21" s="111"/>
      <c r="H21" s="28"/>
      <c r="I21" s="2"/>
      <c r="U21" s="40"/>
    </row>
    <row r="22" spans="1:21" ht="12.75" customHeight="1">
      <c r="A22" s="1"/>
      <c r="B22" s="99"/>
      <c r="C22" s="100"/>
      <c r="D22" s="100"/>
      <c r="E22" s="100"/>
      <c r="F22" s="100"/>
      <c r="G22" s="101"/>
      <c r="H22" s="28"/>
      <c r="I22" s="2"/>
      <c r="J22" s="28"/>
      <c r="K22" s="28"/>
      <c r="U22" s="40"/>
    </row>
    <row r="23" spans="1:21" ht="12.75" customHeight="1">
      <c r="A23" s="1"/>
      <c r="B23" s="102"/>
      <c r="C23" s="103"/>
      <c r="D23" s="103"/>
      <c r="E23" s="103"/>
      <c r="F23" s="103"/>
      <c r="G23" s="104"/>
      <c r="I23" s="3"/>
      <c r="U23" s="40"/>
    </row>
    <row r="24" spans="1:21" ht="12.75" customHeight="1">
      <c r="U24" s="40"/>
    </row>
    <row r="25" spans="1:21" ht="12.75" customHeight="1">
      <c r="U25" s="40"/>
    </row>
    <row r="26" spans="1:21" ht="12.75" customHeight="1">
      <c r="U26" s="40"/>
    </row>
    <row r="27" spans="1:21" ht="12.75" customHeight="1">
      <c r="A27" s="40"/>
      <c r="B27" s="40"/>
      <c r="C27" s="40"/>
      <c r="D27" s="40"/>
      <c r="E27" s="40"/>
      <c r="F27" s="40"/>
      <c r="G27" s="40"/>
      <c r="H27" s="40"/>
      <c r="I27" s="40"/>
      <c r="J27" s="40"/>
      <c r="K27" s="40"/>
      <c r="L27" s="40"/>
      <c r="M27" s="40"/>
      <c r="N27" s="40"/>
      <c r="O27" s="40"/>
      <c r="P27" s="40"/>
      <c r="Q27" s="40"/>
      <c r="R27" s="40"/>
      <c r="S27" s="40"/>
      <c r="T27" s="40"/>
      <c r="U27" s="40"/>
    </row>
  </sheetData>
  <mergeCells count="3">
    <mergeCell ref="B21:G23"/>
    <mergeCell ref="O7:S7"/>
    <mergeCell ref="M7:N7"/>
  </mergeCells>
  <phoneticPr fontId="96" type="noConversion"/>
  <conditionalFormatting sqref="B21">
    <cfRule type="containsBlanks" dxfId="3" priority="3">
      <formula>LEN(TRIM(B21))=0</formula>
    </cfRule>
  </conditionalFormatting>
  <conditionalFormatting sqref="B9:L16">
    <cfRule type="containsBlanks" dxfId="2" priority="4">
      <formula>LEN(TRIM(B9))=0</formula>
    </cfRule>
  </conditionalFormatting>
  <conditionalFormatting sqref="P8">
    <cfRule type="cellIs" dxfId="1" priority="7" operator="equal">
      <formula>0</formula>
    </cfRule>
  </conditionalFormatting>
  <conditionalFormatting sqref="S9:S17">
    <cfRule type="cellIs" dxfId="0" priority="6" operator="equal">
      <formula>"m"</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H73"/>
  <sheetViews>
    <sheetView workbookViewId="0"/>
  </sheetViews>
  <sheetFormatPr defaultRowHeight="13.5"/>
  <cols>
    <col min="1" max="1" width="0.125" customWidth="1"/>
  </cols>
  <sheetData>
    <row r="1" spans="1:86">
      <c r="A1" t="s">
        <v>36</v>
      </c>
    </row>
    <row r="3" spans="1:86">
      <c r="A3" t="s">
        <v>37</v>
      </c>
    </row>
    <row r="4" spans="1:86">
      <c r="A4" t="b">
        <v>1</v>
      </c>
    </row>
    <row r="6" spans="1:86">
      <c r="E6" t="s">
        <v>38</v>
      </c>
      <c r="Y6" t="s">
        <v>39</v>
      </c>
      <c r="Z6" t="s">
        <v>40</v>
      </c>
      <c r="AA6" t="s">
        <v>41</v>
      </c>
      <c r="AB6" t="s">
        <v>42</v>
      </c>
      <c r="AC6" t="s">
        <v>43</v>
      </c>
      <c r="AD6" t="s">
        <v>44</v>
      </c>
      <c r="AE6" t="s">
        <v>45</v>
      </c>
      <c r="AF6" t="s">
        <v>46</v>
      </c>
      <c r="AG6" t="s">
        <v>47</v>
      </c>
      <c r="AH6" t="s">
        <v>48</v>
      </c>
      <c r="AI6" t="s">
        <v>49</v>
      </c>
      <c r="AJ6" t="s">
        <v>50</v>
      </c>
      <c r="AK6" t="s">
        <v>51</v>
      </c>
      <c r="AL6" t="s">
        <v>52</v>
      </c>
      <c r="AM6" t="s">
        <v>53</v>
      </c>
      <c r="AN6" t="s">
        <v>54</v>
      </c>
      <c r="AO6" t="s">
        <v>55</v>
      </c>
      <c r="AP6" t="s">
        <v>56</v>
      </c>
      <c r="AQ6" t="s">
        <v>57</v>
      </c>
      <c r="AR6" t="s">
        <v>58</v>
      </c>
      <c r="AS6" t="s">
        <v>59</v>
      </c>
      <c r="AT6" t="s">
        <v>60</v>
      </c>
      <c r="AU6" t="s">
        <v>61</v>
      </c>
      <c r="AV6" t="s">
        <v>62</v>
      </c>
      <c r="AW6" t="s">
        <v>63</v>
      </c>
      <c r="AX6" t="s">
        <v>64</v>
      </c>
      <c r="AY6" t="s">
        <v>65</v>
      </c>
      <c r="AZ6" t="s">
        <v>66</v>
      </c>
      <c r="BA6" t="s">
        <v>67</v>
      </c>
      <c r="BB6" t="s">
        <v>68</v>
      </c>
      <c r="BC6" t="s">
        <v>69</v>
      </c>
      <c r="BD6" t="s">
        <v>70</v>
      </c>
      <c r="BE6" t="s">
        <v>71</v>
      </c>
      <c r="BF6" t="s">
        <v>72</v>
      </c>
      <c r="BG6" t="s">
        <v>73</v>
      </c>
      <c r="BH6" t="s">
        <v>74</v>
      </c>
      <c r="BI6" t="s">
        <v>75</v>
      </c>
      <c r="BJ6" t="s">
        <v>76</v>
      </c>
      <c r="BK6" t="s">
        <v>77</v>
      </c>
      <c r="BL6" t="s">
        <v>78</v>
      </c>
      <c r="BM6" t="s">
        <v>79</v>
      </c>
      <c r="BN6" t="s">
        <v>80</v>
      </c>
      <c r="BO6" t="s">
        <v>81</v>
      </c>
      <c r="BP6" t="s">
        <v>82</v>
      </c>
      <c r="BQ6" t="s">
        <v>83</v>
      </c>
      <c r="BR6" t="s">
        <v>84</v>
      </c>
      <c r="BS6" t="s">
        <v>85</v>
      </c>
      <c r="BT6" t="s">
        <v>86</v>
      </c>
      <c r="BU6" t="s">
        <v>87</v>
      </c>
      <c r="BV6" t="s">
        <v>88</v>
      </c>
      <c r="BW6" t="s">
        <v>89</v>
      </c>
      <c r="BX6" t="s">
        <v>90</v>
      </c>
      <c r="BY6" t="s">
        <v>91</v>
      </c>
      <c r="BZ6" t="s">
        <v>92</v>
      </c>
      <c r="CA6" t="s">
        <v>93</v>
      </c>
      <c r="CB6" t="s">
        <v>94</v>
      </c>
      <c r="CC6" t="s">
        <v>95</v>
      </c>
      <c r="CD6" t="s">
        <v>96</v>
      </c>
      <c r="CE6" t="s">
        <v>97</v>
      </c>
      <c r="CF6" t="s">
        <v>98</v>
      </c>
      <c r="CG6" t="s">
        <v>99</v>
      </c>
      <c r="CH6" t="s">
        <v>100</v>
      </c>
    </row>
    <row r="7" spans="1:86">
      <c r="A7" t="s">
        <v>101</v>
      </c>
    </row>
    <row r="10" spans="1:86">
      <c r="F10" t="e">
        <f>#REF!</f>
        <v>#REF!</v>
      </c>
      <c r="G10" t="s">
        <v>102</v>
      </c>
      <c r="H10" t="e">
        <f>#REF!</f>
        <v>#REF!</v>
      </c>
      <c r="I10" t="s">
        <v>103</v>
      </c>
    </row>
    <row r="11" spans="1:86">
      <c r="A11" s="11">
        <v>73</v>
      </c>
      <c r="F11" t="e">
        <f>#REF!</f>
        <v>#REF!</v>
      </c>
      <c r="G11" t="s">
        <v>104</v>
      </c>
      <c r="H11" t="e">
        <f>#REF!</f>
        <v>#REF!</v>
      </c>
      <c r="I11" t="s">
        <v>105</v>
      </c>
    </row>
    <row r="12" spans="1:86">
      <c r="A12" s="11">
        <v>18</v>
      </c>
      <c r="F12" t="e">
        <f>#REF!</f>
        <v>#REF!</v>
      </c>
      <c r="G12" t="s">
        <v>106</v>
      </c>
      <c r="H12" t="e">
        <f>#REF!</f>
        <v>#REF!</v>
      </c>
      <c r="I12" t="s">
        <v>107</v>
      </c>
    </row>
    <row r="13" spans="1:86">
      <c r="F13" t="e">
        <f>#REF!</f>
        <v>#REF!</v>
      </c>
      <c r="G13" t="s">
        <v>108</v>
      </c>
      <c r="H13" t="e">
        <f>#REF!</f>
        <v>#REF!</v>
      </c>
      <c r="I13" t="s">
        <v>109</v>
      </c>
    </row>
    <row r="14" spans="1:86">
      <c r="F14" t="e">
        <f>#REF!</f>
        <v>#REF!</v>
      </c>
      <c r="G14" t="s">
        <v>110</v>
      </c>
      <c r="H14" t="e">
        <f>#REF!</f>
        <v>#REF!</v>
      </c>
      <c r="I14" t="s">
        <v>111</v>
      </c>
    </row>
    <row r="15" spans="1:86">
      <c r="A15" s="11">
        <v>26</v>
      </c>
      <c r="F15" t="e">
        <f>#REF!</f>
        <v>#REF!</v>
      </c>
      <c r="G15" t="s">
        <v>112</v>
      </c>
      <c r="H15" t="e">
        <f>#REF!</f>
        <v>#REF!</v>
      </c>
      <c r="I15" t="s">
        <v>113</v>
      </c>
      <c r="R15" t="e">
        <f>#REF!</f>
        <v>#REF!</v>
      </c>
      <c r="S15" t="s">
        <v>114</v>
      </c>
    </row>
    <row r="16" spans="1:86">
      <c r="F16" t="e">
        <f>#REF!</f>
        <v>#REF!</v>
      </c>
      <c r="G16" t="s">
        <v>115</v>
      </c>
      <c r="H16" t="e">
        <f>#REF!</f>
        <v>#REF!</v>
      </c>
      <c r="I16" t="s">
        <v>116</v>
      </c>
      <c r="R16" t="e">
        <f>#REF!</f>
        <v>#REF!</v>
      </c>
      <c r="S16" t="s">
        <v>117</v>
      </c>
    </row>
    <row r="17" spans="6:19">
      <c r="F17" t="e">
        <f>#REF!</f>
        <v>#REF!</v>
      </c>
      <c r="G17" t="s">
        <v>118</v>
      </c>
      <c r="H17" t="e">
        <f>#REF!</f>
        <v>#REF!</v>
      </c>
      <c r="I17" t="s">
        <v>119</v>
      </c>
      <c r="R17" t="e">
        <f>#REF!</f>
        <v>#REF!</v>
      </c>
      <c r="S17" t="s">
        <v>120</v>
      </c>
    </row>
    <row r="18" spans="6:19">
      <c r="F18" t="e">
        <f>#REF!</f>
        <v>#REF!</v>
      </c>
      <c r="G18" t="s">
        <v>121</v>
      </c>
      <c r="R18" t="e">
        <f>#REF!</f>
        <v>#REF!</v>
      </c>
      <c r="S18" t="s">
        <v>122</v>
      </c>
    </row>
    <row r="19" spans="6:19">
      <c r="F19" t="e">
        <f>#REF!</f>
        <v>#REF!</v>
      </c>
      <c r="G19" t="s">
        <v>123</v>
      </c>
      <c r="R19" t="e">
        <f>#REF!</f>
        <v>#REF!</v>
      </c>
      <c r="S19" t="s">
        <v>124</v>
      </c>
    </row>
    <row r="20" spans="6:19">
      <c r="F20" t="e">
        <f>#REF!</f>
        <v>#REF!</v>
      </c>
      <c r="G20" t="s">
        <v>125</v>
      </c>
      <c r="R20" s="11" t="e">
        <f>#REF!</f>
        <v>#REF!</v>
      </c>
      <c r="S20" t="s">
        <v>126</v>
      </c>
    </row>
    <row r="21" spans="6:19">
      <c r="F21" t="e">
        <f>#REF!</f>
        <v>#REF!</v>
      </c>
      <c r="G21" t="s">
        <v>127</v>
      </c>
      <c r="R21" t="e">
        <f>#REF!</f>
        <v>#REF!</v>
      </c>
      <c r="S21" t="s">
        <v>128</v>
      </c>
    </row>
    <row r="22" spans="6:19">
      <c r="F22" t="e">
        <f>#REF!</f>
        <v>#REF!</v>
      </c>
      <c r="G22" t="s">
        <v>129</v>
      </c>
      <c r="R22" t="e">
        <f>#REF!</f>
        <v>#REF!</v>
      </c>
      <c r="S22" t="s">
        <v>130</v>
      </c>
    </row>
    <row r="23" spans="6:19">
      <c r="F23" t="e">
        <f>#REF!</f>
        <v>#REF!</v>
      </c>
      <c r="G23" t="s">
        <v>131</v>
      </c>
      <c r="R23" t="e">
        <f>#REF!</f>
        <v>#REF!</v>
      </c>
      <c r="S23" t="s">
        <v>132</v>
      </c>
    </row>
    <row r="24" spans="6:19">
      <c r="F24" t="e">
        <f>#REF!</f>
        <v>#REF!</v>
      </c>
      <c r="G24" t="s">
        <v>133</v>
      </c>
      <c r="R24" t="e">
        <f>#REF!</f>
        <v>#REF!</v>
      </c>
      <c r="S24" t="s">
        <v>134</v>
      </c>
    </row>
    <row r="25" spans="6:19">
      <c r="F25" t="e">
        <f>#REF!</f>
        <v>#REF!</v>
      </c>
      <c r="G25" t="s">
        <v>135</v>
      </c>
      <c r="R25">
        <f>'K.03.2 折旧测试'!A7</f>
        <v>0</v>
      </c>
      <c r="S25" t="s">
        <v>136</v>
      </c>
    </row>
    <row r="26" spans="6:19">
      <c r="F26" t="e">
        <f>#REF!</f>
        <v>#REF!</v>
      </c>
      <c r="G26" t="s">
        <v>137</v>
      </c>
      <c r="R26">
        <f>'K.03.2 折旧测试'!A16</f>
        <v>0</v>
      </c>
      <c r="S26" t="s">
        <v>138</v>
      </c>
    </row>
    <row r="27" spans="6:19">
      <c r="F27" t="e">
        <f>#REF!</f>
        <v>#REF!</v>
      </c>
      <c r="G27" t="s">
        <v>139</v>
      </c>
    </row>
    <row r="28" spans="6:19">
      <c r="F28" t="e">
        <f>#REF!</f>
        <v>#REF!</v>
      </c>
      <c r="G28" t="s">
        <v>140</v>
      </c>
    </row>
    <row r="29" spans="6:19">
      <c r="F29" t="e">
        <f>#REF!</f>
        <v>#REF!</v>
      </c>
      <c r="G29" t="s">
        <v>141</v>
      </c>
    </row>
    <row r="30" spans="6:19">
      <c r="F30" t="e">
        <f>#REF!</f>
        <v>#REF!</v>
      </c>
      <c r="G30" t="s">
        <v>142</v>
      </c>
    </row>
    <row r="31" spans="6:19">
      <c r="F31" t="e">
        <f>#REF!</f>
        <v>#REF!</v>
      </c>
      <c r="G31" t="s">
        <v>143</v>
      </c>
    </row>
    <row r="32" spans="6:19">
      <c r="F32" t="e">
        <f>#REF!</f>
        <v>#REF!</v>
      </c>
      <c r="G32" t="s">
        <v>144</v>
      </c>
    </row>
    <row r="33" spans="6:7">
      <c r="F33" t="e">
        <f>#REF!</f>
        <v>#REF!</v>
      </c>
      <c r="G33" t="s">
        <v>145</v>
      </c>
    </row>
    <row r="34" spans="6:7">
      <c r="F34" t="e">
        <f>#REF!</f>
        <v>#REF!</v>
      </c>
      <c r="G34" t="s">
        <v>146</v>
      </c>
    </row>
    <row r="35" spans="6:7">
      <c r="F35" t="e">
        <f>#REF!</f>
        <v>#REF!</v>
      </c>
      <c r="G35" t="s">
        <v>147</v>
      </c>
    </row>
    <row r="36" spans="6:7">
      <c r="F36" t="e">
        <f>#REF!</f>
        <v>#REF!</v>
      </c>
      <c r="G36" t="s">
        <v>148</v>
      </c>
    </row>
    <row r="37" spans="6:7">
      <c r="F37" t="e">
        <f>#REF!</f>
        <v>#REF!</v>
      </c>
      <c r="G37" t="s">
        <v>149</v>
      </c>
    </row>
    <row r="38" spans="6:7">
      <c r="F38" t="e">
        <f>#REF!</f>
        <v>#REF!</v>
      </c>
      <c r="G38" t="s">
        <v>150</v>
      </c>
    </row>
    <row r="39" spans="6:7">
      <c r="F39" t="e">
        <f>#REF!</f>
        <v>#REF!</v>
      </c>
      <c r="G39" t="s">
        <v>151</v>
      </c>
    </row>
    <row r="40" spans="6:7">
      <c r="F40" t="e">
        <f>#REF!</f>
        <v>#REF!</v>
      </c>
      <c r="G40" t="s">
        <v>152</v>
      </c>
    </row>
    <row r="41" spans="6:7">
      <c r="F41" t="e">
        <f>#REF!</f>
        <v>#REF!</v>
      </c>
      <c r="G41" t="s">
        <v>153</v>
      </c>
    </row>
    <row r="42" spans="6:7">
      <c r="F42" t="e">
        <f>#REF!</f>
        <v>#REF!</v>
      </c>
      <c r="G42" t="s">
        <v>154</v>
      </c>
    </row>
    <row r="68" spans="6:7">
      <c r="F68" t="e">
        <f>#REF!</f>
        <v>#REF!</v>
      </c>
      <c r="G68" t="s">
        <v>155</v>
      </c>
    </row>
    <row r="69" spans="6:7">
      <c r="F69" t="e">
        <f>#REF!</f>
        <v>#REF!</v>
      </c>
      <c r="G69" t="s">
        <v>156</v>
      </c>
    </row>
    <row r="70" spans="6:7">
      <c r="F70" t="e">
        <f>#REF!</f>
        <v>#REF!</v>
      </c>
      <c r="G70" t="s">
        <v>157</v>
      </c>
    </row>
    <row r="71" spans="6:7">
      <c r="F71" t="e">
        <f>#REF!</f>
        <v>#REF!</v>
      </c>
      <c r="G71" t="s">
        <v>158</v>
      </c>
    </row>
    <row r="73" spans="6:7">
      <c r="F73" t="e">
        <f>#REF!</f>
        <v>#REF!</v>
      </c>
      <c r="G73" t="s">
        <v>159</v>
      </c>
    </row>
  </sheetData>
  <phoneticPr fontId="96" type="noConversion"/>
  <pageMargins left="0.7" right="0.7" top="0.75" bottom="0.75" header="0.3" footer="0.3"/>
  <pageSetup orientation="portrait" r:id="rId1"/>
</worksheet>
</file>

<file path=customUI/_rels/customUI14.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14.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578fd5862facbbe2d413169a5f3c2e98">
  <xsd:schema xmlns:xsd="http://www.w3.org/2001/XMLSchema" xmlns:xs="http://www.w3.org/2001/XMLSchema" xmlns:p="http://schemas.microsoft.com/office/2006/metadata/properties" xmlns:ns2="aa9bf47e-7d7d-4d70-9d97-7b2a84c9bd53" targetNamespace="http://schemas.microsoft.com/office/2006/metadata/properties" ma:root="true" ma:fieldsID="aeefad150e6d23681bded4825e0867ab"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55B70B-3A32-4571-BC0F-2BB0CEDC94E4}"/>
</file>

<file path=customXml/itemProps2.xml><?xml version="1.0" encoding="utf-8"?>
<ds:datastoreItem xmlns:ds="http://schemas.openxmlformats.org/officeDocument/2006/customXml" ds:itemID="{F24E9DA6-74DD-488C-9C89-98AE865032CA}"/>
</file>

<file path=customXml/itemProps3.xml><?xml version="1.0" encoding="utf-8"?>
<ds:datastoreItem xmlns:ds="http://schemas.openxmlformats.org/officeDocument/2006/customXml" ds:itemID="{634E35E6-5B3F-4278-A13E-A6A53437F8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subject/>
  <dc:creator>Jyothi Prakash A</dc:creator>
  <cp:keywords>Final Audit.V5.K1.1107</cp:keywords>
  <dc:description>8C639849-B002-4EB7-A119-1A38F8B535F1</dc:description>
  <cp:lastModifiedBy/>
  <cp:revision/>
  <dcterms:created xsi:type="dcterms:W3CDTF">2006-09-16T00:00:00Z</dcterms:created>
  <dcterms:modified xsi:type="dcterms:W3CDTF">2026-04-30T09:53:07Z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ies>
</file>