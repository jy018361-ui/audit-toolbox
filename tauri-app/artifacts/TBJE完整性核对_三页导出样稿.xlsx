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审计工具箱\audit-toolbox-main\tauri-app\artifacts\"/>
    </mc:Choice>
  </mc:AlternateContent>
  <xr:revisionPtr revIDLastSave="0" documentId="13_ncr:1_{ADA82C0B-FE47-4355-90C5-82F928B33071}" xr6:coauthVersionLast="47" xr6:coauthVersionMax="47" xr10:uidLastSave="{00000000-0000-0000-0000-000000000000}"/>
  <bookViews>
    <workbookView xWindow="-110" yWindow="-110" windowWidth="21240" windowHeight="14220" xr2:uid="{00000000-000D-0000-FFFF-FFFF00000000}"/>
  </bookViews>
  <sheets>
    <sheet name="TB发生额与余额勾稽" sheetId="1" r:id="rId1"/>
    <sheet name="TB与JE发生额勾稽" sheetId="2" r:id="rId2"/>
    <sheet name="BS与PL勾稽" sheetId="3" r:id="rId3"/>
  </sheets>
  <definedNames>
    <definedName name="_xlnm._FilterDatabase" localSheetId="2" hidden="1">BS与PL勾稽!$A$22:$G$30</definedName>
    <definedName name="_xlnm._FilterDatabase" localSheetId="0" hidden="1">TB发生额与余额勾稽!$A$6:$K$9</definedName>
    <definedName name="_xlnm._FilterDatabase" localSheetId="1" hidden="1">TB与JE发生额勾稽!$A$6:$L$10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C17" i="3"/>
  <c r="C16" i="3"/>
  <c r="C15" i="3"/>
  <c r="C14" i="3"/>
  <c r="C13" i="3"/>
  <c r="F12" i="3"/>
  <c r="C11" i="3"/>
  <c r="C10" i="3"/>
  <c r="C9" i="3"/>
  <c r="C8" i="3"/>
  <c r="C7" i="3"/>
  <c r="K10" i="2"/>
  <c r="H10" i="2"/>
  <c r="L10" i="2" s="1"/>
  <c r="K9" i="2"/>
  <c r="H9" i="2"/>
  <c r="L9" i="2" s="1"/>
  <c r="K8" i="2"/>
  <c r="H8" i="2"/>
  <c r="L8" i="2" s="1"/>
  <c r="K7" i="2"/>
  <c r="H7" i="2"/>
  <c r="H9" i="1"/>
  <c r="J9" i="1" s="1"/>
  <c r="K9" i="1" s="1"/>
  <c r="H8" i="1"/>
  <c r="J8" i="1" s="1"/>
  <c r="K8" i="1" s="1"/>
  <c r="H7" i="1"/>
  <c r="J7" i="1" s="1"/>
  <c r="K7" i="1" s="1"/>
  <c r="L7" i="2" l="1"/>
  <c r="C12" i="3"/>
  <c r="D12" i="3" s="1"/>
  <c r="E12" i="3" s="1"/>
  <c r="C18" i="3"/>
  <c r="D18" i="3" s="1"/>
  <c r="E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3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正式导出时记录核对所用容差。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3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正式导出时记录核对所用容差。</t>
        </r>
      </text>
    </comment>
    <comment ref="J6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如果源 JE 贷方列采用借正贷负口径，引擎会先翻回贷方正数；红字仍留在贷方侧冲减。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3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正式导出时记录核对所用容差。</t>
        </r>
      </text>
    </comment>
  </commentList>
</comments>
</file>

<file path=xl/sharedStrings.xml><?xml version="1.0" encoding="utf-8"?>
<sst xmlns="http://schemas.openxmlformats.org/spreadsheetml/2006/main" count="158" uniqueCount="70">
  <si>
    <t>TB 发生额与余额勾稽</t>
  </si>
  <si>
    <t>样稿说明</t>
  </si>
  <si>
    <t>逐科目验证：期初余额＋借方发生额－贷方发生额＝期末余额。</t>
  </si>
  <si>
    <t>容差</t>
  </si>
  <si>
    <t>数据口径</t>
  </si>
  <si>
    <t>示例数据；正式导出将保留源表行号、取数值与可复核公式。</t>
  </si>
  <si>
    <t>组</t>
  </si>
  <si>
    <t>源表行号</t>
  </si>
  <si>
    <t>科目编码</t>
  </si>
  <si>
    <t>科目名称</t>
  </si>
  <si>
    <t>期初余额</t>
  </si>
  <si>
    <t>TB借方发生额</t>
  </si>
  <si>
    <t>TB贷方发生额</t>
  </si>
  <si>
    <t>公式期末</t>
  </si>
  <si>
    <t>TB期末余额</t>
  </si>
  <si>
    <t>差异</t>
  </si>
  <si>
    <t>结论</t>
  </si>
  <si>
    <t>04</t>
  </si>
  <si>
    <t>1001</t>
  </si>
  <si>
    <t>库存现金</t>
  </si>
  <si>
    <t>2202</t>
  </si>
  <si>
    <t>应付账款</t>
  </si>
  <si>
    <t>08</t>
  </si>
  <si>
    <t>6001</t>
  </si>
  <si>
    <t>主营业务收入</t>
  </si>
  <si>
    <t>TB 与 JE 发生额勾稽</t>
  </si>
  <si>
    <t>借、贷两侧分别对比。JE 贷方在引擎内统一为“正常贷方为正、红字冲销为负”，避免正负方向叠加。</t>
  </si>
  <si>
    <t>主体</t>
  </si>
  <si>
    <t>出现在</t>
  </si>
  <si>
    <t>TB借方</t>
  </si>
  <si>
    <t>JE借方</t>
  </si>
  <si>
    <t>借方差异</t>
  </si>
  <si>
    <t>TB贷方</t>
  </si>
  <si>
    <t>JE贷方（已统一方向）</t>
  </si>
  <si>
    <t>贷方差异</t>
  </si>
  <si>
    <t>示例主体</t>
  </si>
  <si>
    <t>两边都有</t>
  </si>
  <si>
    <t>6602</t>
  </si>
  <si>
    <t>管理费用</t>
  </si>
  <si>
    <t>仅余额表有</t>
  </si>
  <si>
    <t>BS 与 PL 勾稽</t>
  </si>
  <si>
    <t>按会计要素汇总带符号余额；金额是否为 0 与科目是否全部完成分类分别给结论。待分类科目保留在本页下方。</t>
  </si>
  <si>
    <t>时点</t>
  </si>
  <si>
    <t>会计要素</t>
  </si>
  <si>
    <t>归类金额</t>
  </si>
  <si>
    <t>平衡差异</t>
  </si>
  <si>
    <t>金额结论</t>
  </si>
  <si>
    <t>分类结论</t>
  </si>
  <si>
    <t>说明</t>
  </si>
  <si>
    <t>年初</t>
  </si>
  <si>
    <t>资产</t>
  </si>
  <si>
    <t>负债</t>
  </si>
  <si>
    <t>所有者权益</t>
  </si>
  <si>
    <t>成本</t>
  </si>
  <si>
    <t>损益</t>
  </si>
  <si>
    <t>合计（应为 0）</t>
  </si>
  <si>
    <t>金额平衡与分类完整性分开判断</t>
  </si>
  <si>
    <t>年末</t>
  </si>
  <si>
    <t>带符号余额</t>
  </si>
  <si>
    <t>是否纳入勾稽</t>
  </si>
  <si>
    <t>分类说明</t>
  </si>
  <si>
    <t>是</t>
  </si>
  <si>
    <t>按科目编码首位识别</t>
  </si>
  <si>
    <t>4001</t>
  </si>
  <si>
    <t>实收资本</t>
  </si>
  <si>
    <t>X001</t>
  </si>
  <si>
    <t>自定义过渡科目</t>
  </si>
  <si>
    <t>未分类</t>
  </si>
  <si>
    <t>否</t>
  </si>
  <si>
    <t>编码无法自动归入会计要素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</si>
</sst>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-#,##0.00"/>
  </numFmts>
  <fonts count="7" x14ac:knownFonts="1">
    <font>
      <sz val="11"/>
      <color theme="1"/>
      <name val="宋体"/>
      <family val="2"/>
      <scheme val="minor"/>
    </font>
    <font>
      <b/>
      <sz val="10"/>
      <color rgb="FF1E2A32"/>
      <name val="Arial"/>
    </font>
    <font>
      <sz val="10"/>
      <color rgb="FF1E2A32"/>
      <name val="Arial"/>
    </font>
    <font>
      <b/>
      <sz val="14"/>
      <color rgb="FF1E2A32"/>
      <name val="Arial"/>
    </font>
    <font>
      <b/>
      <sz val="10"/>
      <color rgb="FFFFFFFF"/>
      <name val="Arial"/>
    </font>
    <font>
      <sz val="10"/>
      <color rgb="FF0070C0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9D6"/>
      </patternFill>
    </fill>
    <fill>
      <patternFill patternType="solid">
        <fgColor rgb="FFFFE600"/>
      </patternFill>
    </fill>
    <fill>
      <patternFill patternType="solid">
        <fgColor rgb="FF126E72"/>
      </patternFill>
    </fill>
    <fill>
      <patternFill patternType="solid">
        <fgColor rgb="FFE7F2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2" fontId="2" fillId="2" borderId="0" xfId="0" applyNumberFormat="1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76" fontId="1" fillId="5" borderId="1" xfId="0" applyNumberFormat="1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176" fontId="5" fillId="2" borderId="1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showGridLines="0" tabSelected="1" workbookViewId="0">
      <pane ySplit="6" topLeftCell="A7" activePane="bottomLeft" state="frozen"/>
      <selection pane="bottomLeft" sqref="A1:K1"/>
    </sheetView>
  </sheetViews>
  <sheetFormatPr defaultRowHeight="14" x14ac:dyDescent="0.25"/>
  <cols>
    <col min="1" max="1" width="8" customWidth="1"/>
    <col min="2" max="2" width="11" customWidth="1"/>
    <col min="3" max="3" width="14" customWidth="1"/>
    <col min="4" max="4" width="24" customWidth="1"/>
    <col min="5" max="5" width="15" customWidth="1"/>
    <col min="6" max="7" width="16" customWidth="1"/>
    <col min="8" max="9" width="15" customWidth="1"/>
    <col min="10" max="10" width="14" customWidth="1"/>
    <col min="11" max="11" width="10" customWidth="1"/>
  </cols>
  <sheetData>
    <row r="1" spans="1:11" ht="28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3</v>
      </c>
      <c r="B3" s="2">
        <v>0.01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</row>
    <row r="7" spans="1:11" x14ac:dyDescent="0.25">
      <c r="A7" s="4" t="s">
        <v>17</v>
      </c>
      <c r="B7" s="4">
        <v>18</v>
      </c>
      <c r="C7" s="4" t="s">
        <v>18</v>
      </c>
      <c r="D7" s="4" t="s">
        <v>19</v>
      </c>
      <c r="E7" s="5">
        <v>100000</v>
      </c>
      <c r="F7" s="5">
        <v>420000</v>
      </c>
      <c r="G7" s="5">
        <v>370000</v>
      </c>
      <c r="H7" s="6">
        <f>E7+F7-G7</f>
        <v>150000</v>
      </c>
      <c r="I7" s="5">
        <v>150000</v>
      </c>
      <c r="J7" s="6">
        <f>H7-I7</f>
        <v>0</v>
      </c>
      <c r="K7" s="7" t="str">
        <f>IF(ABS(J7)&lt;=$B$3,"通过","差异")</f>
        <v>通过</v>
      </c>
    </row>
    <row r="8" spans="1:11" x14ac:dyDescent="0.25">
      <c r="A8" s="4" t="s">
        <v>17</v>
      </c>
      <c r="B8" s="4">
        <v>27</v>
      </c>
      <c r="C8" s="4" t="s">
        <v>20</v>
      </c>
      <c r="D8" s="4" t="s">
        <v>21</v>
      </c>
      <c r="E8" s="5">
        <v>-80000</v>
      </c>
      <c r="F8" s="5">
        <v>180000</v>
      </c>
      <c r="G8" s="5">
        <v>250000</v>
      </c>
      <c r="H8" s="6">
        <f>E8+F8-G8</f>
        <v>-150000</v>
      </c>
      <c r="I8" s="5">
        <v>-149999.5</v>
      </c>
      <c r="J8" s="6">
        <f>H8-I8</f>
        <v>-0.5</v>
      </c>
      <c r="K8" s="7" t="str">
        <f>IF(ABS(J8)&lt;=$B$3,"通过","差异")</f>
        <v>差异</v>
      </c>
    </row>
    <row r="9" spans="1:11" x14ac:dyDescent="0.25">
      <c r="A9" s="4" t="s">
        <v>22</v>
      </c>
      <c r="B9" s="4">
        <v>36</v>
      </c>
      <c r="C9" s="4" t="s">
        <v>23</v>
      </c>
      <c r="D9" s="4" t="s">
        <v>24</v>
      </c>
      <c r="E9" s="5">
        <v>0</v>
      </c>
      <c r="F9" s="5">
        <v>0</v>
      </c>
      <c r="G9" s="5">
        <v>500000</v>
      </c>
      <c r="H9" s="6">
        <f>E9+F9-G9</f>
        <v>-500000</v>
      </c>
      <c r="I9" s="5">
        <v>-500000</v>
      </c>
      <c r="J9" s="6">
        <f>H9-I9</f>
        <v>0</v>
      </c>
      <c r="K9" s="7" t="str">
        <f>IF(ABS(J9)&lt;=$B$3,"通过","差异")</f>
        <v>通过</v>
      </c>
    </row>
  </sheetData>
  <autoFilter ref="A6:K9" xr:uid="{00000000-0009-0000-0000-000000000000}"/>
  <mergeCells count="1">
    <mergeCell ref="A1:K1"/>
  </mergeCells>
  <phoneticPr fontId="6" type="noConversion"/>
  <conditionalFormatting sqref="J7:J9">
    <cfRule type="cellIs" dxfId="0" priority="1" operator="greaterThan">
      <formula>$B$3</formula>
    </cfRule>
  </conditionalFormatting>
  <pageMargins left="0.25" right="0.25" top="0.35" bottom="0.35" header="0.5" footer="0.5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"/>
  <sheetViews>
    <sheetView showGridLines="0" workbookViewId="0">
      <pane ySplit="6" topLeftCell="A7" activePane="bottomLeft" state="frozen"/>
      <selection pane="bottomLeft"/>
    </sheetView>
  </sheetViews>
  <sheetFormatPr defaultRowHeight="14" x14ac:dyDescent="0.25"/>
  <cols>
    <col min="1" max="1" width="8" customWidth="1"/>
    <col min="2" max="2" width="16" customWidth="1"/>
    <col min="3" max="3" width="14" customWidth="1"/>
    <col min="4" max="4" width="24" customWidth="1"/>
    <col min="5" max="5" width="13" customWidth="1"/>
    <col min="6" max="7" width="15" customWidth="1"/>
    <col min="8" max="8" width="14" customWidth="1"/>
    <col min="9" max="9" width="15" customWidth="1"/>
    <col min="10" max="10" width="21" customWidth="1"/>
    <col min="11" max="11" width="14" customWidth="1"/>
    <col min="12" max="12" width="10" customWidth="1"/>
  </cols>
  <sheetData>
    <row r="1" spans="1:12" ht="28" customHeight="1" x14ac:dyDescent="0.25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" t="s">
        <v>1</v>
      </c>
      <c r="B2" s="1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3</v>
      </c>
      <c r="B3" s="2">
        <v>0.01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3" t="s">
        <v>6</v>
      </c>
      <c r="B6" s="3" t="s">
        <v>27</v>
      </c>
      <c r="C6" s="3" t="s">
        <v>8</v>
      </c>
      <c r="D6" s="3" t="s">
        <v>9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16</v>
      </c>
    </row>
    <row r="7" spans="1:12" x14ac:dyDescent="0.25">
      <c r="A7" s="4" t="s">
        <v>17</v>
      </c>
      <c r="B7" s="4" t="s">
        <v>35</v>
      </c>
      <c r="C7" s="4" t="s">
        <v>18</v>
      </c>
      <c r="D7" s="4" t="s">
        <v>19</v>
      </c>
      <c r="E7" s="4" t="s">
        <v>36</v>
      </c>
      <c r="F7" s="5">
        <v>420000</v>
      </c>
      <c r="G7" s="5">
        <v>420000</v>
      </c>
      <c r="H7" s="6">
        <f>F7-G7</f>
        <v>0</v>
      </c>
      <c r="I7" s="5">
        <v>370000</v>
      </c>
      <c r="J7" s="5">
        <v>370000</v>
      </c>
      <c r="K7" s="6">
        <f>I7-J7</f>
        <v>0</v>
      </c>
      <c r="L7" s="7" t="str">
        <f>IF(MAX(ABS(H7),ABS(K7))&lt;=$B$3,"通过","差异")</f>
        <v>通过</v>
      </c>
    </row>
    <row r="8" spans="1:12" x14ac:dyDescent="0.25">
      <c r="A8" s="4" t="s">
        <v>17</v>
      </c>
      <c r="B8" s="4" t="s">
        <v>35</v>
      </c>
      <c r="C8" s="4" t="s">
        <v>20</v>
      </c>
      <c r="D8" s="4" t="s">
        <v>21</v>
      </c>
      <c r="E8" s="4" t="s">
        <v>36</v>
      </c>
      <c r="F8" s="5">
        <v>180000</v>
      </c>
      <c r="G8" s="5">
        <v>180000</v>
      </c>
      <c r="H8" s="6">
        <f>F8-G8</f>
        <v>0</v>
      </c>
      <c r="I8" s="5">
        <v>250000</v>
      </c>
      <c r="J8" s="5">
        <v>250000</v>
      </c>
      <c r="K8" s="6">
        <f>I8-J8</f>
        <v>0</v>
      </c>
      <c r="L8" s="7" t="str">
        <f>IF(MAX(ABS(H8),ABS(K8))&lt;=$B$3,"通过","差异")</f>
        <v>通过</v>
      </c>
    </row>
    <row r="9" spans="1:12" x14ac:dyDescent="0.25">
      <c r="A9" s="4" t="s">
        <v>22</v>
      </c>
      <c r="B9" s="4" t="s">
        <v>35</v>
      </c>
      <c r="C9" s="4" t="s">
        <v>37</v>
      </c>
      <c r="D9" s="4" t="s">
        <v>38</v>
      </c>
      <c r="E9" s="4" t="s">
        <v>36</v>
      </c>
      <c r="F9" s="5">
        <v>120000</v>
      </c>
      <c r="G9" s="5">
        <v>119500</v>
      </c>
      <c r="H9" s="6">
        <f>F9-G9</f>
        <v>500</v>
      </c>
      <c r="I9" s="5">
        <v>20000</v>
      </c>
      <c r="J9" s="5">
        <v>20000</v>
      </c>
      <c r="K9" s="6">
        <f>I9-J9</f>
        <v>0</v>
      </c>
      <c r="L9" s="7" t="str">
        <f>IF(MAX(ABS(H9),ABS(K9))&lt;=$B$3,"通过","差异")</f>
        <v>差异</v>
      </c>
    </row>
    <row r="10" spans="1:12" x14ac:dyDescent="0.25">
      <c r="A10" s="4" t="s">
        <v>22</v>
      </c>
      <c r="B10" s="4" t="s">
        <v>35</v>
      </c>
      <c r="C10" s="4" t="s">
        <v>23</v>
      </c>
      <c r="D10" s="4" t="s">
        <v>24</v>
      </c>
      <c r="E10" s="4" t="s">
        <v>39</v>
      </c>
      <c r="F10" s="5">
        <v>0</v>
      </c>
      <c r="G10" s="5">
        <v>0</v>
      </c>
      <c r="H10" s="6">
        <f>F10-G10</f>
        <v>0</v>
      </c>
      <c r="I10" s="5">
        <v>500000</v>
      </c>
      <c r="J10" s="5">
        <v>0</v>
      </c>
      <c r="K10" s="6">
        <f>I10-J10</f>
        <v>500000</v>
      </c>
      <c r="L10" s="7" t="str">
        <f>IF(MAX(ABS(H10),ABS(K10))&lt;=$B$3,"通过","差异")</f>
        <v>差异</v>
      </c>
    </row>
  </sheetData>
  <autoFilter ref="A6:L10" xr:uid="{00000000-0009-0000-0000-000001000000}"/>
  <mergeCells count="1">
    <mergeCell ref="A1:L1"/>
  </mergeCells>
  <phoneticPr fontId="6" type="noConversion"/>
  <pageMargins left="0.25" right="0.25" top="0.35" bottom="0.35" header="0.5" footer="0.5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0"/>
  <sheetViews>
    <sheetView showGridLines="0" workbookViewId="0">
      <pane ySplit="6" topLeftCell="A7" activePane="bottomLeft" state="frozen"/>
      <selection pane="bottomLeft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5" width="16" customWidth="1"/>
    <col min="6" max="6" width="15" customWidth="1"/>
    <col min="7" max="7" width="32" customWidth="1"/>
  </cols>
  <sheetData>
    <row r="1" spans="1:7" ht="28" customHeight="1" x14ac:dyDescent="0.25">
      <c r="A1" s="13" t="s">
        <v>40</v>
      </c>
      <c r="B1" s="13"/>
      <c r="C1" s="13"/>
      <c r="D1" s="13"/>
      <c r="E1" s="13"/>
      <c r="F1" s="13"/>
      <c r="G1" s="13"/>
    </row>
    <row r="2" spans="1:7" x14ac:dyDescent="0.25">
      <c r="A2" s="1" t="s">
        <v>1</v>
      </c>
      <c r="B2" s="1" t="s">
        <v>41</v>
      </c>
      <c r="C2" s="1"/>
      <c r="D2" s="1"/>
      <c r="E2" s="1"/>
      <c r="F2" s="1"/>
      <c r="G2" s="1"/>
    </row>
    <row r="3" spans="1:7" x14ac:dyDescent="0.25">
      <c r="A3" s="1" t="s">
        <v>3</v>
      </c>
      <c r="B3" s="2">
        <v>0.01</v>
      </c>
      <c r="C3" s="1"/>
      <c r="D3" s="1"/>
      <c r="E3" s="1"/>
      <c r="F3" s="1"/>
      <c r="G3" s="1"/>
    </row>
    <row r="4" spans="1:7" x14ac:dyDescent="0.25">
      <c r="A4" s="1" t="s">
        <v>4</v>
      </c>
      <c r="B4" s="1" t="s">
        <v>5</v>
      </c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</row>
    <row r="7" spans="1:7" x14ac:dyDescent="0.25">
      <c r="A7" s="4" t="s">
        <v>49</v>
      </c>
      <c r="B7" s="4" t="s">
        <v>50</v>
      </c>
      <c r="C7" s="6">
        <f>SUMIFS($E$23:$E$30,$A$23:$A$30,A7,$D$23:$D$30,B7,$F$23:$F$30,"是")</f>
        <v>100000</v>
      </c>
      <c r="D7" s="5"/>
      <c r="E7" s="5"/>
      <c r="F7" s="4"/>
      <c r="G7" s="4"/>
    </row>
    <row r="8" spans="1:7" x14ac:dyDescent="0.25">
      <c r="A8" s="4" t="s">
        <v>49</v>
      </c>
      <c r="B8" s="4" t="s">
        <v>51</v>
      </c>
      <c r="C8" s="6">
        <f>SUMIFS($E$23:$E$30,$A$23:$A$30,A8,$D$23:$D$30,B8,$F$23:$F$30,"是")</f>
        <v>-80000</v>
      </c>
      <c r="D8" s="5"/>
      <c r="E8" s="5"/>
      <c r="F8" s="4"/>
      <c r="G8" s="4"/>
    </row>
    <row r="9" spans="1:7" x14ac:dyDescent="0.25">
      <c r="A9" s="4" t="s">
        <v>49</v>
      </c>
      <c r="B9" s="4" t="s">
        <v>52</v>
      </c>
      <c r="C9" s="6">
        <f>SUMIFS($E$23:$E$30,$A$23:$A$30,A9,$D$23:$D$30,B9,$F$23:$F$30,"是")</f>
        <v>-20000</v>
      </c>
      <c r="D9" s="5"/>
      <c r="E9" s="5"/>
      <c r="F9" s="4"/>
      <c r="G9" s="4"/>
    </row>
    <row r="10" spans="1:7" x14ac:dyDescent="0.25">
      <c r="A10" s="4" t="s">
        <v>49</v>
      </c>
      <c r="B10" s="4" t="s">
        <v>53</v>
      </c>
      <c r="C10" s="6">
        <f>SUMIFS($E$23:$E$30,$A$23:$A$30,A10,$D$23:$D$30,B10,$F$23:$F$30,"是")</f>
        <v>0</v>
      </c>
      <c r="D10" s="5"/>
      <c r="E10" s="5"/>
      <c r="F10" s="4"/>
      <c r="G10" s="4"/>
    </row>
    <row r="11" spans="1:7" x14ac:dyDescent="0.25">
      <c r="A11" s="4" t="s">
        <v>49</v>
      </c>
      <c r="B11" s="4" t="s">
        <v>54</v>
      </c>
      <c r="C11" s="6">
        <f>SUMIFS($E$23:$E$30,$A$23:$A$30,A11,$D$23:$D$30,B11,$F$23:$F$30,"是")</f>
        <v>0</v>
      </c>
      <c r="D11" s="5"/>
      <c r="E11" s="5"/>
      <c r="F11" s="4"/>
      <c r="G11" s="4"/>
    </row>
    <row r="12" spans="1:7" x14ac:dyDescent="0.25">
      <c r="A12" s="8" t="s">
        <v>49</v>
      </c>
      <c r="B12" s="8" t="s">
        <v>55</v>
      </c>
      <c r="C12" s="9">
        <f>SUM(C7:C11)</f>
        <v>0</v>
      </c>
      <c r="D12" s="9">
        <f>C12</f>
        <v>0</v>
      </c>
      <c r="E12" s="9" t="str">
        <f>IF(ABS(D12)&lt;=$B$3,"通过","差异")</f>
        <v>通过</v>
      </c>
      <c r="F12" s="8" t="str">
        <f>IF(COUNTIF($F$23:$F$30,"否")=0,"完整","待确认")</f>
        <v>待确认</v>
      </c>
      <c r="G12" s="8" t="s">
        <v>56</v>
      </c>
    </row>
    <row r="13" spans="1:7" x14ac:dyDescent="0.25">
      <c r="A13" s="4" t="s">
        <v>57</v>
      </c>
      <c r="B13" s="4" t="s">
        <v>50</v>
      </c>
      <c r="C13" s="6">
        <f>SUMIFS($E$23:$E$30,$A$23:$A$30,A13,$D$23:$D$30,B13,$F$23:$F$30,"是")</f>
        <v>150000</v>
      </c>
      <c r="D13" s="5"/>
      <c r="E13" s="5"/>
      <c r="F13" s="4"/>
      <c r="G13" s="4"/>
    </row>
    <row r="14" spans="1:7" x14ac:dyDescent="0.25">
      <c r="A14" s="4" t="s">
        <v>57</v>
      </c>
      <c r="B14" s="4" t="s">
        <v>51</v>
      </c>
      <c r="C14" s="6">
        <f>SUMIFS($E$23:$E$30,$A$23:$A$30,A14,$D$23:$D$30,B14,$F$23:$F$30,"是")</f>
        <v>-150000</v>
      </c>
      <c r="D14" s="5"/>
      <c r="E14" s="5"/>
      <c r="F14" s="4"/>
      <c r="G14" s="4"/>
    </row>
    <row r="15" spans="1:7" x14ac:dyDescent="0.25">
      <c r="A15" s="4" t="s">
        <v>57</v>
      </c>
      <c r="B15" s="4" t="s">
        <v>52</v>
      </c>
      <c r="C15" s="6">
        <f>SUMIFS($E$23:$E$30,$A$23:$A$30,A15,$D$23:$D$30,B15,$F$23:$F$30,"是")</f>
        <v>0</v>
      </c>
      <c r="D15" s="5"/>
      <c r="E15" s="5"/>
      <c r="F15" s="4"/>
      <c r="G15" s="4"/>
    </row>
    <row r="16" spans="1:7" x14ac:dyDescent="0.25">
      <c r="A16" s="4" t="s">
        <v>57</v>
      </c>
      <c r="B16" s="4" t="s">
        <v>53</v>
      </c>
      <c r="C16" s="6">
        <f>SUMIFS($E$23:$E$30,$A$23:$A$30,A16,$D$23:$D$30,B16,$F$23:$F$30,"是")</f>
        <v>0</v>
      </c>
      <c r="D16" s="5"/>
      <c r="E16" s="5"/>
      <c r="F16" s="4"/>
      <c r="G16" s="4"/>
    </row>
    <row r="17" spans="1:7" x14ac:dyDescent="0.25">
      <c r="A17" s="4" t="s">
        <v>57</v>
      </c>
      <c r="B17" s="4" t="s">
        <v>54</v>
      </c>
      <c r="C17" s="6">
        <f>SUMIFS($E$23:$E$30,$A$23:$A$30,A17,$D$23:$D$30,B17,$F$23:$F$30,"是")</f>
        <v>0</v>
      </c>
      <c r="D17" s="5"/>
      <c r="E17" s="5"/>
      <c r="F17" s="4"/>
      <c r="G17" s="4"/>
    </row>
    <row r="18" spans="1:7" x14ac:dyDescent="0.25">
      <c r="A18" s="8" t="s">
        <v>57</v>
      </c>
      <c r="B18" s="8" t="s">
        <v>55</v>
      </c>
      <c r="C18" s="9">
        <f>SUM(C13:C17)</f>
        <v>0</v>
      </c>
      <c r="D18" s="9">
        <f>C18</f>
        <v>0</v>
      </c>
      <c r="E18" s="9" t="str">
        <f>IF(ABS(D18)&lt;=$B$3,"通过","差异")</f>
        <v>通过</v>
      </c>
      <c r="F18" s="8" t="str">
        <f>IF(COUNTIF($F$23:$F$30,"否")=0,"完整","待确认")</f>
        <v>待确认</v>
      </c>
      <c r="G18" s="8" t="s">
        <v>56</v>
      </c>
    </row>
    <row r="19" spans="1:7" x14ac:dyDescent="0.25">
      <c r="A19" s="4"/>
      <c r="B19" s="4"/>
      <c r="C19" s="5"/>
      <c r="D19" s="5"/>
      <c r="E19" s="5"/>
      <c r="F19" s="4"/>
      <c r="G19" s="4"/>
    </row>
    <row r="20" spans="1:7" x14ac:dyDescent="0.25">
      <c r="A20" s="4"/>
      <c r="B20" s="4"/>
      <c r="C20" s="5"/>
      <c r="D20" s="5"/>
      <c r="E20" s="5"/>
      <c r="F20" s="4"/>
      <c r="G20" s="4"/>
    </row>
    <row r="21" spans="1:7" x14ac:dyDescent="0.25">
      <c r="A21" s="4"/>
      <c r="B21" s="4"/>
      <c r="C21" s="5"/>
      <c r="D21" s="5"/>
      <c r="E21" s="5"/>
      <c r="F21" s="4"/>
      <c r="G21" s="4"/>
    </row>
    <row r="22" spans="1:7" x14ac:dyDescent="0.25">
      <c r="A22" s="3" t="s">
        <v>42</v>
      </c>
      <c r="B22" s="3" t="s">
        <v>8</v>
      </c>
      <c r="C22" s="10" t="s">
        <v>9</v>
      </c>
      <c r="D22" s="10" t="s">
        <v>43</v>
      </c>
      <c r="E22" s="10" t="s">
        <v>58</v>
      </c>
      <c r="F22" s="3" t="s">
        <v>59</v>
      </c>
      <c r="G22" s="3" t="s">
        <v>60</v>
      </c>
    </row>
    <row r="23" spans="1:7" x14ac:dyDescent="0.25">
      <c r="A23" s="4" t="s">
        <v>49</v>
      </c>
      <c r="B23" s="4" t="s">
        <v>18</v>
      </c>
      <c r="C23" s="5" t="s">
        <v>19</v>
      </c>
      <c r="D23" s="5" t="s">
        <v>50</v>
      </c>
      <c r="E23" s="5">
        <v>100000</v>
      </c>
      <c r="F23" s="4" t="s">
        <v>61</v>
      </c>
      <c r="G23" s="4" t="s">
        <v>62</v>
      </c>
    </row>
    <row r="24" spans="1:7" x14ac:dyDescent="0.25">
      <c r="A24" s="4" t="s">
        <v>49</v>
      </c>
      <c r="B24" s="4" t="s">
        <v>20</v>
      </c>
      <c r="C24" s="5" t="s">
        <v>21</v>
      </c>
      <c r="D24" s="5" t="s">
        <v>51</v>
      </c>
      <c r="E24" s="5">
        <v>-80000</v>
      </c>
      <c r="F24" s="4" t="s">
        <v>61</v>
      </c>
      <c r="G24" s="4" t="s">
        <v>62</v>
      </c>
    </row>
    <row r="25" spans="1:7" x14ac:dyDescent="0.25">
      <c r="A25" s="4" t="s">
        <v>49</v>
      </c>
      <c r="B25" s="4" t="s">
        <v>63</v>
      </c>
      <c r="C25" s="5" t="s">
        <v>64</v>
      </c>
      <c r="D25" s="5" t="s">
        <v>52</v>
      </c>
      <c r="E25" s="5">
        <v>-20000</v>
      </c>
      <c r="F25" s="4" t="s">
        <v>61</v>
      </c>
      <c r="G25" s="4" t="s">
        <v>62</v>
      </c>
    </row>
    <row r="26" spans="1:7" x14ac:dyDescent="0.25">
      <c r="A26" s="4" t="s">
        <v>57</v>
      </c>
      <c r="B26" s="4" t="s">
        <v>18</v>
      </c>
      <c r="C26" s="5" t="s">
        <v>19</v>
      </c>
      <c r="D26" s="5" t="s">
        <v>50</v>
      </c>
      <c r="E26" s="5">
        <v>150000</v>
      </c>
      <c r="F26" s="4" t="s">
        <v>61</v>
      </c>
      <c r="G26" s="4" t="s">
        <v>62</v>
      </c>
    </row>
    <row r="27" spans="1:7" x14ac:dyDescent="0.25">
      <c r="A27" s="4" t="s">
        <v>57</v>
      </c>
      <c r="B27" s="4" t="s">
        <v>20</v>
      </c>
      <c r="C27" s="5" t="s">
        <v>21</v>
      </c>
      <c r="D27" s="5" t="s">
        <v>51</v>
      </c>
      <c r="E27" s="5">
        <v>-150000</v>
      </c>
      <c r="F27" s="4" t="s">
        <v>61</v>
      </c>
      <c r="G27" s="4" t="s">
        <v>62</v>
      </c>
    </row>
    <row r="28" spans="1:7" x14ac:dyDescent="0.25">
      <c r="A28" s="4" t="s">
        <v>57</v>
      </c>
      <c r="B28" s="4" t="s">
        <v>23</v>
      </c>
      <c r="C28" s="5" t="s">
        <v>24</v>
      </c>
      <c r="D28" s="5" t="s">
        <v>54</v>
      </c>
      <c r="E28" s="5">
        <v>-500000</v>
      </c>
      <c r="F28" s="4" t="s">
        <v>61</v>
      </c>
      <c r="G28" s="4" t="s">
        <v>62</v>
      </c>
    </row>
    <row r="29" spans="1:7" x14ac:dyDescent="0.25">
      <c r="A29" s="4" t="s">
        <v>57</v>
      </c>
      <c r="B29" s="4" t="s">
        <v>37</v>
      </c>
      <c r="C29" s="5" t="s">
        <v>38</v>
      </c>
      <c r="D29" s="5" t="s">
        <v>54</v>
      </c>
      <c r="E29" s="5">
        <v>500000</v>
      </c>
      <c r="F29" s="4" t="s">
        <v>61</v>
      </c>
      <c r="G29" s="4" t="s">
        <v>62</v>
      </c>
    </row>
    <row r="30" spans="1:7" x14ac:dyDescent="0.25">
      <c r="A30" s="11" t="s">
        <v>57</v>
      </c>
      <c r="B30" s="11" t="s">
        <v>65</v>
      </c>
      <c r="C30" s="12" t="s">
        <v>66</v>
      </c>
      <c r="D30" s="12" t="s">
        <v>67</v>
      </c>
      <c r="E30" s="12">
        <v>25000</v>
      </c>
      <c r="F30" s="11" t="s">
        <v>68</v>
      </c>
      <c r="G30" s="11" t="s">
        <v>69</v>
      </c>
    </row>
  </sheetData>
  <autoFilter ref="A22:G30" xr:uid="{00000000-0009-0000-0000-000002000000}"/>
  <mergeCells count="1">
    <mergeCell ref="A1:G1"/>
  </mergeCells>
  <phoneticPr fontId="6" type="noConversion"/>
  <pageMargins left="0.25" right="0.25" top="0.35" bottom="0.35" header="0.5" footer="0.5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TB发生额与余额勾稽</vt:lpstr>
      <vt:lpstr>TB与JE发生额勾稽</vt:lpstr>
      <vt:lpstr>BS与PL勾稽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Yan</cp:lastModifiedBy>
  <dcterms:created xsi:type="dcterms:W3CDTF">2026-08-30T07:08:53Z</dcterms:created>
  <dcterms:modified xsi:type="dcterms:W3CDTF">2026-08-30T07:09:01Z</dcterms:modified>
</cp:coreProperties>
</file>