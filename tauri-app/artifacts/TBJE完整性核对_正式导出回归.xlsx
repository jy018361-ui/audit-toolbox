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审计工具箱\audit-toolbox-main\tauri-app\artifacts\"/>
    </mc:Choice>
  </mc:AlternateContent>
  <xr:revisionPtr revIDLastSave="0" documentId="13_ncr:1_{B4CD0D30-803E-485A-AAE0-AC701A09F591}" xr6:coauthVersionLast="47" xr6:coauthVersionMax="47" xr10:uidLastSave="{00000000-0000-0000-0000-000000000000}"/>
  <bookViews>
    <workbookView xWindow="-110" yWindow="-110" windowWidth="21240" windowHeight="14220" xr2:uid="{00000000-000D-0000-FFFF-FFFF00000000}"/>
  </bookViews>
  <sheets>
    <sheet name="TB发生额与余额勾稽" sheetId="1" r:id="rId1"/>
    <sheet name="TB与JE发生额勾稽" sheetId="2" r:id="rId2"/>
    <sheet name="BS与PL勾稽" sheetId="3" r:id="rId3"/>
  </sheets>
  <definedNames>
    <definedName name="_xlnm._FilterDatabase" localSheetId="2" hidden="1">BS与PL勾稽!$A$22:$H$26</definedName>
    <definedName name="_xlnm._FilterDatabase" localSheetId="0" hidden="1">TB发生额与余额勾稽!$A$6:$K$8</definedName>
    <definedName name="_xlnm._FilterDatabase" localSheetId="1" hidden="1">TB与JE发生额勾稽!$A$6:$K$8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3" l="1"/>
  <c r="C19" i="3"/>
  <c r="C18" i="3"/>
  <c r="C17" i="3"/>
  <c r="C16" i="3"/>
  <c r="C15" i="3"/>
  <c r="C14" i="3"/>
  <c r="C20" i="3" s="1"/>
  <c r="D20" i="3" s="1"/>
  <c r="E20" i="3" s="1"/>
  <c r="F13" i="3"/>
  <c r="C12" i="3"/>
  <c r="C11" i="3"/>
  <c r="C10" i="3"/>
  <c r="C9" i="3"/>
  <c r="C8" i="3"/>
  <c r="C7" i="3"/>
  <c r="J8" i="2"/>
  <c r="G8" i="2"/>
  <c r="K8" i="2" s="1"/>
  <c r="J7" i="2"/>
  <c r="G7" i="2"/>
  <c r="K7" i="2" s="1"/>
  <c r="H8" i="1"/>
  <c r="J8" i="1" s="1"/>
  <c r="K8" i="1" s="1"/>
  <c r="H7" i="1"/>
  <c r="J7" i="1" s="1"/>
  <c r="K7" i="1" s="1"/>
  <c r="C13" i="3" l="1"/>
  <c r="D13" i="3" s="1"/>
  <c r="E13" i="3" s="1"/>
</calcChain>
</file>

<file path=xl/sharedStrings.xml><?xml version="1.0" encoding="utf-8"?>
<sst xmlns="http://schemas.openxmlformats.org/spreadsheetml/2006/main" count="121" uniqueCount="58">
  <si>
    <t>TB 发生额与余额勾稽</t>
  </si>
  <si>
    <t>核对说明</t>
  </si>
  <si>
    <t>逐科目验证：期初余额＋借方发生额－贷方发生额＝期末余额。</t>
  </si>
  <si>
    <t>容差</t>
  </si>
  <si>
    <t>数据来源</t>
  </si>
  <si>
    <t>C:\Users\lenovo\AppData\Local\Temp\tbje-check-57952-export\tb.csv</t>
  </si>
  <si>
    <t>口径</t>
  </si>
  <si>
    <t>源表行号</t>
  </si>
  <si>
    <t>科目编码</t>
  </si>
  <si>
    <t>科目名称</t>
  </si>
  <si>
    <t>期初余额</t>
  </si>
  <si>
    <t>TB借方发生额</t>
  </si>
  <si>
    <t>TB贷方发生额</t>
  </si>
  <si>
    <t>公式期末</t>
  </si>
  <si>
    <t>TB期末余额</t>
  </si>
  <si>
    <t>差异</t>
  </si>
  <si>
    <t>结论</t>
  </si>
  <si>
    <t>本位币</t>
  </si>
  <si>
    <t>1001</t>
  </si>
  <si>
    <t>库存现金</t>
  </si>
  <si>
    <t>2202</t>
  </si>
  <si>
    <t>应付账款</t>
  </si>
  <si>
    <t>TB 与 JE 发生额勾稽</t>
  </si>
  <si>
    <t>借、贷两侧分别对比；JE 贷方统一为正常贷方为正、红字冲销为负。</t>
  </si>
  <si>
    <t>C:\Users\lenovo\AppData\Local\Temp\tbje-check-57952-export\je.csv</t>
  </si>
  <si>
    <t>主体</t>
  </si>
  <si>
    <t>出现在</t>
  </si>
  <si>
    <t>TB借方</t>
  </si>
  <si>
    <t>JE借方</t>
  </si>
  <si>
    <t>借方差异</t>
  </si>
  <si>
    <t>TB贷方</t>
  </si>
  <si>
    <t>JE贷方（已统一方向）</t>
  </si>
  <si>
    <t>贷方差异</t>
  </si>
  <si>
    <t>两边都有</t>
  </si>
  <si>
    <t>BS 与 PL 勾稽</t>
  </si>
  <si>
    <t>按会计要素汇总带符号余额；金额是否为 0 与科目是否全部完成分类分别给结论。</t>
  </si>
  <si>
    <t>时点</t>
  </si>
  <si>
    <t>会计要素</t>
  </si>
  <si>
    <t>归类金额</t>
  </si>
  <si>
    <t>平衡差异</t>
  </si>
  <si>
    <t>金额结论</t>
  </si>
  <si>
    <t>分类结论</t>
  </si>
  <si>
    <t>说明</t>
  </si>
  <si>
    <t>年初</t>
  </si>
  <si>
    <t>资产</t>
  </si>
  <si>
    <t>负债</t>
  </si>
  <si>
    <t>共同</t>
  </si>
  <si>
    <t>所有者权益</t>
  </si>
  <si>
    <t>成本</t>
  </si>
  <si>
    <t>损益</t>
  </si>
  <si>
    <t>合计（应为 0）</t>
  </si>
  <si>
    <t>金额平衡与分类完整性分开判断</t>
  </si>
  <si>
    <t>年末</t>
  </si>
  <si>
    <t>带符号余额</t>
  </si>
  <si>
    <t>是否纳入勾稽</t>
  </si>
  <si>
    <t>分类说明</t>
  </si>
  <si>
    <t>是</t>
  </si>
  <si>
    <t>按科目编码首位识别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</si>
</sst>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\-"/>
  </numFmts>
  <fonts count="7" x14ac:knownFonts="1">
    <font>
      <sz val="11"/>
      <color theme="1"/>
      <name val="宋体"/>
      <family val="2"/>
      <scheme val="minor"/>
    </font>
    <font>
      <b/>
      <sz val="15"/>
      <color rgb="FF1E2A32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  <fill>
      <patternFill patternType="solid">
        <fgColor rgb="FFFFF9D6"/>
        <bgColor indexed="64"/>
      </patternFill>
    </fill>
    <fill>
      <patternFill patternType="solid">
        <fgColor rgb="FF126E72"/>
        <bgColor indexed="64"/>
      </patternFill>
    </fill>
    <fill>
      <patternFill patternType="solid">
        <fgColor rgb="FFE7F2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2" fillId="3" borderId="0" xfId="0" applyNumberFormat="1" applyFont="1" applyFill="1"/>
    <xf numFmtId="0" fontId="3" fillId="4" borderId="1" xfId="0" applyFont="1" applyFill="1" applyBorder="1" applyAlignment="1">
      <alignment horizontal="center"/>
    </xf>
    <xf numFmtId="0" fontId="4" fillId="0" borderId="0" xfId="0" applyFont="1"/>
    <xf numFmtId="176" fontId="4" fillId="0" borderId="0" xfId="0" applyNumberFormat="1" applyFont="1"/>
    <xf numFmtId="176" fontId="2" fillId="0" borderId="0" xfId="0" applyNumberFormat="1" applyFont="1"/>
    <xf numFmtId="0" fontId="2" fillId="0" borderId="0" xfId="0" applyFont="1"/>
    <xf numFmtId="176" fontId="5" fillId="5" borderId="0" xfId="0" applyNumberFormat="1" applyFont="1" applyFill="1"/>
    <xf numFmtId="0" fontId="5" fillId="5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"/>
  <sheetViews>
    <sheetView tabSelected="1" workbookViewId="0">
      <pane ySplit="6" topLeftCell="A7" activePane="bottomLeft" state="frozen"/>
      <selection pane="bottomLeft" sqref="A1:K1"/>
    </sheetView>
  </sheetViews>
  <sheetFormatPr defaultRowHeight="14" x14ac:dyDescent="0.25"/>
  <cols>
    <col min="1" max="1" width="10.7265625" customWidth="1"/>
    <col min="2" max="2" width="12.7265625" customWidth="1"/>
    <col min="3" max="3" width="16.7265625" customWidth="1"/>
    <col min="4" max="4" width="28.7265625" customWidth="1"/>
    <col min="5" max="5" width="16.7265625" customWidth="1"/>
    <col min="6" max="7" width="17.7265625" customWidth="1"/>
    <col min="8" max="9" width="16.7265625" customWidth="1"/>
    <col min="10" max="10" width="15.7265625" customWidth="1"/>
    <col min="11" max="11" width="10.7265625" customWidth="1"/>
  </cols>
  <sheetData>
    <row r="1" spans="1:11" ht="19" x14ac:dyDescent="0.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t="s">
        <v>1</v>
      </c>
      <c r="B2" t="s">
        <v>2</v>
      </c>
    </row>
    <row r="3" spans="1:11" ht="14.5" x14ac:dyDescent="0.3">
      <c r="A3" t="s">
        <v>3</v>
      </c>
      <c r="B3" s="1">
        <v>0.01</v>
      </c>
    </row>
    <row r="4" spans="1:11" x14ac:dyDescent="0.25">
      <c r="A4" t="s">
        <v>4</v>
      </c>
      <c r="B4" t="s">
        <v>5</v>
      </c>
    </row>
    <row r="6" spans="1:11" ht="14.5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</row>
    <row r="7" spans="1:11" ht="14.5" x14ac:dyDescent="0.3">
      <c r="A7" s="3" t="s">
        <v>17</v>
      </c>
      <c r="B7" s="3">
        <v>3</v>
      </c>
      <c r="C7" s="3" t="s">
        <v>18</v>
      </c>
      <c r="D7" s="3" t="s">
        <v>19</v>
      </c>
      <c r="E7" s="4">
        <v>100</v>
      </c>
      <c r="F7" s="4">
        <v>500</v>
      </c>
      <c r="G7" s="4">
        <v>300</v>
      </c>
      <c r="H7" s="5">
        <f>E7+F7-G7</f>
        <v>300</v>
      </c>
      <c r="I7" s="4">
        <v>300</v>
      </c>
      <c r="J7" s="5">
        <f>H7-I7</f>
        <v>0</v>
      </c>
      <c r="K7" s="6" t="str">
        <f>IF(ABS(J7)&lt;=MAX($B$3,MAX(ABS(E7),ABS(H7),ABS(I7))*0.00000001),"通过","差异")</f>
        <v>通过</v>
      </c>
    </row>
    <row r="8" spans="1:11" ht="14.5" x14ac:dyDescent="0.3">
      <c r="A8" s="3" t="s">
        <v>17</v>
      </c>
      <c r="B8" s="3">
        <v>4</v>
      </c>
      <c r="C8" s="3" t="s">
        <v>20</v>
      </c>
      <c r="D8" s="3" t="s">
        <v>21</v>
      </c>
      <c r="E8" s="4">
        <v>-100</v>
      </c>
      <c r="F8" s="4">
        <v>300</v>
      </c>
      <c r="G8" s="4">
        <v>500</v>
      </c>
      <c r="H8" s="5">
        <f>E8+F8-G8</f>
        <v>-300</v>
      </c>
      <c r="I8" s="4">
        <v>-300</v>
      </c>
      <c r="J8" s="5">
        <f>H8-I8</f>
        <v>0</v>
      </c>
      <c r="K8" s="6" t="str">
        <f>IF(ABS(J8)&lt;=MAX($B$3,MAX(ABS(E8),ABS(H8),ABS(I8))*0.00000001),"通过","差异")</f>
        <v>通过</v>
      </c>
    </row>
  </sheetData>
  <autoFilter ref="A6:K8" xr:uid="{00000000-0009-0000-0000-000000000000}"/>
  <mergeCells count="1">
    <mergeCell ref="A1:K1"/>
  </mergeCells>
  <phoneticPr fontId="6" type="noConversion"/>
  <pageMargins left="0.25" right="0.25" top="0.35" bottom="0.35" header="0.2" footer="0.2"/>
  <pageSetup paperSize="9" fitToHeight="0"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8"/>
  <sheetViews>
    <sheetView workbookViewId="0">
      <pane ySplit="6" topLeftCell="A7" activePane="bottomLeft" state="frozen"/>
      <selection pane="bottomLeft"/>
    </sheetView>
  </sheetViews>
  <sheetFormatPr defaultRowHeight="14" x14ac:dyDescent="0.25"/>
  <cols>
    <col min="1" max="1" width="18.7265625" customWidth="1"/>
    <col min="2" max="2" width="16.7265625" customWidth="1"/>
    <col min="3" max="3" width="28.7265625" customWidth="1"/>
    <col min="4" max="4" width="15.7265625" customWidth="1"/>
    <col min="5" max="6" width="16.7265625" customWidth="1"/>
    <col min="7" max="7" width="15.7265625" customWidth="1"/>
    <col min="8" max="8" width="16.7265625" customWidth="1"/>
    <col min="9" max="9" width="23.7265625" customWidth="1"/>
    <col min="10" max="10" width="15.7265625" customWidth="1"/>
    <col min="11" max="11" width="10.7265625" customWidth="1"/>
  </cols>
  <sheetData>
    <row r="1" spans="1:11" ht="19" x14ac:dyDescent="0.4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t="s">
        <v>1</v>
      </c>
      <c r="B2" t="s">
        <v>23</v>
      </c>
    </row>
    <row r="3" spans="1:11" ht="14.5" x14ac:dyDescent="0.3">
      <c r="A3" t="s">
        <v>3</v>
      </c>
      <c r="B3" s="1">
        <v>0.01</v>
      </c>
    </row>
    <row r="4" spans="1:11" x14ac:dyDescent="0.25">
      <c r="A4" t="s">
        <v>4</v>
      </c>
      <c r="B4" t="s">
        <v>24</v>
      </c>
    </row>
    <row r="6" spans="1:11" ht="14.5" x14ac:dyDescent="0.3">
      <c r="A6" s="2" t="s">
        <v>25</v>
      </c>
      <c r="B6" s="2" t="s">
        <v>8</v>
      </c>
      <c r="C6" s="2" t="s">
        <v>9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16</v>
      </c>
    </row>
    <row r="7" spans="1:11" ht="14.5" x14ac:dyDescent="0.3">
      <c r="A7" s="3"/>
      <c r="B7" s="3" t="s">
        <v>18</v>
      </c>
      <c r="C7" s="3" t="s">
        <v>19</v>
      </c>
      <c r="D7" s="3" t="s">
        <v>33</v>
      </c>
      <c r="E7" s="4">
        <v>500</v>
      </c>
      <c r="F7" s="4">
        <v>500</v>
      </c>
      <c r="G7" s="5">
        <f>E7-F7</f>
        <v>0</v>
      </c>
      <c r="H7" s="4">
        <v>300</v>
      </c>
      <c r="I7" s="4">
        <v>300</v>
      </c>
      <c r="J7" s="5">
        <f>H7-I7</f>
        <v>0</v>
      </c>
      <c r="K7" s="6" t="str">
        <f>IF(OR(ABS(G7)&gt;MAX($B$3,MAX(ABS(E7),ABS(F7))*0.00000001),ABS(J7)&gt;MAX($B$3,MAX(ABS(H7),ABS(I7))*0.00000001)),"差异","通过")</f>
        <v>通过</v>
      </c>
    </row>
    <row r="8" spans="1:11" ht="14.5" x14ac:dyDescent="0.3">
      <c r="A8" s="3"/>
      <c r="B8" s="3" t="s">
        <v>20</v>
      </c>
      <c r="C8" s="3" t="s">
        <v>21</v>
      </c>
      <c r="D8" s="3" t="s">
        <v>33</v>
      </c>
      <c r="E8" s="4">
        <v>300</v>
      </c>
      <c r="F8" s="4">
        <v>300</v>
      </c>
      <c r="G8" s="5">
        <f>E8-F8</f>
        <v>0</v>
      </c>
      <c r="H8" s="4">
        <v>500</v>
      </c>
      <c r="I8" s="4">
        <v>500</v>
      </c>
      <c r="J8" s="5">
        <f>H8-I8</f>
        <v>0</v>
      </c>
      <c r="K8" s="6" t="str">
        <f>IF(OR(ABS(G8)&gt;MAX($B$3,MAX(ABS(E8),ABS(F8))*0.00000001),ABS(J8)&gt;MAX($B$3,MAX(ABS(H8),ABS(I8))*0.00000001)),"差异","通过")</f>
        <v>通过</v>
      </c>
    </row>
  </sheetData>
  <autoFilter ref="A6:K8" xr:uid="{00000000-0009-0000-0000-000001000000}"/>
  <mergeCells count="1">
    <mergeCell ref="A1:K1"/>
  </mergeCells>
  <phoneticPr fontId="6" type="noConversion"/>
  <pageMargins left="0.25" right="0.25" top="0.35" bottom="0.35" header="0.2" footer="0.2"/>
  <pageSetup paperSize="9" fitToHeight="0"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6"/>
  <sheetViews>
    <sheetView workbookViewId="0">
      <pane ySplit="6" topLeftCell="A7" activePane="bottomLeft" state="frozen"/>
      <selection pane="bottomLeft"/>
    </sheetView>
  </sheetViews>
  <sheetFormatPr defaultRowHeight="14" x14ac:dyDescent="0.25"/>
  <cols>
    <col min="1" max="1" width="18.7265625" customWidth="1"/>
    <col min="2" max="2" width="13.7265625" customWidth="1"/>
    <col min="3" max="3" width="17.7265625" customWidth="1"/>
    <col min="4" max="4" width="28.7265625" customWidth="1"/>
    <col min="5" max="5" width="16.7265625" customWidth="1"/>
    <col min="6" max="7" width="17.7265625" customWidth="1"/>
    <col min="8" max="8" width="34.7265625" customWidth="1"/>
  </cols>
  <sheetData>
    <row r="1" spans="1:8" ht="19" x14ac:dyDescent="0.4">
      <c r="A1" s="9" t="s">
        <v>34</v>
      </c>
      <c r="B1" s="9"/>
      <c r="C1" s="9"/>
      <c r="D1" s="9"/>
      <c r="E1" s="9"/>
      <c r="F1" s="9"/>
      <c r="G1" s="9"/>
      <c r="H1" s="9"/>
    </row>
    <row r="2" spans="1:8" x14ac:dyDescent="0.25">
      <c r="A2" t="s">
        <v>1</v>
      </c>
      <c r="B2" t="s">
        <v>35</v>
      </c>
    </row>
    <row r="3" spans="1:8" ht="14.5" x14ac:dyDescent="0.3">
      <c r="A3" t="s">
        <v>3</v>
      </c>
      <c r="B3" s="1">
        <v>0.01</v>
      </c>
    </row>
    <row r="4" spans="1:8" x14ac:dyDescent="0.25">
      <c r="A4" t="s">
        <v>4</v>
      </c>
      <c r="B4" t="s">
        <v>5</v>
      </c>
    </row>
    <row r="6" spans="1:8" ht="14.5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/>
    </row>
    <row r="7" spans="1:8" ht="14.5" x14ac:dyDescent="0.3">
      <c r="A7" s="3" t="s">
        <v>43</v>
      </c>
      <c r="B7" s="3" t="s">
        <v>44</v>
      </c>
      <c r="C7" s="5">
        <f t="shared" ref="C7:C12" si="0">SUMIFS($F$23:$F$26,$A$23:$A$26,A7,$E$23:$E$26,B7,$G$23:$G$26,"是")</f>
        <v>100</v>
      </c>
    </row>
    <row r="8" spans="1:8" ht="14.5" x14ac:dyDescent="0.3">
      <c r="A8" s="3" t="s">
        <v>43</v>
      </c>
      <c r="B8" s="3" t="s">
        <v>45</v>
      </c>
      <c r="C8" s="5">
        <f t="shared" si="0"/>
        <v>-100</v>
      </c>
    </row>
    <row r="9" spans="1:8" ht="14.5" x14ac:dyDescent="0.3">
      <c r="A9" s="3" t="s">
        <v>43</v>
      </c>
      <c r="B9" s="3" t="s">
        <v>46</v>
      </c>
      <c r="C9" s="5">
        <f t="shared" si="0"/>
        <v>0</v>
      </c>
    </row>
    <row r="10" spans="1:8" ht="14.5" x14ac:dyDescent="0.3">
      <c r="A10" s="3" t="s">
        <v>43</v>
      </c>
      <c r="B10" s="3" t="s">
        <v>47</v>
      </c>
      <c r="C10" s="5">
        <f t="shared" si="0"/>
        <v>0</v>
      </c>
    </row>
    <row r="11" spans="1:8" ht="14.5" x14ac:dyDescent="0.3">
      <c r="A11" s="3" t="s">
        <v>43</v>
      </c>
      <c r="B11" s="3" t="s">
        <v>48</v>
      </c>
      <c r="C11" s="5">
        <f t="shared" si="0"/>
        <v>0</v>
      </c>
    </row>
    <row r="12" spans="1:8" ht="14.5" x14ac:dyDescent="0.3">
      <c r="A12" s="3" t="s">
        <v>43</v>
      </c>
      <c r="B12" s="3" t="s">
        <v>49</v>
      </c>
      <c r="C12" s="5">
        <f t="shared" si="0"/>
        <v>0</v>
      </c>
    </row>
    <row r="13" spans="1:8" ht="14.5" x14ac:dyDescent="0.3">
      <c r="A13" s="2" t="s">
        <v>43</v>
      </c>
      <c r="B13" s="2" t="s">
        <v>50</v>
      </c>
      <c r="C13" s="7">
        <f>SUM(C7:C12)</f>
        <v>0</v>
      </c>
      <c r="D13" s="7">
        <f>C13</f>
        <v>0</v>
      </c>
      <c r="E13" s="8" t="str">
        <f>IF(ABS(D13)&lt;=MAX($B$3,ABS(C13)*0.00000001),"通过","差异")</f>
        <v>通过</v>
      </c>
      <c r="F13" s="8" t="str">
        <f>IF(COUNTIF($G$23:$G$26,"否")=0,"完整","待确认")</f>
        <v>完整</v>
      </c>
      <c r="G13" s="8" t="s">
        <v>51</v>
      </c>
    </row>
    <row r="14" spans="1:8" ht="14.5" x14ac:dyDescent="0.3">
      <c r="A14" s="3" t="s">
        <v>52</v>
      </c>
      <c r="B14" s="3" t="s">
        <v>44</v>
      </c>
      <c r="C14" s="5">
        <f t="shared" ref="C14:C19" si="1">SUMIFS($F$23:$F$26,$A$23:$A$26,A14,$E$23:$E$26,B14,$G$23:$G$26,"是")</f>
        <v>300</v>
      </c>
    </row>
    <row r="15" spans="1:8" ht="14.5" x14ac:dyDescent="0.3">
      <c r="A15" s="3" t="s">
        <v>52</v>
      </c>
      <c r="B15" s="3" t="s">
        <v>45</v>
      </c>
      <c r="C15" s="5">
        <f t="shared" si="1"/>
        <v>-300</v>
      </c>
    </row>
    <row r="16" spans="1:8" ht="14.5" x14ac:dyDescent="0.3">
      <c r="A16" s="3" t="s">
        <v>52</v>
      </c>
      <c r="B16" s="3" t="s">
        <v>46</v>
      </c>
      <c r="C16" s="5">
        <f t="shared" si="1"/>
        <v>0</v>
      </c>
    </row>
    <row r="17" spans="1:8" ht="14.5" x14ac:dyDescent="0.3">
      <c r="A17" s="3" t="s">
        <v>52</v>
      </c>
      <c r="B17" s="3" t="s">
        <v>47</v>
      </c>
      <c r="C17" s="5">
        <f t="shared" si="1"/>
        <v>0</v>
      </c>
    </row>
    <row r="18" spans="1:8" ht="14.5" x14ac:dyDescent="0.3">
      <c r="A18" s="3" t="s">
        <v>52</v>
      </c>
      <c r="B18" s="3" t="s">
        <v>48</v>
      </c>
      <c r="C18" s="5">
        <f t="shared" si="1"/>
        <v>0</v>
      </c>
    </row>
    <row r="19" spans="1:8" ht="14.5" x14ac:dyDescent="0.3">
      <c r="A19" s="3" t="s">
        <v>52</v>
      </c>
      <c r="B19" s="3" t="s">
        <v>49</v>
      </c>
      <c r="C19" s="5">
        <f t="shared" si="1"/>
        <v>0</v>
      </c>
    </row>
    <row r="20" spans="1:8" ht="14.5" x14ac:dyDescent="0.3">
      <c r="A20" s="2" t="s">
        <v>52</v>
      </c>
      <c r="B20" s="2" t="s">
        <v>50</v>
      </c>
      <c r="C20" s="7">
        <f>SUM(C14:C19)</f>
        <v>0</v>
      </c>
      <c r="D20" s="7">
        <f>C20</f>
        <v>0</v>
      </c>
      <c r="E20" s="8" t="str">
        <f>IF(ABS(D20)&lt;=MAX($B$3,ABS(C20)*0.00000001),"通过","差异")</f>
        <v>通过</v>
      </c>
      <c r="F20" s="8" t="str">
        <f>IF(COUNTIF($G$23:$G$26,"否")=0,"完整","待确认")</f>
        <v>完整</v>
      </c>
      <c r="G20" s="8" t="s">
        <v>51</v>
      </c>
    </row>
    <row r="22" spans="1:8" ht="14.5" x14ac:dyDescent="0.3">
      <c r="A22" s="2" t="s">
        <v>36</v>
      </c>
      <c r="B22" s="2" t="s">
        <v>7</v>
      </c>
      <c r="C22" s="2" t="s">
        <v>8</v>
      </c>
      <c r="D22" s="2" t="s">
        <v>9</v>
      </c>
      <c r="E22" s="2" t="s">
        <v>37</v>
      </c>
      <c r="F22" s="2" t="s">
        <v>53</v>
      </c>
      <c r="G22" s="2" t="s">
        <v>54</v>
      </c>
      <c r="H22" s="2" t="s">
        <v>55</v>
      </c>
    </row>
    <row r="23" spans="1:8" ht="14.5" x14ac:dyDescent="0.3">
      <c r="A23" s="3" t="s">
        <v>43</v>
      </c>
      <c r="B23" s="3">
        <v>3</v>
      </c>
      <c r="C23" s="3" t="s">
        <v>18</v>
      </c>
      <c r="D23" s="3" t="s">
        <v>19</v>
      </c>
      <c r="E23" s="3" t="s">
        <v>44</v>
      </c>
      <c r="F23" s="4">
        <v>100</v>
      </c>
      <c r="G23" s="3" t="s">
        <v>56</v>
      </c>
      <c r="H23" s="3" t="s">
        <v>57</v>
      </c>
    </row>
    <row r="24" spans="1:8" ht="14.5" x14ac:dyDescent="0.3">
      <c r="A24" s="3" t="s">
        <v>52</v>
      </c>
      <c r="B24" s="3">
        <v>3</v>
      </c>
      <c r="C24" s="3" t="s">
        <v>18</v>
      </c>
      <c r="D24" s="3" t="s">
        <v>19</v>
      </c>
      <c r="E24" s="3" t="s">
        <v>44</v>
      </c>
      <c r="F24" s="4">
        <v>300</v>
      </c>
      <c r="G24" s="3" t="s">
        <v>56</v>
      </c>
      <c r="H24" s="3" t="s">
        <v>57</v>
      </c>
    </row>
    <row r="25" spans="1:8" ht="14.5" x14ac:dyDescent="0.3">
      <c r="A25" s="3" t="s">
        <v>43</v>
      </c>
      <c r="B25" s="3">
        <v>4</v>
      </c>
      <c r="C25" s="3" t="s">
        <v>20</v>
      </c>
      <c r="D25" s="3" t="s">
        <v>21</v>
      </c>
      <c r="E25" s="3" t="s">
        <v>45</v>
      </c>
      <c r="F25" s="4">
        <v>-100</v>
      </c>
      <c r="G25" s="3" t="s">
        <v>56</v>
      </c>
      <c r="H25" s="3" t="s">
        <v>57</v>
      </c>
    </row>
    <row r="26" spans="1:8" ht="14.5" x14ac:dyDescent="0.3">
      <c r="A26" s="3" t="s">
        <v>52</v>
      </c>
      <c r="B26" s="3">
        <v>4</v>
      </c>
      <c r="C26" s="3" t="s">
        <v>20</v>
      </c>
      <c r="D26" s="3" t="s">
        <v>21</v>
      </c>
      <c r="E26" s="3" t="s">
        <v>45</v>
      </c>
      <c r="F26" s="4">
        <v>-300</v>
      </c>
      <c r="G26" s="3" t="s">
        <v>56</v>
      </c>
      <c r="H26" s="3" t="s">
        <v>57</v>
      </c>
    </row>
  </sheetData>
  <autoFilter ref="A22:H26" xr:uid="{00000000-0009-0000-0000-000002000000}"/>
  <mergeCells count="1">
    <mergeCell ref="A1:H1"/>
  </mergeCells>
  <phoneticPr fontId="6" type="noConversion"/>
  <pageMargins left="0.25" right="0.25" top="0.35" bottom="0.35" header="0.2" footer="0.2"/>
  <pageSetup paperSize="9" fitToHeight="0"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TB发生额与余额勾稽</vt:lpstr>
      <vt:lpstr>TB与JE发生额勾稽</vt:lpstr>
      <vt:lpstr>BS与PL勾稽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Yan</cp:lastModifiedBy>
  <dcterms:created xsi:type="dcterms:W3CDTF">2026-08-30T07:47:10Z</dcterms:created>
  <dcterms:modified xsi:type="dcterms:W3CDTF">2026-08-30T07:47:35Z</dcterms:modified>
</cp:coreProperties>
</file>