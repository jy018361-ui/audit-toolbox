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B发生额与余额勾稽" sheetId="1" r:id="rId1"/>
    <sheet name="TB与JE发生额勾稽" sheetId="2" r:id="rId2"/>
    <sheet name="BS与PL勾稽" sheetId="3" r:id="rId3"/>
  </sheets>
  <definedNames>
    <definedName name="_xlnm._FilterDatabase" localSheetId="2" hidden="1">BS与PL勾稽!$A$24:$H$58</definedName>
    <definedName name="_xlnm._FilterDatabase" localSheetId="1" hidden="1">TB与JE发生额勾稽!$A$6:$P$7</definedName>
    <definedName name="_xlnm._FilterDatabase" localSheetId="0" hidden="1">TB发生额与余额勾稽!$A$6:$L$7</definedName>
  </definedNames>
  <calcPr calcId="124519" fullCalcOnLoad="1"/>
</workbook>
</file>

<file path=xl/sharedStrings.xml><?xml version="1.0" encoding="utf-8"?>
<sst xmlns="http://schemas.openxmlformats.org/spreadsheetml/2006/main" count="298" uniqueCount="91">
  <si>
    <t>TB 发生额与余额勾稽</t>
  </si>
  <si>
    <t>核对说明</t>
  </si>
  <si>
    <t>按TB每个币种行分别验证：期初余额＋借方发生额－贷方发生额＝期末余额；同一行另有原币金额列时只核对本位币金额列。</t>
  </si>
  <si>
    <t>容差</t>
  </si>
  <si>
    <t>数据来源</t>
  </si>
  <si>
    <t>C:\Users\lenovo\Downloads\审计工具箱\audit-toolbox-main\tauri-app\demo-upload\演示_TB科目余额表.xlsx</t>
  </si>
  <si>
    <t>主体</t>
  </si>
  <si>
    <t>TB纳入币种</t>
  </si>
  <si>
    <t>源表行号</t>
  </si>
  <si>
    <t>科目编码</t>
  </si>
  <si>
    <t>科目名称</t>
  </si>
  <si>
    <t>期初余额</t>
  </si>
  <si>
    <t>TB借方发生额</t>
  </si>
  <si>
    <t>TB贷方发生额</t>
  </si>
  <si>
    <t>公式期末</t>
  </si>
  <si>
    <t>TB期末余额</t>
  </si>
  <si>
    <t>差异</t>
  </si>
  <si>
    <t>结论</t>
  </si>
  <si>
    <t>TB 与 JE 发生额勾稽</t>
  </si>
  <si>
    <t>借、贷两侧分别对比；JE 贷方统一为正常贷方为正、红字冲销为负。</t>
  </si>
  <si>
    <t>C:\Users\lenovo\Downloads\审计工具箱\audit-toolbox-main\tauri-app\demo-upload\演示_JE序时账.xlsx</t>
  </si>
  <si>
    <t>出现在</t>
  </si>
  <si>
    <t>TB借方</t>
  </si>
  <si>
    <t>JE借方</t>
  </si>
  <si>
    <t>借方差异</t>
  </si>
  <si>
    <t>TB贷方</t>
  </si>
  <si>
    <t>JE贷方（已统一方向）</t>
  </si>
  <si>
    <t>贷方差异</t>
  </si>
  <si>
    <t>TB净额</t>
  </si>
  <si>
    <t>JE净额</t>
  </si>
  <si>
    <t>净额差异</t>
  </si>
  <si>
    <t>净额结论</t>
  </si>
  <si>
    <t>综合结论</t>
  </si>
  <si>
    <t>BS 与 PL 勾稽</t>
  </si>
  <si>
    <t>按会计要素汇总带符号余额；金额是否为 0 与科目是否全部完成分类分别给结论。</t>
  </si>
  <si>
    <t>时点</t>
  </si>
  <si>
    <t>会计要素</t>
  </si>
  <si>
    <t>带符号金额</t>
  </si>
  <si>
    <t>金额结论</t>
  </si>
  <si>
    <t>分类结论</t>
  </si>
  <si>
    <t>说明</t>
  </si>
  <si>
    <t>年初</t>
  </si>
  <si>
    <t>资产</t>
  </si>
  <si>
    <t>负债</t>
  </si>
  <si>
    <t>共同</t>
  </si>
  <si>
    <t>所有者权益</t>
  </si>
  <si>
    <t>成本</t>
  </si>
  <si>
    <t>损益</t>
  </si>
  <si>
    <t>未分类</t>
  </si>
  <si>
    <t>合计（应为 0）</t>
  </si>
  <si>
    <t>全部方向可靠的末级科目均已纳入；金额平衡与分类完整性分开判断</t>
  </si>
  <si>
    <t>年末</t>
  </si>
  <si>
    <t>带符号余额</t>
  </si>
  <si>
    <t>是否纳入勾稽</t>
  </si>
  <si>
    <t>分类说明</t>
  </si>
  <si>
    <t>66030101</t>
  </si>
  <si>
    <t>财务费用\利息收入\银行存款</t>
  </si>
  <si>
    <t>是</t>
  </si>
  <si>
    <t>按科目编码首位识别，方向可靠</t>
  </si>
  <si>
    <t>22210502</t>
  </si>
  <si>
    <t>应交税费\应交所得税\本期已交数</t>
  </si>
  <si>
    <t>22210501</t>
  </si>
  <si>
    <t>应交税费\应交所得税\本期应交数</t>
  </si>
  <si>
    <t>22210107</t>
  </si>
  <si>
    <t>应交税费\应交增值税\进项税额转出</t>
  </si>
  <si>
    <t>22210101</t>
  </si>
  <si>
    <t>应交税费\应交增值税\进项税额</t>
  </si>
  <si>
    <t>680199</t>
  </si>
  <si>
    <t>所得税费用\结转</t>
  </si>
  <si>
    <t>680101</t>
  </si>
  <si>
    <t>所得税费用\当期所得税费用</t>
  </si>
  <si>
    <t>660399</t>
  </si>
  <si>
    <t>财务费用\结转</t>
  </si>
  <si>
    <t>660303</t>
  </si>
  <si>
    <t>财务费用\手续费</t>
  </si>
  <si>
    <t>660299</t>
  </si>
  <si>
    <t>管理费用\结转</t>
  </si>
  <si>
    <t>660247</t>
  </si>
  <si>
    <t>管理费用\软件开发维护费</t>
  </si>
  <si>
    <t>660242</t>
  </si>
  <si>
    <t>管理费用\审计费</t>
  </si>
  <si>
    <t>660221</t>
  </si>
  <si>
    <t>管理费用\办公费</t>
  </si>
  <si>
    <t>660214</t>
  </si>
  <si>
    <t>管理费用\顾问费</t>
  </si>
  <si>
    <t>410410</t>
  </si>
  <si>
    <t>利润分配\未分配利润</t>
  </si>
  <si>
    <t>100201</t>
  </si>
  <si>
    <t>银行存款\银行/活期</t>
  </si>
  <si>
    <t>4103</t>
  </si>
  <si>
    <t>本年利润</t>
  </si>
</sst>
</file>

<file path=xl/styles.xml><?xml version="1.0" encoding="utf-8"?>
<styleSheet xmlns="http://schemas.openxmlformats.org/spreadsheetml/2006/main">
  <numFmts count="2">
    <numFmt numFmtId="164" formatCode="0.00"/>
    <numFmt numFmtId="165" formatCode="#,##0.00;[Red](#,##0.00);-"/>
  </numFmts>
  <fonts count="6">
    <font>
      <sz val="11"/>
      <color theme="1"/>
      <name val="Calibri"/>
      <family val="2"/>
      <scheme val="minor"/>
    </font>
    <font>
      <b/>
      <sz val="15"/>
      <color rgb="FF1E2A32"/>
      <name val="Arial"/>
      <family val="2"/>
    </font>
    <font>
      <sz val="11"/>
      <color theme="1"/>
      <name val="Arial"/>
      <family val="2"/>
    </font>
    <font>
      <b/>
      <sz val="11"/>
      <color rgb="FFFFFFFF"/>
      <name val="Arial"/>
      <family val="2"/>
    </font>
    <font>
      <sz val="11"/>
      <color rgb="FF0000FF"/>
      <name val="Arial"/>
      <family val="2"/>
    </font>
    <font>
      <b/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E600"/>
        <bgColor indexed="64"/>
      </patternFill>
    </fill>
    <fill>
      <patternFill patternType="solid">
        <fgColor rgb="FFFFF9D6"/>
        <bgColor indexed="64"/>
      </patternFill>
    </fill>
    <fill>
      <patternFill patternType="solid">
        <fgColor rgb="FF126E72"/>
        <bgColor indexed="64"/>
      </patternFill>
    </fill>
    <fill>
      <patternFill patternType="solid">
        <fgColor rgb="FFE7F2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164" fontId="2" fillId="3" borderId="0" xfId="0" applyNumberFormat="1" applyFont="1" applyFill="1"/>
    <xf numFmtId="0" fontId="3" fillId="4" borderId="1" xfId="0" applyFont="1" applyFill="1" applyBorder="1" applyAlignment="1">
      <alignment horizontal="center"/>
    </xf>
    <xf numFmtId="0" fontId="4" fillId="0" borderId="0" xfId="0" applyFont="1"/>
    <xf numFmtId="165" fontId="2" fillId="0" borderId="0" xfId="0" applyNumberFormat="1" applyFont="1"/>
    <xf numFmtId="165" fontId="5" fillId="5" borderId="0" xfId="0" applyNumberFormat="1" applyFont="1" applyFill="1"/>
    <xf numFmtId="0" fontId="5" fillId="5" borderId="0" xfId="0" applyFont="1" applyFill="1"/>
    <xf numFmtId="165" fontId="4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L6"/>
  <sheetViews>
    <sheetView tabSelected="1" workbookViewId="0">
      <pane ySplit="6" topLeftCell="A7" activePane="bottomLeft" state="frozen"/>
      <selection pane="bottomLeft"/>
    </sheetView>
  </sheetViews>
  <sheetFormatPr defaultRowHeight="15"/>
  <cols>
    <col min="1" max="1" width="18.7109375" customWidth="1"/>
    <col min="2" max="2" width="10.7109375" customWidth="1"/>
    <col min="3" max="3" width="12.7109375" customWidth="1"/>
    <col min="4" max="4" width="16.7109375" customWidth="1"/>
    <col min="5" max="5" width="28.7109375" customWidth="1"/>
    <col min="6" max="6" width="16.7109375" customWidth="1"/>
    <col min="7" max="8" width="17.7109375" customWidth="1"/>
    <col min="9" max="10" width="16.7109375" customWidth="1"/>
    <col min="11" max="11" width="15.7109375" customWidth="1"/>
    <col min="12" max="12" width="10.7109375" customWidth="1"/>
  </cols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</v>
      </c>
    </row>
    <row r="3" spans="1:12">
      <c r="A3" t="s">
        <v>3</v>
      </c>
      <c r="B3" s="2">
        <v>0.01</v>
      </c>
    </row>
    <row r="4" spans="1:12">
      <c r="A4" t="s">
        <v>4</v>
      </c>
      <c r="B4" t="s">
        <v>5</v>
      </c>
    </row>
    <row r="6" spans="1:12">
      <c r="A6" s="3" t="s">
        <v>6</v>
      </c>
      <c r="B6" s="3" t="s">
        <v>7</v>
      </c>
      <c r="C6" s="3" t="s">
        <v>8</v>
      </c>
      <c r="D6" s="3" t="s">
        <v>9</v>
      </c>
      <c r="E6" s="3" t="s">
        <v>10</v>
      </c>
      <c r="F6" s="3" t="s">
        <v>11</v>
      </c>
      <c r="G6" s="3" t="s">
        <v>12</v>
      </c>
      <c r="H6" s="3" t="s">
        <v>13</v>
      </c>
      <c r="I6" s="3" t="s">
        <v>14</v>
      </c>
      <c r="J6" s="3" t="s">
        <v>15</v>
      </c>
      <c r="K6" s="3" t="s">
        <v>16</v>
      </c>
      <c r="L6" s="3" t="s">
        <v>17</v>
      </c>
    </row>
  </sheetData>
  <autoFilter ref="A6:L7"/>
  <mergeCells count="1">
    <mergeCell ref="A1:L1"/>
  </mergeCells>
  <pageMargins left="0.25" right="0.25" top="0.35" bottom="0.35" header="0.2" footer="0.2"/>
  <pageSetup paperSize="9" fitToHeight="0" orientation="landscape" horizontalDpi="200" verticalDpi="200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6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8.7109375" customWidth="1"/>
    <col min="2" max="2" width="16.7109375" customWidth="1"/>
    <col min="3" max="3" width="28.7109375" customWidth="1"/>
    <col min="4" max="4" width="15.7109375" customWidth="1"/>
    <col min="5" max="5" width="22.7109375" customWidth="1"/>
    <col min="6" max="7" width="16.7109375" customWidth="1"/>
    <col min="8" max="8" width="15.7109375" customWidth="1"/>
    <col min="9" max="9" width="16.7109375" customWidth="1"/>
    <col min="10" max="10" width="23.7109375" customWidth="1"/>
    <col min="11" max="11" width="15.7109375" customWidth="1"/>
    <col min="12" max="13" width="16.7109375" customWidth="1"/>
    <col min="14" max="14" width="15.7109375" customWidth="1"/>
    <col min="15" max="15" width="12.7109375" customWidth="1"/>
    <col min="16" max="16" width="30.7109375" customWidth="1"/>
  </cols>
  <sheetData>
    <row r="1" spans="1:16">
      <c r="A1" s="1" t="s">
        <v>18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>
      <c r="A2" t="s">
        <v>1</v>
      </c>
      <c r="B2" t="s">
        <v>19</v>
      </c>
    </row>
    <row r="3" spans="1:16">
      <c r="A3" t="s">
        <v>3</v>
      </c>
      <c r="B3" s="2">
        <v>0.01</v>
      </c>
    </row>
    <row r="4" spans="1:16">
      <c r="A4" t="s">
        <v>4</v>
      </c>
      <c r="B4" t="s">
        <v>20</v>
      </c>
    </row>
    <row r="6" spans="1:16">
      <c r="A6" s="3" t="s">
        <v>6</v>
      </c>
      <c r="B6" s="3" t="s">
        <v>9</v>
      </c>
      <c r="C6" s="3" t="s">
        <v>10</v>
      </c>
      <c r="D6" s="3" t="s">
        <v>21</v>
      </c>
      <c r="E6" s="3" t="s">
        <v>7</v>
      </c>
      <c r="F6" s="3" t="s">
        <v>22</v>
      </c>
      <c r="G6" s="3" t="s">
        <v>23</v>
      </c>
      <c r="H6" s="3" t="s">
        <v>24</v>
      </c>
      <c r="I6" s="3" t="s">
        <v>25</v>
      </c>
      <c r="J6" s="3" t="s">
        <v>26</v>
      </c>
      <c r="K6" s="3" t="s">
        <v>27</v>
      </c>
      <c r="L6" s="3" t="s">
        <v>28</v>
      </c>
      <c r="M6" s="3" t="s">
        <v>29</v>
      </c>
      <c r="N6" s="3" t="s">
        <v>30</v>
      </c>
      <c r="O6" s="3" t="s">
        <v>31</v>
      </c>
      <c r="P6" s="3" t="s">
        <v>32</v>
      </c>
    </row>
  </sheetData>
  <autoFilter ref="A6:P7"/>
  <mergeCells count="1">
    <mergeCell ref="A1:P1"/>
  </mergeCells>
  <pageMargins left="0.25" right="0.25" top="0.35" bottom="0.35" header="0.2" footer="0.2"/>
  <pageSetup paperSize="9" fitToHeight="0" orientation="landscape" horizontalDpi="200" verticalDpi="200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H58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8.7109375" customWidth="1"/>
    <col min="2" max="2" width="13.7109375" customWidth="1"/>
    <col min="3" max="3" width="17.7109375" customWidth="1"/>
    <col min="4" max="4" width="28.7109375" customWidth="1"/>
    <col min="5" max="5" width="16.7109375" customWidth="1"/>
    <col min="6" max="7" width="17.7109375" customWidth="1"/>
    <col min="8" max="8" width="34.7109375" customWidth="1"/>
  </cols>
  <sheetData>
    <row r="1" spans="1:7">
      <c r="A1" s="1" t="s">
        <v>33</v>
      </c>
      <c r="B1" s="1"/>
      <c r="C1" s="1"/>
      <c r="D1" s="1"/>
      <c r="E1" s="1"/>
      <c r="F1" s="1"/>
      <c r="G1" s="1"/>
    </row>
    <row r="2" spans="1:7">
      <c r="A2" t="s">
        <v>1</v>
      </c>
      <c r="B2" t="s">
        <v>34</v>
      </c>
    </row>
    <row r="3" spans="1:7">
      <c r="A3" t="s">
        <v>3</v>
      </c>
      <c r="B3" s="2">
        <v>0.01</v>
      </c>
    </row>
    <row r="4" spans="1:7">
      <c r="A4" t="s">
        <v>4</v>
      </c>
      <c r="B4" t="s">
        <v>5</v>
      </c>
    </row>
    <row r="6" spans="1:7">
      <c r="A6" s="3" t="s">
        <v>35</v>
      </c>
      <c r="B6" s="3" t="s">
        <v>36</v>
      </c>
      <c r="C6" s="3" t="s">
        <v>37</v>
      </c>
      <c r="D6" s="3" t="s">
        <v>38</v>
      </c>
      <c r="E6" s="3" t="s">
        <v>39</v>
      </c>
      <c r="F6" s="3" t="s">
        <v>40</v>
      </c>
      <c r="G6" s="3"/>
    </row>
    <row r="7" spans="1:7">
      <c r="A7" s="4" t="s">
        <v>41</v>
      </c>
      <c r="B7" s="4" t="s">
        <v>42</v>
      </c>
      <c r="C7" s="5">
        <f>SUMIFS($F$25:$F$58,$A$25:$A$58,A7,$E$25:$E$58,B7,$G$25:$G$58,"是")</f>
        <v>496516.89</v>
      </c>
    </row>
    <row r="8" spans="1:7">
      <c r="A8" s="4" t="s">
        <v>41</v>
      </c>
      <c r="B8" s="4" t="s">
        <v>43</v>
      </c>
      <c r="C8" s="5">
        <f>SUMIFS($F$25:$F$58,$A$25:$A$58,A8,$E$25:$E$58,B8,$G$25:$G$58,"是")</f>
        <v>-329.90999999999997</v>
      </c>
    </row>
    <row r="9" spans="1:7">
      <c r="A9" s="4" t="s">
        <v>41</v>
      </c>
      <c r="B9" s="4" t="s">
        <v>44</v>
      </c>
      <c r="C9" s="5">
        <f>SUMIFS($F$25:$F$58,$A$25:$A$58,A9,$E$25:$E$58,B9,$G$25:$G$58,"是")</f>
        <v>-0</v>
      </c>
    </row>
    <row r="10" spans="1:7">
      <c r="A10" s="4" t="s">
        <v>41</v>
      </c>
      <c r="B10" s="4" t="s">
        <v>45</v>
      </c>
      <c r="C10" s="5">
        <f>SUMIFS($F$25:$F$58,$A$25:$A$58,A10,$E$25:$E$58,B10,$G$25:$G$58,"是")</f>
        <v>-496186.98</v>
      </c>
    </row>
    <row r="11" spans="1:7">
      <c r="A11" s="4" t="s">
        <v>41</v>
      </c>
      <c r="B11" s="4" t="s">
        <v>46</v>
      </c>
      <c r="C11" s="5">
        <f>SUMIFS($F$25:$F$58,$A$25:$A$58,A11,$E$25:$E$58,B11,$G$25:$G$58,"是")</f>
        <v>-0</v>
      </c>
    </row>
    <row r="12" spans="1:7">
      <c r="A12" s="4" t="s">
        <v>41</v>
      </c>
      <c r="B12" s="4" t="s">
        <v>47</v>
      </c>
      <c r="C12" s="5">
        <f>SUMIFS($F$25:$F$58,$A$25:$A$58,A12,$E$25:$E$58,B12,$G$25:$G$58,"是")</f>
        <v>0</v>
      </c>
    </row>
    <row r="13" spans="1:7">
      <c r="A13" s="4" t="s">
        <v>41</v>
      </c>
      <c r="B13" s="4" t="s">
        <v>48</v>
      </c>
      <c r="C13" s="5">
        <f>SUMIFS($F$25:$F$58,$A$25:$A$58,A13,$E$25:$E$58,B13,$G$25:$G$58,"是")</f>
        <v>-0</v>
      </c>
    </row>
    <row r="14" spans="1:7">
      <c r="A14" s="3" t="s">
        <v>41</v>
      </c>
      <c r="B14" s="3" t="s">
        <v>49</v>
      </c>
      <c r="C14" s="6">
        <f>SUM(C7:C13)</f>
        <v>0.00000000005820766091346741</v>
      </c>
      <c r="D14" s="7" t="str">
        <f>IF(COUNTIFS($A$25:$A$58,A14,$G$25:$G$58,"否")&gt;0,"无法完整执行",IF(ABS(C14)&lt;=MAX($B$3,ABS(C14)*1E-8),"通过","差异"))</f>
        <v>通过</v>
      </c>
      <c r="E14" s="7" t="str">
        <f>IF(COUNTIFS($A$25:$A$58,A14,$E$25:$E$58,"未分类")=0,"完整","待确认")</f>
        <v>完整</v>
      </c>
      <c r="F14" s="7" t="s">
        <v>50</v>
      </c>
    </row>
    <row r="15" spans="1:7">
      <c r="A15" s="4" t="s">
        <v>51</v>
      </c>
      <c r="B15" s="4" t="s">
        <v>42</v>
      </c>
      <c r="C15" s="5">
        <f>SUMIFS($F$25:$F$58,$A$25:$A$58,A15,$E$25:$E$58,B15,$G$25:$G$58,"是")</f>
        <v>142115.54</v>
      </c>
    </row>
    <row r="16" spans="1:7">
      <c r="A16" s="4" t="s">
        <v>51</v>
      </c>
      <c r="B16" s="4" t="s">
        <v>43</v>
      </c>
      <c r="C16" s="5">
        <f>SUMIFS($F$25:$F$58,$A$25:$A$58,A16,$E$25:$E$58,B16,$G$25:$G$58,"是")</f>
        <v>0</v>
      </c>
    </row>
    <row r="17" spans="1:8">
      <c r="A17" s="4" t="s">
        <v>51</v>
      </c>
      <c r="B17" s="4" t="s">
        <v>44</v>
      </c>
      <c r="C17" s="5">
        <f>SUMIFS($F$25:$F$58,$A$25:$A$58,A17,$E$25:$E$58,B17,$G$25:$G$58,"是")</f>
        <v>-0</v>
      </c>
    </row>
    <row r="18" spans="1:8">
      <c r="A18" s="4" t="s">
        <v>51</v>
      </c>
      <c r="B18" s="4" t="s">
        <v>45</v>
      </c>
      <c r="C18" s="5">
        <f>SUMIFS($F$25:$F$58,$A$25:$A$58,A18,$E$25:$E$58,B18,$G$25:$G$58,"是")</f>
        <v>-142115.54</v>
      </c>
    </row>
    <row r="19" spans="1:8">
      <c r="A19" s="4" t="s">
        <v>51</v>
      </c>
      <c r="B19" s="4" t="s">
        <v>46</v>
      </c>
      <c r="C19" s="5">
        <f>SUMIFS($F$25:$F$58,$A$25:$A$58,A19,$E$25:$E$58,B19,$G$25:$G$58,"是")</f>
        <v>-0</v>
      </c>
    </row>
    <row r="20" spans="1:8">
      <c r="A20" s="4" t="s">
        <v>51</v>
      </c>
      <c r="B20" s="4" t="s">
        <v>47</v>
      </c>
      <c r="C20" s="5">
        <f>SUMIFS($F$25:$F$58,$A$25:$A$58,A20,$E$25:$E$58,B20,$G$25:$G$58,"是")</f>
        <v>0</v>
      </c>
    </row>
    <row r="21" spans="1:8">
      <c r="A21" s="4" t="s">
        <v>51</v>
      </c>
      <c r="B21" s="4" t="s">
        <v>48</v>
      </c>
      <c r="C21" s="5">
        <f>SUMIFS($F$25:$F$58,$A$25:$A$58,A21,$E$25:$E$58,B21,$G$25:$G$58,"是")</f>
        <v>-0</v>
      </c>
    </row>
    <row r="22" spans="1:8">
      <c r="A22" s="3" t="s">
        <v>51</v>
      </c>
      <c r="B22" s="3" t="s">
        <v>49</v>
      </c>
      <c r="C22" s="6">
        <f>SUM(C15:C21)</f>
        <v>0</v>
      </c>
      <c r="D22" s="7" t="str">
        <f>IF(COUNTIFS($A$25:$A$58,A22,$G$25:$G$58,"否")&gt;0,"无法完整执行",IF(ABS(C22)&lt;=MAX($B$3,ABS(C22)*1E-8),"通过","差异"))</f>
        <v>通过</v>
      </c>
      <c r="E22" s="7" t="str">
        <f>IF(COUNTIFS($A$25:$A$58,A22,$E$25:$E$58,"未分类")=0,"完整","待确认")</f>
        <v>完整</v>
      </c>
      <c r="F22" s="7" t="s">
        <v>50</v>
      </c>
    </row>
    <row r="24" spans="1:8">
      <c r="A24" s="3" t="s">
        <v>35</v>
      </c>
      <c r="B24" s="3" t="s">
        <v>8</v>
      </c>
      <c r="C24" s="3" t="s">
        <v>9</v>
      </c>
      <c r="D24" s="3" t="s">
        <v>10</v>
      </c>
      <c r="E24" s="3" t="s">
        <v>36</v>
      </c>
      <c r="F24" s="3" t="s">
        <v>52</v>
      </c>
      <c r="G24" s="3" t="s">
        <v>53</v>
      </c>
      <c r="H24" s="3" t="s">
        <v>54</v>
      </c>
    </row>
    <row r="25" spans="1:8">
      <c r="A25" s="4" t="s">
        <v>41</v>
      </c>
      <c r="B25" s="4">
        <v>3</v>
      </c>
      <c r="C25" s="4" t="s">
        <v>55</v>
      </c>
      <c r="D25" s="4" t="s">
        <v>56</v>
      </c>
      <c r="E25" s="4" t="s">
        <v>47</v>
      </c>
      <c r="F25" s="8">
        <v>0</v>
      </c>
      <c r="G25" s="4" t="s">
        <v>57</v>
      </c>
      <c r="H25" s="4" t="s">
        <v>58</v>
      </c>
    </row>
    <row r="26" spans="1:8">
      <c r="A26" s="4" t="s">
        <v>51</v>
      </c>
      <c r="B26" s="4">
        <v>3</v>
      </c>
      <c r="C26" s="4" t="s">
        <v>55</v>
      </c>
      <c r="D26" s="4" t="s">
        <v>56</v>
      </c>
      <c r="E26" s="4" t="s">
        <v>47</v>
      </c>
      <c r="F26" s="8">
        <v>-223.91</v>
      </c>
      <c r="G26" s="4" t="s">
        <v>57</v>
      </c>
      <c r="H26" s="4" t="s">
        <v>58</v>
      </c>
    </row>
    <row r="27" spans="1:8">
      <c r="A27" s="4" t="s">
        <v>41</v>
      </c>
      <c r="B27" s="4">
        <v>4</v>
      </c>
      <c r="C27" s="4" t="s">
        <v>59</v>
      </c>
      <c r="D27" s="4" t="s">
        <v>60</v>
      </c>
      <c r="E27" s="4" t="s">
        <v>43</v>
      </c>
      <c r="F27" s="8">
        <v>38.28</v>
      </c>
      <c r="G27" s="4" t="s">
        <v>57</v>
      </c>
      <c r="H27" s="4" t="s">
        <v>58</v>
      </c>
    </row>
    <row r="28" spans="1:8">
      <c r="A28" s="4" t="s">
        <v>51</v>
      </c>
      <c r="B28" s="4">
        <v>4</v>
      </c>
      <c r="C28" s="4" t="s">
        <v>59</v>
      </c>
      <c r="D28" s="4" t="s">
        <v>60</v>
      </c>
      <c r="E28" s="4" t="s">
        <v>43</v>
      </c>
      <c r="F28" s="8">
        <v>349.54</v>
      </c>
      <c r="G28" s="4" t="s">
        <v>57</v>
      </c>
      <c r="H28" s="4" t="s">
        <v>58</v>
      </c>
    </row>
    <row r="29" spans="1:8">
      <c r="A29" s="4" t="s">
        <v>41</v>
      </c>
      <c r="B29" s="4">
        <v>5</v>
      </c>
      <c r="C29" s="4" t="s">
        <v>61</v>
      </c>
      <c r="D29" s="4" t="s">
        <v>62</v>
      </c>
      <c r="E29" s="4" t="s">
        <v>43</v>
      </c>
      <c r="F29" s="8">
        <v>-368.19</v>
      </c>
      <c r="G29" s="4" t="s">
        <v>57</v>
      </c>
      <c r="H29" s="4" t="s">
        <v>58</v>
      </c>
    </row>
    <row r="30" spans="1:8">
      <c r="A30" s="4" t="s">
        <v>51</v>
      </c>
      <c r="B30" s="4">
        <v>5</v>
      </c>
      <c r="C30" s="4" t="s">
        <v>61</v>
      </c>
      <c r="D30" s="4" t="s">
        <v>62</v>
      </c>
      <c r="E30" s="4" t="s">
        <v>43</v>
      </c>
      <c r="F30" s="8">
        <v>-349.54</v>
      </c>
      <c r="G30" s="4" t="s">
        <v>57</v>
      </c>
      <c r="H30" s="4" t="s">
        <v>58</v>
      </c>
    </row>
    <row r="31" spans="1:8">
      <c r="A31" s="4" t="s">
        <v>41</v>
      </c>
      <c r="B31" s="4">
        <v>6</v>
      </c>
      <c r="C31" s="4" t="s">
        <v>63</v>
      </c>
      <c r="D31" s="4" t="s">
        <v>64</v>
      </c>
      <c r="E31" s="4" t="s">
        <v>43</v>
      </c>
      <c r="F31" s="8">
        <v>0</v>
      </c>
      <c r="G31" s="4" t="s">
        <v>57</v>
      </c>
      <c r="H31" s="4" t="s">
        <v>58</v>
      </c>
    </row>
    <row r="32" spans="1:8">
      <c r="A32" s="4" t="s">
        <v>51</v>
      </c>
      <c r="B32" s="4">
        <v>6</v>
      </c>
      <c r="C32" s="4" t="s">
        <v>63</v>
      </c>
      <c r="D32" s="4" t="s">
        <v>64</v>
      </c>
      <c r="E32" s="4" t="s">
        <v>43</v>
      </c>
      <c r="F32" s="8">
        <v>-18682.98</v>
      </c>
      <c r="G32" s="4" t="s">
        <v>57</v>
      </c>
      <c r="H32" s="4" t="s">
        <v>58</v>
      </c>
    </row>
    <row r="33" spans="1:8">
      <c r="A33" s="4" t="s">
        <v>41</v>
      </c>
      <c r="B33" s="4">
        <v>7</v>
      </c>
      <c r="C33" s="4" t="s">
        <v>65</v>
      </c>
      <c r="D33" s="4" t="s">
        <v>66</v>
      </c>
      <c r="E33" s="4" t="s">
        <v>43</v>
      </c>
      <c r="F33" s="8">
        <v>0</v>
      </c>
      <c r="G33" s="4" t="s">
        <v>57</v>
      </c>
      <c r="H33" s="4" t="s">
        <v>58</v>
      </c>
    </row>
    <row r="34" spans="1:8">
      <c r="A34" s="4" t="s">
        <v>51</v>
      </c>
      <c r="B34" s="4">
        <v>7</v>
      </c>
      <c r="C34" s="4" t="s">
        <v>65</v>
      </c>
      <c r="D34" s="4" t="s">
        <v>66</v>
      </c>
      <c r="E34" s="4" t="s">
        <v>43</v>
      </c>
      <c r="F34" s="8">
        <v>18682.98</v>
      </c>
      <c r="G34" s="4" t="s">
        <v>57</v>
      </c>
      <c r="H34" s="4" t="s">
        <v>58</v>
      </c>
    </row>
    <row r="35" spans="1:8">
      <c r="A35" s="4" t="s">
        <v>41</v>
      </c>
      <c r="B35" s="4">
        <v>8</v>
      </c>
      <c r="C35" s="4" t="s">
        <v>67</v>
      </c>
      <c r="D35" s="4" t="s">
        <v>68</v>
      </c>
      <c r="E35" s="4" t="s">
        <v>47</v>
      </c>
      <c r="F35" s="8">
        <v>0</v>
      </c>
      <c r="G35" s="4" t="s">
        <v>57</v>
      </c>
      <c r="H35" s="4" t="s">
        <v>58</v>
      </c>
    </row>
    <row r="36" spans="1:8">
      <c r="A36" s="4" t="s">
        <v>51</v>
      </c>
      <c r="B36" s="4">
        <v>8</v>
      </c>
      <c r="C36" s="4" t="s">
        <v>67</v>
      </c>
      <c r="D36" s="4" t="s">
        <v>68</v>
      </c>
      <c r="E36" s="4" t="s">
        <v>47</v>
      </c>
      <c r="F36" s="8">
        <v>18.65</v>
      </c>
      <c r="G36" s="4" t="s">
        <v>57</v>
      </c>
      <c r="H36" s="4" t="s">
        <v>58</v>
      </c>
    </row>
    <row r="37" spans="1:8">
      <c r="A37" s="4" t="s">
        <v>41</v>
      </c>
      <c r="B37" s="4">
        <v>9</v>
      </c>
      <c r="C37" s="4" t="s">
        <v>69</v>
      </c>
      <c r="D37" s="4" t="s">
        <v>70</v>
      </c>
      <c r="E37" s="4" t="s">
        <v>47</v>
      </c>
      <c r="F37" s="8">
        <v>0</v>
      </c>
      <c r="G37" s="4" t="s">
        <v>57</v>
      </c>
      <c r="H37" s="4" t="s">
        <v>58</v>
      </c>
    </row>
    <row r="38" spans="1:8">
      <c r="A38" s="4" t="s">
        <v>51</v>
      </c>
      <c r="B38" s="4">
        <v>9</v>
      </c>
      <c r="C38" s="4" t="s">
        <v>69</v>
      </c>
      <c r="D38" s="4" t="s">
        <v>70</v>
      </c>
      <c r="E38" s="4" t="s">
        <v>47</v>
      </c>
      <c r="F38" s="8">
        <v>-18.65</v>
      </c>
      <c r="G38" s="4" t="s">
        <v>57</v>
      </c>
      <c r="H38" s="4" t="s">
        <v>58</v>
      </c>
    </row>
    <row r="39" spans="1:8">
      <c r="A39" s="4" t="s">
        <v>41</v>
      </c>
      <c r="B39" s="4">
        <v>10</v>
      </c>
      <c r="C39" s="4" t="s">
        <v>71</v>
      </c>
      <c r="D39" s="4" t="s">
        <v>72</v>
      </c>
      <c r="E39" s="4" t="s">
        <v>47</v>
      </c>
      <c r="F39" s="8">
        <v>0</v>
      </c>
      <c r="G39" s="4" t="s">
        <v>57</v>
      </c>
      <c r="H39" s="4" t="s">
        <v>58</v>
      </c>
    </row>
    <row r="40" spans="1:8">
      <c r="A40" s="4" t="s">
        <v>51</v>
      </c>
      <c r="B40" s="4">
        <v>10</v>
      </c>
      <c r="C40" s="4" t="s">
        <v>71</v>
      </c>
      <c r="D40" s="4" t="s">
        <v>72</v>
      </c>
      <c r="E40" s="4" t="s">
        <v>47</v>
      </c>
      <c r="F40" s="8">
        <v>-624.09</v>
      </c>
      <c r="G40" s="4" t="s">
        <v>57</v>
      </c>
      <c r="H40" s="4" t="s">
        <v>58</v>
      </c>
    </row>
    <row r="41" spans="1:8">
      <c r="A41" s="4" t="s">
        <v>41</v>
      </c>
      <c r="B41" s="4">
        <v>11</v>
      </c>
      <c r="C41" s="4" t="s">
        <v>73</v>
      </c>
      <c r="D41" s="4" t="s">
        <v>74</v>
      </c>
      <c r="E41" s="4" t="s">
        <v>47</v>
      </c>
      <c r="F41" s="8">
        <v>0</v>
      </c>
      <c r="G41" s="4" t="s">
        <v>57</v>
      </c>
      <c r="H41" s="4" t="s">
        <v>58</v>
      </c>
    </row>
    <row r="42" spans="1:8">
      <c r="A42" s="4" t="s">
        <v>51</v>
      </c>
      <c r="B42" s="4">
        <v>11</v>
      </c>
      <c r="C42" s="4" t="s">
        <v>73</v>
      </c>
      <c r="D42" s="4" t="s">
        <v>74</v>
      </c>
      <c r="E42" s="4" t="s">
        <v>47</v>
      </c>
      <c r="F42" s="8">
        <v>848</v>
      </c>
      <c r="G42" s="4" t="s">
        <v>57</v>
      </c>
      <c r="H42" s="4" t="s">
        <v>58</v>
      </c>
    </row>
    <row r="43" spans="1:8">
      <c r="A43" s="4" t="s">
        <v>41</v>
      </c>
      <c r="B43" s="4">
        <v>12</v>
      </c>
      <c r="C43" s="4" t="s">
        <v>75</v>
      </c>
      <c r="D43" s="4" t="s">
        <v>76</v>
      </c>
      <c r="E43" s="4" t="s">
        <v>47</v>
      </c>
      <c r="F43" s="8">
        <v>0</v>
      </c>
      <c r="G43" s="4" t="s">
        <v>57</v>
      </c>
      <c r="H43" s="4" t="s">
        <v>58</v>
      </c>
    </row>
    <row r="44" spans="1:8">
      <c r="A44" s="4" t="s">
        <v>51</v>
      </c>
      <c r="B44" s="4">
        <v>12</v>
      </c>
      <c r="C44" s="4" t="s">
        <v>75</v>
      </c>
      <c r="D44" s="4" t="s">
        <v>76</v>
      </c>
      <c r="E44" s="4" t="s">
        <v>47</v>
      </c>
      <c r="F44" s="8">
        <v>-353466</v>
      </c>
      <c r="G44" s="4" t="s">
        <v>57</v>
      </c>
      <c r="H44" s="4" t="s">
        <v>58</v>
      </c>
    </row>
    <row r="45" spans="1:8">
      <c r="A45" s="4" t="s">
        <v>41</v>
      </c>
      <c r="B45" s="4">
        <v>13</v>
      </c>
      <c r="C45" s="4" t="s">
        <v>77</v>
      </c>
      <c r="D45" s="4" t="s">
        <v>78</v>
      </c>
      <c r="E45" s="4" t="s">
        <v>47</v>
      </c>
      <c r="F45" s="8">
        <v>0</v>
      </c>
      <c r="G45" s="4" t="s">
        <v>57</v>
      </c>
      <c r="H45" s="4" t="s">
        <v>58</v>
      </c>
    </row>
    <row r="46" spans="1:8">
      <c r="A46" s="4" t="s">
        <v>51</v>
      </c>
      <c r="B46" s="4">
        <v>13</v>
      </c>
      <c r="C46" s="4" t="s">
        <v>77</v>
      </c>
      <c r="D46" s="4" t="s">
        <v>78</v>
      </c>
      <c r="E46" s="4" t="s">
        <v>47</v>
      </c>
      <c r="F46" s="8">
        <v>325800</v>
      </c>
      <c r="G46" s="4" t="s">
        <v>57</v>
      </c>
      <c r="H46" s="4" t="s">
        <v>58</v>
      </c>
    </row>
    <row r="47" spans="1:8">
      <c r="A47" s="4" t="s">
        <v>41</v>
      </c>
      <c r="B47" s="4">
        <v>14</v>
      </c>
      <c r="C47" s="4" t="s">
        <v>79</v>
      </c>
      <c r="D47" s="4" t="s">
        <v>80</v>
      </c>
      <c r="E47" s="4" t="s">
        <v>47</v>
      </c>
      <c r="F47" s="8">
        <v>0</v>
      </c>
      <c r="G47" s="4" t="s">
        <v>57</v>
      </c>
      <c r="H47" s="4" t="s">
        <v>58</v>
      </c>
    </row>
    <row r="48" spans="1:8">
      <c r="A48" s="4" t="s">
        <v>51</v>
      </c>
      <c r="B48" s="4">
        <v>14</v>
      </c>
      <c r="C48" s="4" t="s">
        <v>79</v>
      </c>
      <c r="D48" s="4" t="s">
        <v>80</v>
      </c>
      <c r="E48" s="4" t="s">
        <v>47</v>
      </c>
      <c r="F48" s="8">
        <v>9266</v>
      </c>
      <c r="G48" s="4" t="s">
        <v>57</v>
      </c>
      <c r="H48" s="4" t="s">
        <v>58</v>
      </c>
    </row>
    <row r="49" spans="1:8">
      <c r="A49" s="4" t="s">
        <v>41</v>
      </c>
      <c r="B49" s="4">
        <v>15</v>
      </c>
      <c r="C49" s="4" t="s">
        <v>81</v>
      </c>
      <c r="D49" s="4" t="s">
        <v>82</v>
      </c>
      <c r="E49" s="4" t="s">
        <v>47</v>
      </c>
      <c r="F49" s="8">
        <v>0</v>
      </c>
      <c r="G49" s="4" t="s">
        <v>57</v>
      </c>
      <c r="H49" s="4" t="s">
        <v>58</v>
      </c>
    </row>
    <row r="50" spans="1:8">
      <c r="A50" s="4" t="s">
        <v>51</v>
      </c>
      <c r="B50" s="4">
        <v>15</v>
      </c>
      <c r="C50" s="4" t="s">
        <v>81</v>
      </c>
      <c r="D50" s="4" t="s">
        <v>82</v>
      </c>
      <c r="E50" s="4" t="s">
        <v>47</v>
      </c>
      <c r="F50" s="8">
        <v>400</v>
      </c>
      <c r="G50" s="4" t="s">
        <v>57</v>
      </c>
      <c r="H50" s="4" t="s">
        <v>58</v>
      </c>
    </row>
    <row r="51" spans="1:8">
      <c r="A51" s="4" t="s">
        <v>41</v>
      </c>
      <c r="B51" s="4">
        <v>16</v>
      </c>
      <c r="C51" s="4" t="s">
        <v>83</v>
      </c>
      <c r="D51" s="4" t="s">
        <v>84</v>
      </c>
      <c r="E51" s="4" t="s">
        <v>47</v>
      </c>
      <c r="F51" s="8">
        <v>0</v>
      </c>
      <c r="G51" s="4" t="s">
        <v>57</v>
      </c>
      <c r="H51" s="4" t="s">
        <v>58</v>
      </c>
    </row>
    <row r="52" spans="1:8">
      <c r="A52" s="4" t="s">
        <v>51</v>
      </c>
      <c r="B52" s="4">
        <v>16</v>
      </c>
      <c r="C52" s="4" t="s">
        <v>83</v>
      </c>
      <c r="D52" s="4" t="s">
        <v>84</v>
      </c>
      <c r="E52" s="4" t="s">
        <v>47</v>
      </c>
      <c r="F52" s="8">
        <v>18000</v>
      </c>
      <c r="G52" s="4" t="s">
        <v>57</v>
      </c>
      <c r="H52" s="4" t="s">
        <v>58</v>
      </c>
    </row>
    <row r="53" spans="1:8">
      <c r="A53" s="4" t="s">
        <v>41</v>
      </c>
      <c r="B53" s="4">
        <v>17</v>
      </c>
      <c r="C53" s="4" t="s">
        <v>85</v>
      </c>
      <c r="D53" s="4" t="s">
        <v>86</v>
      </c>
      <c r="E53" s="4" t="s">
        <v>45</v>
      </c>
      <c r="F53" s="8">
        <v>-496186.98</v>
      </c>
      <c r="G53" s="4" t="s">
        <v>57</v>
      </c>
      <c r="H53" s="4" t="s">
        <v>58</v>
      </c>
    </row>
    <row r="54" spans="1:8">
      <c r="A54" s="4" t="s">
        <v>51</v>
      </c>
      <c r="B54" s="4">
        <v>17</v>
      </c>
      <c r="C54" s="4" t="s">
        <v>85</v>
      </c>
      <c r="D54" s="4" t="s">
        <v>86</v>
      </c>
      <c r="E54" s="4" t="s">
        <v>45</v>
      </c>
      <c r="F54" s="8">
        <v>-142115.54</v>
      </c>
      <c r="G54" s="4" t="s">
        <v>57</v>
      </c>
      <c r="H54" s="4" t="s">
        <v>58</v>
      </c>
    </row>
    <row r="55" spans="1:8">
      <c r="A55" s="4" t="s">
        <v>41</v>
      </c>
      <c r="B55" s="4">
        <v>18</v>
      </c>
      <c r="C55" s="4" t="s">
        <v>87</v>
      </c>
      <c r="D55" s="4" t="s">
        <v>88</v>
      </c>
      <c r="E55" s="4" t="s">
        <v>42</v>
      </c>
      <c r="F55" s="8">
        <v>496516.89</v>
      </c>
      <c r="G55" s="4" t="s">
        <v>57</v>
      </c>
      <c r="H55" s="4" t="s">
        <v>58</v>
      </c>
    </row>
    <row r="56" spans="1:8">
      <c r="A56" s="4" t="s">
        <v>51</v>
      </c>
      <c r="B56" s="4">
        <v>18</v>
      </c>
      <c r="C56" s="4" t="s">
        <v>87</v>
      </c>
      <c r="D56" s="4" t="s">
        <v>88</v>
      </c>
      <c r="E56" s="4" t="s">
        <v>42</v>
      </c>
      <c r="F56" s="8">
        <v>142115.54</v>
      </c>
      <c r="G56" s="4" t="s">
        <v>57</v>
      </c>
      <c r="H56" s="4" t="s">
        <v>58</v>
      </c>
    </row>
    <row r="57" spans="1:8">
      <c r="A57" s="4" t="s">
        <v>41</v>
      </c>
      <c r="B57" s="4">
        <v>19</v>
      </c>
      <c r="C57" s="4" t="s">
        <v>89</v>
      </c>
      <c r="D57" s="4" t="s">
        <v>90</v>
      </c>
      <c r="E57" s="4" t="s">
        <v>45</v>
      </c>
      <c r="F57" s="8">
        <v>0</v>
      </c>
      <c r="G57" s="4" t="s">
        <v>57</v>
      </c>
      <c r="H57" s="4" t="s">
        <v>58</v>
      </c>
    </row>
    <row r="58" spans="1:8">
      <c r="A58" s="4" t="s">
        <v>51</v>
      </c>
      <c r="B58" s="4">
        <v>19</v>
      </c>
      <c r="C58" s="4" t="s">
        <v>89</v>
      </c>
      <c r="D58" s="4" t="s">
        <v>90</v>
      </c>
      <c r="E58" s="4" t="s">
        <v>45</v>
      </c>
      <c r="F58" s="8">
        <v>0</v>
      </c>
      <c r="G58" s="4" t="s">
        <v>57</v>
      </c>
      <c r="H58" s="4" t="s">
        <v>58</v>
      </c>
    </row>
  </sheetData>
  <autoFilter ref="A24:H58"/>
  <mergeCells count="1">
    <mergeCell ref="A1:G1"/>
  </mergeCells>
  <pageMargins left="0.25" right="0.25" top="0.35" bottom="0.35" header="0.2" footer="0.2"/>
  <pageSetup paperSize="9" fitToHeight="0" orientation="landscape" horizontalDpi="200" verticalDpi="2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TB发生额与余额勾稽</vt:lpstr>
      <vt:lpstr>TB与JE发生额勾稽</vt:lpstr>
      <vt:lpstr>BS与PL勾稽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2026-09-25T14:31:08Z</dcterms:created>
  <dcterms:modified xsi:type="dcterms:W3CDTF">2026-09-25T14:31:08Z</dcterms:modified>
</cp:coreProperties>
</file>