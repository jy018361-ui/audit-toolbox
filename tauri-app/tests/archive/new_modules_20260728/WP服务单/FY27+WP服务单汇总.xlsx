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140" tabRatio="600" firstSheet="0" activeTab="0" autoFilterDateGrouping="1"/>
  </bookViews>
  <sheets>
    <sheet xmlns:r="http://schemas.openxmlformats.org/officeDocument/2006/relationships" name="服务方案索引" sheetId="1" state="visible" r:id="rId1"/>
    <sheet xmlns:r="http://schemas.openxmlformats.org/officeDocument/2006/relationships" name="AUD2026" sheetId="2" state="visible" r:id="rId2"/>
    <sheet xmlns:r="http://schemas.openxmlformats.org/officeDocument/2006/relationships" name="IPO" sheetId="3" state="visible" r:id="rId3"/>
    <sheet xmlns:r="http://schemas.openxmlformats.org/officeDocument/2006/relationships" name="IPO archive" sheetId="4" state="visible" r:id="rId4"/>
    <sheet xmlns:r="http://schemas.openxmlformats.org/officeDocument/2006/relationships" name="AUD2025" sheetId="5" state="visible" r:id="rId5"/>
    <sheet xmlns:r="http://schemas.openxmlformats.org/officeDocument/2006/relationships" name="AUD 2026 验收项目" sheetId="6" state="visible" r:id="rId6"/>
    <sheet xmlns:r="http://schemas.openxmlformats.org/officeDocument/2006/relationships" name="IPO 验收项目" sheetId="7" state="visible" r:id="rId7"/>
  </sheets>
  <definedNames>
    <definedName name="_xlnm._FilterDatabase" localSheetId="0" hidden="1">'服务方案索引'!$A$7:$K$9</definedName>
    <definedName name="_xlnm.Print_Titles" localSheetId="0">'服务方案索引'!$7:$7</definedName>
    <definedName name="_xlnm.Print_Area" localSheetId="0">'服务方案索引'!$A$1:$K$9</definedName>
    <definedName name="_xlnm._FilterDatabase" localSheetId="1" hidden="1">'AUD2026'!$A$1:$V$2</definedName>
    <definedName name="_xlnm.Print_Titles" localSheetId="1">'AUD2026'!$1:$1</definedName>
    <definedName name="_xlnm.Print_Area" localSheetId="1">'AUD2026'!$A$1:$V$2</definedName>
    <definedName name="_xlnm._FilterDatabase" localSheetId="2" hidden="1">'IPO'!$A$1:$V$2</definedName>
    <definedName name="_xlnm.Print_Titles" localSheetId="2">'IPO'!$1:$1</definedName>
    <definedName name="_xlnm.Print_Area" localSheetId="2">'IPO'!$A$1:$V$2</definedName>
    <definedName name="_xlnm._FilterDatabase" localSheetId="3" hidden="1">'IPO archive'!$A$1:$V$2</definedName>
    <definedName name="_xlnm.Print_Titles" localSheetId="3">'IPO archive'!$1:$1</definedName>
    <definedName name="_xlnm.Print_Area" localSheetId="3">'IPO archive'!$A$1:$V$2</definedName>
    <definedName name="_xlnm._FilterDatabase" localSheetId="4" hidden="1">'AUD2025'!$A$1:$V$2</definedName>
    <definedName name="_xlnm.Print_Titles" localSheetId="4">'AUD2025'!$1:$1</definedName>
    <definedName name="_xlnm.Print_Area" localSheetId="4">'AUD2025'!$A$1:$V$2</definedName>
    <definedName name="_xlnm.Print_Titles" localSheetId="5">'AUD 2026 验收项目'!$1:$4</definedName>
    <definedName name="_xlnm.Print_Area" localSheetId="5">'AUD 2026 验收项目'!$A$1:$H$62</definedName>
    <definedName name="_xlnm.Print_Titles" localSheetId="6">'IPO 验收项目'!$1:$4</definedName>
    <definedName name="_xlnm.Print_Area" localSheetId="6">'IPO 验收项目'!$A$1:$H$62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4">
    <font>
      <name val="等线"/>
      <charset val="134"/>
      <color indexed="8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243746"/>
      <sz val="9"/>
    </font>
    <font>
      <name val="Microsoft YaHei"/>
      <b val="1"/>
      <color rgb="000F7C80"/>
      <sz val="9"/>
      <u val="single"/>
    </font>
    <font>
      <name val="Microsoft YaHei"/>
      <color rgb="00243746"/>
      <sz val="10"/>
    </font>
    <font>
      <name val="Microsoft YaHei"/>
      <b val="1"/>
      <color rgb="00243746"/>
      <sz val="10"/>
    </font>
    <font>
      <name val="Microsoft YaHei"/>
      <b val="1"/>
      <color rgb="00FFFFFF"/>
      <sz val="10"/>
      <u val="single"/>
    </font>
    <font>
      <name val="Microsoft YaHei"/>
      <b val="1"/>
      <color rgb="00243746"/>
      <sz val="9"/>
    </font>
    <font>
      <name val="Microsoft YaHei"/>
      <b val="1"/>
      <color rgb="0017324D"/>
      <sz val="11"/>
    </font>
    <font>
      <name val="Microsoft YaHei"/>
      <b val="1"/>
      <color rgb="00FFFFFF"/>
      <sz val="11"/>
    </font>
    <font>
      <name val="Microsoft YaHei"/>
      <b val="1"/>
      <color rgb="00FFFFFF"/>
      <sz val="20"/>
    </font>
    <font>
      <name val="Microsoft YaHei"/>
      <color rgb="00DDE8F0"/>
      <sz val="10"/>
    </font>
    <font>
      <name val="Microsoft YaHei"/>
      <b val="1"/>
      <color rgb="0064717D"/>
      <sz val="9"/>
    </font>
    <font>
      <name val="Microsoft YaHei"/>
      <b val="1"/>
      <color rgb="0017324D"/>
      <sz val="12"/>
    </font>
  </fonts>
  <fills count="41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7324D"/>
      </patternFill>
    </fill>
    <fill>
      <patternFill patternType="solid">
        <fgColor rgb="00FFFFFF"/>
      </patternFill>
    </fill>
    <fill>
      <patternFill patternType="solid">
        <fgColor rgb="00E8F4F3"/>
      </patternFill>
    </fill>
    <fill>
      <patternFill patternType="solid">
        <fgColor rgb="000F7C80"/>
      </patternFill>
    </fill>
    <fill>
      <patternFill patternType="solid">
        <fgColor rgb="00FFF4D6"/>
      </patternFill>
    </fill>
    <fill>
      <patternFill patternType="solid">
        <fgColor rgb="00EAF1F6"/>
      </patternFill>
    </fill>
    <fill>
      <patternFill patternType="solid">
        <fgColor rgb="00F4F7F9"/>
      </patternFill>
    </fill>
    <fill>
      <patternFill patternType="solid">
        <fgColor rgb="00D6A83D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E2E8"/>
      </left>
      <right style="thin">
        <color rgb="00D9E2E8"/>
      </right>
      <top style="thin">
        <color rgb="00D9E2E8"/>
      </top>
      <bottom style="thin">
        <color rgb="00D9E2E8"/>
      </bottom>
    </border>
    <border/>
    <border>
      <bottom style="medium">
        <color rgb="0017324D"/>
      </bottom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0" fontId="30" fillId="33" borderId="0" applyAlignment="1" pivotButton="0" quotePrefix="0" xfId="0">
      <alignment horizontal="left" vertical="center"/>
    </xf>
    <xf numFmtId="0" fontId="31" fillId="33" borderId="0" applyAlignment="1" pivotButton="0" quotePrefix="0" xfId="0">
      <alignment horizontal="left" vertical="center"/>
    </xf>
    <xf numFmtId="0" fontId="32" fillId="35" borderId="9" applyAlignment="1" pivotButton="0" quotePrefix="0" xfId="0">
      <alignment horizontal="left" vertical="center" wrapText="1"/>
    </xf>
    <xf numFmtId="0" fontId="33" fillId="34" borderId="9" applyAlignment="1" pivotButton="0" quotePrefix="0" xfId="0">
      <alignment horizontal="center" vertical="center" wrapText="1"/>
    </xf>
    <xf numFmtId="0" fontId="21" fillId="36" borderId="9" applyAlignment="1" pivotButton="0" quotePrefix="0" xfId="0">
      <alignment horizontal="center" vertical="center" wrapText="1"/>
    </xf>
    <xf numFmtId="0" fontId="22" fillId="34" borderId="9" applyAlignment="1" pivotButton="0" quotePrefix="0" xfId="0">
      <alignment horizontal="center" vertical="center"/>
    </xf>
    <xf numFmtId="0" fontId="22" fillId="34" borderId="9" applyAlignment="1" pivotButton="0" quotePrefix="0" xfId="0">
      <alignment horizontal="left" vertical="center" wrapText="1"/>
    </xf>
    <xf numFmtId="4" fontId="22" fillId="34" borderId="9" applyAlignment="1" pivotButton="0" quotePrefix="0" xfId="0">
      <alignment horizontal="left" vertical="center" wrapText="1"/>
    </xf>
    <xf numFmtId="0" fontId="23" fillId="35" borderId="9" applyAlignment="1" pivotButton="0" quotePrefix="0" xfId="0">
      <alignment horizontal="center" vertical="center"/>
    </xf>
    <xf numFmtId="0" fontId="22" fillId="39" borderId="9" applyAlignment="1" pivotButton="0" quotePrefix="0" xfId="0">
      <alignment horizontal="center" vertical="center"/>
    </xf>
    <xf numFmtId="0" fontId="22" fillId="39" borderId="9" applyAlignment="1" pivotButton="0" quotePrefix="0" xfId="0">
      <alignment horizontal="left" vertical="center" wrapText="1"/>
    </xf>
    <xf numFmtId="4" fontId="22" fillId="39" borderId="9" applyAlignment="1" pivotButton="0" quotePrefix="0" xfId="0">
      <alignment horizontal="left" vertical="center" wrapText="1"/>
    </xf>
    <xf numFmtId="0" fontId="21" fillId="33" borderId="9" applyAlignment="1" pivotButton="0" quotePrefix="0" xfId="0">
      <alignment horizontal="center" vertical="center" wrapText="1"/>
    </xf>
    <xf numFmtId="0" fontId="22" fillId="34" borderId="9" applyAlignment="1" pivotButton="0" quotePrefix="0" xfId="0">
      <alignment horizontal="center" vertical="center" wrapText="1"/>
    </xf>
    <xf numFmtId="4" fontId="22" fillId="34" borderId="9" applyAlignment="1" pivotButton="0" quotePrefix="0" xfId="0">
      <alignment horizontal="center" vertical="center" wrapText="1"/>
    </xf>
    <xf numFmtId="0" fontId="23" fillId="35" borderId="9" applyAlignment="1" pivotButton="0" quotePrefix="0" xfId="0">
      <alignment horizontal="left" vertical="center" wrapText="1"/>
    </xf>
    <xf numFmtId="164" fontId="22" fillId="34" borderId="9" applyAlignment="1" pivotButton="0" quotePrefix="0" xfId="0">
      <alignment horizontal="left" vertical="center" wrapText="1"/>
    </xf>
    <xf numFmtId="0" fontId="24" fillId="34" borderId="10" applyAlignment="1" pivotButton="0" quotePrefix="0" xfId="0">
      <alignment horizontal="left" vertical="center" wrapText="1"/>
    </xf>
    <xf numFmtId="0" fontId="26" fillId="36" borderId="9" applyAlignment="1" pivotButton="0" quotePrefix="0" xfId="0">
      <alignment horizontal="center" vertical="center" wrapText="1"/>
    </xf>
    <xf numFmtId="0" fontId="24" fillId="34" borderId="9" applyAlignment="1" pivotButton="0" quotePrefix="0" xfId="0">
      <alignment horizontal="left" vertical="center" wrapText="1"/>
    </xf>
    <xf numFmtId="0" fontId="25" fillId="34" borderId="9" applyAlignment="1" pivotButton="0" quotePrefix="0" xfId="0">
      <alignment horizontal="left" vertical="center" wrapText="1"/>
    </xf>
    <xf numFmtId="4" fontId="25" fillId="34" borderId="9" applyAlignment="1" pivotButton="0" quotePrefix="0" xfId="0">
      <alignment horizontal="left" vertical="center" wrapText="1"/>
    </xf>
    <xf numFmtId="0" fontId="22" fillId="37" borderId="9" applyAlignment="1" pivotButton="0" quotePrefix="0" xfId="0">
      <alignment horizontal="center" vertical="center" wrapText="1"/>
    </xf>
    <xf numFmtId="2" fontId="22" fillId="38" borderId="9" applyAlignment="1" pivotButton="0" quotePrefix="0" xfId="0">
      <alignment horizontal="center" vertical="center" wrapText="1"/>
    </xf>
    <xf numFmtId="2" fontId="22" fillId="34" borderId="9" applyAlignment="1" pivotButton="0" quotePrefix="0" xfId="0">
      <alignment horizontal="center" vertical="center" wrapText="1"/>
    </xf>
    <xf numFmtId="2" fontId="22" fillId="39" borderId="9" applyAlignment="1" pivotButton="0" quotePrefix="0" xfId="0">
      <alignment horizontal="center" vertical="center" wrapText="1"/>
    </xf>
    <xf numFmtId="0" fontId="22" fillId="35" borderId="9" applyAlignment="1" pivotButton="0" quotePrefix="0" xfId="0">
      <alignment horizontal="left" vertical="center" wrapText="1"/>
    </xf>
    <xf numFmtId="0" fontId="27" fillId="35" borderId="9" applyAlignment="1" pivotButton="0" quotePrefix="0" xfId="0">
      <alignment horizontal="left" vertical="center" wrapText="1"/>
    </xf>
    <xf numFmtId="4" fontId="27" fillId="35" borderId="9" applyAlignment="1" pivotButton="0" quotePrefix="0" xfId="0">
      <alignment horizontal="left" vertical="center" wrapText="1"/>
    </xf>
    <xf numFmtId="0" fontId="28" fillId="40" borderId="11" applyAlignment="1" pivotButton="0" quotePrefix="0" xfId="0">
      <alignment horizontal="left" vertical="center" wrapText="1"/>
    </xf>
    <xf numFmtId="164" fontId="22" fillId="34" borderId="9" applyAlignment="1" pivotButton="0" quotePrefix="0" xfId="0">
      <alignment horizontal="center" vertical="center" wrapText="1"/>
    </xf>
    <xf numFmtId="164" fontId="22" fillId="39" borderId="9" applyAlignment="1" pivotButton="0" quotePrefix="0" xfId="0">
      <alignment horizontal="center" vertical="center" wrapText="1"/>
    </xf>
    <xf numFmtId="0" fontId="22" fillId="39" borderId="9" applyAlignment="1" pivotButton="0" quotePrefix="0" xfId="0">
      <alignment horizontal="center" vertical="center" wrapText="1"/>
    </xf>
    <xf numFmtId="0" fontId="29" fillId="36" borderId="11" applyAlignment="1" pivotButton="0" quotePrefix="0" xfId="0">
      <alignment horizontal="left" vertical="center" wrapText="1"/>
    </xf>
    <xf numFmtId="9" fontId="22" fillId="34" borderId="9" applyAlignment="1" pivotButton="0" quotePrefix="0" xfId="0">
      <alignment horizontal="left" vertical="center" wrapText="1"/>
    </xf>
    <xf numFmtId="9" fontId="22" fillId="39" borderId="9" applyAlignment="1" pivotButton="0" quotePrefix="0" xfId="0">
      <alignment horizontal="left" vertical="center" wrapText="1"/>
    </xf>
    <xf numFmtId="0" fontId="27" fillId="37" borderId="9" applyAlignment="1" pivotButton="0" quotePrefix="0" xfId="0">
      <alignment horizontal="left" vertical="center" wrapText="1"/>
    </xf>
    <xf numFmtId="9" fontId="27" fillId="37" borderId="9" applyAlignment="1" pivotButton="0" quotePrefix="0" xfId="0">
      <alignment horizontal="left" vertical="center" wrapText="1"/>
    </xf>
    <xf numFmtId="4" fontId="27" fillId="37" borderId="9" applyAlignment="1" pivotButton="0" quotePrefix="0" xfId="0">
      <alignment horizontal="left" vertical="center" wrapText="1"/>
    </xf>
    <xf numFmtId="0" fontId="22" fillId="37" borderId="9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color rgb="002F7D5A"/>
      </font>
      <fill>
        <patternFill patternType="solid">
          <fgColor rgb="00E6F3EC"/>
        </patternFill>
      </fill>
    </dxf>
    <dxf>
      <font>
        <b val="1"/>
        <color rgb="0017324D"/>
      </font>
      <fill>
        <patternFill patternType="solid">
          <fgColor rgb="00FFF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tabColor rgb="00D6A83D"/>
    <outlinePr summaryBelow="1" summaryRight="1"/>
    <pageSetUpPr fitToPage="1"/>
  </sheetPr>
  <dimension ref="A1:K9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style="2" min="1" max="1"/>
    <col width="10" customWidth="1" style="2" min="2" max="2"/>
    <col width="38" customWidth="1" style="2" min="3" max="3"/>
    <col width="27" customWidth="1" style="2" min="4" max="4"/>
    <col width="28" customWidth="1" style="2" min="5" max="5"/>
    <col width="24" customWidth="1" style="2" min="6" max="6"/>
    <col width="19" customWidth="1" style="2" min="7" max="7"/>
    <col width="19" customWidth="1" style="2" min="8" max="8"/>
    <col width="14" customWidth="1" style="2" min="9" max="9"/>
    <col width="16" customWidth="1" style="2" min="10" max="10"/>
    <col width="16" customWidth="1" style="2" min="11" max="11"/>
  </cols>
  <sheetData>
    <row r="1" ht="46" customHeight="1" s="2">
      <c r="A1" s="4" t="inlineStr">
        <is>
          <t>FY27 WP 服务方案清单</t>
        </is>
      </c>
    </row>
    <row r="2" ht="27" customHeight="1" s="2">
      <c r="A2" s="5" t="inlineStr">
        <is>
          <t>项目组展示版 · 服务单、相关订单、Section 与 SER 测算集中查看</t>
        </is>
      </c>
    </row>
    <row r="4">
      <c r="A4" s="6" t="inlineStr">
        <is>
          <t>服务方案</t>
        </is>
      </c>
      <c r="B4" s="7" t="n">
        <v>2</v>
      </c>
      <c r="C4" s="6" t="inlineStr">
        <is>
          <t>AUD2026项目</t>
        </is>
      </c>
      <c r="D4" s="7" t="n">
        <v>1</v>
      </c>
      <c r="E4" s="6" t="inlineStr">
        <is>
          <t>IPO项目</t>
        </is>
      </c>
      <c r="F4" s="7" t="n">
        <v>1</v>
      </c>
      <c r="G4" s="6" t="inlineStr">
        <is>
          <t>生成日期</t>
        </is>
      </c>
      <c r="H4" s="7" t="inlineStr">
        <is>
          <t>2026-07-28</t>
        </is>
      </c>
    </row>
    <row r="7" ht="32" customHeight="1" s="2">
      <c r="A7" s="8" t="inlineStr">
        <is>
          <t>序号</t>
        </is>
      </c>
      <c r="B7" s="8" t="inlineStr">
        <is>
          <t>来源</t>
        </is>
      </c>
      <c r="C7" s="8" t="inlineStr">
        <is>
          <t>项目名称</t>
        </is>
      </c>
      <c r="D7" s="8" t="inlineStr">
        <is>
          <t>WP服务单编号</t>
        </is>
      </c>
      <c r="E7" s="8" t="inlineStr">
        <is>
          <t>相关订单</t>
        </is>
      </c>
      <c r="F7" s="8" t="inlineStr">
        <is>
          <t>WP FIC</t>
        </is>
      </c>
      <c r="G7" s="8" t="inlineStr">
        <is>
          <t>预算Outlook Hours</t>
        </is>
      </c>
      <c r="H7" s="8" t="inlineStr">
        <is>
          <t>源表Outlook Hours</t>
        </is>
      </c>
      <c r="I7" s="8" t="inlineStr">
        <is>
          <t>差异</t>
        </is>
      </c>
      <c r="J7" s="8" t="inlineStr">
        <is>
          <t>核对结果</t>
        </is>
      </c>
      <c r="K7" s="8" t="inlineStr">
        <is>
          <t>查看服务方案</t>
        </is>
      </c>
    </row>
    <row r="8" ht="28" customHeight="1" s="2">
      <c r="A8" s="9" t="n">
        <v>1</v>
      </c>
      <c r="B8" s="9" t="inlineStr">
        <is>
          <t>AUD2026</t>
        </is>
      </c>
      <c r="C8" s="10" t="inlineStr">
        <is>
          <t>AUD 2026 验收项目</t>
        </is>
      </c>
      <c r="D8" s="10" t="inlineStr">
        <is>
          <t>WP-AUD-001</t>
        </is>
      </c>
      <c r="E8" s="10" t="inlineStr">
        <is>
          <t>REL-WP-AUD-001</t>
        </is>
      </c>
      <c r="F8" s="10" t="n"/>
      <c r="G8" s="11">
        <f>'AUD 2026 验收项目'!C2</f>
        <v/>
      </c>
      <c r="H8" s="11" t="n">
        <v>38.06</v>
      </c>
      <c r="I8" s="11">
        <f>IF(OR(G8="",H8=""),"",G8-H8)</f>
        <v/>
      </c>
      <c r="J8" s="9">
        <f>IF(I8="","",IF(ABS(I8)&lt;=0.01,"一致","不一致"))</f>
        <v/>
      </c>
      <c r="K8" s="12">
        <f>HYPERLINK("#'AUD 2026 验收项目'!A1","打开")</f>
        <v/>
      </c>
    </row>
    <row r="9" ht="28" customHeight="1" s="2">
      <c r="A9" s="13" t="n">
        <v>2</v>
      </c>
      <c r="B9" s="13" t="inlineStr">
        <is>
          <t>IPO</t>
        </is>
      </c>
      <c r="C9" s="14" t="inlineStr">
        <is>
          <t>IPO 验收项目</t>
        </is>
      </c>
      <c r="D9" s="14" t="inlineStr">
        <is>
          <t>WP-IPO-001</t>
        </is>
      </c>
      <c r="E9" s="14" t="inlineStr">
        <is>
          <t>REL-WP-IPO-001</t>
        </is>
      </c>
      <c r="F9" s="14" t="n"/>
      <c r="G9" s="15">
        <f>'IPO 验收项目'!C2</f>
        <v/>
      </c>
      <c r="H9" s="15" t="n">
        <v>12.32</v>
      </c>
      <c r="I9" s="15">
        <f>IF(OR(G9="",H9=""),"",G9-H9)</f>
        <v/>
      </c>
      <c r="J9" s="13">
        <f>IF(I9="","",IF(ABS(I9)&lt;=0.01,"一致","不一致"))</f>
        <v/>
      </c>
      <c r="K9" s="12">
        <f>HYPERLINK("#'IPO 验收项目'!A1","打开")</f>
        <v/>
      </c>
    </row>
  </sheetData>
  <autoFilter ref="A7:K9"/>
  <mergeCells count="2">
    <mergeCell ref="A2:K2"/>
    <mergeCell ref="A1:K1"/>
  </mergeCells>
  <pageMargins left="0.25" right="0.25" top="0.5" bottom="0.5" header="0.5" footer="0.5"/>
  <pageSetup orientation="landscape" paperSize="9" fitToHeight="0" fitToWidth="1"/>
  <headerFooter>
    <oddHeader/>
    <oddFooter>&amp;L&amp;8 &amp;K64717DFY27 WP COE 服务方案&amp;R&amp;8 &amp;K64717DPage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D6A83D"/>
    <outlinePr summaryBelow="1" summaryRight="1"/>
    <pageSetUpPr fitToPage="1"/>
  </sheetPr>
  <dimension ref="A1:V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2" min="1" max="1"/>
    <col width="14" customWidth="1" style="2" min="2" max="2"/>
    <col width="38" customWidth="1" style="2" min="3" max="3"/>
    <col width="14" customWidth="1" style="2" min="4" max="4"/>
    <col width="13" customWidth="1" style="2" min="5" max="5"/>
    <col width="27" customWidth="1" style="2" min="6" max="6"/>
    <col width="14" customWidth="1" style="2" min="7" max="7"/>
    <col width="15" customWidth="1" style="2" min="8" max="8"/>
    <col width="19" customWidth="1" style="2" min="9" max="9"/>
    <col width="18" customWidth="1" style="2" min="10" max="10"/>
    <col width="17" customWidth="1" style="2" min="11" max="11"/>
    <col width="17" customWidth="1" style="2" min="12" max="12"/>
    <col width="17" customWidth="1" style="2" min="13" max="13"/>
    <col width="17" customWidth="1" style="2" min="14" max="14"/>
    <col width="34" customWidth="1" style="2" min="15" max="15"/>
    <col width="25" customWidth="1" style="2" min="16" max="16"/>
    <col width="16" customWidth="1" style="2" min="17" max="17"/>
    <col width="28" customWidth="1" style="2" min="18" max="18"/>
    <col width="18" customWidth="1" style="2" min="19" max="19"/>
    <col width="23" customWidth="1" style="2" min="20" max="20"/>
    <col width="16" customWidth="1" style="2" min="21" max="21"/>
    <col width="23" customWidth="1" style="2" min="22" max="22"/>
  </cols>
  <sheetData>
    <row r="1" ht="34" customHeight="1" s="2">
      <c r="A1" s="16" t="inlineStr">
        <is>
          <t>Client Name</t>
        </is>
      </c>
      <c r="B1" s="16" t="inlineStr">
        <is>
          <t>Engagement Code</t>
        </is>
      </c>
      <c r="C1" s="16" t="inlineStr">
        <is>
          <t>Engagement Name</t>
        </is>
      </c>
      <c r="D1" s="16" t="inlineStr">
        <is>
          <t>Outlook Hours</t>
        </is>
      </c>
      <c r="E1" s="16" t="inlineStr">
        <is>
          <t>排班状态</t>
        </is>
      </c>
      <c r="F1" s="16" t="inlineStr">
        <is>
          <t>WP服务单编号</t>
        </is>
      </c>
      <c r="G1" s="16" t="inlineStr">
        <is>
          <t>底稿任务数量</t>
        </is>
      </c>
      <c r="H1" s="16" t="inlineStr">
        <is>
          <t>项目状态</t>
        </is>
      </c>
      <c r="I1" s="16" t="inlineStr">
        <is>
          <t>WP EIC</t>
        </is>
      </c>
      <c r="J1" s="16" t="inlineStr">
        <is>
          <t>WP FIC*</t>
        </is>
      </c>
      <c r="K1" s="16" t="inlineStr">
        <is>
          <t>Booking Period Start-预审</t>
        </is>
      </c>
      <c r="L1" s="16" t="inlineStr">
        <is>
          <t>Booking Period End-预审</t>
        </is>
      </c>
      <c r="M1" s="16" t="inlineStr">
        <is>
          <t>Booking Period Start-年审</t>
        </is>
      </c>
      <c r="N1" s="16" t="inlineStr">
        <is>
          <t>Booking Period End-年审</t>
        </is>
      </c>
      <c r="O1" s="16" t="inlineStr">
        <is>
          <t>Service Type</t>
        </is>
      </c>
      <c r="P1" s="16" t="inlineStr">
        <is>
          <t>Audit EIC</t>
        </is>
      </c>
      <c r="Q1" s="16" t="inlineStr">
        <is>
          <t>Audit Report Date</t>
        </is>
      </c>
      <c r="R1" s="16" t="inlineStr">
        <is>
          <t>相关订单</t>
        </is>
      </c>
      <c r="S1" s="16" t="inlineStr">
        <is>
          <t>Total Booking Hours</t>
        </is>
      </c>
      <c r="T1" s="16" t="inlineStr">
        <is>
          <t>组别</t>
        </is>
      </c>
      <c r="U1" s="16" t="inlineStr">
        <is>
          <t>Client Code</t>
        </is>
      </c>
      <c r="V1" s="16" t="inlineStr">
        <is>
          <t>相关项目</t>
        </is>
      </c>
    </row>
    <row r="2" ht="29" customHeight="1" s="2">
      <c r="A2" s="10" t="n"/>
      <c r="B2" s="17" t="n"/>
      <c r="C2" s="10" t="inlineStr">
        <is>
          <t>AUD 2026 验收项目</t>
        </is>
      </c>
      <c r="D2" s="18" t="n">
        <v>38.06</v>
      </c>
      <c r="E2" s="10" t="n"/>
      <c r="F2" s="19">
        <f>HYPERLINK("#'AUD 2026 验收项目'!A1","WP-AUD-001")</f>
        <v/>
      </c>
      <c r="G2" s="18" t="n">
        <v>3</v>
      </c>
      <c r="H2" s="10" t="n"/>
      <c r="I2" s="10" t="n"/>
      <c r="J2" s="10" t="n"/>
      <c r="K2" s="20" t="n">
        <v>46143</v>
      </c>
      <c r="L2" s="20" t="n">
        <v>46203</v>
      </c>
      <c r="M2" s="20" t="n">
        <v>46327</v>
      </c>
      <c r="N2" s="20" t="n">
        <v>46477</v>
      </c>
      <c r="O2" s="10" t="inlineStr">
        <is>
          <t>审计</t>
        </is>
      </c>
      <c r="P2" s="10" t="inlineStr">
        <is>
          <t>验收经理</t>
        </is>
      </c>
      <c r="Q2" s="20" t="n">
        <v>46477</v>
      </c>
      <c r="R2" s="19">
        <f>HYPERLINK("#'AUD 2026 验收项目'!A1","REL-WP-AUD-001")</f>
        <v/>
      </c>
      <c r="S2" s="18" t="n"/>
      <c r="T2" s="10" t="n"/>
      <c r="U2" s="17" t="n"/>
      <c r="V2" s="10" t="n"/>
    </row>
  </sheetData>
  <autoFilter ref="A1:V2"/>
  <conditionalFormatting sqref="E2">
    <cfRule type="expression" priority="1" dxfId="0">
      <formula>E2="已完成"</formula>
    </cfRule>
  </conditionalFormatting>
  <conditionalFormatting sqref="H2">
    <cfRule type="expression" priority="2" dxfId="1">
      <formula>H2="项目承接"</formula>
    </cfRule>
  </conditionalFormatting>
  <pageMargins left="0.25" right="0.25" top="0.5" bottom="0.5" header="0.5" footer="0.5"/>
  <pageSetup orientation="landscape" paperSize="9" fitToHeight="0" fitToWidth="1"/>
  <headerFooter>
    <oddHeader/>
    <oddFooter>&amp;L&amp;8 &amp;K64717DFY27 WP COE 服务方案&amp;R&amp;8 &amp;K64717DPage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F7C80"/>
    <outlinePr summaryBelow="1" summaryRight="1"/>
    <pageSetUpPr fitToPage="1"/>
  </sheetPr>
  <dimension ref="A1:V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2" min="1" max="1"/>
    <col width="14" customWidth="1" style="2" min="2" max="2"/>
    <col width="38" customWidth="1" style="2" min="3" max="3"/>
    <col width="14" customWidth="1" style="2" min="4" max="4"/>
    <col width="13" customWidth="1" style="2" min="5" max="5"/>
    <col width="27" customWidth="1" style="2" min="6" max="6"/>
    <col width="14" customWidth="1" style="2" min="7" max="7"/>
    <col width="15" customWidth="1" style="2" min="8" max="8"/>
    <col width="19" customWidth="1" style="2" min="9" max="9"/>
    <col width="18" customWidth="1" style="2" min="10" max="10"/>
    <col width="17" customWidth="1" style="2" min="11" max="11"/>
    <col width="17" customWidth="1" style="2" min="12" max="12"/>
    <col width="17" customWidth="1" style="2" min="13" max="13"/>
    <col width="17" customWidth="1" style="2" min="14" max="14"/>
    <col width="34" customWidth="1" style="2" min="15" max="15"/>
    <col width="25" customWidth="1" style="2" min="16" max="16"/>
    <col width="16" customWidth="1" style="2" min="17" max="17"/>
    <col width="28" customWidth="1" style="2" min="18" max="18"/>
    <col width="18" customWidth="1" style="2" min="19" max="19"/>
    <col width="23" customWidth="1" style="2" min="20" max="20"/>
    <col width="16" customWidth="1" style="2" min="21" max="21"/>
    <col width="23" customWidth="1" style="2" min="22" max="22"/>
  </cols>
  <sheetData>
    <row r="1" ht="34" customHeight="1" s="2">
      <c r="A1" s="16" t="inlineStr">
        <is>
          <t>Client Name</t>
        </is>
      </c>
      <c r="B1" s="16" t="inlineStr">
        <is>
          <t>Engagement Code</t>
        </is>
      </c>
      <c r="C1" s="16" t="inlineStr">
        <is>
          <t>Engagement Name</t>
        </is>
      </c>
      <c r="D1" s="16" t="inlineStr">
        <is>
          <t>Outlook Hours</t>
        </is>
      </c>
      <c r="E1" s="16" t="inlineStr">
        <is>
          <t>排班状态</t>
        </is>
      </c>
      <c r="F1" s="16" t="inlineStr">
        <is>
          <t>WP服务单编号</t>
        </is>
      </c>
      <c r="G1" s="16" t="inlineStr">
        <is>
          <t>底稿任务数量</t>
        </is>
      </c>
      <c r="H1" s="16" t="inlineStr">
        <is>
          <t>项目状态</t>
        </is>
      </c>
      <c r="I1" s="16" t="inlineStr">
        <is>
          <t>WP EIC</t>
        </is>
      </c>
      <c r="J1" s="16" t="inlineStr">
        <is>
          <t>WP FIC*</t>
        </is>
      </c>
      <c r="K1" s="16" t="inlineStr">
        <is>
          <t>Booking Period Start-预审</t>
        </is>
      </c>
      <c r="L1" s="16" t="inlineStr">
        <is>
          <t>Booking Period End-预审</t>
        </is>
      </c>
      <c r="M1" s="16" t="inlineStr">
        <is>
          <t>Booking Period Start-年审</t>
        </is>
      </c>
      <c r="N1" s="16" t="inlineStr">
        <is>
          <t>Booking Period End-年审</t>
        </is>
      </c>
      <c r="O1" s="16" t="inlineStr">
        <is>
          <t>Service Type</t>
        </is>
      </c>
      <c r="P1" s="16" t="inlineStr">
        <is>
          <t>Audit EIC</t>
        </is>
      </c>
      <c r="Q1" s="16" t="inlineStr">
        <is>
          <t>Audit Report Date</t>
        </is>
      </c>
      <c r="R1" s="16" t="inlineStr">
        <is>
          <t>相关订单</t>
        </is>
      </c>
      <c r="S1" s="16" t="inlineStr">
        <is>
          <t>Total Booking Hours</t>
        </is>
      </c>
      <c r="T1" s="16" t="inlineStr">
        <is>
          <t>组别</t>
        </is>
      </c>
      <c r="U1" s="16" t="inlineStr">
        <is>
          <t>Client Code</t>
        </is>
      </c>
      <c r="V1" s="16" t="inlineStr">
        <is>
          <t>相关项目</t>
        </is>
      </c>
    </row>
    <row r="2" ht="29" customHeight="1" s="2">
      <c r="A2" s="10" t="n"/>
      <c r="B2" s="17" t="n"/>
      <c r="C2" s="10" t="inlineStr">
        <is>
          <t>IPO 验收项目</t>
        </is>
      </c>
      <c r="D2" s="18" t="n">
        <v>12.32</v>
      </c>
      <c r="E2" s="10" t="n"/>
      <c r="F2" s="19">
        <f>HYPERLINK("#'IPO 验收项目'!A1","WP-IPO-001")</f>
        <v/>
      </c>
      <c r="G2" s="18" t="n">
        <v>3</v>
      </c>
      <c r="H2" s="10" t="n"/>
      <c r="I2" s="10" t="n"/>
      <c r="J2" s="10" t="n"/>
      <c r="K2" s="20" t="n">
        <v>46174</v>
      </c>
      <c r="L2" s="20" t="n">
        <v>46234</v>
      </c>
      <c r="M2" s="20" t="n">
        <v>46388</v>
      </c>
      <c r="N2" s="20" t="n">
        <v>46538</v>
      </c>
      <c r="O2" s="10" t="inlineStr">
        <is>
          <t>审计</t>
        </is>
      </c>
      <c r="P2" s="10" t="inlineStr">
        <is>
          <t>验收经理</t>
        </is>
      </c>
      <c r="Q2" s="20" t="n">
        <v>46477</v>
      </c>
      <c r="R2" s="19">
        <f>HYPERLINK("#'IPO 验收项目'!A1","REL-WP-IPO-001")</f>
        <v/>
      </c>
      <c r="S2" s="18" t="n"/>
      <c r="T2" s="10" t="n"/>
      <c r="U2" s="17" t="n"/>
      <c r="V2" s="10" t="n"/>
    </row>
  </sheetData>
  <autoFilter ref="A1:V2"/>
  <conditionalFormatting sqref="E2">
    <cfRule type="expression" priority="1" dxfId="0">
      <formula>E2="已完成"</formula>
    </cfRule>
  </conditionalFormatting>
  <conditionalFormatting sqref="H2">
    <cfRule type="expression" priority="2" dxfId="1">
      <formula>H2="项目承接"</formula>
    </cfRule>
  </conditionalFormatting>
  <pageMargins left="0.25" right="0.25" top="0.5" bottom="0.5" header="0.5" footer="0.5"/>
  <pageSetup orientation="landscape" paperSize="9" fitToHeight="0" fitToWidth="1"/>
  <headerFooter>
    <oddHeader/>
    <oddFooter>&amp;L&amp;8 &amp;K64717DFY27 WP COE 服务方案&amp;R&amp;8 &amp;K64717DPage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64717D"/>
    <outlinePr summaryBelow="1" summaryRight="1"/>
    <pageSetUpPr fitToPage="1"/>
  </sheetPr>
  <dimension ref="A1:V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2" min="1" max="1"/>
    <col width="14" customWidth="1" style="2" min="2" max="2"/>
    <col width="38" customWidth="1" style="2" min="3" max="3"/>
    <col width="14" customWidth="1" style="2" min="4" max="4"/>
    <col width="13" customWidth="1" style="2" min="5" max="5"/>
    <col width="27" customWidth="1" style="2" min="6" max="6"/>
    <col width="14" customWidth="1" style="2" min="7" max="7"/>
    <col width="15" customWidth="1" style="2" min="8" max="8"/>
    <col width="19" customWidth="1" style="2" min="9" max="9"/>
    <col width="18" customWidth="1" style="2" min="10" max="10"/>
    <col width="17" customWidth="1" style="2" min="11" max="11"/>
    <col width="17" customWidth="1" style="2" min="12" max="12"/>
    <col width="17" customWidth="1" style="2" min="13" max="13"/>
    <col width="17" customWidth="1" style="2" min="14" max="14"/>
    <col width="34" customWidth="1" style="2" min="15" max="15"/>
    <col width="25" customWidth="1" style="2" min="16" max="16"/>
    <col width="16" customWidth="1" style="2" min="17" max="17"/>
    <col width="28" customWidth="1" style="2" min="18" max="18"/>
    <col width="18" customWidth="1" style="2" min="19" max="19"/>
    <col width="23" customWidth="1" style="2" min="20" max="20"/>
    <col width="16" customWidth="1" style="2" min="21" max="21"/>
    <col width="23" customWidth="1" style="2" min="22" max="22"/>
  </cols>
  <sheetData>
    <row r="1" ht="34" customHeight="1" s="2">
      <c r="A1" s="16" t="inlineStr">
        <is>
          <t>Client Name</t>
        </is>
      </c>
      <c r="B1" s="16" t="inlineStr">
        <is>
          <t>Engagement Code</t>
        </is>
      </c>
      <c r="C1" s="16" t="inlineStr">
        <is>
          <t>Engagement Name</t>
        </is>
      </c>
      <c r="D1" s="16" t="inlineStr">
        <is>
          <t>Outlook Hours</t>
        </is>
      </c>
      <c r="E1" s="16" t="inlineStr">
        <is>
          <t>排班状态</t>
        </is>
      </c>
      <c r="F1" s="16" t="inlineStr">
        <is>
          <t>WP服务单编号</t>
        </is>
      </c>
      <c r="G1" s="16" t="inlineStr">
        <is>
          <t>底稿任务数量</t>
        </is>
      </c>
      <c r="H1" s="16" t="inlineStr">
        <is>
          <t>项目状态</t>
        </is>
      </c>
      <c r="I1" s="16" t="inlineStr">
        <is>
          <t>WP EIC</t>
        </is>
      </c>
      <c r="J1" s="16" t="inlineStr">
        <is>
          <t>WP FIC*</t>
        </is>
      </c>
      <c r="K1" s="16" t="inlineStr">
        <is>
          <t>Booking Period Start-预审</t>
        </is>
      </c>
      <c r="L1" s="16" t="inlineStr">
        <is>
          <t>Booking Period End-预审</t>
        </is>
      </c>
      <c r="M1" s="16" t="inlineStr">
        <is>
          <t>Booking Period Start-年审</t>
        </is>
      </c>
      <c r="N1" s="16" t="inlineStr">
        <is>
          <t>Booking Period End-年审</t>
        </is>
      </c>
      <c r="O1" s="16" t="inlineStr">
        <is>
          <t>Service Type</t>
        </is>
      </c>
      <c r="P1" s="16" t="inlineStr">
        <is>
          <t>Audit EIC</t>
        </is>
      </c>
      <c r="Q1" s="16" t="inlineStr">
        <is>
          <t>Audit Report Date</t>
        </is>
      </c>
      <c r="R1" s="16" t="inlineStr">
        <is>
          <t>相关订单</t>
        </is>
      </c>
      <c r="S1" s="16" t="inlineStr">
        <is>
          <t>Total Booking Hours</t>
        </is>
      </c>
      <c r="T1" s="16" t="inlineStr">
        <is>
          <t>组别</t>
        </is>
      </c>
      <c r="U1" s="16" t="inlineStr">
        <is>
          <t>Client Code</t>
        </is>
      </c>
      <c r="V1" s="16" t="inlineStr">
        <is>
          <t>相关项目</t>
        </is>
      </c>
    </row>
    <row r="2" ht="29" customHeight="1" s="2">
      <c r="A2" s="10" t="n"/>
      <c r="B2" s="17" t="n"/>
      <c r="C2" s="10" t="inlineStr">
        <is>
          <t>IPO archive 验收项目</t>
        </is>
      </c>
      <c r="D2" s="18" t="n">
        <v>8</v>
      </c>
      <c r="E2" s="10" t="n"/>
      <c r="F2" s="19" t="inlineStr">
        <is>
          <t>WP-ARC-001</t>
        </is>
      </c>
      <c r="G2" s="18" t="n">
        <v>3</v>
      </c>
      <c r="H2" s="10" t="n"/>
      <c r="I2" s="10" t="n"/>
      <c r="J2" s="10" t="n"/>
      <c r="K2" s="20" t="n">
        <v>46054</v>
      </c>
      <c r="L2" s="20" t="n">
        <v>46112</v>
      </c>
      <c r="M2" s="20" t="n">
        <v>46082</v>
      </c>
      <c r="N2" s="20" t="n">
        <v>46142</v>
      </c>
      <c r="O2" s="10" t="inlineStr">
        <is>
          <t>审计</t>
        </is>
      </c>
      <c r="P2" s="10" t="inlineStr">
        <is>
          <t>验收经理</t>
        </is>
      </c>
      <c r="Q2" s="20" t="n">
        <v>46477</v>
      </c>
      <c r="R2" s="19" t="inlineStr">
        <is>
          <t>REL-WP-ARC-001</t>
        </is>
      </c>
      <c r="S2" s="18" t="n"/>
      <c r="T2" s="10" t="n"/>
      <c r="U2" s="17" t="n"/>
      <c r="V2" s="10" t="n"/>
    </row>
  </sheetData>
  <autoFilter ref="A1:V2"/>
  <conditionalFormatting sqref="E2">
    <cfRule type="expression" priority="1" dxfId="0">
      <formula>E2="已完成"</formula>
    </cfRule>
  </conditionalFormatting>
  <conditionalFormatting sqref="H2">
    <cfRule type="expression" priority="2" dxfId="1">
      <formula>H2="项目承接"</formula>
    </cfRule>
  </conditionalFormatting>
  <pageMargins left="0.25" right="0.25" top="0.5" bottom="0.5" header="0.5" footer="0.5"/>
  <pageSetup orientation="landscape" paperSize="9" fitToHeight="0" fitToWidth="1"/>
  <headerFooter>
    <oddHeader/>
    <oddFooter>&amp;L&amp;8 &amp;K64717DFY27 WP COE 服务方案&amp;R&amp;8 &amp;K64717DPage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64717D"/>
    <outlinePr summaryBelow="1" summaryRight="1"/>
    <pageSetUpPr fitToPage="1"/>
  </sheetPr>
  <dimension ref="A1:V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2" min="1" max="1"/>
    <col width="14" customWidth="1" style="2" min="2" max="2"/>
    <col width="38" customWidth="1" style="2" min="3" max="3"/>
    <col width="14" customWidth="1" style="2" min="4" max="4"/>
    <col width="13" customWidth="1" style="2" min="5" max="5"/>
    <col width="27" customWidth="1" style="2" min="6" max="6"/>
    <col width="14" customWidth="1" style="2" min="7" max="7"/>
    <col width="15" customWidth="1" style="2" min="8" max="8"/>
    <col width="19" customWidth="1" style="2" min="9" max="9"/>
    <col width="18" customWidth="1" style="2" min="10" max="10"/>
    <col width="17" customWidth="1" style="2" min="11" max="11"/>
    <col width="17" customWidth="1" style="2" min="12" max="12"/>
    <col width="17" customWidth="1" style="2" min="13" max="13"/>
    <col width="17" customWidth="1" style="2" min="14" max="14"/>
    <col width="34" customWidth="1" style="2" min="15" max="15"/>
    <col width="25" customWidth="1" style="2" min="16" max="16"/>
    <col width="16" customWidth="1" style="2" min="17" max="17"/>
    <col width="28" customWidth="1" style="2" min="18" max="18"/>
    <col width="18" customWidth="1" style="2" min="19" max="19"/>
    <col width="23" customWidth="1" style="2" min="20" max="20"/>
    <col width="16" customWidth="1" style="2" min="21" max="21"/>
    <col width="23" customWidth="1" style="2" min="22" max="22"/>
  </cols>
  <sheetData>
    <row r="1" ht="34" customHeight="1" s="2">
      <c r="A1" s="16" t="inlineStr">
        <is>
          <t>Client Name</t>
        </is>
      </c>
      <c r="B1" s="16" t="inlineStr">
        <is>
          <t>Engagement Code</t>
        </is>
      </c>
      <c r="C1" s="16" t="inlineStr">
        <is>
          <t>Engagement Name</t>
        </is>
      </c>
      <c r="D1" s="16" t="inlineStr">
        <is>
          <t>Outlook Hours</t>
        </is>
      </c>
      <c r="E1" s="16" t="inlineStr">
        <is>
          <t>排班状态</t>
        </is>
      </c>
      <c r="F1" s="16" t="inlineStr">
        <is>
          <t>WP服务单编号</t>
        </is>
      </c>
      <c r="G1" s="16" t="inlineStr">
        <is>
          <t>底稿任务数量</t>
        </is>
      </c>
      <c r="H1" s="16" t="inlineStr">
        <is>
          <t>项目状态</t>
        </is>
      </c>
      <c r="I1" s="16" t="inlineStr">
        <is>
          <t>WP EIC</t>
        </is>
      </c>
      <c r="J1" s="16" t="inlineStr">
        <is>
          <t>WP FIC*</t>
        </is>
      </c>
      <c r="K1" s="16" t="inlineStr">
        <is>
          <t>Booking Period Start-预审</t>
        </is>
      </c>
      <c r="L1" s="16" t="inlineStr">
        <is>
          <t>Booking Period End-预审</t>
        </is>
      </c>
      <c r="M1" s="16" t="inlineStr">
        <is>
          <t>Booking Period Start-年审</t>
        </is>
      </c>
      <c r="N1" s="16" t="inlineStr">
        <is>
          <t>Booking Period End-年审</t>
        </is>
      </c>
      <c r="O1" s="16" t="inlineStr">
        <is>
          <t>Service Type</t>
        </is>
      </c>
      <c r="P1" s="16" t="inlineStr">
        <is>
          <t>Audit EIC</t>
        </is>
      </c>
      <c r="Q1" s="16" t="inlineStr">
        <is>
          <t>Audit Report Date</t>
        </is>
      </c>
      <c r="R1" s="16" t="inlineStr">
        <is>
          <t>相关订单</t>
        </is>
      </c>
      <c r="S1" s="16" t="inlineStr">
        <is>
          <t>Total Booking Hours</t>
        </is>
      </c>
      <c r="T1" s="16" t="inlineStr">
        <is>
          <t>组别</t>
        </is>
      </c>
      <c r="U1" s="16" t="inlineStr">
        <is>
          <t>Client Code</t>
        </is>
      </c>
      <c r="V1" s="16" t="inlineStr">
        <is>
          <t>相关项目</t>
        </is>
      </c>
    </row>
    <row r="2" ht="29" customHeight="1" s="2">
      <c r="A2" s="10" t="n"/>
      <c r="B2" s="17" t="n"/>
      <c r="C2" s="10" t="inlineStr">
        <is>
          <t>AUD 2025 历史项目</t>
        </is>
      </c>
      <c r="D2" s="18" t="n">
        <v>5</v>
      </c>
      <c r="E2" s="10" t="n"/>
      <c r="F2" s="19" t="inlineStr">
        <is>
          <t>WP-OLD-001</t>
        </is>
      </c>
      <c r="G2" s="18" t="n">
        <v>3</v>
      </c>
      <c r="H2" s="10" t="n"/>
      <c r="I2" s="10" t="n"/>
      <c r="J2" s="10" t="n"/>
      <c r="K2" s="20" t="n">
        <v>45658</v>
      </c>
      <c r="L2" s="20" t="n">
        <v>45716</v>
      </c>
      <c r="M2" s="20" t="n">
        <v>45717</v>
      </c>
      <c r="N2" s="20" t="n">
        <v>45777</v>
      </c>
      <c r="O2" s="10" t="inlineStr">
        <is>
          <t>审计</t>
        </is>
      </c>
      <c r="P2" s="10" t="inlineStr">
        <is>
          <t>验收经理</t>
        </is>
      </c>
      <c r="Q2" s="20" t="n">
        <v>46477</v>
      </c>
      <c r="R2" s="19" t="inlineStr">
        <is>
          <t>REL-WP-OLD-001</t>
        </is>
      </c>
      <c r="S2" s="18" t="n"/>
      <c r="T2" s="10" t="n"/>
      <c r="U2" s="17" t="n"/>
      <c r="V2" s="10" t="n"/>
    </row>
  </sheetData>
  <autoFilter ref="A1:V2"/>
  <conditionalFormatting sqref="E2">
    <cfRule type="expression" priority="1" dxfId="0">
      <formula>E2="已完成"</formula>
    </cfRule>
  </conditionalFormatting>
  <conditionalFormatting sqref="H2">
    <cfRule type="expression" priority="2" dxfId="1">
      <formula>H2="项目承接"</formula>
    </cfRule>
  </conditionalFormatting>
  <pageMargins left="0.25" right="0.25" top="0.5" bottom="0.5" header="0.5" footer="0.5"/>
  <pageSetup orientation="landscape" paperSize="9" fitToHeight="0" fitToWidth="1"/>
  <headerFooter>
    <oddHeader/>
    <oddFooter>&amp;L&amp;8 &amp;K64717DFY27 WP COE 服务方案&amp;R&amp;8 &amp;K64717DPage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F7C80"/>
    <outlinePr summaryBelow="1" summaryRight="1"/>
    <pageSetUpPr fitToPage="1"/>
  </sheetPr>
  <dimension ref="A1:I6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ColWidth="8.66666666666667" defaultRowHeight="14"/>
  <cols>
    <col width="13" customWidth="1" style="2" min="1" max="1"/>
    <col width="36" customWidth="1" style="2" min="2" max="2"/>
    <col width="15" customWidth="1" style="2" min="3" max="3"/>
    <col width="15" customWidth="1" style="2" min="4" max="4"/>
    <col width="17" customWidth="1" style="2" min="5" max="5"/>
    <col width="15" customWidth="1" style="2" min="6" max="6"/>
    <col width="16" customWidth="1" style="2" min="7" max="7"/>
    <col width="18" customWidth="1" style="2" min="8" max="8"/>
    <col width="14" customWidth="1" style="2" min="9" max="9"/>
  </cols>
  <sheetData>
    <row r="1" ht="30" customHeight="1" s="2">
      <c r="A1" s="16" t="inlineStr">
        <is>
          <t>相关订单</t>
        </is>
      </c>
      <c r="B1" s="16" t="inlineStr">
        <is>
          <t>WP服务单编号</t>
        </is>
      </c>
      <c r="C1" s="16" t="inlineStr">
        <is>
          <t>Outlook Hours</t>
        </is>
      </c>
      <c r="D1" s="16" t="inlineStr">
        <is>
          <t>SER</t>
        </is>
      </c>
      <c r="E1" s="21" t="n"/>
      <c r="F1" s="21" t="n"/>
      <c r="G1" s="21" t="n"/>
      <c r="H1" s="21" t="n"/>
      <c r="I1" s="22">
        <f>HYPERLINK("#'AUD2026'!A2","返回源表")</f>
        <v/>
      </c>
    </row>
    <row r="2" ht="42" customHeight="1" s="2">
      <c r="A2" s="23" t="inlineStr">
        <is>
          <t>REL-WP-AUD-001</t>
        </is>
      </c>
      <c r="B2" s="24" t="inlineStr">
        <is>
          <t>WP-AUD-001</t>
        </is>
      </c>
      <c r="C2" s="25">
        <f>G37</f>
        <v/>
      </c>
      <c r="D2" s="25">
        <f>F62</f>
        <v/>
      </c>
      <c r="E2" s="21" t="n"/>
      <c r="F2" s="21" t="n"/>
      <c r="G2" s="21" t="n"/>
      <c r="H2" s="21" t="n"/>
    </row>
    <row r="3"/>
    <row r="4" ht="32" customHeight="1" s="2">
      <c r="A4" s="8" t="inlineStr">
        <is>
          <t>序号</t>
        </is>
      </c>
      <c r="B4" s="8" t="inlineStr">
        <is>
          <t>Section</t>
        </is>
      </c>
      <c r="C4" s="8" t="inlineStr">
        <is>
          <t>Entity数量</t>
        </is>
      </c>
      <c r="D4" s="8" t="inlineStr">
        <is>
          <t>底稿数量</t>
        </is>
      </c>
      <c r="E4" s="8" t="inlineStr">
        <is>
          <t>标准参考工时</t>
        </is>
      </c>
      <c r="F4" s="8" t="inlineStr">
        <is>
          <t>预算调整</t>
        </is>
      </c>
      <c r="G4" s="8" t="inlineStr">
        <is>
          <t>Outlook Hours</t>
        </is>
      </c>
      <c r="H4" s="8" t="inlineStr">
        <is>
          <t>参考时间/Entity</t>
        </is>
      </c>
      <c r="I4" s="21" t="n"/>
    </row>
    <row r="5" ht="27" customHeight="1" s="2">
      <c r="A5" s="9" t="inlineStr">
        <is>
          <t>1</t>
        </is>
      </c>
      <c r="B5" s="10" t="inlineStr">
        <is>
          <t>C_货币资金（除函证程序）</t>
        </is>
      </c>
      <c r="C5" s="26" t="n">
        <v>1</v>
      </c>
      <c r="D5" s="26" t="n">
        <v>2</v>
      </c>
      <c r="E5" s="27">
        <f>IF(OR(C5="",H5=""),"",ROUND(C5*IFERROR(VALUE(H5),0),2))</f>
        <v/>
      </c>
      <c r="F5" s="26" t="n">
        <v>0</v>
      </c>
      <c r="G5" s="28">
        <f>IF(AND(F5="",OR(C5="",H5="")),"",ROUND(IF(OR(C5="",H5=""),0,C5*IFERROR(VALUE(H5),0))+IFERROR(VALUE(F5),0),2))</f>
        <v/>
      </c>
      <c r="H5" s="29" t="n">
        <v>4.6</v>
      </c>
    </row>
    <row r="6" ht="27" customHeight="1" s="2">
      <c r="A6" s="13" t="inlineStr">
        <is>
          <t>2</t>
        </is>
      </c>
      <c r="B6" s="14" t="inlineStr">
        <is>
          <t>C_货币资金_银行函证</t>
        </is>
      </c>
      <c r="C6" s="26" t="n">
        <v>2</v>
      </c>
      <c r="D6" s="26" t="n">
        <v>1</v>
      </c>
      <c r="E6" s="27">
        <f>IF(OR(C6="",H6=""),"",ROUND(C6*IFERROR(VALUE(H6),0),2))</f>
        <v/>
      </c>
      <c r="F6" s="26" t="n">
        <v>5</v>
      </c>
      <c r="G6" s="29">
        <f>IF(AND(F6="",OR(C6="",H6="")),"",ROUND(IF(OR(C6="",H6=""),0,C6*IFERROR(VALUE(H6),0))+IFERROR(VALUE(F6),0),2))</f>
        <v/>
      </c>
      <c r="H6" s="29" t="n">
        <v>12.5</v>
      </c>
    </row>
    <row r="7" ht="27" customHeight="1" s="2">
      <c r="A7" s="9" t="inlineStr">
        <is>
          <t>3</t>
        </is>
      </c>
      <c r="B7" s="10" t="inlineStr">
        <is>
          <t>Q1_银行借款</t>
        </is>
      </c>
      <c r="C7" s="26" t="n"/>
      <c r="D7" s="26" t="n"/>
      <c r="E7" s="27">
        <f>IF(OR(C7="",H7=""),"",ROUND(C7*IFERROR(VALUE(H7),0),2))</f>
        <v/>
      </c>
      <c r="F7" s="26" t="n"/>
      <c r="G7" s="28">
        <f>IF(AND(F7="",OR(C7="",H7="")),"",ROUND(IF(OR(C7="",H7=""),0,C7*IFERROR(VALUE(H7),0))+IFERROR(VALUE(F7),0),2))</f>
        <v/>
      </c>
      <c r="H7" s="29" t="n">
        <v>9.4</v>
      </c>
    </row>
    <row r="8" ht="27" customHeight="1" s="2">
      <c r="A8" s="13" t="inlineStr">
        <is>
          <t>4</t>
        </is>
      </c>
      <c r="B8" s="14" t="inlineStr">
        <is>
          <t>C-CSP-01-企业信用报告核对</t>
        </is>
      </c>
      <c r="C8" s="26" t="n"/>
      <c r="D8" s="26" t="n"/>
      <c r="E8" s="27">
        <f>IF(OR(C8="",H8=""),"",ROUND(C8*IFERROR(VALUE(H8),0),2))</f>
        <v/>
      </c>
      <c r="F8" s="26" t="n"/>
      <c r="G8" s="29">
        <f>IF(AND(F8="",OR(C8="",H8="")),"",ROUND(IF(OR(C8="",H8=""),0,C8*IFERROR(VALUE(H8),0))+IFERROR(VALUE(F8),0),2))</f>
        <v/>
      </c>
      <c r="H8" s="29" t="n">
        <v>1.2</v>
      </c>
    </row>
    <row r="9" ht="27" customHeight="1" s="2">
      <c r="A9" s="9" t="inlineStr">
        <is>
          <t>5</t>
        </is>
      </c>
      <c r="B9" s="10" t="inlineStr">
        <is>
          <t>C-CSP-02-银行开立户清单检查</t>
        </is>
      </c>
      <c r="C9" s="26" t="n"/>
      <c r="D9" s="26" t="n"/>
      <c r="E9" s="27">
        <f>IF(OR(C9="",H9=""),"",ROUND(C9*IFERROR(VALUE(H9),0),2))</f>
        <v/>
      </c>
      <c r="F9" s="26" t="n"/>
      <c r="G9" s="28">
        <f>IF(AND(F9="",OR(C9="",H9="")),"",ROUND(IF(OR(C9="",H9=""),0,C9*IFERROR(VALUE(H9),0))+IFERROR(VALUE(F9),0),2))</f>
        <v/>
      </c>
      <c r="H9" s="29" t="n">
        <v>0.8</v>
      </c>
    </row>
    <row r="10" ht="27" customHeight="1" s="2">
      <c r="A10" s="13" t="inlineStr">
        <is>
          <t>6</t>
        </is>
      </c>
      <c r="B10" s="14" t="inlineStr">
        <is>
          <t>E1_应收账款（除函证程序）</t>
        </is>
      </c>
      <c r="C10" s="26" t="n"/>
      <c r="D10" s="26" t="n"/>
      <c r="E10" s="27">
        <f>IF(OR(C10="",H10=""),"",ROUND(C10*IFERROR(VALUE(H10),0),2))</f>
        <v/>
      </c>
      <c r="F10" s="26" t="n"/>
      <c r="G10" s="29">
        <f>IF(AND(F10="",OR(C10="",H10="")),"",ROUND(IF(OR(C10="",H10=""),0,C10*IFERROR(VALUE(H10),0))+IFERROR(VALUE(F10),0),2))</f>
        <v/>
      </c>
      <c r="H10" s="29" t="n">
        <v>10</v>
      </c>
    </row>
    <row r="11" ht="27" customHeight="1" s="2">
      <c r="A11" s="9" t="inlineStr">
        <is>
          <t>7</t>
        </is>
      </c>
      <c r="B11" s="10" t="inlineStr">
        <is>
          <t>函证_E1_应收账款</t>
        </is>
      </c>
      <c r="C11" s="26" t="n"/>
      <c r="D11" s="26" t="n"/>
      <c r="E11" s="27">
        <f>IF(OR(C11="",H11=""),"",ROUND(C11*IFERROR(VALUE(H11),0),2))</f>
        <v/>
      </c>
      <c r="F11" s="26" t="n"/>
      <c r="G11" s="28">
        <f>IF(AND(F11="",OR(C11="",H11="")),"",ROUND(IF(OR(C11="",H11=""),0,C11*IFERROR(VALUE(H11),0))+IFERROR(VALUE(F11),0),2))</f>
        <v/>
      </c>
      <c r="H11" s="29" t="n">
        <v>5.5</v>
      </c>
    </row>
    <row r="12" ht="27" customHeight="1" s="2">
      <c r="A12" s="13" t="inlineStr">
        <is>
          <t>8</t>
        </is>
      </c>
      <c r="B12" s="14" t="inlineStr">
        <is>
          <t>E2E3_应收票据及应收款项融资</t>
        </is>
      </c>
      <c r="C12" s="26" t="n"/>
      <c r="D12" s="26" t="n"/>
      <c r="E12" s="27">
        <f>IF(OR(C12="",H12=""),"",ROUND(C12*IFERROR(VALUE(H12),0),2))</f>
        <v/>
      </c>
      <c r="F12" s="26" t="n"/>
      <c r="G12" s="29">
        <f>IF(AND(F12="",OR(C12="",H12="")),"",ROUND(IF(OR(C12="",H12=""),0,C12*IFERROR(VALUE(H12),0))+IFERROR(VALUE(F12),0),2))</f>
        <v/>
      </c>
      <c r="H12" s="29" t="n">
        <v>10</v>
      </c>
    </row>
    <row r="13" ht="27" customHeight="1" s="2">
      <c r="A13" s="9" t="inlineStr">
        <is>
          <t>9</t>
        </is>
      </c>
      <c r="B13" s="10" t="inlineStr">
        <is>
          <t>K1_固定资产</t>
        </is>
      </c>
      <c r="C13" s="26" t="n"/>
      <c r="D13" s="26" t="n"/>
      <c r="E13" s="27">
        <f>IF(OR(C13="",H13=""),"",ROUND(C13*IFERROR(VALUE(H13),0),2))</f>
        <v/>
      </c>
      <c r="F13" s="26" t="n"/>
      <c r="G13" s="28">
        <f>IF(AND(F13="",OR(C13="",H13="")),"",ROUND(IF(OR(C13="",H13=""),0,C13*IFERROR(VALUE(H13),0))+IFERROR(VALUE(F13),0),2))</f>
        <v/>
      </c>
      <c r="H13" s="29" t="n">
        <v>9</v>
      </c>
    </row>
    <row r="14" ht="27" customHeight="1" s="2">
      <c r="A14" s="13" t="inlineStr">
        <is>
          <t>10</t>
        </is>
      </c>
      <c r="B14" s="14" t="inlineStr">
        <is>
          <t>L1_无形资产</t>
        </is>
      </c>
      <c r="C14" s="26" t="n"/>
      <c r="D14" s="26" t="n"/>
      <c r="E14" s="27">
        <f>IF(OR(C14="",H14=""),"",ROUND(C14*IFERROR(VALUE(H14),0),2))</f>
        <v/>
      </c>
      <c r="F14" s="26" t="n"/>
      <c r="G14" s="29">
        <f>IF(AND(F14="",OR(C14="",H14="")),"",ROUND(IF(OR(C14="",H14=""),0,C14*IFERROR(VALUE(H14),0))+IFERROR(VALUE(F14),0),2))</f>
        <v/>
      </c>
      <c r="H14" s="29" t="n">
        <v>5</v>
      </c>
    </row>
    <row r="15" ht="27" customHeight="1" s="2">
      <c r="A15" s="9" t="inlineStr">
        <is>
          <t>11</t>
        </is>
      </c>
      <c r="B15" s="10" t="inlineStr">
        <is>
          <t>L2_长期待摊费用</t>
        </is>
      </c>
      <c r="C15" s="26" t="n"/>
      <c r="D15" s="26" t="n"/>
      <c r="E15" s="27">
        <f>IF(OR(C15="",H15=""),"",ROUND(C15*IFERROR(VALUE(H15),0),2))</f>
        <v/>
      </c>
      <c r="F15" s="26" t="n"/>
      <c r="G15" s="28">
        <f>IF(AND(F15="",OR(C15="",H15="")),"",ROUND(IF(OR(C15="",H15=""),0,C15*IFERROR(VALUE(H15),0))+IFERROR(VALUE(F15),0),2))</f>
        <v/>
      </c>
      <c r="H15" s="29" t="n">
        <v>3.8</v>
      </c>
    </row>
    <row r="16" ht="27" customHeight="1" s="2">
      <c r="A16" s="13" t="inlineStr">
        <is>
          <t>12</t>
        </is>
      </c>
      <c r="B16" s="14" t="inlineStr">
        <is>
          <t>OSP K1 SWP 固定资产及在建工程盘点</t>
        </is>
      </c>
      <c r="C16" s="26" t="n"/>
      <c r="D16" s="26" t="n"/>
      <c r="E16" s="27">
        <f>IF(OR(C16="",H16=""),"",ROUND(C16*IFERROR(VALUE(H16),0),2))</f>
        <v/>
      </c>
      <c r="F16" s="26" t="n"/>
      <c r="G16" s="29">
        <f>IF(AND(F16="",OR(C16="",H16="")),"",ROUND(IF(OR(C16="",H16=""),0,C16*IFERROR(VALUE(H16),0))+IFERROR(VALUE(F16),0),2))</f>
        <v/>
      </c>
      <c r="H16" s="29" t="n">
        <v>4</v>
      </c>
    </row>
    <row r="17" ht="27" customHeight="1" s="2">
      <c r="A17" s="9" t="inlineStr">
        <is>
          <t>13</t>
        </is>
      </c>
      <c r="B17" s="10" t="inlineStr">
        <is>
          <t>OSP K1 SWP 固定资产权属检查</t>
        </is>
      </c>
      <c r="C17" s="26" t="n"/>
      <c r="D17" s="26" t="n"/>
      <c r="E17" s="27">
        <f>IF(OR(C17="",H17=""),"",ROUND(C17*IFERROR(VALUE(H17),0),2))</f>
        <v/>
      </c>
      <c r="F17" s="26" t="n"/>
      <c r="G17" s="28">
        <f>IF(AND(F17="",OR(C17="",H17="")),"",ROUND(IF(OR(C17="",H17=""),0,C17*IFERROR(VALUE(H17),0))+IFERROR(VALUE(F17),0),2))</f>
        <v/>
      </c>
      <c r="H17" s="29" t="n">
        <v>3.2</v>
      </c>
    </row>
    <row r="18" ht="27" customHeight="1" s="2">
      <c r="A18" s="13" t="inlineStr">
        <is>
          <t>14</t>
        </is>
      </c>
      <c r="B18" s="14" t="inlineStr">
        <is>
          <t>OSP L1 SWP 无形资产权属检查</t>
        </is>
      </c>
      <c r="C18" s="26" t="n"/>
      <c r="D18" s="26" t="n"/>
      <c r="E18" s="27">
        <f>IF(OR(C18="",H18=""),"",ROUND(C18*IFERROR(VALUE(H18),0),2))</f>
        <v/>
      </c>
      <c r="F18" s="26" t="n"/>
      <c r="G18" s="29">
        <f>IF(AND(F18="",OR(C18="",H18="")),"",ROUND(IF(OR(C18="",H18=""),0,C18*IFERROR(VALUE(H18),0))+IFERROR(VALUE(F18),0),2))</f>
        <v/>
      </c>
      <c r="H18" s="29" t="n">
        <v>2</v>
      </c>
    </row>
    <row r="19" ht="27" customHeight="1" s="2">
      <c r="A19" s="9" t="inlineStr">
        <is>
          <t>15</t>
        </is>
      </c>
      <c r="B19" s="10" t="inlineStr">
        <is>
          <t>F_盘点实施（全面盘点）</t>
        </is>
      </c>
      <c r="C19" s="26" t="n"/>
      <c r="D19" s="26" t="n"/>
      <c r="E19" s="27">
        <f>IF(OR(C19="",H19=""),"",ROUND(C19*IFERROR(VALUE(H19),0),2))</f>
        <v/>
      </c>
      <c r="F19" s="26" t="n"/>
      <c r="G19" s="28">
        <f>IF(AND(F19="",OR(C19="",H19="")),"",ROUND(IF(OR(C19="",H19=""),0,C19*IFERROR(VALUE(H19),0))+IFERROR(VALUE(F19),0),2))</f>
        <v/>
      </c>
      <c r="H19" s="29" t="n">
        <v>12</v>
      </c>
    </row>
    <row r="20" ht="27" customHeight="1" s="2">
      <c r="A20" s="13" t="inlineStr">
        <is>
          <t>16</t>
        </is>
      </c>
      <c r="B20" s="14" t="inlineStr">
        <is>
          <t>F_盘点与账面核对（全面盘点）</t>
        </is>
      </c>
      <c r="C20" s="26" t="n"/>
      <c r="D20" s="26" t="n"/>
      <c r="E20" s="27">
        <f>IF(OR(C20="",H20=""),"",ROUND(C20*IFERROR(VALUE(H20),0),2))</f>
        <v/>
      </c>
      <c r="F20" s="26" t="n"/>
      <c r="G20" s="29">
        <f>IF(AND(F20="",OR(C20="",H20="")),"",ROUND(IF(OR(C20="",H20=""),0,C20*IFERROR(VALUE(H20),0))+IFERROR(VALUE(F20),0),2))</f>
        <v/>
      </c>
      <c r="H20" s="29" t="n">
        <v>10</v>
      </c>
    </row>
    <row r="21" ht="27" customHeight="1" s="2">
      <c r="A21" s="9" t="inlineStr">
        <is>
          <t>17</t>
        </is>
      </c>
      <c r="B21" s="10" t="inlineStr">
        <is>
          <t>J1_在建工程（除工程类）</t>
        </is>
      </c>
      <c r="C21" s="26" t="n"/>
      <c r="D21" s="26" t="n"/>
      <c r="E21" s="27">
        <f>IF(OR(C21="",H21=""),"",ROUND(C21*IFERROR(VALUE(H21),0),2))</f>
        <v/>
      </c>
      <c r="F21" s="26" t="n"/>
      <c r="G21" s="28">
        <f>IF(AND(F21="",OR(C21="",H21="")),"",ROUND(IF(OR(C21="",H21=""),0,C21*IFERROR(VALUE(H21),0))+IFERROR(VALUE(F21),0),2))</f>
        <v/>
      </c>
      <c r="H21" s="29" t="n">
        <v>11</v>
      </c>
    </row>
    <row r="22" ht="27" customHeight="1" s="2">
      <c r="A22" s="13" t="inlineStr">
        <is>
          <t>18</t>
        </is>
      </c>
      <c r="B22" s="14" t="inlineStr">
        <is>
          <t>N_应付账款</t>
        </is>
      </c>
      <c r="C22" s="26" t="n"/>
      <c r="D22" s="26" t="n"/>
      <c r="E22" s="27">
        <f>IF(OR(C22="",H22=""),"",ROUND(C22*IFERROR(VALUE(H22),0),2))</f>
        <v/>
      </c>
      <c r="F22" s="26" t="n"/>
      <c r="G22" s="29">
        <f>IF(AND(F22="",OR(C22="",H22="")),"",ROUND(IF(OR(C22="",H22=""),0,C22*IFERROR(VALUE(H22),0))+IFERROR(VALUE(F22),0),2))</f>
        <v/>
      </c>
      <c r="H22" s="29" t="n">
        <v>5.5</v>
      </c>
    </row>
    <row r="23" ht="27" customHeight="1" s="2">
      <c r="A23" s="9" t="inlineStr">
        <is>
          <t>19</t>
        </is>
      </c>
      <c r="B23" s="10" t="inlineStr">
        <is>
          <t>M_应付票据</t>
        </is>
      </c>
      <c r="C23" s="26" t="n"/>
      <c r="D23" s="26" t="n"/>
      <c r="E23" s="27">
        <f>IF(OR(C23="",H23=""),"",ROUND(C23*IFERROR(VALUE(H23),0),2))</f>
        <v/>
      </c>
      <c r="F23" s="26" t="n"/>
      <c r="G23" s="28">
        <f>IF(AND(F23="",OR(C23="",H23="")),"",ROUND(IF(OR(C23="",H23=""),0,C23*IFERROR(VALUE(H23),0))+IFERROR(VALUE(F23),0),2))</f>
        <v/>
      </c>
      <c r="H23" s="29" t="n">
        <v>3.2</v>
      </c>
    </row>
    <row r="24" ht="27" customHeight="1" s="2">
      <c r="A24" s="13" t="inlineStr">
        <is>
          <t>20</t>
        </is>
      </c>
      <c r="B24" s="14" t="inlineStr">
        <is>
          <t>PAL2&amp;VB 职工薪酬</t>
        </is>
      </c>
      <c r="C24" s="26" t="n"/>
      <c r="D24" s="26" t="n"/>
      <c r="E24" s="27">
        <f>IF(OR(C24="",H24=""),"",ROUND(C24*IFERROR(VALUE(H24),0),2))</f>
        <v/>
      </c>
      <c r="F24" s="26" t="n"/>
      <c r="G24" s="29">
        <f>IF(AND(F24="",OR(C24="",H24="")),"",ROUND(IF(OR(C24="",H24=""),0,C24*IFERROR(VALUE(H24),0))+IFERROR(VALUE(F24),0),2))</f>
        <v/>
      </c>
      <c r="H24" s="29" t="n">
        <v>12</v>
      </c>
    </row>
    <row r="25" ht="27" customHeight="1" s="2">
      <c r="A25" s="9" t="inlineStr">
        <is>
          <t>21</t>
        </is>
      </c>
      <c r="B25" s="10" t="inlineStr">
        <is>
          <t>U_exp VC&amp;VD 销售&amp;管理费用</t>
        </is>
      </c>
      <c r="C25" s="26" t="n"/>
      <c r="D25" s="26" t="n"/>
      <c r="E25" s="27">
        <f>IF(OR(C25="",H25=""),"",ROUND(C25*IFERROR(VALUE(H25),0),2))</f>
        <v/>
      </c>
      <c r="F25" s="26" t="n"/>
      <c r="G25" s="28">
        <f>IF(AND(F25="",OR(C25="",H25="")),"",ROUND(IF(OR(C25="",H25=""),0,C25*IFERROR(VALUE(H25),0))+IFERROR(VALUE(F25),0),2))</f>
        <v/>
      </c>
      <c r="H25" s="29" t="n">
        <v>11.1</v>
      </c>
    </row>
    <row r="26" ht="27" customHeight="1" s="2">
      <c r="A26" s="13" t="inlineStr">
        <is>
          <t>22</t>
        </is>
      </c>
      <c r="B26" s="14" t="inlineStr">
        <is>
          <t>U_exp other（财务费用）</t>
        </is>
      </c>
      <c r="C26" s="26" t="n"/>
      <c r="D26" s="26" t="n"/>
      <c r="E26" s="27">
        <f>IF(OR(C26="",H26=""),"",ROUND(C26*IFERROR(VALUE(H26),0),2))</f>
        <v/>
      </c>
      <c r="F26" s="26" t="n"/>
      <c r="G26" s="29">
        <f>IF(AND(F26="",OR(C26="",H26="")),"",ROUND(IF(OR(C26="",H26=""),0,C26*IFERROR(VALUE(H26),0))+IFERROR(VALUE(F26),0),2))</f>
        <v/>
      </c>
      <c r="H26" s="29" t="n">
        <v>3</v>
      </c>
    </row>
    <row r="27" ht="27" customHeight="1" s="2">
      <c r="A27" s="9" t="inlineStr">
        <is>
          <t>23</t>
        </is>
      </c>
      <c r="B27" s="10" t="inlineStr">
        <is>
          <t>U_exp other（资产处置损益）</t>
        </is>
      </c>
      <c r="C27" s="26" t="n"/>
      <c r="D27" s="26" t="n"/>
      <c r="E27" s="27">
        <f>IF(OR(C27="",H27=""),"",ROUND(C27*IFERROR(VALUE(H27),0),2))</f>
        <v/>
      </c>
      <c r="F27" s="26" t="n"/>
      <c r="G27" s="28">
        <f>IF(AND(F27="",OR(C27="",H27="")),"",ROUND(IF(OR(C27="",H27=""),0,C27*IFERROR(VALUE(H27),0))+IFERROR(VALUE(F27),0),2))</f>
        <v/>
      </c>
      <c r="H27" s="29" t="n">
        <v>3</v>
      </c>
    </row>
    <row r="28" ht="27" customHeight="1" s="2">
      <c r="A28" s="13" t="inlineStr">
        <is>
          <t>24</t>
        </is>
      </c>
      <c r="B28" s="14" t="inlineStr">
        <is>
          <t>U_exp other（营业外收入）</t>
        </is>
      </c>
      <c r="C28" s="26" t="n"/>
      <c r="D28" s="26" t="n"/>
      <c r="E28" s="27">
        <f>IF(OR(C28="",H28=""),"",ROUND(C28*IFERROR(VALUE(H28),0),2))</f>
        <v/>
      </c>
      <c r="F28" s="26" t="n"/>
      <c r="G28" s="29">
        <f>IF(AND(F28="",OR(C28="",H28="")),"",ROUND(IF(OR(C28="",H28=""),0,C28*IFERROR(VALUE(H28),0))+IFERROR(VALUE(F28),0),2))</f>
        <v/>
      </c>
      <c r="H28" s="29" t="n">
        <v>3</v>
      </c>
    </row>
    <row r="29" ht="27" customHeight="1" s="2">
      <c r="A29" s="9" t="inlineStr">
        <is>
          <t>25</t>
        </is>
      </c>
      <c r="B29" s="10" t="inlineStr">
        <is>
          <t>U_exp other（营业外收支）</t>
        </is>
      </c>
      <c r="C29" s="26" t="n"/>
      <c r="D29" s="26" t="n"/>
      <c r="E29" s="27">
        <f>IF(OR(C29="",H29=""),"",ROUND(C29*IFERROR(VALUE(H29),0),2))</f>
        <v/>
      </c>
      <c r="F29" s="26" t="n"/>
      <c r="G29" s="28">
        <f>IF(AND(F29="",OR(C29="",H29="")),"",ROUND(IF(OR(C29="",H29=""),0,C29*IFERROR(VALUE(H29),0))+IFERROR(VALUE(F29),0),2))</f>
        <v/>
      </c>
      <c r="H29" s="29" t="n">
        <v>3</v>
      </c>
    </row>
    <row r="30" ht="27" customHeight="1" s="2">
      <c r="A30" s="13" t="inlineStr">
        <is>
          <t>26</t>
        </is>
      </c>
      <c r="B30" s="14" t="inlineStr">
        <is>
          <t>TOD_U_GP_收入时点</t>
        </is>
      </c>
      <c r="C30" s="26" t="n"/>
      <c r="D30" s="26" t="n"/>
      <c r="E30" s="27">
        <f>IF(OR(C30="",H30=""),"",ROUND(C30*IFERROR(VALUE(H30),0),2))</f>
        <v/>
      </c>
      <c r="F30" s="26" t="n"/>
      <c r="G30" s="29">
        <f>IF(AND(F30="",OR(C30="",H30="")),"",ROUND(IF(OR(C30="",H30=""),0,C30*IFERROR(VALUE(H30),0))+IFERROR(VALUE(F30),0),2))</f>
        <v/>
      </c>
      <c r="H30" s="29" t="n">
        <v>19</v>
      </c>
    </row>
    <row r="31" ht="27" customHeight="1" s="2">
      <c r="A31" s="9" t="inlineStr">
        <is>
          <t>27</t>
        </is>
      </c>
      <c r="B31" s="10" t="inlineStr">
        <is>
          <t>PBC管理服务</t>
        </is>
      </c>
      <c r="C31" s="26" t="n"/>
      <c r="D31" s="26" t="n"/>
      <c r="E31" s="27">
        <f>IF(OR(C31="",H31=""),"",ROUND(C31*IFERROR(VALUE(H31),0),2))</f>
        <v/>
      </c>
      <c r="F31" s="26" t="n"/>
      <c r="G31" s="28">
        <f>IF(AND(F31="",OR(C31="",H31="")),"",ROUND(IF(OR(C31="",H31=""),0,C31*IFERROR(VALUE(H31),0))+IFERROR(VALUE(F31),0),2))</f>
        <v/>
      </c>
      <c r="H31" s="29" t="n">
        <v>8</v>
      </c>
    </row>
    <row r="32" ht="27" customHeight="1" s="2">
      <c r="A32" s="13" t="inlineStr">
        <is>
          <t>28</t>
        </is>
      </c>
      <c r="B32" s="14" t="inlineStr">
        <is>
          <t>合并附注（Entity处填写科目数量）</t>
        </is>
      </c>
      <c r="C32" s="26" t="n"/>
      <c r="D32" s="26" t="n"/>
      <c r="E32" s="27">
        <f>IF(OR(C32="",H32=""),"",ROUND(C32*IFERROR(VALUE(H32),0),2))</f>
        <v/>
      </c>
      <c r="F32" s="26" t="n"/>
      <c r="G32" s="29">
        <f>IF(AND(F32="",OR(C32="",H32="")),"",ROUND(IF(OR(C32="",H32=""),0,C32*IFERROR(VALUE(H32),0))+IFERROR(VALUE(F32),0),2))</f>
        <v/>
      </c>
      <c r="H32" s="29" t="n">
        <v>10</v>
      </c>
    </row>
    <row r="33" ht="27" customHeight="1" s="2">
      <c r="A33" s="9" t="inlineStr">
        <is>
          <t>29</t>
        </is>
      </c>
      <c r="B33" s="10" t="inlineStr">
        <is>
          <t>Skywind-模板定制&amp;Trial Run</t>
        </is>
      </c>
      <c r="C33" s="26" t="n"/>
      <c r="D33" s="26" t="n"/>
      <c r="E33" s="27">
        <f>IF(OR(C33="",H33=""),"",ROUND(C33*IFERROR(VALUE(H33),0),2))</f>
        <v/>
      </c>
      <c r="F33" s="26" t="n"/>
      <c r="G33" s="28">
        <f>IF(AND(F33="",OR(C33="",H33="")),"",ROUND(IF(OR(C33="",H33=""),0,C33*IFERROR(VALUE(H33),0))+IFERROR(VALUE(F33),0),2))</f>
        <v/>
      </c>
      <c r="H33" s="29" t="n">
        <v>8</v>
      </c>
    </row>
    <row r="34" ht="27" customHeight="1" s="2">
      <c r="A34" s="13" t="inlineStr">
        <is>
          <t>30</t>
        </is>
      </c>
      <c r="B34" s="14" t="inlineStr">
        <is>
          <t>Skywind-底稿生成</t>
        </is>
      </c>
      <c r="C34" s="26" t="n"/>
      <c r="D34" s="26" t="n"/>
      <c r="E34" s="27">
        <f>IF(OR(C34="",H34=""),"",ROUND(C34*IFERROR(VALUE(H34),0),2))</f>
        <v/>
      </c>
      <c r="F34" s="26" t="n"/>
      <c r="G34" s="29">
        <f>IF(AND(F34="",OR(C34="",H34="")),"",ROUND(IF(OR(C34="",H34=""),0,C34*IFERROR(VALUE(H34),0))+IFERROR(VALUE(F34),0),2))</f>
        <v/>
      </c>
      <c r="H34" s="29" t="n">
        <v>4</v>
      </c>
    </row>
    <row r="35" ht="27" customHeight="1" s="2">
      <c r="A35" s="9" t="inlineStr">
        <is>
          <t>31</t>
        </is>
      </c>
      <c r="B35" s="10" t="inlineStr">
        <is>
          <t>FSO Pilot</t>
        </is>
      </c>
      <c r="C35" s="26" t="n"/>
      <c r="D35" s="26" t="n"/>
      <c r="E35" s="27">
        <f>IF(OR(C35="",H35=""),"",ROUND(C35*IFERROR(VALUE(H35),0),2))</f>
        <v/>
      </c>
      <c r="F35" s="26" t="n"/>
      <c r="G35" s="28">
        <f>IF(AND(F35="",OR(C35="",H35="")),"",ROUND(IF(OR(C35="",H35=""),0,C35*IFERROR(VALUE(H35),0))+IFERROR(VALUE(F35),0),2))</f>
        <v/>
      </c>
      <c r="H35" s="29" t="n"/>
    </row>
    <row r="36" ht="27" customHeight="1" s="2">
      <c r="A36" s="13" t="inlineStr">
        <is>
          <t>32</t>
        </is>
      </c>
      <c r="B36" s="14" t="inlineStr">
        <is>
          <t>Others</t>
        </is>
      </c>
      <c r="C36" s="26" t="n"/>
      <c r="D36" s="26" t="n"/>
      <c r="E36" s="27">
        <f>IF(OR(C36="",H36=""),"",ROUND(C36*IFERROR(VALUE(H36),0),2))</f>
        <v/>
      </c>
      <c r="F36" s="26" t="n"/>
      <c r="G36" s="29">
        <f>IF(AND(F36="",OR(C36="",H36="")),"",ROUND(IF(OR(C36="",H36=""),0,C36*IFERROR(VALUE(H36),0))+IFERROR(VALUE(F36),0),2))</f>
        <v/>
      </c>
      <c r="H36" s="29" t="n"/>
    </row>
    <row r="37">
      <c r="A37" s="30" t="inlineStr"/>
      <c r="B37" s="30" t="inlineStr"/>
      <c r="C37" s="30" t="inlineStr"/>
      <c r="D37" s="31" t="inlineStr">
        <is>
          <t>Hours调整</t>
        </is>
      </c>
      <c r="E37" s="30" t="inlineStr"/>
      <c r="F37" s="31" t="inlineStr">
        <is>
          <t>CSDC Hours</t>
        </is>
      </c>
      <c r="G37" s="32">
        <f>SUM(G5:G36)*1.1</f>
        <v/>
      </c>
      <c r="H37" s="30" t="inlineStr"/>
    </row>
    <row r="38"/>
    <row r="39" ht="28" customHeight="1" s="2">
      <c r="A39" s="33" t="inlineStr">
        <is>
          <t>二、基本时间表</t>
        </is>
      </c>
      <c r="B39" s="33" t="inlineStr"/>
      <c r="C39" s="33" t="inlineStr">
        <is>
          <t>YYYY/MM/DD</t>
        </is>
      </c>
      <c r="D39" s="33" t="inlineStr"/>
      <c r="E39" s="33" t="inlineStr"/>
      <c r="F39" s="33" t="inlineStr"/>
      <c r="G39" s="33" t="inlineStr"/>
      <c r="H39" s="33" t="inlineStr"/>
    </row>
    <row r="40" ht="30" customHeight="1" s="2">
      <c r="A40" s="16" t="inlineStr">
        <is>
          <t>阶段</t>
        </is>
      </c>
      <c r="B40" s="16" t="inlineStr">
        <is>
          <t>Milestone</t>
        </is>
      </c>
      <c r="C40" s="16" t="inlineStr">
        <is>
          <t>时间表</t>
        </is>
      </c>
      <c r="D40" s="16" t="inlineStr">
        <is>
          <t>WP COE需完成工作（按实际情况修改）</t>
        </is>
      </c>
      <c r="E40" s="16" t="inlineStr"/>
      <c r="F40" s="16" t="inlineStr"/>
      <c r="G40" s="16" t="inlineStr"/>
      <c r="H40" s="16" t="inlineStr"/>
    </row>
    <row r="41" ht="26" customHeight="1" s="2">
      <c r="A41" s="10" t="inlineStr">
        <is>
          <t>预审</t>
        </is>
      </c>
      <c r="B41" s="10" t="inlineStr">
        <is>
          <t>预审下场时间</t>
        </is>
      </c>
      <c r="C41" s="34" t="n">
        <v>46143</v>
      </c>
      <c r="D41" s="10" t="n"/>
      <c r="E41" s="10" t="n"/>
      <c r="F41" s="10" t="n"/>
      <c r="G41" s="10" t="n"/>
      <c r="H41" s="10" t="n"/>
    </row>
    <row r="42" ht="26" customHeight="1" s="2">
      <c r="A42" s="14" t="inlineStr"/>
      <c r="B42" s="14" t="inlineStr">
        <is>
          <t>预审离场时间</t>
        </is>
      </c>
      <c r="C42" s="35" t="n">
        <v>46203</v>
      </c>
      <c r="D42" s="14" t="n"/>
      <c r="E42" s="14" t="n"/>
      <c r="F42" s="14" t="n"/>
      <c r="G42" s="14" t="n"/>
      <c r="H42" s="14" t="n"/>
    </row>
    <row r="43" ht="26" customHeight="1" s="2">
      <c r="A43" s="10" t="inlineStr"/>
      <c r="B43" s="10" t="inlineStr">
        <is>
          <t>底稿预审交付时间</t>
        </is>
      </c>
      <c r="C43" s="17" t="n"/>
      <c r="D43" s="10" t="n"/>
      <c r="E43" s="10" t="n"/>
      <c r="F43" s="10" t="n"/>
      <c r="G43" s="10" t="n"/>
      <c r="H43" s="10" t="n"/>
    </row>
    <row r="44" ht="26" customHeight="1" s="2">
      <c r="A44" s="14" t="inlineStr">
        <is>
          <t>年审</t>
        </is>
      </c>
      <c r="B44" s="14" t="inlineStr">
        <is>
          <t>客户关账时间</t>
        </is>
      </c>
      <c r="C44" s="36" t="n"/>
      <c r="D44" s="14" t="n"/>
      <c r="E44" s="14" t="n"/>
      <c r="F44" s="14" t="n"/>
      <c r="G44" s="14" t="n"/>
      <c r="H44" s="14" t="n"/>
    </row>
    <row r="45" ht="26" customHeight="1" s="2">
      <c r="A45" s="10" t="inlineStr"/>
      <c r="B45" s="10" t="inlineStr">
        <is>
          <t>银行函证发出时间（如有）</t>
        </is>
      </c>
      <c r="C45" s="17" t="n"/>
      <c r="D45" s="10" t="n"/>
      <c r="E45" s="10" t="n"/>
      <c r="F45" s="10" t="n"/>
      <c r="G45" s="10" t="n"/>
      <c r="H45" s="10" t="n"/>
    </row>
    <row r="46" ht="26" customHeight="1" s="2">
      <c r="A46" s="14" t="inlineStr"/>
      <c r="B46" s="14" t="inlineStr">
        <is>
          <t>往来函证发出时间（如有）</t>
        </is>
      </c>
      <c r="C46" s="36" t="n"/>
      <c r="D46" s="14" t="n"/>
      <c r="E46" s="14" t="n"/>
      <c r="F46" s="14" t="n"/>
      <c r="G46" s="14" t="n"/>
      <c r="H46" s="14" t="n"/>
    </row>
    <row r="47" ht="26" customHeight="1" s="2">
      <c r="A47" s="10" t="inlineStr"/>
      <c r="B47" s="10" t="inlineStr">
        <is>
          <t>年审下场时间</t>
        </is>
      </c>
      <c r="C47" s="34" t="n">
        <v>46327</v>
      </c>
      <c r="D47" s="10" t="n"/>
      <c r="E47" s="10" t="n"/>
      <c r="F47" s="10" t="n"/>
      <c r="G47" s="10" t="n"/>
      <c r="H47" s="10" t="n"/>
    </row>
    <row r="48" ht="26" customHeight="1" s="2">
      <c r="A48" s="14" t="inlineStr"/>
      <c r="B48" s="14" t="inlineStr">
        <is>
          <t>年审离场时间</t>
        </is>
      </c>
      <c r="C48" s="35" t="n">
        <v>46477</v>
      </c>
      <c r="D48" s="14" t="n"/>
      <c r="E48" s="14" t="n"/>
      <c r="F48" s="14" t="n"/>
      <c r="G48" s="14" t="n"/>
      <c r="H48" s="14" t="n"/>
    </row>
    <row r="49" ht="26" customHeight="1" s="2">
      <c r="A49" s="10" t="inlineStr"/>
      <c r="B49" s="10" t="inlineStr">
        <is>
          <t>初步定数时间（如有）</t>
        </is>
      </c>
      <c r="C49" s="17" t="n"/>
      <c r="D49" s="10" t="n"/>
      <c r="E49" s="10" t="n"/>
      <c r="F49" s="10" t="n"/>
      <c r="G49" s="10" t="n"/>
      <c r="H49" s="10" t="n"/>
    </row>
    <row r="50" ht="26" customHeight="1" s="2">
      <c r="A50" s="14" t="inlineStr"/>
      <c r="B50" s="14" t="inlineStr">
        <is>
          <t>底稿首次交付时间</t>
        </is>
      </c>
      <c r="C50" s="36" t="n"/>
      <c r="D50" s="14" t="n"/>
      <c r="E50" s="14" t="n"/>
      <c r="F50" s="14" t="n"/>
      <c r="G50" s="14" t="n"/>
      <c r="H50" s="14" t="n"/>
    </row>
    <row r="51" ht="26" customHeight="1" s="2">
      <c r="A51" s="10" t="inlineStr"/>
      <c r="B51" s="10" t="inlineStr">
        <is>
          <t>底稿最终交付时间</t>
        </is>
      </c>
      <c r="C51" s="17" t="n"/>
      <c r="D51" s="10" t="n"/>
      <c r="E51" s="10" t="n"/>
      <c r="F51" s="10" t="n"/>
      <c r="G51" s="10" t="n"/>
      <c r="H51" s="10" t="n"/>
    </row>
    <row r="52" ht="26" customHeight="1" s="2">
      <c r="A52" s="14" t="inlineStr"/>
      <c r="B52" s="14" t="inlineStr">
        <is>
          <t>报告日</t>
        </is>
      </c>
      <c r="C52" s="36" t="n"/>
      <c r="D52" s="14" t="n"/>
      <c r="E52" s="14" t="n"/>
      <c r="F52" s="14" t="n"/>
      <c r="G52" s="14" t="n"/>
      <c r="H52" s="14" t="n"/>
    </row>
    <row r="53" ht="26" customHeight="1" s="2">
      <c r="A53" s="10" t="inlineStr"/>
      <c r="B53" s="10" t="inlineStr">
        <is>
          <t>备注（如有）</t>
        </is>
      </c>
      <c r="C53" s="17" t="n"/>
      <c r="D53" s="10" t="n"/>
      <c r="E53" s="10" t="n"/>
      <c r="F53" s="10" t="n"/>
      <c r="G53" s="10" t="n"/>
      <c r="H53" s="10" t="n"/>
    </row>
    <row r="54" ht="26" customHeight="1" s="2">
      <c r="A54" s="14" t="n"/>
      <c r="B54" s="14" t="n"/>
      <c r="C54" s="36" t="n"/>
      <c r="D54" s="14" t="n"/>
      <c r="E54" s="14" t="n"/>
      <c r="F54" s="14" t="n"/>
      <c r="G54" s="14" t="n"/>
      <c r="H54" s="14" t="n"/>
    </row>
    <row r="55" ht="28" customHeight="1" s="2">
      <c r="A55" s="37" t="inlineStr">
        <is>
          <t>SER测算（计算上浮5%）</t>
        </is>
      </c>
      <c r="B55" s="37" t="n"/>
      <c r="C55" s="37" t="n"/>
      <c r="D55" s="37" t="n"/>
      <c r="E55" s="37" t="n"/>
      <c r="F55" s="37" t="n"/>
      <c r="G55" s="37" t="n"/>
      <c r="H55" s="37" t="n"/>
    </row>
    <row r="56">
      <c r="A56" s="31" t="inlineStr">
        <is>
          <t>Total Outlook Hours</t>
        </is>
      </c>
      <c r="B56" s="32">
        <f>G37</f>
        <v/>
      </c>
      <c r="C56" s="30" t="n"/>
      <c r="D56" s="30" t="n"/>
      <c r="E56" s="30" t="n"/>
      <c r="F56" s="30" t="n"/>
      <c r="G56" s="30" t="n"/>
      <c r="H56" s="30" t="n"/>
    </row>
    <row r="57">
      <c r="A57" s="16" t="n"/>
      <c r="B57" s="16" t="inlineStr">
        <is>
          <t>Hours占比</t>
        </is>
      </c>
      <c r="C57" s="16" t="inlineStr">
        <is>
          <t>分配Hours</t>
        </is>
      </c>
      <c r="D57" s="16" t="n"/>
      <c r="E57" s="16" t="n"/>
      <c r="F57" s="16" t="inlineStr">
        <is>
          <t>SER金额</t>
        </is>
      </c>
      <c r="G57" s="14" t="n"/>
      <c r="H57" s="14" t="n"/>
    </row>
    <row r="58" ht="27" customHeight="1" s="2">
      <c r="A58" s="10" t="n"/>
      <c r="B58" s="38" t="n">
        <v>0.08</v>
      </c>
      <c r="C58" s="11">
        <f>B58*$G$37</f>
        <v/>
      </c>
      <c r="D58" s="11" t="n">
        <v>2733</v>
      </c>
      <c r="E58" s="11">
        <f>D58*1.05</f>
        <v/>
      </c>
      <c r="F58" s="11">
        <f>C58*E58</f>
        <v/>
      </c>
      <c r="G58" s="10" t="n"/>
      <c r="H58" s="10" t="n"/>
    </row>
    <row r="59" ht="27" customHeight="1" s="2">
      <c r="A59" s="14" t="n"/>
      <c r="B59" s="39" t="n">
        <v>0.25</v>
      </c>
      <c r="C59" s="15">
        <f>B59*$G$37</f>
        <v/>
      </c>
      <c r="D59" s="15" t="n">
        <v>1199</v>
      </c>
      <c r="E59" s="15">
        <f>D59*1.05</f>
        <v/>
      </c>
      <c r="F59" s="15">
        <f>C59*E59</f>
        <v/>
      </c>
      <c r="G59" s="14" t="n"/>
      <c r="H59" s="14" t="n"/>
    </row>
    <row r="60" ht="27" customHeight="1" s="2">
      <c r="A60" s="10" t="n"/>
      <c r="B60" s="38" t="n">
        <v>0.58</v>
      </c>
      <c r="C60" s="11">
        <f>B60*$G$37</f>
        <v/>
      </c>
      <c r="D60" s="11" t="n">
        <v>683</v>
      </c>
      <c r="E60" s="11">
        <f>D60*1.05</f>
        <v/>
      </c>
      <c r="F60" s="11">
        <f>C60*E60</f>
        <v/>
      </c>
      <c r="G60" s="10" t="n"/>
      <c r="H60" s="10" t="n"/>
    </row>
    <row r="61" ht="27" customHeight="1" s="2">
      <c r="A61" s="14" t="n"/>
      <c r="B61" s="39" t="n">
        <v>0.09</v>
      </c>
      <c r="C61" s="15">
        <f>B61*$G$37</f>
        <v/>
      </c>
      <c r="D61" s="15" t="n">
        <v>173</v>
      </c>
      <c r="E61" s="15">
        <f>D61*1.05</f>
        <v/>
      </c>
      <c r="F61" s="15">
        <f>C61*E61</f>
        <v/>
      </c>
      <c r="G61" s="14" t="n"/>
      <c r="H61" s="14" t="n"/>
    </row>
    <row r="62" ht="29" customHeight="1" s="2">
      <c r="A62" s="40" t="inlineStr">
        <is>
          <t>合计</t>
        </is>
      </c>
      <c r="B62" s="41">
        <f>SUM(B58:B61)</f>
        <v/>
      </c>
      <c r="C62" s="42">
        <f>SUM(C58:C61)</f>
        <v/>
      </c>
      <c r="D62" s="43" t="n"/>
      <c r="E62" s="43" t="n"/>
      <c r="F62" s="42">
        <f>SUM(F58:F61)</f>
        <v/>
      </c>
      <c r="G62" s="43" t="n"/>
      <c r="H62" s="43" t="n"/>
    </row>
  </sheetData>
  <pageMargins left="0.25" right="0.25" top="0.5" bottom="0.5" header="0.5" footer="0.5"/>
  <pageSetup orientation="landscape" paperSize="9" fitToHeight="0" fitToWidth="1"/>
  <headerFooter>
    <oddHeader/>
    <oddFooter>&amp;L&amp;8 &amp;K64717DFY27 WP COE 服务方案&amp;R&amp;8 &amp;K64717DPage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F7C80"/>
    <outlinePr summaryBelow="1" summaryRight="1"/>
    <pageSetUpPr fitToPage="1"/>
  </sheetPr>
  <dimension ref="A1:I6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ColWidth="8.66666666666667" defaultRowHeight="14"/>
  <cols>
    <col width="13" customWidth="1" style="2" min="1" max="1"/>
    <col width="36" customWidth="1" style="2" min="2" max="2"/>
    <col width="15" customWidth="1" style="2" min="3" max="3"/>
    <col width="15" customWidth="1" style="2" min="4" max="4"/>
    <col width="17" customWidth="1" style="2" min="5" max="5"/>
    <col width="15" customWidth="1" style="2" min="6" max="6"/>
    <col width="16" customWidth="1" style="2" min="7" max="7"/>
    <col width="18" customWidth="1" style="2" min="8" max="8"/>
    <col width="14" customWidth="1" style="2" min="9" max="9"/>
  </cols>
  <sheetData>
    <row r="1" ht="30" customHeight="1" s="2">
      <c r="A1" s="16" t="inlineStr">
        <is>
          <t>相关订单</t>
        </is>
      </c>
      <c r="B1" s="16" t="inlineStr">
        <is>
          <t>WP服务单编号</t>
        </is>
      </c>
      <c r="C1" s="16" t="inlineStr">
        <is>
          <t>Outlook Hours</t>
        </is>
      </c>
      <c r="D1" s="16" t="inlineStr">
        <is>
          <t>SER</t>
        </is>
      </c>
      <c r="E1" s="21" t="n"/>
      <c r="F1" s="21" t="n"/>
      <c r="G1" s="21" t="n"/>
      <c r="H1" s="21" t="n"/>
      <c r="I1" s="22">
        <f>HYPERLINK("#'IPO'!A2","返回源表")</f>
        <v/>
      </c>
    </row>
    <row r="2" ht="42" customHeight="1" s="2">
      <c r="A2" s="23" t="inlineStr">
        <is>
          <t>REL-WP-IPO-001</t>
        </is>
      </c>
      <c r="B2" s="24" t="inlineStr">
        <is>
          <t>WP-IPO-001</t>
        </is>
      </c>
      <c r="C2" s="25">
        <f>G37</f>
        <v/>
      </c>
      <c r="D2" s="25">
        <f>F62</f>
        <v/>
      </c>
      <c r="E2" s="21" t="n"/>
      <c r="F2" s="21" t="n"/>
      <c r="G2" s="21" t="n"/>
      <c r="H2" s="21" t="n"/>
    </row>
    <row r="3"/>
    <row r="4" ht="32" customHeight="1" s="2">
      <c r="A4" s="8" t="inlineStr">
        <is>
          <t>序号</t>
        </is>
      </c>
      <c r="B4" s="8" t="inlineStr">
        <is>
          <t>Section</t>
        </is>
      </c>
      <c r="C4" s="8" t="inlineStr">
        <is>
          <t>Entity数量</t>
        </is>
      </c>
      <c r="D4" s="8" t="inlineStr">
        <is>
          <t>底稿数量</t>
        </is>
      </c>
      <c r="E4" s="8" t="inlineStr">
        <is>
          <t>标准参考工时</t>
        </is>
      </c>
      <c r="F4" s="8" t="inlineStr">
        <is>
          <t>预算调整</t>
        </is>
      </c>
      <c r="G4" s="8" t="inlineStr">
        <is>
          <t>Outlook Hours</t>
        </is>
      </c>
      <c r="H4" s="8" t="inlineStr">
        <is>
          <t>参考时间/Entity</t>
        </is>
      </c>
      <c r="I4" s="21" t="n"/>
    </row>
    <row r="5" ht="27" customHeight="1" s="2">
      <c r="A5" s="9" t="inlineStr">
        <is>
          <t>1</t>
        </is>
      </c>
      <c r="B5" s="10" t="inlineStr">
        <is>
          <t>C_货币资金（除函证程序）</t>
        </is>
      </c>
      <c r="C5" s="26" t="n">
        <v>2</v>
      </c>
      <c r="D5" s="26" t="n">
        <v>3</v>
      </c>
      <c r="E5" s="27">
        <f>IF(OR(C5="",H5=""),"",ROUND(C5*IFERROR(VALUE(H5),0),2))</f>
        <v/>
      </c>
      <c r="F5" s="26" t="n">
        <v>2</v>
      </c>
      <c r="G5" s="28">
        <f>IF(AND(F5="",OR(C5="",H5="")),"",ROUND(IF(OR(C5="",H5=""),0,C5*IFERROR(VALUE(H5),0))+IFERROR(VALUE(F5),0),2))</f>
        <v/>
      </c>
      <c r="H5" s="29" t="n">
        <v>4.6</v>
      </c>
    </row>
    <row r="6" ht="27" customHeight="1" s="2">
      <c r="A6" s="13" t="inlineStr">
        <is>
          <t>2</t>
        </is>
      </c>
      <c r="B6" s="14" t="inlineStr">
        <is>
          <t>C_货币资金_银行函证</t>
        </is>
      </c>
      <c r="C6" s="26" t="n"/>
      <c r="D6" s="26" t="n"/>
      <c r="E6" s="27">
        <f>IF(OR(C6="",H6=""),"",ROUND(C6*IFERROR(VALUE(H6),0),2))</f>
        <v/>
      </c>
      <c r="F6" s="26" t="n"/>
      <c r="G6" s="29">
        <f>IF(AND(F6="",OR(C6="",H6="")),"",ROUND(IF(OR(C6="",H6=""),0,C6*IFERROR(VALUE(H6),0))+IFERROR(VALUE(F6),0),2))</f>
        <v/>
      </c>
      <c r="H6" s="29" t="n">
        <v>12.5</v>
      </c>
    </row>
    <row r="7" ht="27" customHeight="1" s="2">
      <c r="A7" s="9" t="inlineStr">
        <is>
          <t>3</t>
        </is>
      </c>
      <c r="B7" s="10" t="inlineStr">
        <is>
          <t>Q1_银行借款</t>
        </is>
      </c>
      <c r="C7" s="26" t="n"/>
      <c r="D7" s="26" t="n"/>
      <c r="E7" s="27">
        <f>IF(OR(C7="",H7=""),"",ROUND(C7*IFERROR(VALUE(H7),0),2))</f>
        <v/>
      </c>
      <c r="F7" s="26" t="n"/>
      <c r="G7" s="28">
        <f>IF(AND(F7="",OR(C7="",H7="")),"",ROUND(IF(OR(C7="",H7=""),0,C7*IFERROR(VALUE(H7),0))+IFERROR(VALUE(F7),0),2))</f>
        <v/>
      </c>
      <c r="H7" s="29" t="n">
        <v>9.4</v>
      </c>
    </row>
    <row r="8" ht="27" customHeight="1" s="2">
      <c r="A8" s="13" t="inlineStr">
        <is>
          <t>4</t>
        </is>
      </c>
      <c r="B8" s="14" t="inlineStr">
        <is>
          <t>C-CSP-01-企业信用报告核对</t>
        </is>
      </c>
      <c r="C8" s="26" t="n"/>
      <c r="D8" s="26" t="n"/>
      <c r="E8" s="27">
        <f>IF(OR(C8="",H8=""),"",ROUND(C8*IFERROR(VALUE(H8),0),2))</f>
        <v/>
      </c>
      <c r="F8" s="26" t="n"/>
      <c r="G8" s="29">
        <f>IF(AND(F8="",OR(C8="",H8="")),"",ROUND(IF(OR(C8="",H8=""),0,C8*IFERROR(VALUE(H8),0))+IFERROR(VALUE(F8),0),2))</f>
        <v/>
      </c>
      <c r="H8" s="29" t="n">
        <v>1.2</v>
      </c>
    </row>
    <row r="9" ht="27" customHeight="1" s="2">
      <c r="A9" s="9" t="inlineStr">
        <is>
          <t>5</t>
        </is>
      </c>
      <c r="B9" s="10" t="inlineStr">
        <is>
          <t>C-CSP-02-银行开立户清单检查</t>
        </is>
      </c>
      <c r="C9" s="26" t="n"/>
      <c r="D9" s="26" t="n"/>
      <c r="E9" s="27">
        <f>IF(OR(C9="",H9=""),"",ROUND(C9*IFERROR(VALUE(H9),0),2))</f>
        <v/>
      </c>
      <c r="F9" s="26" t="n"/>
      <c r="G9" s="28">
        <f>IF(AND(F9="",OR(C9="",H9="")),"",ROUND(IF(OR(C9="",H9=""),0,C9*IFERROR(VALUE(H9),0))+IFERROR(VALUE(F9),0),2))</f>
        <v/>
      </c>
      <c r="H9" s="29" t="n">
        <v>0.8</v>
      </c>
    </row>
    <row r="10" ht="27" customHeight="1" s="2">
      <c r="A10" s="13" t="inlineStr">
        <is>
          <t>6</t>
        </is>
      </c>
      <c r="B10" s="14" t="inlineStr">
        <is>
          <t>E1_应收账款（除函证程序）</t>
        </is>
      </c>
      <c r="C10" s="26" t="n"/>
      <c r="D10" s="26" t="n"/>
      <c r="E10" s="27">
        <f>IF(OR(C10="",H10=""),"",ROUND(C10*IFERROR(VALUE(H10),0),2))</f>
        <v/>
      </c>
      <c r="F10" s="26" t="n"/>
      <c r="G10" s="29">
        <f>IF(AND(F10="",OR(C10="",H10="")),"",ROUND(IF(OR(C10="",H10=""),0,C10*IFERROR(VALUE(H10),0))+IFERROR(VALUE(F10),0),2))</f>
        <v/>
      </c>
      <c r="H10" s="29" t="n">
        <v>10</v>
      </c>
    </row>
    <row r="11" ht="27" customHeight="1" s="2">
      <c r="A11" s="9" t="inlineStr">
        <is>
          <t>7</t>
        </is>
      </c>
      <c r="B11" s="10" t="inlineStr">
        <is>
          <t>函证_E1_应收账款</t>
        </is>
      </c>
      <c r="C11" s="26" t="n"/>
      <c r="D11" s="26" t="n"/>
      <c r="E11" s="27">
        <f>IF(OR(C11="",H11=""),"",ROUND(C11*IFERROR(VALUE(H11),0),2))</f>
        <v/>
      </c>
      <c r="F11" s="26" t="n"/>
      <c r="G11" s="28">
        <f>IF(AND(F11="",OR(C11="",H11="")),"",ROUND(IF(OR(C11="",H11=""),0,C11*IFERROR(VALUE(H11),0))+IFERROR(VALUE(F11),0),2))</f>
        <v/>
      </c>
      <c r="H11" s="29" t="n">
        <v>5.5</v>
      </c>
    </row>
    <row r="12" ht="27" customHeight="1" s="2">
      <c r="A12" s="13" t="inlineStr">
        <is>
          <t>8</t>
        </is>
      </c>
      <c r="B12" s="14" t="inlineStr">
        <is>
          <t>E2E3_应收票据及应收款项融资</t>
        </is>
      </c>
      <c r="C12" s="26" t="n"/>
      <c r="D12" s="26" t="n"/>
      <c r="E12" s="27">
        <f>IF(OR(C12="",H12=""),"",ROUND(C12*IFERROR(VALUE(H12),0),2))</f>
        <v/>
      </c>
      <c r="F12" s="26" t="n"/>
      <c r="G12" s="29">
        <f>IF(AND(F12="",OR(C12="",H12="")),"",ROUND(IF(OR(C12="",H12=""),0,C12*IFERROR(VALUE(H12),0))+IFERROR(VALUE(F12),0),2))</f>
        <v/>
      </c>
      <c r="H12" s="29" t="n">
        <v>10</v>
      </c>
    </row>
    <row r="13" ht="27" customHeight="1" s="2">
      <c r="A13" s="9" t="inlineStr">
        <is>
          <t>9</t>
        </is>
      </c>
      <c r="B13" s="10" t="inlineStr">
        <is>
          <t>K1_固定资产</t>
        </is>
      </c>
      <c r="C13" s="26" t="n"/>
      <c r="D13" s="26" t="n"/>
      <c r="E13" s="27">
        <f>IF(OR(C13="",H13=""),"",ROUND(C13*IFERROR(VALUE(H13),0),2))</f>
        <v/>
      </c>
      <c r="F13" s="26" t="n"/>
      <c r="G13" s="28">
        <f>IF(AND(F13="",OR(C13="",H13="")),"",ROUND(IF(OR(C13="",H13=""),0,C13*IFERROR(VALUE(H13),0))+IFERROR(VALUE(F13),0),2))</f>
        <v/>
      </c>
      <c r="H13" s="29" t="n">
        <v>9</v>
      </c>
    </row>
    <row r="14" ht="27" customHeight="1" s="2">
      <c r="A14" s="13" t="inlineStr">
        <is>
          <t>10</t>
        </is>
      </c>
      <c r="B14" s="14" t="inlineStr">
        <is>
          <t>L1_无形资产</t>
        </is>
      </c>
      <c r="C14" s="26" t="n"/>
      <c r="D14" s="26" t="n"/>
      <c r="E14" s="27">
        <f>IF(OR(C14="",H14=""),"",ROUND(C14*IFERROR(VALUE(H14),0),2))</f>
        <v/>
      </c>
      <c r="F14" s="26" t="n"/>
      <c r="G14" s="29">
        <f>IF(AND(F14="",OR(C14="",H14="")),"",ROUND(IF(OR(C14="",H14=""),0,C14*IFERROR(VALUE(H14),0))+IFERROR(VALUE(F14),0),2))</f>
        <v/>
      </c>
      <c r="H14" s="29" t="n">
        <v>5</v>
      </c>
    </row>
    <row r="15" ht="27" customHeight="1" s="2">
      <c r="A15" s="9" t="inlineStr">
        <is>
          <t>11</t>
        </is>
      </c>
      <c r="B15" s="10" t="inlineStr">
        <is>
          <t>L2_长期待摊费用</t>
        </is>
      </c>
      <c r="C15" s="26" t="n"/>
      <c r="D15" s="26" t="n"/>
      <c r="E15" s="27">
        <f>IF(OR(C15="",H15=""),"",ROUND(C15*IFERROR(VALUE(H15),0),2))</f>
        <v/>
      </c>
      <c r="F15" s="26" t="n"/>
      <c r="G15" s="28">
        <f>IF(AND(F15="",OR(C15="",H15="")),"",ROUND(IF(OR(C15="",H15=""),0,C15*IFERROR(VALUE(H15),0))+IFERROR(VALUE(F15),0),2))</f>
        <v/>
      </c>
      <c r="H15" s="29" t="n">
        <v>3.8</v>
      </c>
    </row>
    <row r="16" ht="27" customHeight="1" s="2">
      <c r="A16" s="13" t="inlineStr">
        <is>
          <t>12</t>
        </is>
      </c>
      <c r="B16" s="14" t="inlineStr">
        <is>
          <t>OSP K1 SWP 固定资产及在建工程盘点</t>
        </is>
      </c>
      <c r="C16" s="26" t="n"/>
      <c r="D16" s="26" t="n"/>
      <c r="E16" s="27">
        <f>IF(OR(C16="",H16=""),"",ROUND(C16*IFERROR(VALUE(H16),0),2))</f>
        <v/>
      </c>
      <c r="F16" s="26" t="n"/>
      <c r="G16" s="29">
        <f>IF(AND(F16="",OR(C16="",H16="")),"",ROUND(IF(OR(C16="",H16=""),0,C16*IFERROR(VALUE(H16),0))+IFERROR(VALUE(F16),0),2))</f>
        <v/>
      </c>
      <c r="H16" s="29" t="n">
        <v>4</v>
      </c>
    </row>
    <row r="17" ht="27" customHeight="1" s="2">
      <c r="A17" s="9" t="inlineStr">
        <is>
          <t>13</t>
        </is>
      </c>
      <c r="B17" s="10" t="inlineStr">
        <is>
          <t>OSP K1 SWP 固定资产权属检查</t>
        </is>
      </c>
      <c r="C17" s="26" t="n"/>
      <c r="D17" s="26" t="n"/>
      <c r="E17" s="27">
        <f>IF(OR(C17="",H17=""),"",ROUND(C17*IFERROR(VALUE(H17),0),2))</f>
        <v/>
      </c>
      <c r="F17" s="26" t="n"/>
      <c r="G17" s="28">
        <f>IF(AND(F17="",OR(C17="",H17="")),"",ROUND(IF(OR(C17="",H17=""),0,C17*IFERROR(VALUE(H17),0))+IFERROR(VALUE(F17),0),2))</f>
        <v/>
      </c>
      <c r="H17" s="29" t="n">
        <v>3.2</v>
      </c>
    </row>
    <row r="18" ht="27" customHeight="1" s="2">
      <c r="A18" s="13" t="inlineStr">
        <is>
          <t>14</t>
        </is>
      </c>
      <c r="B18" s="14" t="inlineStr">
        <is>
          <t>OSP L1 SWP 无形资产权属检查</t>
        </is>
      </c>
      <c r="C18" s="26" t="n"/>
      <c r="D18" s="26" t="n"/>
      <c r="E18" s="27">
        <f>IF(OR(C18="",H18=""),"",ROUND(C18*IFERROR(VALUE(H18),0),2))</f>
        <v/>
      </c>
      <c r="F18" s="26" t="n"/>
      <c r="G18" s="29">
        <f>IF(AND(F18="",OR(C18="",H18="")),"",ROUND(IF(OR(C18="",H18=""),0,C18*IFERROR(VALUE(H18),0))+IFERROR(VALUE(F18),0),2))</f>
        <v/>
      </c>
      <c r="H18" s="29" t="n">
        <v>2</v>
      </c>
    </row>
    <row r="19" ht="27" customHeight="1" s="2">
      <c r="A19" s="9" t="inlineStr">
        <is>
          <t>15</t>
        </is>
      </c>
      <c r="B19" s="10" t="inlineStr">
        <is>
          <t>F_盘点实施（全面盘点）</t>
        </is>
      </c>
      <c r="C19" s="26" t="n"/>
      <c r="D19" s="26" t="n"/>
      <c r="E19" s="27">
        <f>IF(OR(C19="",H19=""),"",ROUND(C19*IFERROR(VALUE(H19),0),2))</f>
        <v/>
      </c>
      <c r="F19" s="26" t="n"/>
      <c r="G19" s="28">
        <f>IF(AND(F19="",OR(C19="",H19="")),"",ROUND(IF(OR(C19="",H19=""),0,C19*IFERROR(VALUE(H19),0))+IFERROR(VALUE(F19),0),2))</f>
        <v/>
      </c>
      <c r="H19" s="29" t="n">
        <v>12</v>
      </c>
    </row>
    <row r="20" ht="27" customHeight="1" s="2">
      <c r="A20" s="13" t="inlineStr">
        <is>
          <t>16</t>
        </is>
      </c>
      <c r="B20" s="14" t="inlineStr">
        <is>
          <t>F_盘点与账面核对（全面盘点）</t>
        </is>
      </c>
      <c r="C20" s="26" t="n"/>
      <c r="D20" s="26" t="n"/>
      <c r="E20" s="27">
        <f>IF(OR(C20="",H20=""),"",ROUND(C20*IFERROR(VALUE(H20),0),2))</f>
        <v/>
      </c>
      <c r="F20" s="26" t="n"/>
      <c r="G20" s="29">
        <f>IF(AND(F20="",OR(C20="",H20="")),"",ROUND(IF(OR(C20="",H20=""),0,C20*IFERROR(VALUE(H20),0))+IFERROR(VALUE(F20),0),2))</f>
        <v/>
      </c>
      <c r="H20" s="29" t="n">
        <v>10</v>
      </c>
    </row>
    <row r="21" ht="27" customHeight="1" s="2">
      <c r="A21" s="9" t="inlineStr">
        <is>
          <t>17</t>
        </is>
      </c>
      <c r="B21" s="10" t="inlineStr">
        <is>
          <t>J1_在建工程（除工程类）</t>
        </is>
      </c>
      <c r="C21" s="26" t="n"/>
      <c r="D21" s="26" t="n"/>
      <c r="E21" s="27">
        <f>IF(OR(C21="",H21=""),"",ROUND(C21*IFERROR(VALUE(H21),0),2))</f>
        <v/>
      </c>
      <c r="F21" s="26" t="n"/>
      <c r="G21" s="28">
        <f>IF(AND(F21="",OR(C21="",H21="")),"",ROUND(IF(OR(C21="",H21=""),0,C21*IFERROR(VALUE(H21),0))+IFERROR(VALUE(F21),0),2))</f>
        <v/>
      </c>
      <c r="H21" s="29" t="n">
        <v>11</v>
      </c>
    </row>
    <row r="22" ht="27" customHeight="1" s="2">
      <c r="A22" s="13" t="inlineStr">
        <is>
          <t>18</t>
        </is>
      </c>
      <c r="B22" s="14" t="inlineStr">
        <is>
          <t>N_应付账款</t>
        </is>
      </c>
      <c r="C22" s="26" t="n"/>
      <c r="D22" s="26" t="n"/>
      <c r="E22" s="27">
        <f>IF(OR(C22="",H22=""),"",ROUND(C22*IFERROR(VALUE(H22),0),2))</f>
        <v/>
      </c>
      <c r="F22" s="26" t="n"/>
      <c r="G22" s="29">
        <f>IF(AND(F22="",OR(C22="",H22="")),"",ROUND(IF(OR(C22="",H22=""),0,C22*IFERROR(VALUE(H22),0))+IFERROR(VALUE(F22),0),2))</f>
        <v/>
      </c>
      <c r="H22" s="29" t="n">
        <v>5.5</v>
      </c>
    </row>
    <row r="23" ht="27" customHeight="1" s="2">
      <c r="A23" s="9" t="inlineStr">
        <is>
          <t>19</t>
        </is>
      </c>
      <c r="B23" s="10" t="inlineStr">
        <is>
          <t>M_应付票据</t>
        </is>
      </c>
      <c r="C23" s="26" t="n"/>
      <c r="D23" s="26" t="n"/>
      <c r="E23" s="27">
        <f>IF(OR(C23="",H23=""),"",ROUND(C23*IFERROR(VALUE(H23),0),2))</f>
        <v/>
      </c>
      <c r="F23" s="26" t="n"/>
      <c r="G23" s="28">
        <f>IF(AND(F23="",OR(C23="",H23="")),"",ROUND(IF(OR(C23="",H23=""),0,C23*IFERROR(VALUE(H23),0))+IFERROR(VALUE(F23),0),2))</f>
        <v/>
      </c>
      <c r="H23" s="29" t="n">
        <v>3.2</v>
      </c>
    </row>
    <row r="24" ht="27" customHeight="1" s="2">
      <c r="A24" s="13" t="inlineStr">
        <is>
          <t>20</t>
        </is>
      </c>
      <c r="B24" s="14" t="inlineStr">
        <is>
          <t>PAL2&amp;VB 职工薪酬</t>
        </is>
      </c>
      <c r="C24" s="26" t="n"/>
      <c r="D24" s="26" t="n"/>
      <c r="E24" s="27">
        <f>IF(OR(C24="",H24=""),"",ROUND(C24*IFERROR(VALUE(H24),0),2))</f>
        <v/>
      </c>
      <c r="F24" s="26" t="n"/>
      <c r="G24" s="29">
        <f>IF(AND(F24="",OR(C24="",H24="")),"",ROUND(IF(OR(C24="",H24=""),0,C24*IFERROR(VALUE(H24),0))+IFERROR(VALUE(F24),0),2))</f>
        <v/>
      </c>
      <c r="H24" s="29" t="n">
        <v>12</v>
      </c>
    </row>
    <row r="25" ht="27" customHeight="1" s="2">
      <c r="A25" s="9" t="inlineStr">
        <is>
          <t>21</t>
        </is>
      </c>
      <c r="B25" s="10" t="inlineStr">
        <is>
          <t>U_exp VC&amp;VD 销售&amp;管理费用</t>
        </is>
      </c>
      <c r="C25" s="26" t="n"/>
      <c r="D25" s="26" t="n"/>
      <c r="E25" s="27">
        <f>IF(OR(C25="",H25=""),"",ROUND(C25*IFERROR(VALUE(H25),0),2))</f>
        <v/>
      </c>
      <c r="F25" s="26" t="n"/>
      <c r="G25" s="28">
        <f>IF(AND(F25="",OR(C25="",H25="")),"",ROUND(IF(OR(C25="",H25=""),0,C25*IFERROR(VALUE(H25),0))+IFERROR(VALUE(F25),0),2))</f>
        <v/>
      </c>
      <c r="H25" s="29" t="n">
        <v>11.1</v>
      </c>
    </row>
    <row r="26" ht="27" customHeight="1" s="2">
      <c r="A26" s="13" t="inlineStr">
        <is>
          <t>22</t>
        </is>
      </c>
      <c r="B26" s="14" t="inlineStr">
        <is>
          <t>U_exp other（财务费用）</t>
        </is>
      </c>
      <c r="C26" s="26" t="n"/>
      <c r="D26" s="26" t="n"/>
      <c r="E26" s="27">
        <f>IF(OR(C26="",H26=""),"",ROUND(C26*IFERROR(VALUE(H26),0),2))</f>
        <v/>
      </c>
      <c r="F26" s="26" t="n"/>
      <c r="G26" s="29">
        <f>IF(AND(F26="",OR(C26="",H26="")),"",ROUND(IF(OR(C26="",H26=""),0,C26*IFERROR(VALUE(H26),0))+IFERROR(VALUE(F26),0),2))</f>
        <v/>
      </c>
      <c r="H26" s="29" t="n">
        <v>3</v>
      </c>
    </row>
    <row r="27" ht="27" customHeight="1" s="2">
      <c r="A27" s="9" t="inlineStr">
        <is>
          <t>23</t>
        </is>
      </c>
      <c r="B27" s="10" t="inlineStr">
        <is>
          <t>U_exp other（资产处置损益）</t>
        </is>
      </c>
      <c r="C27" s="26" t="n"/>
      <c r="D27" s="26" t="n"/>
      <c r="E27" s="27">
        <f>IF(OR(C27="",H27=""),"",ROUND(C27*IFERROR(VALUE(H27),0),2))</f>
        <v/>
      </c>
      <c r="F27" s="26" t="n"/>
      <c r="G27" s="28">
        <f>IF(AND(F27="",OR(C27="",H27="")),"",ROUND(IF(OR(C27="",H27=""),0,C27*IFERROR(VALUE(H27),0))+IFERROR(VALUE(F27),0),2))</f>
        <v/>
      </c>
      <c r="H27" s="29" t="n">
        <v>3</v>
      </c>
    </row>
    <row r="28" ht="27" customHeight="1" s="2">
      <c r="A28" s="13" t="inlineStr">
        <is>
          <t>24</t>
        </is>
      </c>
      <c r="B28" s="14" t="inlineStr">
        <is>
          <t>U_exp other（营业外收入）</t>
        </is>
      </c>
      <c r="C28" s="26" t="n"/>
      <c r="D28" s="26" t="n"/>
      <c r="E28" s="27">
        <f>IF(OR(C28="",H28=""),"",ROUND(C28*IFERROR(VALUE(H28),0),2))</f>
        <v/>
      </c>
      <c r="F28" s="26" t="n"/>
      <c r="G28" s="29">
        <f>IF(AND(F28="",OR(C28="",H28="")),"",ROUND(IF(OR(C28="",H28=""),0,C28*IFERROR(VALUE(H28),0))+IFERROR(VALUE(F28),0),2))</f>
        <v/>
      </c>
      <c r="H28" s="29" t="n">
        <v>3</v>
      </c>
    </row>
    <row r="29" ht="27" customHeight="1" s="2">
      <c r="A29" s="9" t="inlineStr">
        <is>
          <t>25</t>
        </is>
      </c>
      <c r="B29" s="10" t="inlineStr">
        <is>
          <t>U_exp other（营业外收支）</t>
        </is>
      </c>
      <c r="C29" s="26" t="n"/>
      <c r="D29" s="26" t="n"/>
      <c r="E29" s="27">
        <f>IF(OR(C29="",H29=""),"",ROUND(C29*IFERROR(VALUE(H29),0),2))</f>
        <v/>
      </c>
      <c r="F29" s="26" t="n"/>
      <c r="G29" s="28">
        <f>IF(AND(F29="",OR(C29="",H29="")),"",ROUND(IF(OR(C29="",H29=""),0,C29*IFERROR(VALUE(H29),0))+IFERROR(VALUE(F29),0),2))</f>
        <v/>
      </c>
      <c r="H29" s="29" t="n">
        <v>3</v>
      </c>
    </row>
    <row r="30" ht="27" customHeight="1" s="2">
      <c r="A30" s="13" t="inlineStr">
        <is>
          <t>26</t>
        </is>
      </c>
      <c r="B30" s="14" t="inlineStr">
        <is>
          <t>TOD_U_GP_收入时点</t>
        </is>
      </c>
      <c r="C30" s="26" t="n"/>
      <c r="D30" s="26" t="n"/>
      <c r="E30" s="27">
        <f>IF(OR(C30="",H30=""),"",ROUND(C30*IFERROR(VALUE(H30),0),2))</f>
        <v/>
      </c>
      <c r="F30" s="26" t="n"/>
      <c r="G30" s="29">
        <f>IF(AND(F30="",OR(C30="",H30="")),"",ROUND(IF(OR(C30="",H30=""),0,C30*IFERROR(VALUE(H30),0))+IFERROR(VALUE(F30),0),2))</f>
        <v/>
      </c>
      <c r="H30" s="29" t="n">
        <v>19</v>
      </c>
    </row>
    <row r="31" ht="27" customHeight="1" s="2">
      <c r="A31" s="9" t="inlineStr">
        <is>
          <t>27</t>
        </is>
      </c>
      <c r="B31" s="10" t="inlineStr">
        <is>
          <t>PBC管理服务</t>
        </is>
      </c>
      <c r="C31" s="26" t="n"/>
      <c r="D31" s="26" t="n"/>
      <c r="E31" s="27">
        <f>IF(OR(C31="",H31=""),"",ROUND(C31*IFERROR(VALUE(H31),0),2))</f>
        <v/>
      </c>
      <c r="F31" s="26" t="n"/>
      <c r="G31" s="28">
        <f>IF(AND(F31="",OR(C31="",H31="")),"",ROUND(IF(OR(C31="",H31=""),0,C31*IFERROR(VALUE(H31),0))+IFERROR(VALUE(F31),0),2))</f>
        <v/>
      </c>
      <c r="H31" s="29" t="n">
        <v>8</v>
      </c>
    </row>
    <row r="32" ht="27" customHeight="1" s="2">
      <c r="A32" s="13" t="inlineStr">
        <is>
          <t>28</t>
        </is>
      </c>
      <c r="B32" s="14" t="inlineStr">
        <is>
          <t>合并附注（Entity处填写科目数量）</t>
        </is>
      </c>
      <c r="C32" s="26" t="n"/>
      <c r="D32" s="26" t="n"/>
      <c r="E32" s="27">
        <f>IF(OR(C32="",H32=""),"",ROUND(C32*IFERROR(VALUE(H32),0),2))</f>
        <v/>
      </c>
      <c r="F32" s="26" t="n"/>
      <c r="G32" s="29">
        <f>IF(AND(F32="",OR(C32="",H32="")),"",ROUND(IF(OR(C32="",H32=""),0,C32*IFERROR(VALUE(H32),0))+IFERROR(VALUE(F32),0),2))</f>
        <v/>
      </c>
      <c r="H32" s="29" t="n">
        <v>10</v>
      </c>
    </row>
    <row r="33" ht="27" customHeight="1" s="2">
      <c r="A33" s="9" t="inlineStr">
        <is>
          <t>29</t>
        </is>
      </c>
      <c r="B33" s="10" t="inlineStr">
        <is>
          <t>Skywind-模板定制&amp;Trial Run</t>
        </is>
      </c>
      <c r="C33" s="26" t="n"/>
      <c r="D33" s="26" t="n"/>
      <c r="E33" s="27">
        <f>IF(OR(C33="",H33=""),"",ROUND(C33*IFERROR(VALUE(H33),0),2))</f>
        <v/>
      </c>
      <c r="F33" s="26" t="n"/>
      <c r="G33" s="28">
        <f>IF(AND(F33="",OR(C33="",H33="")),"",ROUND(IF(OR(C33="",H33=""),0,C33*IFERROR(VALUE(H33),0))+IFERROR(VALUE(F33),0),2))</f>
        <v/>
      </c>
      <c r="H33" s="29" t="n">
        <v>8</v>
      </c>
    </row>
    <row r="34" ht="27" customHeight="1" s="2">
      <c r="A34" s="13" t="inlineStr">
        <is>
          <t>30</t>
        </is>
      </c>
      <c r="B34" s="14" t="inlineStr">
        <is>
          <t>Skywind-底稿生成</t>
        </is>
      </c>
      <c r="C34" s="26" t="n"/>
      <c r="D34" s="26" t="n"/>
      <c r="E34" s="27">
        <f>IF(OR(C34="",H34=""),"",ROUND(C34*IFERROR(VALUE(H34),0),2))</f>
        <v/>
      </c>
      <c r="F34" s="26" t="n"/>
      <c r="G34" s="29">
        <f>IF(AND(F34="",OR(C34="",H34="")),"",ROUND(IF(OR(C34="",H34=""),0,C34*IFERROR(VALUE(H34),0))+IFERROR(VALUE(F34),0),2))</f>
        <v/>
      </c>
      <c r="H34" s="29" t="n">
        <v>4</v>
      </c>
    </row>
    <row r="35" ht="27" customHeight="1" s="2">
      <c r="A35" s="9" t="inlineStr">
        <is>
          <t>31</t>
        </is>
      </c>
      <c r="B35" s="10" t="inlineStr">
        <is>
          <t>FSO Pilot</t>
        </is>
      </c>
      <c r="C35" s="26" t="n"/>
      <c r="D35" s="26" t="n"/>
      <c r="E35" s="27">
        <f>IF(OR(C35="",H35=""),"",ROUND(C35*IFERROR(VALUE(H35),0),2))</f>
        <v/>
      </c>
      <c r="F35" s="26" t="n"/>
      <c r="G35" s="28">
        <f>IF(AND(F35="",OR(C35="",H35="")),"",ROUND(IF(OR(C35="",H35=""),0,C35*IFERROR(VALUE(H35),0))+IFERROR(VALUE(F35),0),2))</f>
        <v/>
      </c>
      <c r="H35" s="29" t="n"/>
    </row>
    <row r="36" ht="27" customHeight="1" s="2">
      <c r="A36" s="13" t="inlineStr">
        <is>
          <t>32</t>
        </is>
      </c>
      <c r="B36" s="14" t="inlineStr">
        <is>
          <t>Others</t>
        </is>
      </c>
      <c r="C36" s="26" t="n"/>
      <c r="D36" s="26" t="n"/>
      <c r="E36" s="27">
        <f>IF(OR(C36="",H36=""),"",ROUND(C36*IFERROR(VALUE(H36),0),2))</f>
        <v/>
      </c>
      <c r="F36" s="26" t="n"/>
      <c r="G36" s="29">
        <f>IF(AND(F36="",OR(C36="",H36="")),"",ROUND(IF(OR(C36="",H36=""),0,C36*IFERROR(VALUE(H36),0))+IFERROR(VALUE(F36),0),2))</f>
        <v/>
      </c>
      <c r="H36" s="29" t="n"/>
    </row>
    <row r="37">
      <c r="A37" s="30" t="inlineStr"/>
      <c r="B37" s="30" t="inlineStr"/>
      <c r="C37" s="30" t="inlineStr"/>
      <c r="D37" s="31" t="inlineStr">
        <is>
          <t>Hours调整</t>
        </is>
      </c>
      <c r="E37" s="30" t="inlineStr"/>
      <c r="F37" s="31" t="inlineStr">
        <is>
          <t>CSDC Hours</t>
        </is>
      </c>
      <c r="G37" s="32">
        <f>SUM(G5:G36)*1.1</f>
        <v/>
      </c>
      <c r="H37" s="30" t="inlineStr"/>
    </row>
    <row r="38"/>
    <row r="39" ht="28" customHeight="1" s="2">
      <c r="A39" s="33" t="inlineStr">
        <is>
          <t>二、基本时间表</t>
        </is>
      </c>
      <c r="B39" s="33" t="inlineStr"/>
      <c r="C39" s="33" t="inlineStr">
        <is>
          <t>YYYY/MM/DD</t>
        </is>
      </c>
      <c r="D39" s="33" t="inlineStr"/>
      <c r="E39" s="33" t="inlineStr"/>
      <c r="F39" s="33" t="inlineStr"/>
      <c r="G39" s="33" t="inlineStr"/>
      <c r="H39" s="33" t="inlineStr"/>
    </row>
    <row r="40" ht="30" customHeight="1" s="2">
      <c r="A40" s="16" t="inlineStr">
        <is>
          <t>阶段</t>
        </is>
      </c>
      <c r="B40" s="16" t="inlineStr">
        <is>
          <t>Milestone</t>
        </is>
      </c>
      <c r="C40" s="16" t="inlineStr">
        <is>
          <t>时间表</t>
        </is>
      </c>
      <c r="D40" s="16" t="inlineStr">
        <is>
          <t>WP COE需完成工作（按实际情况修改）</t>
        </is>
      </c>
      <c r="E40" s="16" t="inlineStr"/>
      <c r="F40" s="16" t="inlineStr"/>
      <c r="G40" s="16" t="inlineStr"/>
      <c r="H40" s="16" t="inlineStr"/>
    </row>
    <row r="41" ht="26" customHeight="1" s="2">
      <c r="A41" s="10" t="inlineStr">
        <is>
          <t>预审</t>
        </is>
      </c>
      <c r="B41" s="10" t="inlineStr">
        <is>
          <t>预审下场时间</t>
        </is>
      </c>
      <c r="C41" s="34" t="n">
        <v>46174</v>
      </c>
      <c r="D41" s="10" t="n"/>
      <c r="E41" s="10" t="n"/>
      <c r="F41" s="10" t="n"/>
      <c r="G41" s="10" t="n"/>
      <c r="H41" s="10" t="n"/>
    </row>
    <row r="42" ht="26" customHeight="1" s="2">
      <c r="A42" s="14" t="inlineStr"/>
      <c r="B42" s="14" t="inlineStr">
        <is>
          <t>预审离场时间</t>
        </is>
      </c>
      <c r="C42" s="35" t="n">
        <v>46234</v>
      </c>
      <c r="D42" s="14" t="n"/>
      <c r="E42" s="14" t="n"/>
      <c r="F42" s="14" t="n"/>
      <c r="G42" s="14" t="n"/>
      <c r="H42" s="14" t="n"/>
    </row>
    <row r="43" ht="26" customHeight="1" s="2">
      <c r="A43" s="10" t="inlineStr"/>
      <c r="B43" s="10" t="inlineStr">
        <is>
          <t>底稿预审交付时间</t>
        </is>
      </c>
      <c r="C43" s="17" t="n"/>
      <c r="D43" s="10" t="n"/>
      <c r="E43" s="10" t="n"/>
      <c r="F43" s="10" t="n"/>
      <c r="G43" s="10" t="n"/>
      <c r="H43" s="10" t="n"/>
    </row>
    <row r="44" ht="26" customHeight="1" s="2">
      <c r="A44" s="14" t="inlineStr">
        <is>
          <t>年审</t>
        </is>
      </c>
      <c r="B44" s="14" t="inlineStr">
        <is>
          <t>客户关账时间</t>
        </is>
      </c>
      <c r="C44" s="36" t="n"/>
      <c r="D44" s="14" t="n"/>
      <c r="E44" s="14" t="n"/>
      <c r="F44" s="14" t="n"/>
      <c r="G44" s="14" t="n"/>
      <c r="H44" s="14" t="n"/>
    </row>
    <row r="45" ht="26" customHeight="1" s="2">
      <c r="A45" s="10" t="inlineStr"/>
      <c r="B45" s="10" t="inlineStr">
        <is>
          <t>银行函证发出时间（如有）</t>
        </is>
      </c>
      <c r="C45" s="17" t="n"/>
      <c r="D45" s="10" t="n"/>
      <c r="E45" s="10" t="n"/>
      <c r="F45" s="10" t="n"/>
      <c r="G45" s="10" t="n"/>
      <c r="H45" s="10" t="n"/>
    </row>
    <row r="46" ht="26" customHeight="1" s="2">
      <c r="A46" s="14" t="inlineStr"/>
      <c r="B46" s="14" t="inlineStr">
        <is>
          <t>往来函证发出时间（如有）</t>
        </is>
      </c>
      <c r="C46" s="36" t="n"/>
      <c r="D46" s="14" t="n"/>
      <c r="E46" s="14" t="n"/>
      <c r="F46" s="14" t="n"/>
      <c r="G46" s="14" t="n"/>
      <c r="H46" s="14" t="n"/>
    </row>
    <row r="47" ht="26" customHeight="1" s="2">
      <c r="A47" s="10" t="inlineStr"/>
      <c r="B47" s="10" t="inlineStr">
        <is>
          <t>年审下场时间</t>
        </is>
      </c>
      <c r="C47" s="34" t="n">
        <v>46388</v>
      </c>
      <c r="D47" s="10" t="n"/>
      <c r="E47" s="10" t="n"/>
      <c r="F47" s="10" t="n"/>
      <c r="G47" s="10" t="n"/>
      <c r="H47" s="10" t="n"/>
    </row>
    <row r="48" ht="26" customHeight="1" s="2">
      <c r="A48" s="14" t="inlineStr"/>
      <c r="B48" s="14" t="inlineStr">
        <is>
          <t>年审离场时间</t>
        </is>
      </c>
      <c r="C48" s="35" t="n">
        <v>46538</v>
      </c>
      <c r="D48" s="14" t="n"/>
      <c r="E48" s="14" t="n"/>
      <c r="F48" s="14" t="n"/>
      <c r="G48" s="14" t="n"/>
      <c r="H48" s="14" t="n"/>
    </row>
    <row r="49" ht="26" customHeight="1" s="2">
      <c r="A49" s="10" t="inlineStr"/>
      <c r="B49" s="10" t="inlineStr">
        <is>
          <t>初步定数时间（如有）</t>
        </is>
      </c>
      <c r="C49" s="17" t="n"/>
      <c r="D49" s="10" t="n"/>
      <c r="E49" s="10" t="n"/>
      <c r="F49" s="10" t="n"/>
      <c r="G49" s="10" t="n"/>
      <c r="H49" s="10" t="n"/>
    </row>
    <row r="50" ht="26" customHeight="1" s="2">
      <c r="A50" s="14" t="inlineStr"/>
      <c r="B50" s="14" t="inlineStr">
        <is>
          <t>底稿首次交付时间</t>
        </is>
      </c>
      <c r="C50" s="36" t="n"/>
      <c r="D50" s="14" t="n"/>
      <c r="E50" s="14" t="n"/>
      <c r="F50" s="14" t="n"/>
      <c r="G50" s="14" t="n"/>
      <c r="H50" s="14" t="n"/>
    </row>
    <row r="51" ht="26" customHeight="1" s="2">
      <c r="A51" s="10" t="inlineStr"/>
      <c r="B51" s="10" t="inlineStr">
        <is>
          <t>底稿最终交付时间</t>
        </is>
      </c>
      <c r="C51" s="17" t="n"/>
      <c r="D51" s="10" t="n"/>
      <c r="E51" s="10" t="n"/>
      <c r="F51" s="10" t="n"/>
      <c r="G51" s="10" t="n"/>
      <c r="H51" s="10" t="n"/>
    </row>
    <row r="52" ht="26" customHeight="1" s="2">
      <c r="A52" s="14" t="inlineStr"/>
      <c r="B52" s="14" t="inlineStr">
        <is>
          <t>报告日</t>
        </is>
      </c>
      <c r="C52" s="36" t="n"/>
      <c r="D52" s="14" t="n"/>
      <c r="E52" s="14" t="n"/>
      <c r="F52" s="14" t="n"/>
      <c r="G52" s="14" t="n"/>
      <c r="H52" s="14" t="n"/>
    </row>
    <row r="53" ht="26" customHeight="1" s="2">
      <c r="A53" s="10" t="inlineStr"/>
      <c r="B53" s="10" t="inlineStr">
        <is>
          <t>备注（如有）</t>
        </is>
      </c>
      <c r="C53" s="17" t="n"/>
      <c r="D53" s="10" t="n"/>
      <c r="E53" s="10" t="n"/>
      <c r="F53" s="10" t="n"/>
      <c r="G53" s="10" t="n"/>
      <c r="H53" s="10" t="n"/>
    </row>
    <row r="54" ht="26" customHeight="1" s="2">
      <c r="A54" s="14" t="n"/>
      <c r="B54" s="14" t="n"/>
      <c r="C54" s="36" t="n"/>
      <c r="D54" s="14" t="n"/>
      <c r="E54" s="14" t="n"/>
      <c r="F54" s="14" t="n"/>
      <c r="G54" s="14" t="n"/>
      <c r="H54" s="14" t="n"/>
    </row>
    <row r="55" ht="28" customHeight="1" s="2">
      <c r="A55" s="37" t="inlineStr">
        <is>
          <t>SER测算（计算上浮5%）</t>
        </is>
      </c>
      <c r="B55" s="37" t="n"/>
      <c r="C55" s="37" t="n"/>
      <c r="D55" s="37" t="n"/>
      <c r="E55" s="37" t="n"/>
      <c r="F55" s="37" t="n"/>
      <c r="G55" s="37" t="n"/>
      <c r="H55" s="37" t="n"/>
    </row>
    <row r="56">
      <c r="A56" s="31" t="inlineStr">
        <is>
          <t>Total Outlook Hours</t>
        </is>
      </c>
      <c r="B56" s="32">
        <f>G37</f>
        <v/>
      </c>
      <c r="C56" s="30" t="n"/>
      <c r="D56" s="30" t="n"/>
      <c r="E56" s="30" t="n"/>
      <c r="F56" s="30" t="n"/>
      <c r="G56" s="30" t="n"/>
      <c r="H56" s="30" t="n"/>
    </row>
    <row r="57">
      <c r="A57" s="16" t="n"/>
      <c r="B57" s="16" t="inlineStr">
        <is>
          <t>Hours占比</t>
        </is>
      </c>
      <c r="C57" s="16" t="inlineStr">
        <is>
          <t>分配Hours</t>
        </is>
      </c>
      <c r="D57" s="16" t="n"/>
      <c r="E57" s="16" t="n"/>
      <c r="F57" s="16" t="inlineStr">
        <is>
          <t>SER金额</t>
        </is>
      </c>
      <c r="G57" s="14" t="n"/>
      <c r="H57" s="14" t="n"/>
    </row>
    <row r="58" ht="27" customHeight="1" s="2">
      <c r="A58" s="10" t="n"/>
      <c r="B58" s="38" t="n">
        <v>0.08</v>
      </c>
      <c r="C58" s="11">
        <f>B58*$G$37</f>
        <v/>
      </c>
      <c r="D58" s="11" t="n">
        <v>2733</v>
      </c>
      <c r="E58" s="11">
        <f>D58*1.05</f>
        <v/>
      </c>
      <c r="F58" s="11">
        <f>C58*E58</f>
        <v/>
      </c>
      <c r="G58" s="10" t="n"/>
      <c r="H58" s="10" t="n"/>
    </row>
    <row r="59" ht="27" customHeight="1" s="2">
      <c r="A59" s="14" t="n"/>
      <c r="B59" s="39" t="n">
        <v>0.25</v>
      </c>
      <c r="C59" s="15">
        <f>B59*$G$37</f>
        <v/>
      </c>
      <c r="D59" s="15" t="n">
        <v>1199</v>
      </c>
      <c r="E59" s="15">
        <f>D59*1.05</f>
        <v/>
      </c>
      <c r="F59" s="15">
        <f>C59*E59</f>
        <v/>
      </c>
      <c r="G59" s="14" t="n"/>
      <c r="H59" s="14" t="n"/>
    </row>
    <row r="60" ht="27" customHeight="1" s="2">
      <c r="A60" s="10" t="n"/>
      <c r="B60" s="38" t="n">
        <v>0.58</v>
      </c>
      <c r="C60" s="11">
        <f>B60*$G$37</f>
        <v/>
      </c>
      <c r="D60" s="11" t="n">
        <v>683</v>
      </c>
      <c r="E60" s="11">
        <f>D60*1.05</f>
        <v/>
      </c>
      <c r="F60" s="11">
        <f>C60*E60</f>
        <v/>
      </c>
      <c r="G60" s="10" t="n"/>
      <c r="H60" s="10" t="n"/>
    </row>
    <row r="61" ht="27" customHeight="1" s="2">
      <c r="A61" s="14" t="n"/>
      <c r="B61" s="39" t="n">
        <v>0.09</v>
      </c>
      <c r="C61" s="15">
        <f>B61*$G$37</f>
        <v/>
      </c>
      <c r="D61" s="15" t="n">
        <v>173</v>
      </c>
      <c r="E61" s="15">
        <f>D61*1.05</f>
        <v/>
      </c>
      <c r="F61" s="15">
        <f>C61*E61</f>
        <v/>
      </c>
      <c r="G61" s="14" t="n"/>
      <c r="H61" s="14" t="n"/>
    </row>
    <row r="62" ht="29" customHeight="1" s="2">
      <c r="A62" s="40" t="inlineStr">
        <is>
          <t>合计</t>
        </is>
      </c>
      <c r="B62" s="41">
        <f>SUM(B58:B61)</f>
        <v/>
      </c>
      <c r="C62" s="42">
        <f>SUM(C58:C61)</f>
        <v/>
      </c>
      <c r="D62" s="43" t="n"/>
      <c r="E62" s="43" t="n"/>
      <c r="F62" s="42">
        <f>SUM(F58:F61)</f>
        <v/>
      </c>
      <c r="G62" s="43" t="n"/>
      <c r="H62" s="43" t="n"/>
    </row>
  </sheetData>
  <pageMargins left="0.25" right="0.25" top="0.5" bottom="0.5" header="0.5" footer="0.5"/>
  <pageSetup orientation="landscape" paperSize="9" fitToHeight="0" fitToWidth="1"/>
  <headerFooter>
    <oddHeader/>
    <oddFooter>&amp;L&amp;8 &amp;K64717DFY27 WP COE 服务方案&amp;R&amp;8 &amp;K64717DPage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WP服务单_20260715160725_1784102845336.xlsx</dc:title>
  <dc:description xmlns:dc="http://purl.org/dc/elements/1.1/">D01C5608-8E84-4790-BB7C-58A5AB394EFB</dc:description>
  <dcterms:created xmlns:dcterms="http://purl.org/dc/terms/" xmlns:xsi="http://www.w3.org/2001/XMLSchema-instance" xsi:type="dcterms:W3CDTF">2026-07-15T08:07:00Z</dcterms:created>
  <dcterms:modified xmlns:dcterms="http://purl.org/dc/terms/" xmlns:xsi="http://www.w3.org/2001/XMLSchema-instance" xsi:type="dcterms:W3CDTF">2026-07-28T12:40:44Z</dcterms:modified>
  <cp:lastModifiedBy>田芳芳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13B069D9CF80429286BBDBE1165FD807_12</vt:lpwstr>
  </property>
  <property name="KSOProductBuildVer" fmtid="{D5CDD505-2E9C-101B-9397-08002B2CF9AE}" pid="3">
    <vt:lpwstr xmlns:vt="http://schemas.openxmlformats.org/officeDocument/2006/docPropsVTypes">2052-12.1.0.23125</vt:lpwstr>
  </property>
</Properties>
</file>