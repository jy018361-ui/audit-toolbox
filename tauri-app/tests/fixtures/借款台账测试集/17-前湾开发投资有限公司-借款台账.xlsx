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借款金额</t>
        </is>
      </c>
      <c r="D1" s="1" t="inlineStr">
        <is>
          <t>起始日</t>
        </is>
      </c>
      <c r="E1" s="1" t="inlineStr">
        <is>
          <t>到期日</t>
        </is>
      </c>
      <c r="F1" s="1" t="inlineStr">
        <is>
          <t>执行年利率（%）</t>
        </is>
      </c>
      <c r="G1" s="1" t="inlineStr">
        <is>
          <t>期初余额</t>
        </is>
      </c>
      <c r="H1" s="1" t="inlineStr">
        <is>
          <t>本年新增</t>
        </is>
      </c>
      <c r="I1" s="1" t="inlineStr">
        <is>
          <t>本年归还</t>
        </is>
      </c>
      <c r="J1" s="1" t="inlineStr">
        <is>
          <t>期末余额</t>
        </is>
      </c>
      <c r="K1" s="1" t="inlineStr">
        <is>
          <t>勾稽校验</t>
        </is>
      </c>
    </row>
    <row r="2">
      <c r="A2" s="2" t="inlineStr">
        <is>
          <t>QW-001</t>
        </is>
      </c>
      <c r="B2" s="2" t="inlineStr">
        <is>
          <t>中国建设银行股份有限公司北京安华支行</t>
        </is>
      </c>
      <c r="C2" s="3" t="n">
        <v>59545000</v>
      </c>
      <c r="D2" s="4" t="n">
        <v>45253</v>
      </c>
      <c r="E2" s="4" t="n">
        <v>47080</v>
      </c>
      <c r="F2" s="5" t="n">
        <v>3.94</v>
      </c>
      <c r="G2" s="3" t="n">
        <v>53590500</v>
      </c>
      <c r="H2" s="3" t="n">
        <v>11909000</v>
      </c>
      <c r="I2" s="3" t="n">
        <v>0</v>
      </c>
      <c r="J2" s="3" t="n">
        <v>65499500</v>
      </c>
      <c r="K2">
        <f>IF(G2+H2-I2=J2,"平","不平")</f>
        <v/>
      </c>
    </row>
    <row r="3">
      <c r="A3" s="2" t="inlineStr">
        <is>
          <t>QW-002</t>
        </is>
      </c>
      <c r="B3" s="2" t="inlineStr">
        <is>
          <t>中国银行股份有限公司北京市分行</t>
        </is>
      </c>
      <c r="C3" s="3" t="n">
        <v>80515000</v>
      </c>
      <c r="D3" s="4" t="n">
        <v>44964</v>
      </c>
      <c r="E3" s="4" t="n">
        <v>47521</v>
      </c>
      <c r="F3" s="5" t="n">
        <v>4.2</v>
      </c>
      <c r="G3" s="3" t="n">
        <v>72463500</v>
      </c>
      <c r="H3" s="3" t="n">
        <v>0</v>
      </c>
      <c r="I3" s="3" t="n">
        <v>12077250</v>
      </c>
      <c r="J3" s="3" t="n">
        <v>60386250</v>
      </c>
      <c r="K3">
        <f>IF(G3+H3-I3=J3,"平","不平")</f>
        <v/>
      </c>
    </row>
    <row r="4">
      <c r="A4" s="2" t="inlineStr">
        <is>
          <t>QW-003</t>
        </is>
      </c>
      <c r="B4" s="2" t="inlineStr">
        <is>
          <t>中国建设银行股份有限公司北京安华支行</t>
        </is>
      </c>
      <c r="C4" s="3" t="n">
        <v>68320000</v>
      </c>
      <c r="D4" s="4" t="n">
        <v>45301</v>
      </c>
      <c r="E4" s="4" t="n">
        <v>47128</v>
      </c>
      <c r="F4" s="5" t="n">
        <v>4.21</v>
      </c>
      <c r="G4" s="3" t="n">
        <v>68320000</v>
      </c>
      <c r="H4" s="3" t="n">
        <v>13664000</v>
      </c>
      <c r="I4" s="3" t="n">
        <v>0</v>
      </c>
      <c r="J4" s="3" t="n">
        <v>81984000</v>
      </c>
      <c r="K4">
        <f>IF(G4+H4-I4=J4,"平","不平")</f>
        <v/>
      </c>
    </row>
    <row r="5">
      <c r="A5" s="2" t="inlineStr">
        <is>
          <t>QW-004</t>
        </is>
      </c>
      <c r="B5" s="2" t="inlineStr">
        <is>
          <t>中信银行股份有限公司北京望京支行</t>
        </is>
      </c>
      <c r="C5" s="3" t="n">
        <v>47665000</v>
      </c>
      <c r="D5" s="4" t="n">
        <v>45538</v>
      </c>
      <c r="E5" s="4" t="n">
        <v>47364</v>
      </c>
      <c r="F5" s="5" t="n">
        <v>4.61</v>
      </c>
      <c r="G5" s="3" t="n">
        <v>42898500</v>
      </c>
      <c r="H5" s="3" t="n">
        <v>0</v>
      </c>
      <c r="I5" s="3" t="n">
        <v>7149750</v>
      </c>
      <c r="J5" s="3" t="n">
        <v>35748750</v>
      </c>
      <c r="K5">
        <f>IF(G5+H5-I5=J5,"平","不平")</f>
        <v/>
      </c>
    </row>
    <row r="6">
      <c r="A6" s="2" t="inlineStr">
        <is>
          <t>QW-005</t>
        </is>
      </c>
      <c r="B6" s="2" t="inlineStr">
        <is>
          <t>中国工商银行股份有限公司深圳蛇口支行</t>
        </is>
      </c>
      <c r="C6" s="3" t="n">
        <v>65735000</v>
      </c>
      <c r="D6" s="4" t="n">
        <v>45064</v>
      </c>
      <c r="E6" s="4" t="n">
        <v>47621</v>
      </c>
      <c r="F6" s="5" t="n">
        <v>3.52</v>
      </c>
      <c r="G6" s="3" t="n">
        <v>65735000</v>
      </c>
      <c r="H6" s="3" t="n">
        <v>13147000</v>
      </c>
      <c r="I6" s="3" t="n">
        <v>9860250</v>
      </c>
      <c r="J6" s="3" t="n">
        <v>69021750</v>
      </c>
      <c r="K6">
        <f>IF(G6+H6-I6=J6,"平","不平")</f>
        <v/>
      </c>
    </row>
    <row r="7">
      <c r="A7" s="2" t="inlineStr">
        <is>
          <t>QW-006</t>
        </is>
      </c>
      <c r="B7" s="2" t="inlineStr">
        <is>
          <t>中信银行股份有限公司北京望京支行</t>
        </is>
      </c>
      <c r="C7" s="3" t="n">
        <v>96810000</v>
      </c>
      <c r="D7" s="4" t="n">
        <v>45464</v>
      </c>
      <c r="E7" s="4" t="n">
        <v>47290</v>
      </c>
      <c r="F7" s="5" t="n">
        <v>4.58</v>
      </c>
      <c r="G7" s="3" t="n">
        <v>87129000</v>
      </c>
      <c r="H7" s="3" t="n">
        <v>0</v>
      </c>
      <c r="I7" s="3" t="n">
        <v>0</v>
      </c>
      <c r="J7" s="3" t="n">
        <v>87129000</v>
      </c>
      <c r="K7">
        <f>IF(G7+H7-I7=J7,"平","不平")</f>
        <v/>
      </c>
    </row>
    <row r="8">
      <c r="A8" s="2" t="inlineStr">
        <is>
          <t>QW-007</t>
        </is>
      </c>
      <c r="B8" s="2" t="inlineStr">
        <is>
          <t>兴业银行股份有限公司北京分行</t>
        </is>
      </c>
      <c r="C8" s="3" t="n">
        <v>78585000</v>
      </c>
      <c r="D8" s="4" t="n">
        <v>45213</v>
      </c>
      <c r="E8" s="4" t="n">
        <v>46309</v>
      </c>
      <c r="F8" s="5" t="n">
        <v>4.45</v>
      </c>
      <c r="G8" s="3" t="n">
        <v>78585000</v>
      </c>
      <c r="H8" s="3" t="n">
        <v>15717000</v>
      </c>
      <c r="I8" s="3" t="n">
        <v>0</v>
      </c>
      <c r="J8" s="3" t="n">
        <v>94302000</v>
      </c>
      <c r="K8">
        <f>IF(G8+H8-I8=J8,"平","不平")</f>
        <v/>
      </c>
    </row>
    <row r="9">
      <c r="A9" s="2" t="inlineStr">
        <is>
          <t>QW-008</t>
        </is>
      </c>
      <c r="B9" s="2" t="inlineStr">
        <is>
          <t>北京银行股份有限公司建国支行</t>
        </is>
      </c>
      <c r="C9" s="3" t="n">
        <v>112060000</v>
      </c>
      <c r="D9" s="4" t="n">
        <v>45148</v>
      </c>
      <c r="E9" s="4" t="n">
        <v>47705</v>
      </c>
      <c r="F9" s="5" t="n">
        <v>4.3</v>
      </c>
      <c r="G9" s="3" t="n">
        <v>112060000</v>
      </c>
      <c r="H9" s="3" t="n">
        <v>22412000</v>
      </c>
      <c r="I9" s="3" t="n">
        <v>0</v>
      </c>
      <c r="J9" s="3" t="n">
        <v>134472000</v>
      </c>
      <c r="K9">
        <f>IF(G9+H9-I9=J9,"平","不平")</f>
        <v/>
      </c>
    </row>
    <row r="10">
      <c r="A10" s="2" t="inlineStr">
        <is>
          <t>QW-009</t>
        </is>
      </c>
      <c r="B10" s="2" t="inlineStr">
        <is>
          <t>兴业银行股份有限公司北京分行</t>
        </is>
      </c>
      <c r="C10" s="3" t="n">
        <v>113940000</v>
      </c>
      <c r="D10" s="4" t="n">
        <v>45254</v>
      </c>
      <c r="E10" s="4" t="n">
        <v>47811</v>
      </c>
      <c r="F10" s="5" t="n">
        <v>4.31</v>
      </c>
      <c r="G10" s="3" t="n">
        <v>113940000</v>
      </c>
      <c r="H10" s="3" t="n">
        <v>22788000</v>
      </c>
      <c r="I10" s="3" t="n">
        <v>0</v>
      </c>
      <c r="J10" s="3" t="n">
        <v>136728000</v>
      </c>
      <c r="K10">
        <f>IF(G10+H10-I10=J10,"平","不平")</f>
        <v/>
      </c>
    </row>
    <row r="11">
      <c r="A11" s="2" t="inlineStr">
        <is>
          <t>QW-010</t>
        </is>
      </c>
      <c r="B11" s="2" t="inlineStr">
        <is>
          <t>北京银行股份有限公司建国支行</t>
        </is>
      </c>
      <c r="C11" s="3" t="n">
        <v>37670000</v>
      </c>
      <c r="D11" s="4" t="n">
        <v>44964</v>
      </c>
      <c r="E11" s="4" t="n">
        <v>46060</v>
      </c>
      <c r="F11" s="5" t="n">
        <v>3.83</v>
      </c>
      <c r="G11" s="3" t="n">
        <v>37670000</v>
      </c>
      <c r="H11" s="3" t="n">
        <v>7534000</v>
      </c>
      <c r="I11" s="3" t="n">
        <v>0</v>
      </c>
      <c r="J11" s="3" t="n">
        <v>45204000</v>
      </c>
      <c r="K11">
        <f>IF(G11+H11-I11=J11,"平","不平")</f>
        <v/>
      </c>
    </row>
    <row r="12">
      <c r="A12" s="2" t="inlineStr">
        <is>
          <t>QW-011</t>
        </is>
      </c>
      <c r="B12" s="2" t="inlineStr">
        <is>
          <t>平安银行股份有限公司北京分行</t>
        </is>
      </c>
      <c r="C12" s="3" t="n">
        <v>105145000</v>
      </c>
      <c r="D12" s="4" t="n">
        <v>45152</v>
      </c>
      <c r="E12" s="4" t="n">
        <v>46979</v>
      </c>
      <c r="F12" s="5" t="n">
        <v>4.01</v>
      </c>
      <c r="G12" s="3" t="n">
        <v>105145000</v>
      </c>
      <c r="H12" s="3" t="n">
        <v>0</v>
      </c>
      <c r="I12" s="3" t="n">
        <v>0</v>
      </c>
      <c r="J12" s="3" t="n">
        <v>105145000</v>
      </c>
      <c r="K12">
        <f>IF(G12+H12-I12=J12,"平","不平")</f>
        <v/>
      </c>
    </row>
    <row r="13">
      <c r="A13" s="2" t="inlineStr">
        <is>
          <t>QW-012</t>
        </is>
      </c>
      <c r="B13" s="2" t="inlineStr">
        <is>
          <t>交通银行股份有限公司北京分行</t>
        </is>
      </c>
      <c r="C13" s="3" t="n">
        <v>24960000</v>
      </c>
      <c r="D13" s="4" t="n">
        <v>45397</v>
      </c>
      <c r="E13" s="4" t="n">
        <v>46492</v>
      </c>
      <c r="F13" s="5" t="n">
        <v>3.93</v>
      </c>
      <c r="G13" s="3" t="n">
        <v>22464000</v>
      </c>
      <c r="H13" s="3" t="n">
        <v>0</v>
      </c>
      <c r="I13" s="3" t="n">
        <v>0</v>
      </c>
      <c r="J13" s="3" t="n">
        <v>22464000</v>
      </c>
      <c r="K13">
        <f>IF(G13+H13-I13=J13,"平","不平")</f>
        <v/>
      </c>
    </row>
    <row r="14">
      <c r="A14" s="2" t="inlineStr">
        <is>
          <t>QW-013</t>
        </is>
      </c>
      <c r="B14" s="2" t="inlineStr">
        <is>
          <t>中国邮政储蓄银行股份有限公司北京海淀区支行</t>
        </is>
      </c>
      <c r="C14" s="3" t="n">
        <v>23285000</v>
      </c>
      <c r="D14" s="4" t="n">
        <v>45551</v>
      </c>
      <c r="E14" s="4" t="n">
        <v>47377</v>
      </c>
      <c r="F14" s="5" t="n">
        <v>4.27</v>
      </c>
      <c r="G14" s="3" t="n">
        <v>23285000</v>
      </c>
      <c r="H14" s="3" t="n">
        <v>0</v>
      </c>
      <c r="I14" s="3" t="n">
        <v>0</v>
      </c>
      <c r="J14" s="3" t="n">
        <v>23285000</v>
      </c>
      <c r="K14">
        <f>IF(G14+H14-I14=J14,"平","不平")</f>
        <v/>
      </c>
    </row>
    <row r="15">
      <c r="A15" s="2" t="inlineStr">
        <is>
          <t>QW-014</t>
        </is>
      </c>
      <c r="B15" s="2" t="inlineStr">
        <is>
          <t>中国工商银行股份有限公司北京朝阳支行</t>
        </is>
      </c>
      <c r="C15" s="3" t="n">
        <v>20775000</v>
      </c>
      <c r="D15" s="4" t="n">
        <v>45303</v>
      </c>
      <c r="E15" s="4" t="n">
        <v>46399</v>
      </c>
      <c r="F15" s="5" t="n">
        <v>4.04</v>
      </c>
      <c r="G15" s="3" t="n">
        <v>18697500</v>
      </c>
      <c r="H15" s="3" t="n">
        <v>0</v>
      </c>
      <c r="I15" s="3" t="n">
        <v>0</v>
      </c>
      <c r="J15" s="3" t="n">
        <v>18697500</v>
      </c>
      <c r="K15">
        <f>IF(G15+H15-I15=J15,"平","不平")</f>
        <v/>
      </c>
    </row>
    <row r="16">
      <c r="A16" s="2" t="inlineStr">
        <is>
          <t>QW-015</t>
        </is>
      </c>
      <c r="B16" s="2" t="inlineStr">
        <is>
          <t>招商银行股份有限公司北京分行</t>
        </is>
      </c>
      <c r="C16" s="3" t="n">
        <v>117895000</v>
      </c>
      <c r="D16" s="4" t="n">
        <v>45133</v>
      </c>
      <c r="E16" s="4" t="n">
        <v>47690</v>
      </c>
      <c r="F16" s="5" t="n">
        <v>3.71</v>
      </c>
      <c r="G16" s="3" t="n">
        <v>117895000</v>
      </c>
      <c r="H16" s="3" t="n">
        <v>0</v>
      </c>
      <c r="I16" s="3" t="n">
        <v>0</v>
      </c>
      <c r="J16" s="3" t="n">
        <v>117895000</v>
      </c>
      <c r="K16">
        <f>IF(G16+H16-I16=J16,"平","不平")</f>
        <v/>
      </c>
    </row>
    <row r="17">
      <c r="A17" s="2" t="inlineStr">
        <is>
          <t>QW-016</t>
        </is>
      </c>
      <c r="B17" s="2" t="inlineStr">
        <is>
          <t>中国工商银行股份有限公司北京朝阳支行</t>
        </is>
      </c>
      <c r="C17" s="3" t="n">
        <v>108155000</v>
      </c>
      <c r="D17" s="4" t="n">
        <v>45009</v>
      </c>
      <c r="E17" s="4" t="n">
        <v>46836</v>
      </c>
      <c r="F17" s="5" t="n">
        <v>3.91</v>
      </c>
      <c r="G17" s="3" t="n">
        <v>108155000</v>
      </c>
      <c r="H17" s="3" t="n">
        <v>0</v>
      </c>
      <c r="I17" s="3" t="n">
        <v>16223250</v>
      </c>
      <c r="J17" s="3" t="n">
        <v>91931750</v>
      </c>
      <c r="K17">
        <f>IF(G17+H17-I17=J17,"平","不平")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2026-09-26T10:14:59Z</dcterms:created>
  <dcterms:modified xmlns:dcterms="http://purl.org/dc/terms/" xmlns:xsi="http://www.w3.org/2001/XMLSchema-instance" xsi:type="dcterms:W3CDTF">2026-09-26T10:14:59Z</dcterms:modified>
</cp:coreProperties>
</file>