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借款变动与利息测算" sheetId="1" r:id="rId1"/>
    <sheet name="计息分段明细" sheetId="2" r:id="rId2"/>
    <sheet name="LPR报价表" sheetId="3" r:id="rId3"/>
  </sheets>
  <calcPr calcId="124519" fullCalcOnLoad="1"/>
</workbook>
</file>

<file path=xl/sharedStrings.xml><?xml version="1.0" encoding="utf-8"?>
<sst xmlns="http://schemas.openxmlformats.org/spreadsheetml/2006/main" count="682" uniqueCount="274">
  <si>
    <t>借款标识</t>
  </si>
  <si>
    <t>期初本金</t>
  </si>
  <si>
    <t>本期增加</t>
  </si>
  <si>
    <t>本期减少</t>
  </si>
  <si>
    <t>期末余额（台账）</t>
  </si>
  <si>
    <t>期末余额（推算）</t>
  </si>
  <si>
    <t>勾稽差异</t>
  </si>
  <si>
    <t>利率类型</t>
  </si>
  <si>
    <t>固定/执行利率</t>
  </si>
  <si>
    <t>定价基准日</t>
  </si>
  <si>
    <t>LPR品种</t>
  </si>
  <si>
    <t>基准利率</t>
  </si>
  <si>
    <t>加/减点BP</t>
  </si>
  <si>
    <t>有效年利率</t>
  </si>
  <si>
    <t>计息积数（元·天）</t>
  </si>
  <si>
    <t>测算利息</t>
  </si>
  <si>
    <t>匹配状态</t>
  </si>
  <si>
    <t>匹配依据</t>
  </si>
  <si>
    <t>主体</t>
  </si>
  <si>
    <t>行键（系统）</t>
  </si>
  <si>
    <t>合同编号</t>
  </si>
  <si>
    <t>贷款银行</t>
  </si>
  <si>
    <t>借款金额</t>
  </si>
  <si>
    <t>起始日</t>
  </si>
  <si>
    <t>到期日</t>
  </si>
  <si>
    <t>执行利率（%）</t>
  </si>
  <si>
    <t>还款方式</t>
  </si>
  <si>
    <t>借款状态</t>
  </si>
  <si>
    <t>期末未偿还本金</t>
  </si>
  <si>
    <t>备注</t>
  </si>
  <si>
    <t>币种</t>
  </si>
  <si>
    <t>BC-001</t>
  </si>
  <si>
    <t>固定</t>
  </si>
  <si>
    <t>已匹配</t>
  </si>
  <si>
    <t>借款合同台账（合同模式）；按用户确认的台账金额及新增/还款日期分段计息（合同日期默认值可编辑，原始台账字段单独保留）；按记账日逐日加权计息</t>
  </si>
  <si>
    <t>默认主体</t>
  </si>
  <si>
    <t>ledger_x001F_默认主体_x001F_bc001</t>
  </si>
  <si>
    <t>中国银行股份有限公司深圳市分行</t>
  </si>
  <si>
    <t>17805000</t>
  </si>
  <si>
    <t>2025-11-08 00:00:00</t>
  </si>
  <si>
    <t>2026-11-08 00:00:00</t>
  </si>
  <si>
    <t>4.74</t>
  </si>
  <si>
    <t>到期一次还本</t>
  </si>
  <si>
    <t>存续</t>
  </si>
  <si>
    <t>BC-002</t>
  </si>
  <si>
    <t>ledger_x001F_默认主体_x001F_bc002</t>
  </si>
  <si>
    <t>中国工商银行股份有限公司深圳蛇口支行</t>
  </si>
  <si>
    <t>27060000</t>
  </si>
  <si>
    <t>2025-03-27 00:00:00</t>
  </si>
  <si>
    <t>2026-03-27 00:00:00</t>
  </si>
  <si>
    <t>4.31</t>
  </si>
  <si>
    <t>BC-003</t>
  </si>
  <si>
    <t>借款合同台账（合同模式）；按用户确认的台账金额及新增/还款日期分段计息（合同日期默认值可编辑，原始台账字段单独保留）；本期无本金变动，按期初期末一致本金计息</t>
  </si>
  <si>
    <t>ledger_x001F_默认主体_x001F_bc003</t>
  </si>
  <si>
    <t>兴业银行股份有限公司北京分行</t>
  </si>
  <si>
    <t>11160000</t>
  </si>
  <si>
    <t>2024-06-27 00:00:00</t>
  </si>
  <si>
    <t>2026-06-27 00:00:00</t>
  </si>
  <si>
    <t>3.42</t>
  </si>
  <si>
    <t>按季付息、到期还本</t>
  </si>
  <si>
    <t>BC-004</t>
  </si>
  <si>
    <t>ledger_x001F_默认主体_x001F_bc004</t>
  </si>
  <si>
    <t>15375000</t>
  </si>
  <si>
    <t>2025-09-23 00:00:00</t>
  </si>
  <si>
    <t>2027-09-23 00:00:00</t>
  </si>
  <si>
    <t>4.63</t>
  </si>
  <si>
    <t>BC-005</t>
  </si>
  <si>
    <t>ledger_x001F_默认主体_x001F_bc005</t>
  </si>
  <si>
    <t>华夏银行股份有限公司北京首体支行</t>
  </si>
  <si>
    <t>35370000</t>
  </si>
  <si>
    <t>2024-05-12 00:00:00</t>
  </si>
  <si>
    <t>2026-11-17 00:00:00</t>
  </si>
  <si>
    <t>4.6</t>
  </si>
  <si>
    <t>展期</t>
  </si>
  <si>
    <t>原到期日后展期12个月</t>
  </si>
  <si>
    <t>BC-006</t>
  </si>
  <si>
    <t>ledger_x001F_默认主体_x001F_bc006</t>
  </si>
  <si>
    <t>平安银行股份有限公司北京分行</t>
  </si>
  <si>
    <t>50720000</t>
  </si>
  <si>
    <t>2025-09-16 00:00:00</t>
  </si>
  <si>
    <t>2027-09-16 00:00:00</t>
  </si>
  <si>
    <t>3.8</t>
  </si>
  <si>
    <t>BC-007</t>
  </si>
  <si>
    <t>ledger_x001F_默认主体_x001F_bc007</t>
  </si>
  <si>
    <t>42065000</t>
  </si>
  <si>
    <t>2024-09-09 00:00:00</t>
  </si>
  <si>
    <t>2026-09-09 00:00:00</t>
  </si>
  <si>
    <t>4.45</t>
  </si>
  <si>
    <t>BC-008</t>
  </si>
  <si>
    <t>ledger_x001F_默认主体_x001F_bc008</t>
  </si>
  <si>
    <t>招商银行股份有限公司北京分行</t>
  </si>
  <si>
    <t>8080000</t>
  </si>
  <si>
    <t>2024-06-18 00:00:00</t>
  </si>
  <si>
    <t>2026-06-18 00:00:00</t>
  </si>
  <si>
    <t>4.33</t>
  </si>
  <si>
    <t>BC-009</t>
  </si>
  <si>
    <t>ledger_x001F_默认主体_x001F_bc009</t>
  </si>
  <si>
    <t>中国邮政储蓄银行股份有限公司北京海淀区支行</t>
  </si>
  <si>
    <t>52495000</t>
  </si>
  <si>
    <t>2025-04-20 00:00:00</t>
  </si>
  <si>
    <t>2028-04-20 00:00:00</t>
  </si>
  <si>
    <t>3.57</t>
  </si>
  <si>
    <t>BC-010</t>
  </si>
  <si>
    <t>ledger_x001F_默认主体_x001F_bc010</t>
  </si>
  <si>
    <t>上海浦东发展银行股份有限公司北京分行</t>
  </si>
  <si>
    <t>51635000</t>
  </si>
  <si>
    <t>2025-04-16 00:00:00</t>
  </si>
  <si>
    <t>2025-07-12 00:00:00</t>
  </si>
  <si>
    <t>4.7</t>
  </si>
  <si>
    <t>已结清</t>
  </si>
  <si>
    <t>0</t>
  </si>
  <si>
    <t>BC-011</t>
  </si>
  <si>
    <t>ledger_x001F_默认主体_x001F_bc011</t>
  </si>
  <si>
    <t>52200000</t>
  </si>
  <si>
    <t>2024-01-07 00:00:00</t>
  </si>
  <si>
    <t>2026-01-07 00:00:00</t>
  </si>
  <si>
    <t>4.04</t>
  </si>
  <si>
    <t>BC-012</t>
  </si>
  <si>
    <t>ledger_x001F_默认主体_x001F_bc012</t>
  </si>
  <si>
    <t>国家开发银行北京市分行</t>
  </si>
  <si>
    <t>42905000</t>
  </si>
  <si>
    <t>2025-03-22 00:00:00</t>
  </si>
  <si>
    <t>2026-03-22 00:00:00</t>
  </si>
  <si>
    <t>3.49</t>
  </si>
  <si>
    <t>BC-013</t>
  </si>
  <si>
    <t>ledger_x001F_默认主体_x001F_bc013</t>
  </si>
  <si>
    <t>北京银行股份有限公司建国支行</t>
  </si>
  <si>
    <t>18715000</t>
  </si>
  <si>
    <t>2025-07-18 00:00:00</t>
  </si>
  <si>
    <t>2026-07-18 00:00:00</t>
  </si>
  <si>
    <t>4.61</t>
  </si>
  <si>
    <t>BC-014</t>
  </si>
  <si>
    <t>ledger_x001F_默认主体_x001F_bc014</t>
  </si>
  <si>
    <t>招商银行股份有限公司上海分行</t>
  </si>
  <si>
    <t>30470000</t>
  </si>
  <si>
    <t>2025-09-12 00:00:00</t>
  </si>
  <si>
    <t>2026-09-12 00:00:00</t>
  </si>
  <si>
    <t>3.88</t>
  </si>
  <si>
    <t>BC-015</t>
  </si>
  <si>
    <t>ledger_x001F_默认主体_x001F_bc015</t>
  </si>
  <si>
    <t>中国银行股份有限公司北京市分行</t>
  </si>
  <si>
    <t>18965000</t>
  </si>
  <si>
    <t>2024-05-18 00:00:00</t>
  </si>
  <si>
    <t>2026-10-11 00:00:00</t>
  </si>
  <si>
    <t>3.87</t>
  </si>
  <si>
    <t>BC-016</t>
  </si>
  <si>
    <t>ledger_x001F_默认主体_x001F_bc016</t>
  </si>
  <si>
    <t>10910000</t>
  </si>
  <si>
    <t>2024-04-16 00:00:00</t>
  </si>
  <si>
    <t>2026-04-16 00:00:00</t>
  </si>
  <si>
    <t>4.62</t>
  </si>
  <si>
    <t>BC-017</t>
  </si>
  <si>
    <t>ledger_x001F_默认主体_x001F_bc017</t>
  </si>
  <si>
    <t>北京农村商业银行股份有限公司朝阳支行</t>
  </si>
  <si>
    <t>3830000</t>
  </si>
  <si>
    <t>2024-03-11 00:00:00</t>
  </si>
  <si>
    <t>2026-03-11 00:00:00</t>
  </si>
  <si>
    <t>4.13</t>
  </si>
  <si>
    <t>BC-018</t>
  </si>
  <si>
    <t>ledger_x001F_默认主体_x001F_bc018</t>
  </si>
  <si>
    <t>宁波银行股份有限公司北京分行</t>
  </si>
  <si>
    <t>7595000</t>
  </si>
  <si>
    <t>2024-04-24 00:00:00</t>
  </si>
  <si>
    <t>2026-04-24 00:00:00</t>
  </si>
  <si>
    <t>3.97</t>
  </si>
  <si>
    <t>BC-019</t>
  </si>
  <si>
    <t>ledger_x001F_默认主体_x001F_bc019</t>
  </si>
  <si>
    <t>36015000</t>
  </si>
  <si>
    <t>2024-07-20 00:00:00</t>
  </si>
  <si>
    <t>2026-07-20 00:00:00</t>
  </si>
  <si>
    <t>3.66</t>
  </si>
  <si>
    <t>BC-020</t>
  </si>
  <si>
    <t>ledger_x001F_默认主体_x001F_bc020</t>
  </si>
  <si>
    <t>43120000</t>
  </si>
  <si>
    <t>2023-04-06 00:00:00</t>
  </si>
  <si>
    <t>2024-12-25 00:00:00</t>
  </si>
  <si>
    <t>BC-021</t>
  </si>
  <si>
    <t>ledger_x001F_默认主体_x001F_bc021</t>
  </si>
  <si>
    <t>中国民生银行股份有限公司北京分行</t>
  </si>
  <si>
    <t>18390000</t>
  </si>
  <si>
    <t>2024-06-08 00:00:00</t>
  </si>
  <si>
    <t>2026-06-08 00:00:00</t>
  </si>
  <si>
    <t>3.96</t>
  </si>
  <si>
    <t>BC-022</t>
  </si>
  <si>
    <t>ledger_x001F_默认主体_x001F_bc022</t>
  </si>
  <si>
    <t>32310000</t>
  </si>
  <si>
    <t>2024-07-07 00:00:00</t>
  </si>
  <si>
    <t>2026-07-07 00:00:00</t>
  </si>
  <si>
    <t>4.47</t>
  </si>
  <si>
    <t>BC-023</t>
  </si>
  <si>
    <t>ledger_x001F_默认主体_x001F_bc023</t>
  </si>
  <si>
    <t>42510000</t>
  </si>
  <si>
    <t>2025-05-27 00:00:00</t>
  </si>
  <si>
    <t>2026-05-27 00:00:00</t>
  </si>
  <si>
    <t>BC-024</t>
  </si>
  <si>
    <t>ledger_x001F_默认主体_x001F_bc024</t>
  </si>
  <si>
    <t>中国进出口银行北京分行</t>
  </si>
  <si>
    <t>11725000</t>
  </si>
  <si>
    <t>2024-06-05 00:00:00</t>
  </si>
  <si>
    <t>2027-06-05 00:00:00</t>
  </si>
  <si>
    <t>4.65</t>
  </si>
  <si>
    <t>BC-025</t>
  </si>
  <si>
    <t>ledger_x001F_默认主体_x001F_bc025</t>
  </si>
  <si>
    <t>50660000</t>
  </si>
  <si>
    <t>2024-10-25 00:00:00</t>
  </si>
  <si>
    <t>2026-01-01 00:00:00</t>
  </si>
  <si>
    <t>4.02</t>
  </si>
  <si>
    <t>BC-026</t>
  </si>
  <si>
    <t>ledger_x001F_默认主体_x001F_bc026</t>
  </si>
  <si>
    <t>50340000</t>
  </si>
  <si>
    <t>2024-07-18 00:00:00</t>
  </si>
  <si>
    <t>4.5</t>
  </si>
  <si>
    <t>BC-027</t>
  </si>
  <si>
    <t>ledger_x001F_默认主体_x001F_bc027</t>
  </si>
  <si>
    <t>34145000</t>
  </si>
  <si>
    <t>2024-07-02 00:00:00</t>
  </si>
  <si>
    <t>2026-07-02 00:00:00</t>
  </si>
  <si>
    <t>4.2</t>
  </si>
  <si>
    <t>BC-028</t>
  </si>
  <si>
    <t>ledger_x001F_默认主体_x001F_bc028</t>
  </si>
  <si>
    <t>32270000</t>
  </si>
  <si>
    <t>2024-04-25 00:00:00</t>
  </si>
  <si>
    <t>2026-04-25 00:00:00</t>
  </si>
  <si>
    <t>3.98</t>
  </si>
  <si>
    <t>BC-029</t>
  </si>
  <si>
    <t>ledger_x001F_默认主体_x001F_bc029</t>
  </si>
  <si>
    <t>50315000</t>
  </si>
  <si>
    <t>2024-08-10 00:00:00</t>
  </si>
  <si>
    <t>2027-08-10 00:00:00</t>
  </si>
  <si>
    <t>3.92</t>
  </si>
  <si>
    <t>BC-030</t>
  </si>
  <si>
    <t>ledger_x001F_默认主体_x001F_bc030</t>
  </si>
  <si>
    <t>35315000</t>
  </si>
  <si>
    <t>2025-01-08 00:00:00</t>
  </si>
  <si>
    <t>BC-031</t>
  </si>
  <si>
    <t>ledger_x001F_默认主体_x001F_bc031</t>
  </si>
  <si>
    <t>20565000</t>
  </si>
  <si>
    <t>2027-12-25 00:00:00</t>
  </si>
  <si>
    <t>3.38</t>
  </si>
  <si>
    <t>BC-032</t>
  </si>
  <si>
    <t>ledger_x001F_默认主体_x001F_bc032</t>
  </si>
  <si>
    <t>中国工商银行股份有限公司北京朝阳支行</t>
  </si>
  <si>
    <t>30175000</t>
  </si>
  <si>
    <t>2024-06-11 00:00:00</t>
  </si>
  <si>
    <t>2027-06-11 00:00:00</t>
  </si>
  <si>
    <t>合计</t>
  </si>
  <si>
    <t>测算与账面利息对比</t>
  </si>
  <si>
    <t>项目</t>
  </si>
  <si>
    <t>金额</t>
  </si>
  <si>
    <t>说明</t>
  </si>
  <si>
    <t>测算利息支出</t>
  </si>
  <si>
    <t>本金×利率×计息天数÷365；计息过程见「计息分段明细」</t>
  </si>
  <si>
    <t>账面利息支出（TB 利息科目）</t>
  </si>
  <si>
    <t>未选择利息支出科目，未做账面对比（TB＋JE 模式第二步勾选利息支出科目后可对比）</t>
  </si>
  <si>
    <t>差异（测算－账面）</t>
  </si>
  <si>
    <t>差异为正表示测算大于账面</t>
  </si>
  <si>
    <t>利率填写：固定选“固定”，仅填黄色固定利率；浮动选“浮动”，填写蓝色基准利率和加减点。365为年利率折算基数，不是每笔计息天数；每次本金增减对应的实际天数请见“计息分段明细”。</t>
  </si>
  <si>
    <t>段号</t>
  </si>
  <si>
    <t>起日</t>
  </si>
  <si>
    <t>止日（含当天）</t>
  </si>
  <si>
    <t>计息本金</t>
  </si>
  <si>
    <t>天数</t>
  </si>
  <si>
    <t>积数（本金×天）</t>
  </si>
  <si>
    <t>适用年利率</t>
  </si>
  <si>
    <t>段利息</t>
  </si>
  <si>
    <t>贷款市场报价利率（LPR）</t>
  </si>
  <si>
    <t>数据截至 2026-08-20。本表只列利率发生调整的日期；LPR 每月 20 日报价，未调整的月份沿用上一次报价。</t>
  </si>
  <si>
    <t>来源（可点击）：</t>
  </si>
  <si>
    <t>历史月度报价</t>
  </si>
  <si>
    <t>最新公告</t>
  </si>
  <si>
    <t>2026-08-28 核验。正式出具前请核对合同重定价约定；补录报价时按日期升序插入整行并核对公式引用范围。</t>
  </si>
  <si>
    <t>利率调整生效日</t>
  </si>
  <si>
    <t>1年期LPR(%)</t>
  </si>
  <si>
    <t>5年期以上LPR(%)</t>
  </si>
</sst>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000%"/>
    <numFmt numFmtId="166" formatCode="yyyy-mm-dd"/>
    <numFmt numFmtId="167" formatCode="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0" fillId="0" borderId="0" xfId="0" applyNumberFormat="1"/>
    <xf numFmtId="0" fontId="0" fillId="3" borderId="0" xfId="0" applyFill="1"/>
    <xf numFmtId="165" fontId="0" fillId="4" borderId="0" xfId="0" applyNumberFormat="1" applyFill="1"/>
    <xf numFmtId="166" fontId="0" fillId="0" borderId="0" xfId="0" applyNumberFormat="1"/>
    <xf numFmtId="165" fontId="0" fillId="5" borderId="0" xfId="0" applyNumberFormat="1" applyFill="1"/>
    <xf numFmtId="0" fontId="0" fillId="5" borderId="0" xfId="0" applyFill="1"/>
    <xf numFmtId="165" fontId="0" fillId="0" borderId="0" xfId="0" applyNumberFormat="1"/>
    <xf numFmtId="167" fontId="0" fillId="0" borderId="0" xfId="0" applyNumberFormat="1"/>
    <xf numFmtId="0" fontId="1" fillId="0" borderId="0" xfId="0" applyFont="1"/>
    <xf numFmtId="164" fontId="1" fillId="0" borderId="2" xfId="0" applyNumberFormat="1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oc.cn/fimarkets/lilv/fd32/201310/t20131031_2591219.html" TargetMode="External"/><Relationship Id="rId2" Type="http://schemas.openxmlformats.org/officeDocument/2006/relationships/hyperlink" Target="https://www.chinamoney.com.cn/chinese/rdgz/20260820/339988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2"/>
  <sheetViews>
    <sheetView tabSelected="1" workbookViewId="0"/>
  </sheetViews>
  <sheetFormatPr defaultRowHeight="15"/>
  <cols>
    <col min="1" max="1" width="101.140625" bestFit="1" customWidth="1"/>
    <col min="2" max="2" width="17.5703125" bestFit="1" customWidth="1"/>
    <col min="3" max="3" width="46.42578125" bestFit="1" customWidth="1"/>
    <col min="4" max="4" width="9" bestFit="1" customWidth="1"/>
    <col min="5" max="6" width="10.140625" bestFit="1" customWidth="1"/>
    <col min="7" max="8" width="5.5703125" bestFit="1" customWidth="1"/>
    <col min="9" max="9" width="21" bestFit="1" customWidth="1"/>
    <col min="10" max="10" width="6.7109375" bestFit="1" customWidth="1"/>
    <col min="11" max="11" width="6.42578125" bestFit="1" customWidth="1"/>
    <col min="12" max="12" width="5.5703125" bestFit="1" customWidth="1"/>
    <col min="13" max="13" width="7.5703125" bestFit="1" customWidth="1"/>
    <col min="14" max="14" width="20.5703125" bestFit="1" customWidth="1"/>
    <col min="15" max="15" width="13" bestFit="1" customWidth="1"/>
    <col min="16" max="16" width="18.5703125" bestFit="1" customWidth="1"/>
    <col min="17" max="17" width="5.5703125" bestFit="1" customWidth="1"/>
    <col min="18" max="18" width="89.85546875" bestFit="1" customWidth="1"/>
    <col min="19" max="19" width="5.5703125" bestFit="1" customWidth="1"/>
    <col min="20" max="20" width="18.5703125" bestFit="1" hidden="1" customWidth="1"/>
    <col min="21" max="21" width="24.7109375" customWidth="1"/>
    <col min="22" max="22" width="25" bestFit="1" customWidth="1"/>
    <col min="23" max="30" width="24.7109375" customWidth="1"/>
    <col min="31" max="31" width="12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s="5">
        <v>0</v>
      </c>
      <c r="C2" s="5">
        <v>17805000</v>
      </c>
      <c r="D2" s="5">
        <v>0</v>
      </c>
      <c r="E2" s="5">
        <v>17805000</v>
      </c>
      <c r="F2" s="5">
        <f>B2+C2-D2</f>
        <v>17805000</v>
      </c>
      <c r="G2" s="5">
        <f>IF(E2="","",B2+C2-D2-E2)</f>
        <v>0</v>
      </c>
      <c r="H2" s="6" t="s">
        <v>32</v>
      </c>
      <c r="I2" s="7">
        <v>0.047400000000000005</v>
      </c>
      <c r="J2" s="8"/>
      <c r="L2" s="9"/>
      <c r="M2" s="10">
        <v>0</v>
      </c>
      <c r="N2" s="11">
        <f>IF(H2="浮动",IF(ISNUMBER(L2),L2+M2/10000,0),IF(ISNUMBER(I2),I2,0))</f>
        <v>0.047400000000000005</v>
      </c>
      <c r="O2" s="12">
        <f>SUMIFS('计息分段明细'!$G:$G,'计息分段明细'!$K:$K,T2)</f>
        <v>961470000</v>
      </c>
      <c r="P2" s="5">
        <f>SUMIFS('计息分段明细'!$I:$I,'计息分段明细'!$K:$K,T2)</f>
        <v>124859.39178082194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38</v>
      </c>
    </row>
    <row r="3" spans="1:31">
      <c r="A3" t="s">
        <v>44</v>
      </c>
      <c r="B3" s="5">
        <v>0</v>
      </c>
      <c r="C3" s="5">
        <v>27060000</v>
      </c>
      <c r="D3" s="5">
        <v>0</v>
      </c>
      <c r="E3" s="5">
        <v>27060000</v>
      </c>
      <c r="F3" s="5">
        <f>B3+C3-D3</f>
        <v>27060000</v>
      </c>
      <c r="G3" s="5">
        <f>IF(E3="","",B3+C3-D3-E3)</f>
        <v>0</v>
      </c>
      <c r="H3" s="6" t="s">
        <v>32</v>
      </c>
      <c r="I3" s="7">
        <v>0.0431</v>
      </c>
      <c r="J3" s="8"/>
      <c r="L3" s="9"/>
      <c r="M3" s="10">
        <v>0</v>
      </c>
      <c r="N3" s="11">
        <f>IF(H3="浮动",IF(ISNUMBER(L3),L3+M3/10000,0),IF(ISNUMBER(I3),I3,0))</f>
        <v>0.0431</v>
      </c>
      <c r="O3" s="12">
        <f>SUMIFS('计息分段明细'!$G:$G,'计息分段明细'!$K:$K,T3)</f>
        <v>7576800000</v>
      </c>
      <c r="P3" s="5">
        <f>SUMIFS('计息分段明细'!$I:$I,'计息分段明细'!$K:$K,T3)</f>
        <v>894685.1506849315</v>
      </c>
      <c r="Q3" t="s">
        <v>33</v>
      </c>
      <c r="R3" t="s">
        <v>34</v>
      </c>
      <c r="S3" t="s">
        <v>35</v>
      </c>
      <c r="T3" t="s">
        <v>45</v>
      </c>
      <c r="U3" t="s">
        <v>44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42</v>
      </c>
      <c r="AB3" t="s">
        <v>43</v>
      </c>
      <c r="AC3" t="s">
        <v>47</v>
      </c>
    </row>
    <row r="4" spans="1:31">
      <c r="A4" t="s">
        <v>51</v>
      </c>
      <c r="B4" s="5">
        <v>11160000</v>
      </c>
      <c r="C4" s="5">
        <v>0</v>
      </c>
      <c r="D4" s="5">
        <v>0</v>
      </c>
      <c r="E4" s="5">
        <v>11160000</v>
      </c>
      <c r="F4" s="5">
        <f>B4+C4-D4</f>
        <v>11160000</v>
      </c>
      <c r="G4" s="5">
        <f>IF(E4="","",B4+C4-D4-E4)</f>
        <v>0</v>
      </c>
      <c r="H4" s="6" t="s">
        <v>32</v>
      </c>
      <c r="I4" s="7">
        <v>0.0342</v>
      </c>
      <c r="J4" s="8"/>
      <c r="L4" s="9"/>
      <c r="M4" s="10">
        <v>0</v>
      </c>
      <c r="N4" s="11">
        <f>IF(H4="浮动",IF(ISNUMBER(L4),L4+M4/10000,0),IF(ISNUMBER(I4),I4,0))</f>
        <v>0.0342</v>
      </c>
      <c r="O4" s="12">
        <f>SUMIFS('计息分段明细'!$G:$G,'计息分段明细'!$K:$K,T4)</f>
        <v>4073400000</v>
      </c>
      <c r="P4" s="5">
        <f>SUMIFS('计息分段明细'!$I:$I,'计息分段明细'!$K:$K,T4)</f>
        <v>381672</v>
      </c>
      <c r="Q4" t="s">
        <v>33</v>
      </c>
      <c r="R4" t="s">
        <v>52</v>
      </c>
      <c r="S4" t="s">
        <v>35</v>
      </c>
      <c r="T4" t="s">
        <v>53</v>
      </c>
      <c r="U4" t="s">
        <v>51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59</v>
      </c>
      <c r="AB4" t="s">
        <v>43</v>
      </c>
      <c r="AC4" t="s">
        <v>55</v>
      </c>
    </row>
    <row r="5" spans="1:31">
      <c r="A5" t="s">
        <v>60</v>
      </c>
      <c r="B5" s="5">
        <v>0</v>
      </c>
      <c r="C5" s="5">
        <v>15375000</v>
      </c>
      <c r="D5" s="5">
        <v>0</v>
      </c>
      <c r="E5" s="5">
        <v>15375000</v>
      </c>
      <c r="F5" s="5">
        <f>B5+C5-D5</f>
        <v>15375000</v>
      </c>
      <c r="G5" s="5">
        <f>IF(E5="","",B5+C5-D5-E5)</f>
        <v>0</v>
      </c>
      <c r="H5" s="6" t="s">
        <v>32</v>
      </c>
      <c r="I5" s="7">
        <v>0.0463</v>
      </c>
      <c r="J5" s="8"/>
      <c r="L5" s="9"/>
      <c r="M5" s="10">
        <v>0</v>
      </c>
      <c r="N5" s="11">
        <f>IF(H5="浮动",IF(ISNUMBER(L5),L5+M5/10000,0),IF(ISNUMBER(I5),I5,0))</f>
        <v>0.0463</v>
      </c>
      <c r="O5" s="12">
        <f>SUMIFS('计息分段明细'!$G:$G,'计息分段明细'!$K:$K,T5)</f>
        <v>1537500000</v>
      </c>
      <c r="P5" s="5">
        <f>SUMIFS('计息分段明细'!$I:$I,'计息分段明细'!$K:$K,T5)</f>
        <v>195030.8219178082</v>
      </c>
      <c r="Q5" t="s">
        <v>33</v>
      </c>
      <c r="R5" t="s">
        <v>34</v>
      </c>
      <c r="S5" t="s">
        <v>35</v>
      </c>
      <c r="T5" t="s">
        <v>61</v>
      </c>
      <c r="U5" t="s">
        <v>60</v>
      </c>
      <c r="V5" t="s">
        <v>54</v>
      </c>
      <c r="W5" t="s">
        <v>62</v>
      </c>
      <c r="X5" t="s">
        <v>63</v>
      </c>
      <c r="Y5" t="s">
        <v>64</v>
      </c>
      <c r="Z5" t="s">
        <v>65</v>
      </c>
      <c r="AA5" t="s">
        <v>59</v>
      </c>
      <c r="AB5" t="s">
        <v>43</v>
      </c>
      <c r="AC5" t="s">
        <v>62</v>
      </c>
    </row>
    <row r="6" spans="1:31">
      <c r="A6" t="s">
        <v>66</v>
      </c>
      <c r="B6" s="5">
        <v>35370000</v>
      </c>
      <c r="C6" s="5">
        <v>0</v>
      </c>
      <c r="D6" s="5">
        <v>0</v>
      </c>
      <c r="E6" s="5">
        <v>35370000</v>
      </c>
      <c r="F6" s="5">
        <f>B6+C6-D6</f>
        <v>35370000</v>
      </c>
      <c r="G6" s="5">
        <f>IF(E6="","",B6+C6-D6-E6)</f>
        <v>0</v>
      </c>
      <c r="H6" s="6" t="s">
        <v>32</v>
      </c>
      <c r="I6" s="7">
        <v>0.046</v>
      </c>
      <c r="J6" s="8"/>
      <c r="L6" s="9"/>
      <c r="M6" s="10">
        <v>0</v>
      </c>
      <c r="N6" s="11">
        <f>IF(H6="浮动",IF(ISNUMBER(L6),L6+M6/10000,0),IF(ISNUMBER(I6),I6,0))</f>
        <v>0.046</v>
      </c>
      <c r="O6" s="12">
        <f>SUMIFS('计息分段明细'!$G:$G,'计息分段明细'!$K:$K,T6)</f>
        <v>12910050000</v>
      </c>
      <c r="P6" s="5">
        <f>SUMIFS('计息分段明细'!$I:$I,'计息分段明细'!$K:$K,T6)</f>
        <v>1627020</v>
      </c>
      <c r="Q6" t="s">
        <v>33</v>
      </c>
      <c r="R6" t="s">
        <v>52</v>
      </c>
      <c r="S6" t="s">
        <v>35</v>
      </c>
      <c r="T6" t="s">
        <v>67</v>
      </c>
      <c r="U6" t="s">
        <v>66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A6" t="s">
        <v>42</v>
      </c>
      <c r="AB6" t="s">
        <v>73</v>
      </c>
      <c r="AC6" t="s">
        <v>69</v>
      </c>
      <c r="AD6" t="s">
        <v>74</v>
      </c>
    </row>
    <row r="7" spans="1:31">
      <c r="A7" t="s">
        <v>75</v>
      </c>
      <c r="B7" s="5">
        <v>0</v>
      </c>
      <c r="C7" s="5">
        <v>50720000</v>
      </c>
      <c r="D7" s="5">
        <v>0</v>
      </c>
      <c r="E7" s="5">
        <v>50720000</v>
      </c>
      <c r="F7" s="5">
        <f>B7+C7-D7</f>
        <v>50720000</v>
      </c>
      <c r="G7" s="5">
        <f>IF(E7="","",B7+C7-D7-E7)</f>
        <v>0</v>
      </c>
      <c r="H7" s="6" t="s">
        <v>32</v>
      </c>
      <c r="I7" s="7">
        <v>0.038</v>
      </c>
      <c r="J7" s="8"/>
      <c r="L7" s="9"/>
      <c r="M7" s="10">
        <v>0</v>
      </c>
      <c r="N7" s="11">
        <f>IF(H7="浮动",IF(ISNUMBER(L7),L7+M7/10000,0),IF(ISNUMBER(I7),I7,0))</f>
        <v>0.038</v>
      </c>
      <c r="O7" s="12">
        <f>SUMIFS('计息分段明细'!$G:$G,'计息分段明细'!$K:$K,T7)</f>
        <v>5427040000</v>
      </c>
      <c r="P7" s="5">
        <f>SUMIFS('计息分段明细'!$I:$I,'计息分段明细'!$K:$K,T7)</f>
        <v>565006.904109589</v>
      </c>
      <c r="Q7" t="s">
        <v>33</v>
      </c>
      <c r="R7" t="s">
        <v>34</v>
      </c>
      <c r="S7" t="s">
        <v>35</v>
      </c>
      <c r="T7" t="s">
        <v>76</v>
      </c>
      <c r="U7" t="s">
        <v>75</v>
      </c>
      <c r="V7" t="s">
        <v>77</v>
      </c>
      <c r="W7" t="s">
        <v>78</v>
      </c>
      <c r="X7" t="s">
        <v>79</v>
      </c>
      <c r="Y7" t="s">
        <v>80</v>
      </c>
      <c r="Z7" t="s">
        <v>81</v>
      </c>
      <c r="AA7" t="s">
        <v>42</v>
      </c>
      <c r="AB7" t="s">
        <v>43</v>
      </c>
      <c r="AC7" t="s">
        <v>78</v>
      </c>
    </row>
    <row r="8" spans="1:31">
      <c r="A8" t="s">
        <v>82</v>
      </c>
      <c r="B8" s="5">
        <v>42065000</v>
      </c>
      <c r="C8" s="5">
        <v>0</v>
      </c>
      <c r="D8" s="5">
        <v>0</v>
      </c>
      <c r="E8" s="5">
        <v>42065000</v>
      </c>
      <c r="F8" s="5">
        <f>B8+C8-D8</f>
        <v>42065000</v>
      </c>
      <c r="G8" s="5">
        <f>IF(E8="","",B8+C8-D8-E8)</f>
        <v>0</v>
      </c>
      <c r="H8" s="6" t="s">
        <v>32</v>
      </c>
      <c r="I8" s="7">
        <v>0.044500000000000005</v>
      </c>
      <c r="J8" s="8"/>
      <c r="L8" s="9"/>
      <c r="M8" s="10">
        <v>0</v>
      </c>
      <c r="N8" s="11">
        <f>IF(H8="浮动",IF(ISNUMBER(L8),L8+M8/10000,0),IF(ISNUMBER(I8),I8,0))</f>
        <v>0.044500000000000005</v>
      </c>
      <c r="O8" s="12">
        <f>SUMIFS('计息分段明细'!$G:$G,'计息分段明细'!$K:$K,T8)</f>
        <v>15353725000</v>
      </c>
      <c r="P8" s="5">
        <f>SUMIFS('计息分段明细'!$I:$I,'计息分段明细'!$K:$K,T8)</f>
        <v>1871892.5</v>
      </c>
      <c r="Q8" t="s">
        <v>33</v>
      </c>
      <c r="R8" t="s">
        <v>52</v>
      </c>
      <c r="S8" t="s">
        <v>35</v>
      </c>
      <c r="T8" t="s">
        <v>83</v>
      </c>
      <c r="U8" t="s">
        <v>82</v>
      </c>
      <c r="V8" t="s">
        <v>54</v>
      </c>
      <c r="W8" t="s">
        <v>84</v>
      </c>
      <c r="X8" t="s">
        <v>85</v>
      </c>
      <c r="Y8" t="s">
        <v>86</v>
      </c>
      <c r="Z8" t="s">
        <v>87</v>
      </c>
      <c r="AA8" t="s">
        <v>42</v>
      </c>
      <c r="AB8" t="s">
        <v>43</v>
      </c>
      <c r="AC8" t="s">
        <v>84</v>
      </c>
    </row>
    <row r="9" spans="1:31">
      <c r="A9" t="s">
        <v>88</v>
      </c>
      <c r="B9" s="5">
        <v>8080000</v>
      </c>
      <c r="C9" s="5">
        <v>0</v>
      </c>
      <c r="D9" s="5">
        <v>0</v>
      </c>
      <c r="E9" s="5">
        <v>8080000</v>
      </c>
      <c r="F9" s="5">
        <f>B9+C9-D9</f>
        <v>8080000</v>
      </c>
      <c r="G9" s="5">
        <f>IF(E9="","",B9+C9-D9-E9)</f>
        <v>0</v>
      </c>
      <c r="H9" s="6" t="s">
        <v>32</v>
      </c>
      <c r="I9" s="7">
        <v>0.0433</v>
      </c>
      <c r="J9" s="8"/>
      <c r="L9" s="9"/>
      <c r="M9" s="10">
        <v>0</v>
      </c>
      <c r="N9" s="11">
        <f>IF(H9="浮动",IF(ISNUMBER(L9),L9+M9/10000,0),IF(ISNUMBER(I9),I9,0))</f>
        <v>0.0433</v>
      </c>
      <c r="O9" s="12">
        <f>SUMIFS('计息分段明细'!$G:$G,'计息分段明细'!$K:$K,T9)</f>
        <v>2949200000</v>
      </c>
      <c r="P9" s="5">
        <f>SUMIFS('计息分段明细'!$I:$I,'计息分段明细'!$K:$K,T9)</f>
        <v>349864</v>
      </c>
      <c r="Q9" t="s">
        <v>33</v>
      </c>
      <c r="R9" t="s">
        <v>52</v>
      </c>
      <c r="S9" t="s">
        <v>35</v>
      </c>
      <c r="T9" t="s">
        <v>89</v>
      </c>
      <c r="U9" t="s">
        <v>88</v>
      </c>
      <c r="V9" t="s">
        <v>90</v>
      </c>
      <c r="W9" t="s">
        <v>91</v>
      </c>
      <c r="X9" t="s">
        <v>92</v>
      </c>
      <c r="Y9" t="s">
        <v>93</v>
      </c>
      <c r="Z9" t="s">
        <v>94</v>
      </c>
      <c r="AA9" t="s">
        <v>42</v>
      </c>
      <c r="AB9" t="s">
        <v>43</v>
      </c>
      <c r="AC9" t="s">
        <v>91</v>
      </c>
    </row>
    <row r="10" spans="1:31">
      <c r="A10" t="s">
        <v>95</v>
      </c>
      <c r="B10" s="5">
        <v>0</v>
      </c>
      <c r="C10" s="5">
        <v>52495000</v>
      </c>
      <c r="D10" s="5">
        <v>0</v>
      </c>
      <c r="E10" s="5">
        <v>52495000</v>
      </c>
      <c r="F10" s="5">
        <f>B10+C10-D10</f>
        <v>52495000</v>
      </c>
      <c r="G10" s="5">
        <f>IF(E10="","",B10+C10-D10-E10)</f>
        <v>0</v>
      </c>
      <c r="H10" s="6" t="s">
        <v>32</v>
      </c>
      <c r="I10" s="7">
        <v>0.035699999999999996</v>
      </c>
      <c r="J10" s="8"/>
      <c r="L10" s="9"/>
      <c r="M10" s="10">
        <v>0</v>
      </c>
      <c r="N10" s="11">
        <f>IF(H10="浮动",IF(ISNUMBER(L10),L10+M10/10000,0),IF(ISNUMBER(I10),I10,0))</f>
        <v>0.035699999999999996</v>
      </c>
      <c r="O10" s="12">
        <f>SUMIFS('计息分段明细'!$G:$G,'计息分段明细'!$K:$K,T10)</f>
        <v>13438720000</v>
      </c>
      <c r="P10" s="5">
        <f>SUMIFS('计息分段明细'!$I:$I,'计息分段明细'!$K:$K,T10)</f>
        <v>1314417.2712328765</v>
      </c>
      <c r="Q10" t="s">
        <v>33</v>
      </c>
      <c r="R10" t="s">
        <v>34</v>
      </c>
      <c r="S10" t="s">
        <v>35</v>
      </c>
      <c r="T10" t="s">
        <v>96</v>
      </c>
      <c r="U10" t="s">
        <v>95</v>
      </c>
      <c r="V10" t="s">
        <v>97</v>
      </c>
      <c r="W10" t="s">
        <v>98</v>
      </c>
      <c r="X10" t="s">
        <v>99</v>
      </c>
      <c r="Y10" t="s">
        <v>100</v>
      </c>
      <c r="Z10" t="s">
        <v>101</v>
      </c>
      <c r="AA10" t="s">
        <v>42</v>
      </c>
      <c r="AB10" t="s">
        <v>43</v>
      </c>
      <c r="AC10" t="s">
        <v>98</v>
      </c>
    </row>
    <row r="11" spans="1:31">
      <c r="A11" t="s">
        <v>102</v>
      </c>
      <c r="B11" s="5">
        <v>0</v>
      </c>
      <c r="C11" s="5">
        <v>51635000</v>
      </c>
      <c r="D11" s="5">
        <v>51635000</v>
      </c>
      <c r="E11" s="5">
        <v>0</v>
      </c>
      <c r="F11" s="5">
        <f>B11+C11-D11</f>
        <v>0</v>
      </c>
      <c r="G11" s="5">
        <f>IF(E11="","",B11+C11-D11-E11)</f>
        <v>0</v>
      </c>
      <c r="H11" s="6" t="s">
        <v>32</v>
      </c>
      <c r="I11" s="7">
        <v>0.047</v>
      </c>
      <c r="J11" s="8"/>
      <c r="L11" s="9"/>
      <c r="M11" s="10">
        <v>0</v>
      </c>
      <c r="N11" s="11">
        <f>IF(H11="浮动",IF(ISNUMBER(L11),L11+M11/10000,0),IF(ISNUMBER(I11),I11,0))</f>
        <v>0.047</v>
      </c>
      <c r="O11" s="12">
        <f>SUMIFS('计息分段明细'!$G:$G,'计息分段明细'!$K:$K,T11)</f>
        <v>4492245000</v>
      </c>
      <c r="P11" s="5">
        <f>SUMIFS('计息分段明细'!$I:$I,'计息分段明细'!$K:$K,T11)</f>
        <v>578453.4657534247</v>
      </c>
      <c r="Q11" t="s">
        <v>33</v>
      </c>
      <c r="R11" t="s">
        <v>34</v>
      </c>
      <c r="S11" t="s">
        <v>35</v>
      </c>
      <c r="T11" t="s">
        <v>103</v>
      </c>
      <c r="U11" t="s">
        <v>102</v>
      </c>
      <c r="V11" t="s">
        <v>104</v>
      </c>
      <c r="W11" t="s">
        <v>105</v>
      </c>
      <c r="X11" t="s">
        <v>106</v>
      </c>
      <c r="Y11" t="s">
        <v>107</v>
      </c>
      <c r="Z11" t="s">
        <v>108</v>
      </c>
      <c r="AA11" t="s">
        <v>42</v>
      </c>
      <c r="AB11" t="s">
        <v>109</v>
      </c>
      <c r="AC11" t="s">
        <v>110</v>
      </c>
    </row>
    <row r="12" spans="1:31">
      <c r="A12" t="s">
        <v>111</v>
      </c>
      <c r="B12" s="5">
        <v>52200000</v>
      </c>
      <c r="C12" s="5">
        <v>0</v>
      </c>
      <c r="D12" s="5">
        <v>0</v>
      </c>
      <c r="E12" s="5">
        <v>52200000</v>
      </c>
      <c r="F12" s="5">
        <f>B12+C12-D12</f>
        <v>52200000</v>
      </c>
      <c r="G12" s="5">
        <f>IF(E12="","",B12+C12-D12-E12)</f>
        <v>0</v>
      </c>
      <c r="H12" s="6" t="s">
        <v>32</v>
      </c>
      <c r="I12" s="7">
        <v>0.0404</v>
      </c>
      <c r="J12" s="8"/>
      <c r="L12" s="9"/>
      <c r="M12" s="10">
        <v>0</v>
      </c>
      <c r="N12" s="11">
        <f>IF(H12="浮动",IF(ISNUMBER(L12),L12+M12/10000,0),IF(ISNUMBER(I12),I12,0))</f>
        <v>0.0404</v>
      </c>
      <c r="O12" s="12">
        <f>SUMIFS('计息分段明细'!$G:$G,'计息分段明细'!$K:$K,T12)</f>
        <v>19053000000</v>
      </c>
      <c r="P12" s="5">
        <f>SUMIFS('计息分段明细'!$I:$I,'计息分段明细'!$K:$K,T12)</f>
        <v>2108880</v>
      </c>
      <c r="Q12" t="s">
        <v>33</v>
      </c>
      <c r="R12" t="s">
        <v>52</v>
      </c>
      <c r="S12" t="s">
        <v>35</v>
      </c>
      <c r="T12" t="s">
        <v>112</v>
      </c>
      <c r="U12" t="s">
        <v>111</v>
      </c>
      <c r="V12" t="s">
        <v>68</v>
      </c>
      <c r="W12" t="s">
        <v>113</v>
      </c>
      <c r="X12" t="s">
        <v>114</v>
      </c>
      <c r="Y12" t="s">
        <v>115</v>
      </c>
      <c r="Z12" t="s">
        <v>116</v>
      </c>
      <c r="AA12" t="s">
        <v>42</v>
      </c>
      <c r="AB12" t="s">
        <v>43</v>
      </c>
      <c r="AC12" t="s">
        <v>113</v>
      </c>
    </row>
    <row r="13" spans="1:31">
      <c r="A13" t="s">
        <v>117</v>
      </c>
      <c r="B13" s="5">
        <v>0</v>
      </c>
      <c r="C13" s="5">
        <v>42905000</v>
      </c>
      <c r="D13" s="5">
        <v>0</v>
      </c>
      <c r="E13" s="5">
        <v>42905000</v>
      </c>
      <c r="F13" s="5">
        <f>B13+C13-D13</f>
        <v>42905000</v>
      </c>
      <c r="G13" s="5">
        <f>IF(E13="","",B13+C13-D13-E13)</f>
        <v>0</v>
      </c>
      <c r="H13" s="6" t="s">
        <v>32</v>
      </c>
      <c r="I13" s="7">
        <v>0.0349</v>
      </c>
      <c r="J13" s="8"/>
      <c r="L13" s="9"/>
      <c r="M13" s="10">
        <v>0</v>
      </c>
      <c r="N13" s="11">
        <f>IF(H13="浮动",IF(ISNUMBER(L13),L13+M13/10000,0),IF(ISNUMBER(I13),I13,0))</f>
        <v>0.0349</v>
      </c>
      <c r="O13" s="12">
        <f>SUMIFS('计息分段明细'!$G:$G,'计息分段明细'!$K:$K,T13)</f>
        <v>12227925000</v>
      </c>
      <c r="P13" s="5">
        <f>SUMIFS('计息分段明细'!$I:$I,'计息分段明细'!$K:$K,T13)</f>
        <v>1169190.6369863013</v>
      </c>
      <c r="Q13" t="s">
        <v>33</v>
      </c>
      <c r="R13" t="s">
        <v>34</v>
      </c>
      <c r="S13" t="s">
        <v>35</v>
      </c>
      <c r="T13" t="s">
        <v>118</v>
      </c>
      <c r="U13" t="s">
        <v>117</v>
      </c>
      <c r="V13" t="s">
        <v>119</v>
      </c>
      <c r="W13" t="s">
        <v>120</v>
      </c>
      <c r="X13" t="s">
        <v>121</v>
      </c>
      <c r="Y13" t="s">
        <v>122</v>
      </c>
      <c r="Z13" t="s">
        <v>123</v>
      </c>
      <c r="AA13" t="s">
        <v>59</v>
      </c>
      <c r="AB13" t="s">
        <v>43</v>
      </c>
      <c r="AC13" t="s">
        <v>120</v>
      </c>
    </row>
    <row r="14" spans="1:31">
      <c r="A14" t="s">
        <v>124</v>
      </c>
      <c r="B14" s="5">
        <v>0</v>
      </c>
      <c r="C14" s="5">
        <v>18715000</v>
      </c>
      <c r="D14" s="5">
        <v>0</v>
      </c>
      <c r="E14" s="5">
        <v>18715000</v>
      </c>
      <c r="F14" s="5">
        <f>B14+C14-D14</f>
        <v>18715000</v>
      </c>
      <c r="G14" s="5">
        <f>IF(E14="","",B14+C14-D14-E14)</f>
        <v>0</v>
      </c>
      <c r="H14" s="6" t="s">
        <v>32</v>
      </c>
      <c r="I14" s="7">
        <v>0.0461</v>
      </c>
      <c r="J14" s="8"/>
      <c r="L14" s="9"/>
      <c r="M14" s="10">
        <v>0</v>
      </c>
      <c r="N14" s="11">
        <f>IF(H14="浮动",IF(ISNUMBER(L14),L14+M14/10000,0),IF(ISNUMBER(I14),I14,0))</f>
        <v>0.0461</v>
      </c>
      <c r="O14" s="12">
        <f>SUMIFS('计息分段明细'!$G:$G,'计息分段明细'!$K:$K,T14)</f>
        <v>3125405000</v>
      </c>
      <c r="P14" s="5">
        <f>SUMIFS('计息分段明细'!$I:$I,'计息分段明细'!$K:$K,T14)</f>
        <v>394742.9328767123</v>
      </c>
      <c r="Q14" t="s">
        <v>33</v>
      </c>
      <c r="R14" t="s">
        <v>34</v>
      </c>
      <c r="S14" t="s">
        <v>35</v>
      </c>
      <c r="T14" t="s">
        <v>125</v>
      </c>
      <c r="U14" t="s">
        <v>124</v>
      </c>
      <c r="V14" t="s">
        <v>126</v>
      </c>
      <c r="W14" t="s">
        <v>127</v>
      </c>
      <c r="X14" t="s">
        <v>128</v>
      </c>
      <c r="Y14" t="s">
        <v>129</v>
      </c>
      <c r="Z14" t="s">
        <v>130</v>
      </c>
      <c r="AA14" t="s">
        <v>42</v>
      </c>
      <c r="AB14" t="s">
        <v>43</v>
      </c>
      <c r="AC14" t="s">
        <v>127</v>
      </c>
    </row>
    <row r="15" spans="1:31">
      <c r="A15" t="s">
        <v>131</v>
      </c>
      <c r="B15" s="5">
        <v>0</v>
      </c>
      <c r="C15" s="5">
        <v>30470000</v>
      </c>
      <c r="D15" s="5">
        <v>0</v>
      </c>
      <c r="E15" s="5">
        <v>30470000</v>
      </c>
      <c r="F15" s="5">
        <f>B15+C15-D15</f>
        <v>30470000</v>
      </c>
      <c r="G15" s="5">
        <f>IF(E15="","",B15+C15-D15-E15)</f>
        <v>0</v>
      </c>
      <c r="H15" s="6" t="s">
        <v>32</v>
      </c>
      <c r="I15" s="7">
        <v>0.0388</v>
      </c>
      <c r="J15" s="8"/>
      <c r="L15" s="9"/>
      <c r="M15" s="10">
        <v>0</v>
      </c>
      <c r="N15" s="11">
        <f>IF(H15="浮动",IF(ISNUMBER(L15),L15+M15/10000,0),IF(ISNUMBER(I15),I15,0))</f>
        <v>0.0388</v>
      </c>
      <c r="O15" s="12">
        <f>SUMIFS('计息分段明细'!$G:$G,'计息分段明细'!$K:$K,T15)</f>
        <v>3382170000</v>
      </c>
      <c r="P15" s="5">
        <f>SUMIFS('计息分段明细'!$I:$I,'计息分段明细'!$K:$K,T15)</f>
        <v>359529.304109589</v>
      </c>
      <c r="Q15" t="s">
        <v>33</v>
      </c>
      <c r="R15" t="s">
        <v>34</v>
      </c>
      <c r="S15" t="s">
        <v>35</v>
      </c>
      <c r="T15" t="s">
        <v>132</v>
      </c>
      <c r="U15" t="s">
        <v>131</v>
      </c>
      <c r="V15" t="s">
        <v>133</v>
      </c>
      <c r="W15" t="s">
        <v>134</v>
      </c>
      <c r="X15" t="s">
        <v>135</v>
      </c>
      <c r="Y15" t="s">
        <v>136</v>
      </c>
      <c r="Z15" t="s">
        <v>137</v>
      </c>
      <c r="AA15" t="s">
        <v>59</v>
      </c>
      <c r="AB15" t="s">
        <v>43</v>
      </c>
      <c r="AC15" t="s">
        <v>134</v>
      </c>
    </row>
    <row r="16" spans="1:31">
      <c r="A16" t="s">
        <v>138</v>
      </c>
      <c r="B16" s="5">
        <v>18965000</v>
      </c>
      <c r="C16" s="5">
        <v>0</v>
      </c>
      <c r="D16" s="5">
        <v>0</v>
      </c>
      <c r="E16" s="5">
        <v>18965000</v>
      </c>
      <c r="F16" s="5">
        <f>B16+C16-D16</f>
        <v>18965000</v>
      </c>
      <c r="G16" s="5">
        <f>IF(E16="","",B16+C16-D16-E16)</f>
        <v>0</v>
      </c>
      <c r="H16" s="6" t="s">
        <v>32</v>
      </c>
      <c r="I16" s="7">
        <v>0.0387</v>
      </c>
      <c r="J16" s="8"/>
      <c r="L16" s="9"/>
      <c r="M16" s="10">
        <v>0</v>
      </c>
      <c r="N16" s="11">
        <f>IF(H16="浮动",IF(ISNUMBER(L16),L16+M16/10000,0),IF(ISNUMBER(I16),I16,0))</f>
        <v>0.0387</v>
      </c>
      <c r="O16" s="12">
        <f>SUMIFS('计息分段明细'!$G:$G,'计息分段明细'!$K:$K,T16)</f>
        <v>6922225000</v>
      </c>
      <c r="P16" s="5">
        <f>SUMIFS('计息分段明细'!$I:$I,'计息分段明细'!$K:$K,T16)</f>
        <v>733945.5</v>
      </c>
      <c r="Q16" t="s">
        <v>33</v>
      </c>
      <c r="R16" t="s">
        <v>52</v>
      </c>
      <c r="S16" t="s">
        <v>35</v>
      </c>
      <c r="T16" t="s">
        <v>139</v>
      </c>
      <c r="U16" t="s">
        <v>138</v>
      </c>
      <c r="V16" t="s">
        <v>140</v>
      </c>
      <c r="W16" t="s">
        <v>141</v>
      </c>
      <c r="X16" t="s">
        <v>142</v>
      </c>
      <c r="Y16" t="s">
        <v>143</v>
      </c>
      <c r="Z16" t="s">
        <v>144</v>
      </c>
      <c r="AA16" t="s">
        <v>59</v>
      </c>
      <c r="AB16" t="s">
        <v>73</v>
      </c>
      <c r="AC16" t="s">
        <v>141</v>
      </c>
      <c r="AD16" t="s">
        <v>74</v>
      </c>
    </row>
    <row r="17" spans="1:30">
      <c r="A17" t="s">
        <v>145</v>
      </c>
      <c r="B17" s="5">
        <v>10910000</v>
      </c>
      <c r="C17" s="5">
        <v>0</v>
      </c>
      <c r="D17" s="5">
        <v>0</v>
      </c>
      <c r="E17" s="5">
        <v>10910000</v>
      </c>
      <c r="F17" s="5">
        <f>B17+C17-D17</f>
        <v>10910000</v>
      </c>
      <c r="G17" s="5">
        <f>IF(E17="","",B17+C17-D17-E17)</f>
        <v>0</v>
      </c>
      <c r="H17" s="6" t="s">
        <v>32</v>
      </c>
      <c r="I17" s="7">
        <v>0.0462</v>
      </c>
      <c r="J17" s="8"/>
      <c r="L17" s="9"/>
      <c r="M17" s="10">
        <v>0</v>
      </c>
      <c r="N17" s="11">
        <f>IF(H17="浮动",IF(ISNUMBER(L17),L17+M17/10000,0),IF(ISNUMBER(I17),I17,0))</f>
        <v>0.0462</v>
      </c>
      <c r="O17" s="12">
        <f>SUMIFS('计息分段明细'!$G:$G,'计息分段明细'!$K:$K,T17)</f>
        <v>3982150000</v>
      </c>
      <c r="P17" s="5">
        <f>SUMIFS('计息分段明细'!$I:$I,'计息分段明细'!$K:$K,T17)</f>
        <v>504042</v>
      </c>
      <c r="Q17" t="s">
        <v>33</v>
      </c>
      <c r="R17" t="s">
        <v>52</v>
      </c>
      <c r="S17" t="s">
        <v>35</v>
      </c>
      <c r="T17" t="s">
        <v>146</v>
      </c>
      <c r="U17" t="s">
        <v>145</v>
      </c>
      <c r="V17" t="s">
        <v>140</v>
      </c>
      <c r="W17" t="s">
        <v>147</v>
      </c>
      <c r="X17" t="s">
        <v>148</v>
      </c>
      <c r="Y17" t="s">
        <v>149</v>
      </c>
      <c r="Z17" t="s">
        <v>150</v>
      </c>
      <c r="AA17" t="s">
        <v>59</v>
      </c>
      <c r="AB17" t="s">
        <v>43</v>
      </c>
      <c r="AC17" t="s">
        <v>147</v>
      </c>
    </row>
    <row r="18" spans="1:30">
      <c r="A18" t="s">
        <v>151</v>
      </c>
      <c r="B18" s="5">
        <v>3830000</v>
      </c>
      <c r="C18" s="5">
        <v>0</v>
      </c>
      <c r="D18" s="5">
        <v>0</v>
      </c>
      <c r="E18" s="5">
        <v>3830000</v>
      </c>
      <c r="F18" s="5">
        <f>B18+C18-D18</f>
        <v>3830000</v>
      </c>
      <c r="G18" s="5">
        <f>IF(E18="","",B18+C18-D18-E18)</f>
        <v>0</v>
      </c>
      <c r="H18" s="6" t="s">
        <v>32</v>
      </c>
      <c r="I18" s="7">
        <v>0.0413</v>
      </c>
      <c r="J18" s="8"/>
      <c r="L18" s="9"/>
      <c r="M18" s="10">
        <v>0</v>
      </c>
      <c r="N18" s="11">
        <f>IF(H18="浮动",IF(ISNUMBER(L18),L18+M18/10000,0),IF(ISNUMBER(I18),I18,0))</f>
        <v>0.0413</v>
      </c>
      <c r="O18" s="12">
        <f>SUMIFS('计息分段明细'!$G:$G,'计息分段明细'!$K:$K,T18)</f>
        <v>1397950000</v>
      </c>
      <c r="P18" s="5">
        <f>SUMIFS('计息分段明细'!$I:$I,'计息分段明细'!$K:$K,T18)</f>
        <v>158179</v>
      </c>
      <c r="Q18" t="s">
        <v>33</v>
      </c>
      <c r="R18" t="s">
        <v>52</v>
      </c>
      <c r="S18" t="s">
        <v>35</v>
      </c>
      <c r="T18" t="s">
        <v>152</v>
      </c>
      <c r="U18" t="s">
        <v>151</v>
      </c>
      <c r="V18" t="s">
        <v>153</v>
      </c>
      <c r="W18" t="s">
        <v>154</v>
      </c>
      <c r="X18" t="s">
        <v>155</v>
      </c>
      <c r="Y18" t="s">
        <v>156</v>
      </c>
      <c r="Z18" t="s">
        <v>157</v>
      </c>
      <c r="AA18" t="s">
        <v>42</v>
      </c>
      <c r="AB18" t="s">
        <v>43</v>
      </c>
      <c r="AC18" t="s">
        <v>154</v>
      </c>
    </row>
    <row r="19" spans="1:30">
      <c r="A19" t="s">
        <v>158</v>
      </c>
      <c r="B19" s="5">
        <v>7595000</v>
      </c>
      <c r="C19" s="5">
        <v>0</v>
      </c>
      <c r="D19" s="5">
        <v>0</v>
      </c>
      <c r="E19" s="5">
        <v>7595000</v>
      </c>
      <c r="F19" s="5">
        <f>B19+C19-D19</f>
        <v>7595000</v>
      </c>
      <c r="G19" s="5">
        <f>IF(E19="","",B19+C19-D19-E19)</f>
        <v>0</v>
      </c>
      <c r="H19" s="6" t="s">
        <v>32</v>
      </c>
      <c r="I19" s="7">
        <v>0.0397</v>
      </c>
      <c r="J19" s="8"/>
      <c r="L19" s="9"/>
      <c r="M19" s="10">
        <v>0</v>
      </c>
      <c r="N19" s="11">
        <f>IF(H19="浮动",IF(ISNUMBER(L19),L19+M19/10000,0),IF(ISNUMBER(I19),I19,0))</f>
        <v>0.0397</v>
      </c>
      <c r="O19" s="12">
        <f>SUMIFS('计息分段明细'!$G:$G,'计息分段明细'!$K:$K,T19)</f>
        <v>2772175000</v>
      </c>
      <c r="P19" s="5">
        <f>SUMIFS('计息分段明细'!$I:$I,'计息分段明细'!$K:$K,T19)</f>
        <v>301521.5</v>
      </c>
      <c r="Q19" t="s">
        <v>33</v>
      </c>
      <c r="R19" t="s">
        <v>52</v>
      </c>
      <c r="S19" t="s">
        <v>35</v>
      </c>
      <c r="T19" t="s">
        <v>159</v>
      </c>
      <c r="U19" t="s">
        <v>158</v>
      </c>
      <c r="V19" t="s">
        <v>160</v>
      </c>
      <c r="W19" t="s">
        <v>161</v>
      </c>
      <c r="X19" t="s">
        <v>162</v>
      </c>
      <c r="Y19" t="s">
        <v>163</v>
      </c>
      <c r="Z19" t="s">
        <v>164</v>
      </c>
      <c r="AA19" t="s">
        <v>42</v>
      </c>
      <c r="AB19" t="s">
        <v>43</v>
      </c>
      <c r="AC19" t="s">
        <v>161</v>
      </c>
    </row>
    <row r="20" spans="1:30">
      <c r="A20" t="s">
        <v>165</v>
      </c>
      <c r="B20" s="5">
        <v>36015000</v>
      </c>
      <c r="C20" s="5">
        <v>0</v>
      </c>
      <c r="D20" s="5">
        <v>0</v>
      </c>
      <c r="E20" s="5">
        <v>36015000</v>
      </c>
      <c r="F20" s="5">
        <f>B20+C20-D20</f>
        <v>36015000</v>
      </c>
      <c r="G20" s="5">
        <f>IF(E20="","",B20+C20-D20-E20)</f>
        <v>0</v>
      </c>
      <c r="H20" s="6" t="s">
        <v>32</v>
      </c>
      <c r="I20" s="7">
        <v>0.0366</v>
      </c>
      <c r="J20" s="8"/>
      <c r="L20" s="9"/>
      <c r="M20" s="10">
        <v>0</v>
      </c>
      <c r="N20" s="11">
        <f>IF(H20="浮动",IF(ISNUMBER(L20),L20+M20/10000,0),IF(ISNUMBER(I20),I20,0))</f>
        <v>0.0366</v>
      </c>
      <c r="O20" s="12">
        <f>SUMIFS('计息分段明细'!$G:$G,'计息分段明细'!$K:$K,T20)</f>
        <v>13145475000</v>
      </c>
      <c r="P20" s="5">
        <f>SUMIFS('计息分段明细'!$I:$I,'计息分段明细'!$K:$K,T20)</f>
        <v>1318149</v>
      </c>
      <c r="Q20" t="s">
        <v>33</v>
      </c>
      <c r="R20" t="s">
        <v>52</v>
      </c>
      <c r="S20" t="s">
        <v>35</v>
      </c>
      <c r="T20" t="s">
        <v>166</v>
      </c>
      <c r="U20" t="s">
        <v>165</v>
      </c>
      <c r="V20" t="s">
        <v>90</v>
      </c>
      <c r="W20" t="s">
        <v>167</v>
      </c>
      <c r="X20" t="s">
        <v>168</v>
      </c>
      <c r="Y20" t="s">
        <v>169</v>
      </c>
      <c r="Z20" t="s">
        <v>170</v>
      </c>
      <c r="AA20" t="s">
        <v>59</v>
      </c>
      <c r="AB20" t="s">
        <v>43</v>
      </c>
      <c r="AC20" t="s">
        <v>167</v>
      </c>
    </row>
    <row r="21" spans="1:30">
      <c r="A21" t="s">
        <v>171</v>
      </c>
      <c r="B21" s="5">
        <v>0</v>
      </c>
      <c r="C21" s="5">
        <v>0</v>
      </c>
      <c r="D21" s="5">
        <v>0</v>
      </c>
      <c r="E21" s="5"/>
      <c r="F21" s="5">
        <f>B21+C21-D21</f>
        <v>0</v>
      </c>
      <c r="G21" s="5">
        <f>IF(E21="","",B21+C21-D21-E21)</f>
        <v>0</v>
      </c>
      <c r="H21" s="6" t="s">
        <v>32</v>
      </c>
      <c r="I21" s="7">
        <v>0.0388</v>
      </c>
      <c r="J21" s="8"/>
      <c r="L21" s="9"/>
      <c r="M21" s="10">
        <v>0</v>
      </c>
      <c r="N21" s="11">
        <f>IF(H21="浮动",IF(ISNUMBER(L21),L21+M21/10000,0),IF(ISNUMBER(I21),I21,0))</f>
        <v>0.0388</v>
      </c>
      <c r="O21" s="12">
        <f>SUMIFS('计息分段明细'!$G:$G,'计息分段明细'!$K:$K,T21)</f>
        <v>0</v>
      </c>
      <c r="P21" s="5">
        <f>SUMIFS('计息分段明细'!$I:$I,'计息分段明细'!$K:$K,T21)</f>
        <v>0</v>
      </c>
      <c r="Q21" t="s">
        <v>33</v>
      </c>
      <c r="R21" t="s">
        <v>52</v>
      </c>
      <c r="S21" t="s">
        <v>35</v>
      </c>
      <c r="T21" t="s">
        <v>172</v>
      </c>
      <c r="U21" t="s">
        <v>171</v>
      </c>
      <c r="V21" t="s">
        <v>104</v>
      </c>
      <c r="W21" t="s">
        <v>173</v>
      </c>
      <c r="X21" t="s">
        <v>174</v>
      </c>
      <c r="Y21" t="s">
        <v>175</v>
      </c>
      <c r="Z21" t="s">
        <v>137</v>
      </c>
      <c r="AA21" t="s">
        <v>42</v>
      </c>
      <c r="AB21" t="s">
        <v>109</v>
      </c>
      <c r="AC21" t="s">
        <v>110</v>
      </c>
    </row>
    <row r="22" spans="1:30">
      <c r="A22" t="s">
        <v>176</v>
      </c>
      <c r="B22" s="5">
        <v>18390000</v>
      </c>
      <c r="C22" s="5">
        <v>0</v>
      </c>
      <c r="D22" s="5">
        <v>0</v>
      </c>
      <c r="E22" s="5">
        <v>18390000</v>
      </c>
      <c r="F22" s="5">
        <f>B22+C22-D22</f>
        <v>18390000</v>
      </c>
      <c r="G22" s="5">
        <f>IF(E22="","",B22+C22-D22-E22)</f>
        <v>0</v>
      </c>
      <c r="H22" s="6" t="s">
        <v>32</v>
      </c>
      <c r="I22" s="7">
        <v>0.0396</v>
      </c>
      <c r="J22" s="8"/>
      <c r="L22" s="9"/>
      <c r="M22" s="10">
        <v>0</v>
      </c>
      <c r="N22" s="11">
        <f>IF(H22="浮动",IF(ISNUMBER(L22),L22+M22/10000,0),IF(ISNUMBER(I22),I22,0))</f>
        <v>0.0396</v>
      </c>
      <c r="O22" s="12">
        <f>SUMIFS('计息分段明细'!$G:$G,'计息分段明细'!$K:$K,T22)</f>
        <v>6712350000</v>
      </c>
      <c r="P22" s="5">
        <f>SUMIFS('计息分段明细'!$I:$I,'计息分段明细'!$K:$K,T22)</f>
        <v>728244.0000000001</v>
      </c>
      <c r="Q22" t="s">
        <v>33</v>
      </c>
      <c r="R22" t="s">
        <v>52</v>
      </c>
      <c r="S22" t="s">
        <v>35</v>
      </c>
      <c r="T22" t="s">
        <v>177</v>
      </c>
      <c r="U22" t="s">
        <v>176</v>
      </c>
      <c r="V22" t="s">
        <v>178</v>
      </c>
      <c r="W22" t="s">
        <v>179</v>
      </c>
      <c r="X22" t="s">
        <v>180</v>
      </c>
      <c r="Y22" t="s">
        <v>181</v>
      </c>
      <c r="Z22" t="s">
        <v>182</v>
      </c>
      <c r="AA22" t="s">
        <v>59</v>
      </c>
      <c r="AB22" t="s">
        <v>43</v>
      </c>
      <c r="AC22" t="s">
        <v>179</v>
      </c>
    </row>
    <row r="23" spans="1:30">
      <c r="A23" t="s">
        <v>183</v>
      </c>
      <c r="B23" s="5">
        <v>32310000</v>
      </c>
      <c r="C23" s="5">
        <v>0</v>
      </c>
      <c r="D23" s="5">
        <v>0</v>
      </c>
      <c r="E23" s="5">
        <v>32310000</v>
      </c>
      <c r="F23" s="5">
        <f>B23+C23-D23</f>
        <v>32310000</v>
      </c>
      <c r="G23" s="5">
        <f>IF(E23="","",B23+C23-D23-E23)</f>
        <v>0</v>
      </c>
      <c r="H23" s="6" t="s">
        <v>32</v>
      </c>
      <c r="I23" s="7">
        <v>0.0447</v>
      </c>
      <c r="J23" s="8"/>
      <c r="L23" s="9"/>
      <c r="M23" s="10">
        <v>0</v>
      </c>
      <c r="N23" s="11">
        <f>IF(H23="浮动",IF(ISNUMBER(L23),L23+M23/10000,0),IF(ISNUMBER(I23),I23,0))</f>
        <v>0.0447</v>
      </c>
      <c r="O23" s="12">
        <f>SUMIFS('计息分段明细'!$G:$G,'计息分段明细'!$K:$K,T23)</f>
        <v>11793150000</v>
      </c>
      <c r="P23" s="5">
        <f>SUMIFS('计息分段明细'!$I:$I,'计息分段明细'!$K:$K,T23)</f>
        <v>1444257</v>
      </c>
      <c r="Q23" t="s">
        <v>33</v>
      </c>
      <c r="R23" t="s">
        <v>52</v>
      </c>
      <c r="S23" t="s">
        <v>35</v>
      </c>
      <c r="T23" t="s">
        <v>184</v>
      </c>
      <c r="U23" t="s">
        <v>183</v>
      </c>
      <c r="V23" t="s">
        <v>37</v>
      </c>
      <c r="W23" t="s">
        <v>185</v>
      </c>
      <c r="X23" t="s">
        <v>186</v>
      </c>
      <c r="Y23" t="s">
        <v>187</v>
      </c>
      <c r="Z23" t="s">
        <v>188</v>
      </c>
      <c r="AA23" t="s">
        <v>42</v>
      </c>
      <c r="AB23" t="s">
        <v>43</v>
      </c>
      <c r="AC23" t="s">
        <v>185</v>
      </c>
    </row>
    <row r="24" spans="1:30">
      <c r="A24" t="s">
        <v>189</v>
      </c>
      <c r="B24" s="5">
        <v>0</v>
      </c>
      <c r="C24" s="5">
        <v>42510000</v>
      </c>
      <c r="D24" s="5">
        <v>0</v>
      </c>
      <c r="E24" s="5">
        <v>42510000</v>
      </c>
      <c r="F24" s="5">
        <f>B24+C24-D24</f>
        <v>42510000</v>
      </c>
      <c r="G24" s="5">
        <f>IF(E24="","",B24+C24-D24-E24)</f>
        <v>0</v>
      </c>
      <c r="H24" s="6" t="s">
        <v>32</v>
      </c>
      <c r="I24" s="7">
        <v>0.0462</v>
      </c>
      <c r="J24" s="8"/>
      <c r="L24" s="9"/>
      <c r="M24" s="10">
        <v>0</v>
      </c>
      <c r="N24" s="11">
        <f>IF(H24="浮动",IF(ISNUMBER(L24),L24+M24/10000,0),IF(ISNUMBER(I24),I24,0))</f>
        <v>0.0462</v>
      </c>
      <c r="O24" s="12">
        <f>SUMIFS('计息分段明细'!$G:$G,'计息分段明细'!$K:$K,T24)</f>
        <v>9309690000</v>
      </c>
      <c r="P24" s="5">
        <f>SUMIFS('计息分段明细'!$I:$I,'计息分段明细'!$K:$K,T24)</f>
        <v>1178377.2</v>
      </c>
      <c r="Q24" t="s">
        <v>33</v>
      </c>
      <c r="R24" t="s">
        <v>34</v>
      </c>
      <c r="S24" t="s">
        <v>35</v>
      </c>
      <c r="T24" t="s">
        <v>190</v>
      </c>
      <c r="U24" t="s">
        <v>189</v>
      </c>
      <c r="V24" t="s">
        <v>54</v>
      </c>
      <c r="W24" t="s">
        <v>191</v>
      </c>
      <c r="X24" t="s">
        <v>192</v>
      </c>
      <c r="Y24" t="s">
        <v>193</v>
      </c>
      <c r="Z24" t="s">
        <v>150</v>
      </c>
      <c r="AA24" t="s">
        <v>59</v>
      </c>
      <c r="AB24" t="s">
        <v>43</v>
      </c>
      <c r="AC24" t="s">
        <v>191</v>
      </c>
    </row>
    <row r="25" spans="1:30">
      <c r="A25" t="s">
        <v>194</v>
      </c>
      <c r="B25" s="5">
        <v>11725000</v>
      </c>
      <c r="C25" s="5">
        <v>0</v>
      </c>
      <c r="D25" s="5">
        <v>0</v>
      </c>
      <c r="E25" s="5">
        <v>11725000</v>
      </c>
      <c r="F25" s="5">
        <f>B25+C25-D25</f>
        <v>11725000</v>
      </c>
      <c r="G25" s="5">
        <f>IF(E25="","",B25+C25-D25-E25)</f>
        <v>0</v>
      </c>
      <c r="H25" s="6" t="s">
        <v>32</v>
      </c>
      <c r="I25" s="7">
        <v>0.04650000000000001</v>
      </c>
      <c r="J25" s="8"/>
      <c r="L25" s="9"/>
      <c r="M25" s="10">
        <v>0</v>
      </c>
      <c r="N25" s="11">
        <f>IF(H25="浮动",IF(ISNUMBER(L25),L25+M25/10000,0),IF(ISNUMBER(I25),I25,0))</f>
        <v>0.04650000000000001</v>
      </c>
      <c r="O25" s="12">
        <f>SUMIFS('计息分段明细'!$G:$G,'计息分段明细'!$K:$K,T25)</f>
        <v>4279625000</v>
      </c>
      <c r="P25" s="5">
        <f>SUMIFS('计息分段明细'!$I:$I,'计息分段明细'!$K:$K,T25)</f>
        <v>545212.5000000001</v>
      </c>
      <c r="Q25" t="s">
        <v>33</v>
      </c>
      <c r="R25" t="s">
        <v>52</v>
      </c>
      <c r="S25" t="s">
        <v>35</v>
      </c>
      <c r="T25" t="s">
        <v>195</v>
      </c>
      <c r="U25" t="s">
        <v>194</v>
      </c>
      <c r="V25" t="s">
        <v>196</v>
      </c>
      <c r="W25" t="s">
        <v>197</v>
      </c>
      <c r="X25" t="s">
        <v>198</v>
      </c>
      <c r="Y25" t="s">
        <v>199</v>
      </c>
      <c r="Z25" t="s">
        <v>200</v>
      </c>
      <c r="AA25" t="s">
        <v>59</v>
      </c>
      <c r="AB25" t="s">
        <v>43</v>
      </c>
      <c r="AC25" t="s">
        <v>197</v>
      </c>
    </row>
    <row r="26" spans="1:30">
      <c r="A26" t="s">
        <v>201</v>
      </c>
      <c r="B26" s="5">
        <v>50660000</v>
      </c>
      <c r="C26" s="5">
        <v>0</v>
      </c>
      <c r="D26" s="5">
        <v>0</v>
      </c>
      <c r="E26" s="5">
        <v>50660000</v>
      </c>
      <c r="F26" s="5">
        <f>B26+C26-D26</f>
        <v>50660000</v>
      </c>
      <c r="G26" s="5">
        <f>IF(E26="","",B26+C26-D26-E26)</f>
        <v>0</v>
      </c>
      <c r="H26" s="6" t="s">
        <v>32</v>
      </c>
      <c r="I26" s="7">
        <v>0.04019999999999999</v>
      </c>
      <c r="J26" s="8"/>
      <c r="L26" s="9"/>
      <c r="M26" s="10">
        <v>0</v>
      </c>
      <c r="N26" s="11">
        <f>IF(H26="浮动",IF(ISNUMBER(L26),L26+M26/10000,0),IF(ISNUMBER(I26),I26,0))</f>
        <v>0.04019999999999999</v>
      </c>
      <c r="O26" s="12">
        <f>SUMIFS('计息分段明细'!$G:$G,'计息分段明细'!$K:$K,T26)</f>
        <v>18490900000</v>
      </c>
      <c r="P26" s="5">
        <f>SUMIFS('计息分段明细'!$I:$I,'计息分段明细'!$K:$K,T26)</f>
        <v>2036532</v>
      </c>
      <c r="Q26" t="s">
        <v>33</v>
      </c>
      <c r="R26" t="s">
        <v>52</v>
      </c>
      <c r="S26" t="s">
        <v>35</v>
      </c>
      <c r="T26" t="s">
        <v>202</v>
      </c>
      <c r="U26" t="s">
        <v>201</v>
      </c>
      <c r="V26" t="s">
        <v>196</v>
      </c>
      <c r="W26" t="s">
        <v>203</v>
      </c>
      <c r="X26" t="s">
        <v>204</v>
      </c>
      <c r="Y26" t="s">
        <v>205</v>
      </c>
      <c r="Z26" t="s">
        <v>206</v>
      </c>
      <c r="AA26" t="s">
        <v>59</v>
      </c>
      <c r="AB26" t="s">
        <v>73</v>
      </c>
      <c r="AC26" t="s">
        <v>203</v>
      </c>
      <c r="AD26" t="s">
        <v>74</v>
      </c>
    </row>
    <row r="27" spans="1:30">
      <c r="A27" t="s">
        <v>207</v>
      </c>
      <c r="B27" s="5">
        <v>50340000</v>
      </c>
      <c r="C27" s="5">
        <v>0</v>
      </c>
      <c r="D27" s="5">
        <v>0</v>
      </c>
      <c r="E27" s="5">
        <v>50340000</v>
      </c>
      <c r="F27" s="5">
        <f>B27+C27-D27</f>
        <v>50340000</v>
      </c>
      <c r="G27" s="5">
        <f>IF(E27="","",B27+C27-D27-E27)</f>
        <v>0</v>
      </c>
      <c r="H27" s="6" t="s">
        <v>32</v>
      </c>
      <c r="I27" s="7">
        <v>0.045</v>
      </c>
      <c r="J27" s="8"/>
      <c r="L27" s="9"/>
      <c r="M27" s="10">
        <v>0</v>
      </c>
      <c r="N27" s="11">
        <f>IF(H27="浮动",IF(ISNUMBER(L27),L27+M27/10000,0),IF(ISNUMBER(I27),I27,0))</f>
        <v>0.045</v>
      </c>
      <c r="O27" s="12">
        <f>SUMIFS('计息分段明细'!$G:$G,'计息分段明细'!$K:$K,T27)</f>
        <v>18374100000</v>
      </c>
      <c r="P27" s="5">
        <f>SUMIFS('计息分段明细'!$I:$I,'计息分段明细'!$K:$K,T27)</f>
        <v>2265300</v>
      </c>
      <c r="Q27" t="s">
        <v>33</v>
      </c>
      <c r="R27" t="s">
        <v>52</v>
      </c>
      <c r="S27" t="s">
        <v>35</v>
      </c>
      <c r="T27" t="s">
        <v>208</v>
      </c>
      <c r="U27" t="s">
        <v>207</v>
      </c>
      <c r="V27" t="s">
        <v>104</v>
      </c>
      <c r="W27" t="s">
        <v>209</v>
      </c>
      <c r="X27" t="s">
        <v>210</v>
      </c>
      <c r="Y27" t="s">
        <v>129</v>
      </c>
      <c r="Z27" t="s">
        <v>211</v>
      </c>
      <c r="AA27" t="s">
        <v>59</v>
      </c>
      <c r="AB27" t="s">
        <v>43</v>
      </c>
      <c r="AC27" t="s">
        <v>209</v>
      </c>
    </row>
    <row r="28" spans="1:30">
      <c r="A28" t="s">
        <v>212</v>
      </c>
      <c r="B28" s="5">
        <v>34145000</v>
      </c>
      <c r="C28" s="5">
        <v>0</v>
      </c>
      <c r="D28" s="5">
        <v>0</v>
      </c>
      <c r="E28" s="5">
        <v>34145000</v>
      </c>
      <c r="F28" s="5">
        <f>B28+C28-D28</f>
        <v>34145000</v>
      </c>
      <c r="G28" s="5">
        <f>IF(E28="","",B28+C28-D28-E28)</f>
        <v>0</v>
      </c>
      <c r="H28" s="6" t="s">
        <v>32</v>
      </c>
      <c r="I28" s="7">
        <v>0.042</v>
      </c>
      <c r="J28" s="8"/>
      <c r="L28" s="9"/>
      <c r="M28" s="10">
        <v>0</v>
      </c>
      <c r="N28" s="11">
        <f>IF(H28="浮动",IF(ISNUMBER(L28),L28+M28/10000,0),IF(ISNUMBER(I28),I28,0))</f>
        <v>0.042</v>
      </c>
      <c r="O28" s="12">
        <f>SUMIFS('计息分段明细'!$G:$G,'计息分段明细'!$K:$K,T28)</f>
        <v>12462925000</v>
      </c>
      <c r="P28" s="5">
        <f>SUMIFS('计息分段明细'!$I:$I,'计息分段明细'!$K:$K,T28)</f>
        <v>1434090</v>
      </c>
      <c r="Q28" t="s">
        <v>33</v>
      </c>
      <c r="R28" t="s">
        <v>52</v>
      </c>
      <c r="S28" t="s">
        <v>35</v>
      </c>
      <c r="T28" t="s">
        <v>213</v>
      </c>
      <c r="U28" t="s">
        <v>212</v>
      </c>
      <c r="V28" t="s">
        <v>119</v>
      </c>
      <c r="W28" t="s">
        <v>214</v>
      </c>
      <c r="X28" t="s">
        <v>215</v>
      </c>
      <c r="Y28" t="s">
        <v>216</v>
      </c>
      <c r="Z28" t="s">
        <v>217</v>
      </c>
      <c r="AA28" t="s">
        <v>59</v>
      </c>
      <c r="AB28" t="s">
        <v>43</v>
      </c>
      <c r="AC28" t="s">
        <v>214</v>
      </c>
    </row>
    <row r="29" spans="1:30">
      <c r="A29" t="s">
        <v>218</v>
      </c>
      <c r="B29" s="5">
        <v>32270000</v>
      </c>
      <c r="C29" s="5">
        <v>0</v>
      </c>
      <c r="D29" s="5">
        <v>0</v>
      </c>
      <c r="E29" s="5">
        <v>32270000</v>
      </c>
      <c r="F29" s="5">
        <f>B29+C29-D29</f>
        <v>32270000</v>
      </c>
      <c r="G29" s="5">
        <f>IF(E29="","",B29+C29-D29-E29)</f>
        <v>0</v>
      </c>
      <c r="H29" s="6" t="s">
        <v>32</v>
      </c>
      <c r="I29" s="7">
        <v>0.0398</v>
      </c>
      <c r="J29" s="8"/>
      <c r="L29" s="9"/>
      <c r="M29" s="10">
        <v>0</v>
      </c>
      <c r="N29" s="11">
        <f>IF(H29="浮动",IF(ISNUMBER(L29),L29+M29/10000,0),IF(ISNUMBER(I29),I29,0))</f>
        <v>0.0398</v>
      </c>
      <c r="O29" s="12">
        <f>SUMIFS('计息分段明细'!$G:$G,'计息分段明细'!$K:$K,T29)</f>
        <v>11778550000</v>
      </c>
      <c r="P29" s="5">
        <f>SUMIFS('计息分段明细'!$I:$I,'计息分段明细'!$K:$K,T29)</f>
        <v>1284346</v>
      </c>
      <c r="Q29" t="s">
        <v>33</v>
      </c>
      <c r="R29" t="s">
        <v>52</v>
      </c>
      <c r="S29" t="s">
        <v>35</v>
      </c>
      <c r="T29" t="s">
        <v>219</v>
      </c>
      <c r="U29" t="s">
        <v>218</v>
      </c>
      <c r="V29" t="s">
        <v>46</v>
      </c>
      <c r="W29" t="s">
        <v>220</v>
      </c>
      <c r="X29" t="s">
        <v>221</v>
      </c>
      <c r="Y29" t="s">
        <v>222</v>
      </c>
      <c r="Z29" t="s">
        <v>223</v>
      </c>
      <c r="AA29" t="s">
        <v>59</v>
      </c>
      <c r="AB29" t="s">
        <v>43</v>
      </c>
      <c r="AC29" t="s">
        <v>220</v>
      </c>
    </row>
    <row r="30" spans="1:30">
      <c r="A30" t="s">
        <v>224</v>
      </c>
      <c r="B30" s="5">
        <v>50315000</v>
      </c>
      <c r="C30" s="5">
        <v>0</v>
      </c>
      <c r="D30" s="5">
        <v>0</v>
      </c>
      <c r="E30" s="5">
        <v>50315000</v>
      </c>
      <c r="F30" s="5">
        <f>B30+C30-D30</f>
        <v>50315000</v>
      </c>
      <c r="G30" s="5">
        <f>IF(E30="","",B30+C30-D30-E30)</f>
        <v>0</v>
      </c>
      <c r="H30" s="6" t="s">
        <v>32</v>
      </c>
      <c r="I30" s="7">
        <v>0.0392</v>
      </c>
      <c r="J30" s="8"/>
      <c r="L30" s="9"/>
      <c r="M30" s="10">
        <v>0</v>
      </c>
      <c r="N30" s="11">
        <f>IF(H30="浮动",IF(ISNUMBER(L30),L30+M30/10000,0),IF(ISNUMBER(I30),I30,0))</f>
        <v>0.0392</v>
      </c>
      <c r="O30" s="12">
        <f>SUMIFS('计息分段明细'!$G:$G,'计息分段明细'!$K:$K,T30)</f>
        <v>18364975000</v>
      </c>
      <c r="P30" s="5">
        <f>SUMIFS('计息分段明细'!$I:$I,'计息分段明细'!$K:$K,T30)</f>
        <v>1972348</v>
      </c>
      <c r="Q30" t="s">
        <v>33</v>
      </c>
      <c r="R30" t="s">
        <v>52</v>
      </c>
      <c r="S30" t="s">
        <v>35</v>
      </c>
      <c r="T30" t="s">
        <v>225</v>
      </c>
      <c r="U30" t="s">
        <v>224</v>
      </c>
      <c r="V30" t="s">
        <v>140</v>
      </c>
      <c r="W30" t="s">
        <v>226</v>
      </c>
      <c r="X30" t="s">
        <v>227</v>
      </c>
      <c r="Y30" t="s">
        <v>228</v>
      </c>
      <c r="Z30" t="s">
        <v>229</v>
      </c>
      <c r="AA30" t="s">
        <v>59</v>
      </c>
      <c r="AB30" t="s">
        <v>43</v>
      </c>
      <c r="AC30" t="s">
        <v>226</v>
      </c>
    </row>
    <row r="31" spans="1:30">
      <c r="A31" t="s">
        <v>230</v>
      </c>
      <c r="B31" s="5">
        <v>0</v>
      </c>
      <c r="C31" s="5">
        <v>35315000</v>
      </c>
      <c r="D31" s="5">
        <v>35315000</v>
      </c>
      <c r="E31" s="5">
        <v>0</v>
      </c>
      <c r="F31" s="5">
        <f>B31+C31-D31</f>
        <v>0</v>
      </c>
      <c r="G31" s="5">
        <f>IF(E31="","",B31+C31-D31-E31)</f>
        <v>0</v>
      </c>
      <c r="H31" s="6" t="s">
        <v>32</v>
      </c>
      <c r="I31" s="7">
        <v>0.038</v>
      </c>
      <c r="J31" s="8"/>
      <c r="L31" s="9"/>
      <c r="M31" s="10">
        <v>0</v>
      </c>
      <c r="N31" s="11">
        <f>IF(H31="浮动",IF(ISNUMBER(L31),L31+M31/10000,0),IF(ISNUMBER(I31),I31,0))</f>
        <v>0.038</v>
      </c>
      <c r="O31" s="12">
        <f>SUMIFS('计息分段明细'!$G:$G,'计息分段明细'!$K:$K,T31)</f>
        <v>8864065000</v>
      </c>
      <c r="P31" s="5">
        <f>SUMIFS('计息分段明细'!$I:$I,'计息分段明细'!$K:$K,T31)</f>
        <v>922834.1643835616</v>
      </c>
      <c r="Q31" t="s">
        <v>33</v>
      </c>
      <c r="R31" t="s">
        <v>34</v>
      </c>
      <c r="S31" t="s">
        <v>35</v>
      </c>
      <c r="T31" t="s">
        <v>231</v>
      </c>
      <c r="U31" t="s">
        <v>230</v>
      </c>
      <c r="V31" t="s">
        <v>126</v>
      </c>
      <c r="W31" t="s">
        <v>232</v>
      </c>
      <c r="X31" t="s">
        <v>233</v>
      </c>
      <c r="Y31" t="s">
        <v>79</v>
      </c>
      <c r="Z31" t="s">
        <v>81</v>
      </c>
      <c r="AA31" t="s">
        <v>59</v>
      </c>
      <c r="AB31" t="s">
        <v>109</v>
      </c>
      <c r="AC31" t="s">
        <v>110</v>
      </c>
    </row>
    <row r="32" spans="1:30">
      <c r="A32" t="s">
        <v>234</v>
      </c>
      <c r="B32" s="5">
        <v>20565000</v>
      </c>
      <c r="C32" s="5">
        <v>0</v>
      </c>
      <c r="D32" s="5">
        <v>0</v>
      </c>
      <c r="E32" s="5">
        <v>20565000</v>
      </c>
      <c r="F32" s="5">
        <f>B32+C32-D32</f>
        <v>20565000</v>
      </c>
      <c r="G32" s="5">
        <f>IF(E32="","",B32+C32-D32-E32)</f>
        <v>0</v>
      </c>
      <c r="H32" s="6" t="s">
        <v>32</v>
      </c>
      <c r="I32" s="7">
        <v>0.0338</v>
      </c>
      <c r="J32" s="8"/>
      <c r="L32" s="9"/>
      <c r="M32" s="10">
        <v>0</v>
      </c>
      <c r="N32" s="11">
        <f>IF(H32="浮动",IF(ISNUMBER(L32),L32+M32/10000,0),IF(ISNUMBER(I32),I32,0))</f>
        <v>0.0338</v>
      </c>
      <c r="O32" s="12">
        <f>SUMIFS('计息分段明细'!$G:$G,'计息分段明细'!$K:$K,T32)</f>
        <v>7506225000</v>
      </c>
      <c r="P32" s="5">
        <f>SUMIFS('计息分段明细'!$I:$I,'计息分段明细'!$K:$K,T32)</f>
        <v>695096.9999999999</v>
      </c>
      <c r="Q32" t="s">
        <v>33</v>
      </c>
      <c r="R32" t="s">
        <v>52</v>
      </c>
      <c r="S32" t="s">
        <v>35</v>
      </c>
      <c r="T32" t="s">
        <v>235</v>
      </c>
      <c r="U32" t="s">
        <v>234</v>
      </c>
      <c r="V32" t="s">
        <v>77</v>
      </c>
      <c r="W32" t="s">
        <v>236</v>
      </c>
      <c r="X32" t="s">
        <v>175</v>
      </c>
      <c r="Y32" t="s">
        <v>237</v>
      </c>
      <c r="Z32" t="s">
        <v>238</v>
      </c>
      <c r="AA32" t="s">
        <v>42</v>
      </c>
      <c r="AB32" t="s">
        <v>43</v>
      </c>
      <c r="AC32" t="s">
        <v>236</v>
      </c>
    </row>
    <row r="33" spans="1:29">
      <c r="A33" t="s">
        <v>239</v>
      </c>
      <c r="B33" s="5">
        <v>30175000</v>
      </c>
      <c r="C33" s="5">
        <v>0</v>
      </c>
      <c r="D33" s="5">
        <v>0</v>
      </c>
      <c r="E33" s="5">
        <v>30175000</v>
      </c>
      <c r="F33" s="5">
        <f>B33+C33-D33</f>
        <v>30175000</v>
      </c>
      <c r="G33" s="5">
        <f>IF(E33="","",B33+C33-D33-E33)</f>
        <v>0</v>
      </c>
      <c r="H33" s="6" t="s">
        <v>32</v>
      </c>
      <c r="I33" s="7">
        <v>0.0398</v>
      </c>
      <c r="J33" s="8"/>
      <c r="L33" s="9"/>
      <c r="M33" s="10">
        <v>0</v>
      </c>
      <c r="N33" s="11">
        <f>IF(H33="浮动",IF(ISNUMBER(L33),L33+M33/10000,0),IF(ISNUMBER(I33),I33,0))</f>
        <v>0.0398</v>
      </c>
      <c r="O33" s="12">
        <f>SUMIFS('计息分段明细'!$G:$G,'计息分段明细'!$K:$K,T33)</f>
        <v>11013875000</v>
      </c>
      <c r="P33" s="5">
        <f>SUMIFS('计息分段明细'!$I:$I,'计息分段明细'!$K:$K,T33)</f>
        <v>1200965</v>
      </c>
      <c r="Q33" t="s">
        <v>33</v>
      </c>
      <c r="R33" t="s">
        <v>52</v>
      </c>
      <c r="S33" t="s">
        <v>35</v>
      </c>
      <c r="T33" t="s">
        <v>240</v>
      </c>
      <c r="U33" t="s">
        <v>239</v>
      </c>
      <c r="V33" t="s">
        <v>241</v>
      </c>
      <c r="W33" t="s">
        <v>242</v>
      </c>
      <c r="X33" t="s">
        <v>243</v>
      </c>
      <c r="Y33" t="s">
        <v>244</v>
      </c>
      <c r="Z33" t="s">
        <v>223</v>
      </c>
      <c r="AA33" t="s">
        <v>59</v>
      </c>
      <c r="AB33" t="s">
        <v>43</v>
      </c>
      <c r="AC33" t="s">
        <v>242</v>
      </c>
    </row>
    <row r="34" spans="1:29">
      <c r="A34" s="13" t="s">
        <v>245</v>
      </c>
      <c r="B34" s="14">
        <f>SUM(B2:B33)</f>
        <v>557085000</v>
      </c>
      <c r="C34" s="14">
        <f>SUM(C2:C33)</f>
        <v>385005000</v>
      </c>
      <c r="D34" s="14">
        <f>SUM(D2:D33)</f>
        <v>86950000</v>
      </c>
      <c r="E34" s="14">
        <f>SUM(E2:E33)</f>
        <v>855140000</v>
      </c>
      <c r="F34" s="14">
        <f>SUM(F2:F33)</f>
        <v>855140000</v>
      </c>
      <c r="G34" s="14">
        <f>SUM(G2:G33)</f>
        <v>0</v>
      </c>
      <c r="O34" s="14">
        <f>SUM(O2:O33)</f>
        <v>273679055000</v>
      </c>
      <c r="P34" s="14">
        <f>SUM(P2:P33)</f>
        <v>30658684.24383561</v>
      </c>
    </row>
    <row r="36" spans="1:29">
      <c r="A36" s="13" t="s">
        <v>246</v>
      </c>
    </row>
    <row r="37" spans="1:29">
      <c r="A37" s="1" t="s">
        <v>247</v>
      </c>
      <c r="B37" s="1" t="s">
        <v>248</v>
      </c>
      <c r="C37" s="1" t="s">
        <v>249</v>
      </c>
    </row>
    <row r="38" spans="1:29">
      <c r="A38" t="s">
        <v>250</v>
      </c>
      <c r="B38" s="5">
        <f>P34</f>
        <v>30658684.24383561</v>
      </c>
      <c r="C38" t="s">
        <v>251</v>
      </c>
    </row>
    <row r="39" spans="1:29">
      <c r="A39" t="s">
        <v>252</v>
      </c>
      <c r="B39" s="5"/>
      <c r="C39" t="s">
        <v>253</v>
      </c>
    </row>
    <row r="40" spans="1:29">
      <c r="A40" t="s">
        <v>254</v>
      </c>
      <c r="B40" s="5">
        <f>IF(ISNUMBER(B39),B38-B39,"")</f>
        <v>0</v>
      </c>
      <c r="C40" t="s">
        <v>255</v>
      </c>
    </row>
    <row r="42" spans="1:29">
      <c r="A42" t="s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FormatPr defaultRowHeight="15"/>
  <cols>
    <col min="1" max="1" width="16.7109375" customWidth="1"/>
    <col min="2" max="2" width="6.7109375" customWidth="1"/>
    <col min="3" max="3" width="12.7109375" customWidth="1"/>
    <col min="4" max="4" width="14.7109375" customWidth="1"/>
    <col min="5" max="5" width="15.7109375" customWidth="1"/>
    <col min="6" max="6" width="8.7109375" customWidth="1"/>
    <col min="7" max="7" width="18.7109375" customWidth="1"/>
    <col min="8" max="8" width="12.7109375" customWidth="1"/>
    <col min="9" max="9" width="15.7109375" customWidth="1"/>
    <col min="11" max="11" width="0" hidden="1" customWidth="1"/>
  </cols>
  <sheetData>
    <row r="1" spans="1:1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18</v>
      </c>
      <c r="K1" s="1" t="s">
        <v>19</v>
      </c>
    </row>
    <row r="2" spans="1:11">
      <c r="A2" t="s">
        <v>31</v>
      </c>
      <c r="B2">
        <v>1</v>
      </c>
      <c r="C2" s="8">
        <v>45658</v>
      </c>
      <c r="D2" s="8">
        <v>45968</v>
      </c>
      <c r="E2" s="5">
        <v>0</v>
      </c>
      <c r="F2" s="12">
        <f>D2-C2+1</f>
        <v>311</v>
      </c>
      <c r="G2" s="12">
        <f>E2*F2</f>
        <v>0</v>
      </c>
      <c r="H2" s="11">
        <f>'借款变动与利息测算'!N2</f>
        <v>0.047400000000000005</v>
      </c>
      <c r="I2" s="5">
        <f>E2*H2*F2/365</f>
        <v>0</v>
      </c>
      <c r="J2" t="s">
        <v>35</v>
      </c>
      <c r="K2" t="s">
        <v>36</v>
      </c>
    </row>
    <row r="3" spans="1:11">
      <c r="A3" t="s">
        <v>31</v>
      </c>
      <c r="B3">
        <v>2</v>
      </c>
      <c r="C3" s="8">
        <v>45969</v>
      </c>
      <c r="D3" s="8">
        <v>46022</v>
      </c>
      <c r="E3" s="5">
        <v>17805000</v>
      </c>
      <c r="F3" s="12">
        <f>D3-C3+1</f>
        <v>54</v>
      </c>
      <c r="G3" s="12">
        <f>E3*F3</f>
        <v>961470000</v>
      </c>
      <c r="H3" s="11">
        <f>'借款变动与利息测算'!N2</f>
        <v>0.047400000000000005</v>
      </c>
      <c r="I3" s="5">
        <f>E3*H3*F3/365</f>
        <v>124859.39178082194</v>
      </c>
      <c r="J3" t="s">
        <v>35</v>
      </c>
      <c r="K3" t="s">
        <v>36</v>
      </c>
    </row>
    <row r="4" spans="1:11">
      <c r="A4" t="s">
        <v>44</v>
      </c>
      <c r="B4">
        <v>1</v>
      </c>
      <c r="C4" s="8">
        <v>45658</v>
      </c>
      <c r="D4" s="8">
        <v>45742</v>
      </c>
      <c r="E4" s="5">
        <v>0</v>
      </c>
      <c r="F4" s="12">
        <f>D4-C4+1</f>
        <v>85</v>
      </c>
      <c r="G4" s="12">
        <f>E4*F4</f>
        <v>0</v>
      </c>
      <c r="H4" s="11">
        <f>'借款变动与利息测算'!N3</f>
        <v>0.0431</v>
      </c>
      <c r="I4" s="5">
        <f>E4*H4*F4/365</f>
        <v>0</v>
      </c>
      <c r="J4" t="s">
        <v>35</v>
      </c>
      <c r="K4" t="s">
        <v>45</v>
      </c>
    </row>
    <row r="5" spans="1:11">
      <c r="A5" t="s">
        <v>44</v>
      </c>
      <c r="B5">
        <v>2</v>
      </c>
      <c r="C5" s="8">
        <v>45743</v>
      </c>
      <c r="D5" s="8">
        <v>46022</v>
      </c>
      <c r="E5" s="5">
        <v>27060000</v>
      </c>
      <c r="F5" s="12">
        <f>D5-C5+1</f>
        <v>280</v>
      </c>
      <c r="G5" s="12">
        <f>E5*F5</f>
        <v>7576800000</v>
      </c>
      <c r="H5" s="11">
        <f>'借款变动与利息测算'!N3</f>
        <v>0.0431</v>
      </c>
      <c r="I5" s="5">
        <f>E5*H5*F5/365</f>
        <v>894685.1506849315</v>
      </c>
      <c r="J5" t="s">
        <v>35</v>
      </c>
      <c r="K5" t="s">
        <v>45</v>
      </c>
    </row>
    <row r="6" spans="1:11">
      <c r="A6" t="s">
        <v>51</v>
      </c>
      <c r="B6">
        <v>1</v>
      </c>
      <c r="C6" s="8">
        <v>45658</v>
      </c>
      <c r="D6" s="8">
        <v>46022</v>
      </c>
      <c r="E6" s="5">
        <v>11160000</v>
      </c>
      <c r="F6" s="12">
        <f>D6-C6+1</f>
        <v>365</v>
      </c>
      <c r="G6" s="12">
        <f>E6*F6</f>
        <v>4073400000</v>
      </c>
      <c r="H6" s="11">
        <f>'借款变动与利息测算'!N4</f>
        <v>0.0342</v>
      </c>
      <c r="I6" s="5">
        <f>E6*H6*F6/365</f>
        <v>381672</v>
      </c>
      <c r="J6" t="s">
        <v>35</v>
      </c>
      <c r="K6" t="s">
        <v>53</v>
      </c>
    </row>
    <row r="7" spans="1:11">
      <c r="A7" t="s">
        <v>60</v>
      </c>
      <c r="B7">
        <v>1</v>
      </c>
      <c r="C7" s="8">
        <v>45658</v>
      </c>
      <c r="D7" s="8">
        <v>45922</v>
      </c>
      <c r="E7" s="5">
        <v>0</v>
      </c>
      <c r="F7" s="12">
        <f>D7-C7+1</f>
        <v>265</v>
      </c>
      <c r="G7" s="12">
        <f>E7*F7</f>
        <v>0</v>
      </c>
      <c r="H7" s="11">
        <f>'借款变动与利息测算'!N5</f>
        <v>0.0463</v>
      </c>
      <c r="I7" s="5">
        <f>E7*H7*F7/365</f>
        <v>0</v>
      </c>
      <c r="J7" t="s">
        <v>35</v>
      </c>
      <c r="K7" t="s">
        <v>61</v>
      </c>
    </row>
    <row r="8" spans="1:11">
      <c r="A8" t="s">
        <v>60</v>
      </c>
      <c r="B8">
        <v>2</v>
      </c>
      <c r="C8" s="8">
        <v>45923</v>
      </c>
      <c r="D8" s="8">
        <v>46022</v>
      </c>
      <c r="E8" s="5">
        <v>15375000</v>
      </c>
      <c r="F8" s="12">
        <f>D8-C8+1</f>
        <v>100</v>
      </c>
      <c r="G8" s="12">
        <f>E8*F8</f>
        <v>1537500000</v>
      </c>
      <c r="H8" s="11">
        <f>'借款变动与利息测算'!N5</f>
        <v>0.0463</v>
      </c>
      <c r="I8" s="5">
        <f>E8*H8*F8/365</f>
        <v>195030.8219178082</v>
      </c>
      <c r="J8" t="s">
        <v>35</v>
      </c>
      <c r="K8" t="s">
        <v>61</v>
      </c>
    </row>
    <row r="9" spans="1:11">
      <c r="A9" t="s">
        <v>66</v>
      </c>
      <c r="B9">
        <v>1</v>
      </c>
      <c r="C9" s="8">
        <v>45658</v>
      </c>
      <c r="D9" s="8">
        <v>46022</v>
      </c>
      <c r="E9" s="5">
        <v>35370000</v>
      </c>
      <c r="F9" s="12">
        <f>D9-C9+1</f>
        <v>365</v>
      </c>
      <c r="G9" s="12">
        <f>E9*F9</f>
        <v>12910050000</v>
      </c>
      <c r="H9" s="11">
        <f>'借款变动与利息测算'!N6</f>
        <v>0.046</v>
      </c>
      <c r="I9" s="5">
        <f>E9*H9*F9/365</f>
        <v>1627020</v>
      </c>
      <c r="J9" t="s">
        <v>35</v>
      </c>
      <c r="K9" t="s">
        <v>67</v>
      </c>
    </row>
    <row r="10" spans="1:11">
      <c r="A10" t="s">
        <v>75</v>
      </c>
      <c r="B10">
        <v>1</v>
      </c>
      <c r="C10" s="8">
        <v>45658</v>
      </c>
      <c r="D10" s="8">
        <v>45915</v>
      </c>
      <c r="E10" s="5">
        <v>0</v>
      </c>
      <c r="F10" s="12">
        <f>D10-C10+1</f>
        <v>258</v>
      </c>
      <c r="G10" s="12">
        <f>E10*F10</f>
        <v>0</v>
      </c>
      <c r="H10" s="11">
        <f>'借款变动与利息测算'!N7</f>
        <v>0.038</v>
      </c>
      <c r="I10" s="5">
        <f>E10*H10*F10/365</f>
        <v>0</v>
      </c>
      <c r="J10" t="s">
        <v>35</v>
      </c>
      <c r="K10" t="s">
        <v>76</v>
      </c>
    </row>
    <row r="11" spans="1:11">
      <c r="A11" t="s">
        <v>75</v>
      </c>
      <c r="B11">
        <v>2</v>
      </c>
      <c r="C11" s="8">
        <v>45916</v>
      </c>
      <c r="D11" s="8">
        <v>46022</v>
      </c>
      <c r="E11" s="5">
        <v>50720000</v>
      </c>
      <c r="F11" s="12">
        <f>D11-C11+1</f>
        <v>107</v>
      </c>
      <c r="G11" s="12">
        <f>E11*F11</f>
        <v>5427040000</v>
      </c>
      <c r="H11" s="11">
        <f>'借款变动与利息测算'!N7</f>
        <v>0.038</v>
      </c>
      <c r="I11" s="5">
        <f>E11*H11*F11/365</f>
        <v>565006.904109589</v>
      </c>
      <c r="J11" t="s">
        <v>35</v>
      </c>
      <c r="K11" t="s">
        <v>76</v>
      </c>
    </row>
    <row r="12" spans="1:11">
      <c r="A12" t="s">
        <v>82</v>
      </c>
      <c r="B12">
        <v>1</v>
      </c>
      <c r="C12" s="8">
        <v>45658</v>
      </c>
      <c r="D12" s="8">
        <v>46022</v>
      </c>
      <c r="E12" s="5">
        <v>42065000</v>
      </c>
      <c r="F12" s="12">
        <f>D12-C12+1</f>
        <v>365</v>
      </c>
      <c r="G12" s="12">
        <f>E12*F12</f>
        <v>15353725000</v>
      </c>
      <c r="H12" s="11">
        <f>'借款变动与利息测算'!N8</f>
        <v>0.044500000000000005</v>
      </c>
      <c r="I12" s="5">
        <f>E12*H12*F12/365</f>
        <v>1871892.5000000002</v>
      </c>
      <c r="J12" t="s">
        <v>35</v>
      </c>
      <c r="K12" t="s">
        <v>83</v>
      </c>
    </row>
    <row r="13" spans="1:11">
      <c r="A13" t="s">
        <v>88</v>
      </c>
      <c r="B13">
        <v>1</v>
      </c>
      <c r="C13" s="8">
        <v>45658</v>
      </c>
      <c r="D13" s="8">
        <v>46022</v>
      </c>
      <c r="E13" s="5">
        <v>8080000</v>
      </c>
      <c r="F13" s="12">
        <f>D13-C13+1</f>
        <v>365</v>
      </c>
      <c r="G13" s="12">
        <f>E13*F13</f>
        <v>2949200000</v>
      </c>
      <c r="H13" s="11">
        <f>'借款变动与利息测算'!N9</f>
        <v>0.0433</v>
      </c>
      <c r="I13" s="5">
        <f>E13*H13*F13/365</f>
        <v>349864</v>
      </c>
      <c r="J13" t="s">
        <v>35</v>
      </c>
      <c r="K13" t="s">
        <v>89</v>
      </c>
    </row>
    <row r="14" spans="1:11">
      <c r="A14" t="s">
        <v>95</v>
      </c>
      <c r="B14">
        <v>1</v>
      </c>
      <c r="C14" s="8">
        <v>45658</v>
      </c>
      <c r="D14" s="8">
        <v>45766</v>
      </c>
      <c r="E14" s="5">
        <v>0</v>
      </c>
      <c r="F14" s="12">
        <f>D14-C14+1</f>
        <v>109</v>
      </c>
      <c r="G14" s="12">
        <f>E14*F14</f>
        <v>0</v>
      </c>
      <c r="H14" s="11">
        <f>'借款变动与利息测算'!N10</f>
        <v>0.035699999999999996</v>
      </c>
      <c r="I14" s="5">
        <f>E14*H14*F14/365</f>
        <v>0</v>
      </c>
      <c r="J14" t="s">
        <v>35</v>
      </c>
      <c r="K14" t="s">
        <v>96</v>
      </c>
    </row>
    <row r="15" spans="1:11">
      <c r="A15" t="s">
        <v>95</v>
      </c>
      <c r="B15">
        <v>2</v>
      </c>
      <c r="C15" s="8">
        <v>45767</v>
      </c>
      <c r="D15" s="8">
        <v>46022</v>
      </c>
      <c r="E15" s="5">
        <v>52495000</v>
      </c>
      <c r="F15" s="12">
        <f>D15-C15+1</f>
        <v>256</v>
      </c>
      <c r="G15" s="12">
        <f>E15*F15</f>
        <v>13438720000</v>
      </c>
      <c r="H15" s="11">
        <f>'借款变动与利息测算'!N10</f>
        <v>0.035699999999999996</v>
      </c>
      <c r="I15" s="5">
        <f>E15*H15*F15/365</f>
        <v>1314417.2712328765</v>
      </c>
      <c r="J15" t="s">
        <v>35</v>
      </c>
      <c r="K15" t="s">
        <v>96</v>
      </c>
    </row>
    <row r="16" spans="1:11">
      <c r="A16" t="s">
        <v>102</v>
      </c>
      <c r="B16">
        <v>1</v>
      </c>
      <c r="C16" s="8">
        <v>45658</v>
      </c>
      <c r="D16" s="8">
        <v>45762</v>
      </c>
      <c r="E16" s="5">
        <v>0</v>
      </c>
      <c r="F16" s="12">
        <f>D16-C16+1</f>
        <v>105</v>
      </c>
      <c r="G16" s="12">
        <f>E16*F16</f>
        <v>0</v>
      </c>
      <c r="H16" s="11">
        <f>'借款变动与利息测算'!N11</f>
        <v>0.047</v>
      </c>
      <c r="I16" s="5">
        <f>E16*H16*F16/365</f>
        <v>0</v>
      </c>
      <c r="J16" t="s">
        <v>35</v>
      </c>
      <c r="K16" t="s">
        <v>103</v>
      </c>
    </row>
    <row r="17" spans="1:11">
      <c r="A17" t="s">
        <v>102</v>
      </c>
      <c r="B17">
        <v>2</v>
      </c>
      <c r="C17" s="8">
        <v>45763</v>
      </c>
      <c r="D17" s="8">
        <v>45849</v>
      </c>
      <c r="E17" s="5">
        <v>51635000</v>
      </c>
      <c r="F17" s="12">
        <f>D17-C17+1</f>
        <v>87</v>
      </c>
      <c r="G17" s="12">
        <f>E17*F17</f>
        <v>4492245000</v>
      </c>
      <c r="H17" s="11">
        <f>'借款变动与利息测算'!N11</f>
        <v>0.047</v>
      </c>
      <c r="I17" s="5">
        <f>E17*H17*F17/365</f>
        <v>578453.4657534247</v>
      </c>
      <c r="J17" t="s">
        <v>35</v>
      </c>
      <c r="K17" t="s">
        <v>103</v>
      </c>
    </row>
    <row r="18" spans="1:11">
      <c r="A18" t="s">
        <v>102</v>
      </c>
      <c r="B18">
        <v>3</v>
      </c>
      <c r="C18" s="8">
        <v>45850</v>
      </c>
      <c r="D18" s="8">
        <v>46022</v>
      </c>
      <c r="E18" s="5">
        <v>0</v>
      </c>
      <c r="F18" s="12">
        <f>D18-C18+1</f>
        <v>173</v>
      </c>
      <c r="G18" s="12">
        <f>E18*F18</f>
        <v>0</v>
      </c>
      <c r="H18" s="11">
        <f>'借款变动与利息测算'!N11</f>
        <v>0.047</v>
      </c>
      <c r="I18" s="5">
        <f>E18*H18*F18/365</f>
        <v>0</v>
      </c>
      <c r="J18" t="s">
        <v>35</v>
      </c>
      <c r="K18" t="s">
        <v>103</v>
      </c>
    </row>
    <row r="19" spans="1:11">
      <c r="A19" t="s">
        <v>111</v>
      </c>
      <c r="B19">
        <v>1</v>
      </c>
      <c r="C19" s="8">
        <v>45658</v>
      </c>
      <c r="D19" s="8">
        <v>46022</v>
      </c>
      <c r="E19" s="5">
        <v>52200000</v>
      </c>
      <c r="F19" s="12">
        <f>D19-C19+1</f>
        <v>365</v>
      </c>
      <c r="G19" s="12">
        <f>E19*F19</f>
        <v>19053000000</v>
      </c>
      <c r="H19" s="11">
        <f>'借款变动与利息测算'!N12</f>
        <v>0.0404</v>
      </c>
      <c r="I19" s="5">
        <f>E19*H19*F19/365</f>
        <v>2108880</v>
      </c>
      <c r="J19" t="s">
        <v>35</v>
      </c>
      <c r="K19" t="s">
        <v>112</v>
      </c>
    </row>
    <row r="20" spans="1:11">
      <c r="A20" t="s">
        <v>117</v>
      </c>
      <c r="B20">
        <v>1</v>
      </c>
      <c r="C20" s="8">
        <v>45658</v>
      </c>
      <c r="D20" s="8">
        <v>45737</v>
      </c>
      <c r="E20" s="5">
        <v>0</v>
      </c>
      <c r="F20" s="12">
        <f>D20-C20+1</f>
        <v>80</v>
      </c>
      <c r="G20" s="12">
        <f>E20*F20</f>
        <v>0</v>
      </c>
      <c r="H20" s="11">
        <f>'借款变动与利息测算'!N13</f>
        <v>0.0349</v>
      </c>
      <c r="I20" s="5">
        <f>E20*H20*F20/365</f>
        <v>0</v>
      </c>
      <c r="J20" t="s">
        <v>35</v>
      </c>
      <c r="K20" t="s">
        <v>118</v>
      </c>
    </row>
    <row r="21" spans="1:11">
      <c r="A21" t="s">
        <v>117</v>
      </c>
      <c r="B21">
        <v>2</v>
      </c>
      <c r="C21" s="8">
        <v>45738</v>
      </c>
      <c r="D21" s="8">
        <v>46022</v>
      </c>
      <c r="E21" s="5">
        <v>42905000</v>
      </c>
      <c r="F21" s="12">
        <f>D21-C21+1</f>
        <v>285</v>
      </c>
      <c r="G21" s="12">
        <f>E21*F21</f>
        <v>12227925000</v>
      </c>
      <c r="H21" s="11">
        <f>'借款变动与利息测算'!N13</f>
        <v>0.0349</v>
      </c>
      <c r="I21" s="5">
        <f>E21*H21*F21/365</f>
        <v>1169190.6369863013</v>
      </c>
      <c r="J21" t="s">
        <v>35</v>
      </c>
      <c r="K21" t="s">
        <v>118</v>
      </c>
    </row>
    <row r="22" spans="1:11">
      <c r="A22" t="s">
        <v>124</v>
      </c>
      <c r="B22">
        <v>1</v>
      </c>
      <c r="C22" s="8">
        <v>45658</v>
      </c>
      <c r="D22" s="8">
        <v>45855</v>
      </c>
      <c r="E22" s="5">
        <v>0</v>
      </c>
      <c r="F22" s="12">
        <f>D22-C22+1</f>
        <v>198</v>
      </c>
      <c r="G22" s="12">
        <f>E22*F22</f>
        <v>0</v>
      </c>
      <c r="H22" s="11">
        <f>'借款变动与利息测算'!N14</f>
        <v>0.0461</v>
      </c>
      <c r="I22" s="5">
        <f>E22*H22*F22/365</f>
        <v>0</v>
      </c>
      <c r="J22" t="s">
        <v>35</v>
      </c>
      <c r="K22" t="s">
        <v>125</v>
      </c>
    </row>
    <row r="23" spans="1:11">
      <c r="A23" t="s">
        <v>124</v>
      </c>
      <c r="B23">
        <v>2</v>
      </c>
      <c r="C23" s="8">
        <v>45856</v>
      </c>
      <c r="D23" s="8">
        <v>46022</v>
      </c>
      <c r="E23" s="5">
        <v>18715000</v>
      </c>
      <c r="F23" s="12">
        <f>D23-C23+1</f>
        <v>167</v>
      </c>
      <c r="G23" s="12">
        <f>E23*F23</f>
        <v>3125405000</v>
      </c>
      <c r="H23" s="11">
        <f>'借款变动与利息测算'!N14</f>
        <v>0.0461</v>
      </c>
      <c r="I23" s="5">
        <f>E23*H23*F23/365</f>
        <v>394742.93287671235</v>
      </c>
      <c r="J23" t="s">
        <v>35</v>
      </c>
      <c r="K23" t="s">
        <v>125</v>
      </c>
    </row>
    <row r="24" spans="1:11">
      <c r="A24" t="s">
        <v>131</v>
      </c>
      <c r="B24">
        <v>1</v>
      </c>
      <c r="C24" s="8">
        <v>45658</v>
      </c>
      <c r="D24" s="8">
        <v>45911</v>
      </c>
      <c r="E24" s="5">
        <v>0</v>
      </c>
      <c r="F24" s="12">
        <f>D24-C24+1</f>
        <v>254</v>
      </c>
      <c r="G24" s="12">
        <f>E24*F24</f>
        <v>0</v>
      </c>
      <c r="H24" s="11">
        <f>'借款变动与利息测算'!N15</f>
        <v>0.0388</v>
      </c>
      <c r="I24" s="5">
        <f>E24*H24*F24/365</f>
        <v>0</v>
      </c>
      <c r="J24" t="s">
        <v>35</v>
      </c>
      <c r="K24" t="s">
        <v>132</v>
      </c>
    </row>
    <row r="25" spans="1:11">
      <c r="A25" t="s">
        <v>131</v>
      </c>
      <c r="B25">
        <v>2</v>
      </c>
      <c r="C25" s="8">
        <v>45912</v>
      </c>
      <c r="D25" s="8">
        <v>46022</v>
      </c>
      <c r="E25" s="5">
        <v>30470000</v>
      </c>
      <c r="F25" s="12">
        <f>D25-C25+1</f>
        <v>111</v>
      </c>
      <c r="G25" s="12">
        <f>E25*F25</f>
        <v>3382170000</v>
      </c>
      <c r="H25" s="11">
        <f>'借款变动与利息测算'!N15</f>
        <v>0.0388</v>
      </c>
      <c r="I25" s="5">
        <f>E25*H25*F25/365</f>
        <v>359529.304109589</v>
      </c>
      <c r="J25" t="s">
        <v>35</v>
      </c>
      <c r="K25" t="s">
        <v>132</v>
      </c>
    </row>
    <row r="26" spans="1:11">
      <c r="A26" t="s">
        <v>138</v>
      </c>
      <c r="B26">
        <v>1</v>
      </c>
      <c r="C26" s="8">
        <v>45658</v>
      </c>
      <c r="D26" s="8">
        <v>46022</v>
      </c>
      <c r="E26" s="5">
        <v>18965000</v>
      </c>
      <c r="F26" s="12">
        <f>D26-C26+1</f>
        <v>365</v>
      </c>
      <c r="G26" s="12">
        <f>E26*F26</f>
        <v>6922225000</v>
      </c>
      <c r="H26" s="11">
        <f>'借款变动与利息测算'!N16</f>
        <v>0.0387</v>
      </c>
      <c r="I26" s="5">
        <f>E26*H26*F26/365</f>
        <v>733945.5</v>
      </c>
      <c r="J26" t="s">
        <v>35</v>
      </c>
      <c r="K26" t="s">
        <v>139</v>
      </c>
    </row>
    <row r="27" spans="1:11">
      <c r="A27" t="s">
        <v>145</v>
      </c>
      <c r="B27">
        <v>1</v>
      </c>
      <c r="C27" s="8">
        <v>45658</v>
      </c>
      <c r="D27" s="8">
        <v>46022</v>
      </c>
      <c r="E27" s="5">
        <v>10910000</v>
      </c>
      <c r="F27" s="12">
        <f>D27-C27+1</f>
        <v>365</v>
      </c>
      <c r="G27" s="12">
        <f>E27*F27</f>
        <v>3982150000</v>
      </c>
      <c r="H27" s="11">
        <f>'借款变动与利息测算'!N17</f>
        <v>0.0462</v>
      </c>
      <c r="I27" s="5">
        <f>E27*H27*F27/365</f>
        <v>504042</v>
      </c>
      <c r="J27" t="s">
        <v>35</v>
      </c>
      <c r="K27" t="s">
        <v>146</v>
      </c>
    </row>
    <row r="28" spans="1:11">
      <c r="A28" t="s">
        <v>151</v>
      </c>
      <c r="B28">
        <v>1</v>
      </c>
      <c r="C28" s="8">
        <v>45658</v>
      </c>
      <c r="D28" s="8">
        <v>46022</v>
      </c>
      <c r="E28" s="5">
        <v>3830000</v>
      </c>
      <c r="F28" s="12">
        <f>D28-C28+1</f>
        <v>365</v>
      </c>
      <c r="G28" s="12">
        <f>E28*F28</f>
        <v>1397950000</v>
      </c>
      <c r="H28" s="11">
        <f>'借款变动与利息测算'!N18</f>
        <v>0.0413</v>
      </c>
      <c r="I28" s="5">
        <f>E28*H28*F28/365</f>
        <v>158179</v>
      </c>
      <c r="J28" t="s">
        <v>35</v>
      </c>
      <c r="K28" t="s">
        <v>152</v>
      </c>
    </row>
    <row r="29" spans="1:11">
      <c r="A29" t="s">
        <v>158</v>
      </c>
      <c r="B29">
        <v>1</v>
      </c>
      <c r="C29" s="8">
        <v>45658</v>
      </c>
      <c r="D29" s="8">
        <v>46022</v>
      </c>
      <c r="E29" s="5">
        <v>7595000</v>
      </c>
      <c r="F29" s="12">
        <f>D29-C29+1</f>
        <v>365</v>
      </c>
      <c r="G29" s="12">
        <f>E29*F29</f>
        <v>2772175000</v>
      </c>
      <c r="H29" s="11">
        <f>'借款变动与利息测算'!N19</f>
        <v>0.0397</v>
      </c>
      <c r="I29" s="5">
        <f>E29*H29*F29/365</f>
        <v>301521.5</v>
      </c>
      <c r="J29" t="s">
        <v>35</v>
      </c>
      <c r="K29" t="s">
        <v>159</v>
      </c>
    </row>
    <row r="30" spans="1:11">
      <c r="A30" t="s">
        <v>165</v>
      </c>
      <c r="B30">
        <v>1</v>
      </c>
      <c r="C30" s="8">
        <v>45658</v>
      </c>
      <c r="D30" s="8">
        <v>46022</v>
      </c>
      <c r="E30" s="5">
        <v>36015000</v>
      </c>
      <c r="F30" s="12">
        <f>D30-C30+1</f>
        <v>365</v>
      </c>
      <c r="G30" s="12">
        <f>E30*F30</f>
        <v>13145475000</v>
      </c>
      <c r="H30" s="11">
        <f>'借款变动与利息测算'!N20</f>
        <v>0.0366</v>
      </c>
      <c r="I30" s="5">
        <f>E30*H30*F30/365</f>
        <v>1318149</v>
      </c>
      <c r="J30" t="s">
        <v>35</v>
      </c>
      <c r="K30" t="s">
        <v>166</v>
      </c>
    </row>
    <row r="31" spans="1:11">
      <c r="A31" t="s">
        <v>171</v>
      </c>
      <c r="B31">
        <v>1</v>
      </c>
      <c r="C31" s="8">
        <v>45658</v>
      </c>
      <c r="D31" s="8">
        <v>46022</v>
      </c>
      <c r="E31" s="5">
        <v>0</v>
      </c>
      <c r="F31" s="12">
        <f>D31-C31+1</f>
        <v>365</v>
      </c>
      <c r="G31" s="12">
        <f>E31*F31</f>
        <v>0</v>
      </c>
      <c r="H31" s="11">
        <f>'借款变动与利息测算'!N21</f>
        <v>0.0388</v>
      </c>
      <c r="I31" s="5">
        <f>E31*H31*F31/365</f>
        <v>0</v>
      </c>
      <c r="J31" t="s">
        <v>35</v>
      </c>
      <c r="K31" t="s">
        <v>172</v>
      </c>
    </row>
    <row r="32" spans="1:11">
      <c r="A32" t="s">
        <v>176</v>
      </c>
      <c r="B32">
        <v>1</v>
      </c>
      <c r="C32" s="8">
        <v>45658</v>
      </c>
      <c r="D32" s="8">
        <v>46022</v>
      </c>
      <c r="E32" s="5">
        <v>18390000</v>
      </c>
      <c r="F32" s="12">
        <f>D32-C32+1</f>
        <v>365</v>
      </c>
      <c r="G32" s="12">
        <f>E32*F32</f>
        <v>6712350000</v>
      </c>
      <c r="H32" s="11">
        <f>'借款变动与利息测算'!N22</f>
        <v>0.0396</v>
      </c>
      <c r="I32" s="5">
        <f>E32*H32*F32/365</f>
        <v>728244.0000000001</v>
      </c>
      <c r="J32" t="s">
        <v>35</v>
      </c>
      <c r="K32" t="s">
        <v>177</v>
      </c>
    </row>
    <row r="33" spans="1:11">
      <c r="A33" t="s">
        <v>183</v>
      </c>
      <c r="B33">
        <v>1</v>
      </c>
      <c r="C33" s="8">
        <v>45658</v>
      </c>
      <c r="D33" s="8">
        <v>46022</v>
      </c>
      <c r="E33" s="5">
        <v>32310000</v>
      </c>
      <c r="F33" s="12">
        <f>D33-C33+1</f>
        <v>365</v>
      </c>
      <c r="G33" s="12">
        <f>E33*F33</f>
        <v>11793150000</v>
      </c>
      <c r="H33" s="11">
        <f>'借款变动与利息测算'!N23</f>
        <v>0.0447</v>
      </c>
      <c r="I33" s="5">
        <f>E33*H33*F33/365</f>
        <v>1444257</v>
      </c>
      <c r="J33" t="s">
        <v>35</v>
      </c>
      <c r="K33" t="s">
        <v>184</v>
      </c>
    </row>
    <row r="34" spans="1:11">
      <c r="A34" t="s">
        <v>189</v>
      </c>
      <c r="B34">
        <v>1</v>
      </c>
      <c r="C34" s="8">
        <v>45658</v>
      </c>
      <c r="D34" s="8">
        <v>45803</v>
      </c>
      <c r="E34" s="5">
        <v>0</v>
      </c>
      <c r="F34" s="12">
        <f>D34-C34+1</f>
        <v>146</v>
      </c>
      <c r="G34" s="12">
        <f>E34*F34</f>
        <v>0</v>
      </c>
      <c r="H34" s="11">
        <f>'借款变动与利息测算'!N24</f>
        <v>0.0462</v>
      </c>
      <c r="I34" s="5">
        <f>E34*H34*F34/365</f>
        <v>0</v>
      </c>
      <c r="J34" t="s">
        <v>35</v>
      </c>
      <c r="K34" t="s">
        <v>190</v>
      </c>
    </row>
    <row r="35" spans="1:11">
      <c r="A35" t="s">
        <v>189</v>
      </c>
      <c r="B35">
        <v>2</v>
      </c>
      <c r="C35" s="8">
        <v>45804</v>
      </c>
      <c r="D35" s="8">
        <v>46022</v>
      </c>
      <c r="E35" s="5">
        <v>42510000</v>
      </c>
      <c r="F35" s="12">
        <f>D35-C35+1</f>
        <v>219</v>
      </c>
      <c r="G35" s="12">
        <f>E35*F35</f>
        <v>9309690000</v>
      </c>
      <c r="H35" s="11">
        <f>'借款变动与利息测算'!N24</f>
        <v>0.0462</v>
      </c>
      <c r="I35" s="5">
        <f>E35*H35*F35/365</f>
        <v>1178377.2</v>
      </c>
      <c r="J35" t="s">
        <v>35</v>
      </c>
      <c r="K35" t="s">
        <v>190</v>
      </c>
    </row>
    <row r="36" spans="1:11">
      <c r="A36" t="s">
        <v>194</v>
      </c>
      <c r="B36">
        <v>1</v>
      </c>
      <c r="C36" s="8">
        <v>45658</v>
      </c>
      <c r="D36" s="8">
        <v>46022</v>
      </c>
      <c r="E36" s="5">
        <v>11725000</v>
      </c>
      <c r="F36" s="12">
        <f>D36-C36+1</f>
        <v>365</v>
      </c>
      <c r="G36" s="12">
        <f>E36*F36</f>
        <v>4279625000</v>
      </c>
      <c r="H36" s="11">
        <f>'借款变动与利息测算'!N25</f>
        <v>0.04650000000000001</v>
      </c>
      <c r="I36" s="5">
        <f>E36*H36*F36/365</f>
        <v>545212.5000000001</v>
      </c>
      <c r="J36" t="s">
        <v>35</v>
      </c>
      <c r="K36" t="s">
        <v>195</v>
      </c>
    </row>
    <row r="37" spans="1:11">
      <c r="A37" t="s">
        <v>201</v>
      </c>
      <c r="B37">
        <v>1</v>
      </c>
      <c r="C37" s="8">
        <v>45658</v>
      </c>
      <c r="D37" s="8">
        <v>46022</v>
      </c>
      <c r="E37" s="5">
        <v>50660000</v>
      </c>
      <c r="F37" s="12">
        <f>D37-C37+1</f>
        <v>365</v>
      </c>
      <c r="G37" s="12">
        <f>E37*F37</f>
        <v>18490900000</v>
      </c>
      <c r="H37" s="11">
        <f>'借款变动与利息测算'!N26</f>
        <v>0.04019999999999999</v>
      </c>
      <c r="I37" s="5">
        <f>E37*H37*F37/365</f>
        <v>2036531.9999999998</v>
      </c>
      <c r="J37" t="s">
        <v>35</v>
      </c>
      <c r="K37" t="s">
        <v>202</v>
      </c>
    </row>
    <row r="38" spans="1:11">
      <c r="A38" t="s">
        <v>207</v>
      </c>
      <c r="B38">
        <v>1</v>
      </c>
      <c r="C38" s="8">
        <v>45658</v>
      </c>
      <c r="D38" s="8">
        <v>46022</v>
      </c>
      <c r="E38" s="5">
        <v>50340000</v>
      </c>
      <c r="F38" s="12">
        <f>D38-C38+1</f>
        <v>365</v>
      </c>
      <c r="G38" s="12">
        <f>E38*F38</f>
        <v>18374100000</v>
      </c>
      <c r="H38" s="11">
        <f>'借款变动与利息测算'!N27</f>
        <v>0.045</v>
      </c>
      <c r="I38" s="5">
        <f>E38*H38*F38/365</f>
        <v>2265300</v>
      </c>
      <c r="J38" t="s">
        <v>35</v>
      </c>
      <c r="K38" t="s">
        <v>208</v>
      </c>
    </row>
    <row r="39" spans="1:11">
      <c r="A39" t="s">
        <v>212</v>
      </c>
      <c r="B39">
        <v>1</v>
      </c>
      <c r="C39" s="8">
        <v>45658</v>
      </c>
      <c r="D39" s="8">
        <v>46022</v>
      </c>
      <c r="E39" s="5">
        <v>34145000</v>
      </c>
      <c r="F39" s="12">
        <f>D39-C39+1</f>
        <v>365</v>
      </c>
      <c r="G39" s="12">
        <f>E39*F39</f>
        <v>12462925000</v>
      </c>
      <c r="H39" s="11">
        <f>'借款变动与利息测算'!N28</f>
        <v>0.042</v>
      </c>
      <c r="I39" s="5">
        <f>E39*H39*F39/365</f>
        <v>1434090</v>
      </c>
      <c r="J39" t="s">
        <v>35</v>
      </c>
      <c r="K39" t="s">
        <v>213</v>
      </c>
    </row>
    <row r="40" spans="1:11">
      <c r="A40" t="s">
        <v>218</v>
      </c>
      <c r="B40">
        <v>1</v>
      </c>
      <c r="C40" s="8">
        <v>45658</v>
      </c>
      <c r="D40" s="8">
        <v>46022</v>
      </c>
      <c r="E40" s="5">
        <v>32270000</v>
      </c>
      <c r="F40" s="12">
        <f>D40-C40+1</f>
        <v>365</v>
      </c>
      <c r="G40" s="12">
        <f>E40*F40</f>
        <v>11778550000</v>
      </c>
      <c r="H40" s="11">
        <f>'借款变动与利息测算'!N29</f>
        <v>0.0398</v>
      </c>
      <c r="I40" s="5">
        <f>E40*H40*F40/365</f>
        <v>1284346</v>
      </c>
      <c r="J40" t="s">
        <v>35</v>
      </c>
      <c r="K40" t="s">
        <v>219</v>
      </c>
    </row>
    <row r="41" spans="1:11">
      <c r="A41" t="s">
        <v>224</v>
      </c>
      <c r="B41">
        <v>1</v>
      </c>
      <c r="C41" s="8">
        <v>45658</v>
      </c>
      <c r="D41" s="8">
        <v>46022</v>
      </c>
      <c r="E41" s="5">
        <v>50315000</v>
      </c>
      <c r="F41" s="12">
        <f>D41-C41+1</f>
        <v>365</v>
      </c>
      <c r="G41" s="12">
        <f>E41*F41</f>
        <v>18364975000</v>
      </c>
      <c r="H41" s="11">
        <f>'借款变动与利息测算'!N30</f>
        <v>0.0392</v>
      </c>
      <c r="I41" s="5">
        <f>E41*H41*F41/365</f>
        <v>1972348</v>
      </c>
      <c r="J41" t="s">
        <v>35</v>
      </c>
      <c r="K41" t="s">
        <v>225</v>
      </c>
    </row>
    <row r="42" spans="1:11">
      <c r="A42" t="s">
        <v>230</v>
      </c>
      <c r="B42">
        <v>1</v>
      </c>
      <c r="C42" s="8">
        <v>45658</v>
      </c>
      <c r="D42" s="8">
        <v>45664</v>
      </c>
      <c r="E42" s="5">
        <v>0</v>
      </c>
      <c r="F42" s="12">
        <f>D42-C42+1</f>
        <v>7</v>
      </c>
      <c r="G42" s="12">
        <f>E42*F42</f>
        <v>0</v>
      </c>
      <c r="H42" s="11">
        <f>'借款变动与利息测算'!N31</f>
        <v>0.038</v>
      </c>
      <c r="I42" s="5">
        <f>E42*H42*F42/365</f>
        <v>0</v>
      </c>
      <c r="J42" t="s">
        <v>35</v>
      </c>
      <c r="K42" t="s">
        <v>231</v>
      </c>
    </row>
    <row r="43" spans="1:11">
      <c r="A43" t="s">
        <v>230</v>
      </c>
      <c r="B43">
        <v>2</v>
      </c>
      <c r="C43" s="8">
        <v>45665</v>
      </c>
      <c r="D43" s="8">
        <v>45915</v>
      </c>
      <c r="E43" s="5">
        <v>35315000</v>
      </c>
      <c r="F43" s="12">
        <f>D43-C43+1</f>
        <v>251</v>
      </c>
      <c r="G43" s="12">
        <f>E43*F43</f>
        <v>8864065000</v>
      </c>
      <c r="H43" s="11">
        <f>'借款变动与利息测算'!N31</f>
        <v>0.038</v>
      </c>
      <c r="I43" s="5">
        <f>E43*H43*F43/365</f>
        <v>922834.1643835617</v>
      </c>
      <c r="J43" t="s">
        <v>35</v>
      </c>
      <c r="K43" t="s">
        <v>231</v>
      </c>
    </row>
    <row r="44" spans="1:11">
      <c r="A44" t="s">
        <v>230</v>
      </c>
      <c r="B44">
        <v>3</v>
      </c>
      <c r="C44" s="8">
        <v>45916</v>
      </c>
      <c r="D44" s="8">
        <v>46022</v>
      </c>
      <c r="E44" s="5">
        <v>0</v>
      </c>
      <c r="F44" s="12">
        <f>D44-C44+1</f>
        <v>107</v>
      </c>
      <c r="G44" s="12">
        <f>E44*F44</f>
        <v>0</v>
      </c>
      <c r="H44" s="11">
        <f>'借款变动与利息测算'!N31</f>
        <v>0.038</v>
      </c>
      <c r="I44" s="5">
        <f>E44*H44*F44/365</f>
        <v>0</v>
      </c>
      <c r="J44" t="s">
        <v>35</v>
      </c>
      <c r="K44" t="s">
        <v>231</v>
      </c>
    </row>
    <row r="45" spans="1:11">
      <c r="A45" t="s">
        <v>234</v>
      </c>
      <c r="B45">
        <v>1</v>
      </c>
      <c r="C45" s="8">
        <v>45658</v>
      </c>
      <c r="D45" s="8">
        <v>46022</v>
      </c>
      <c r="E45" s="5">
        <v>20565000</v>
      </c>
      <c r="F45" s="12">
        <f>D45-C45+1</f>
        <v>365</v>
      </c>
      <c r="G45" s="12">
        <f>E45*F45</f>
        <v>7506225000</v>
      </c>
      <c r="H45" s="11">
        <f>'借款变动与利息测算'!N32</f>
        <v>0.0338</v>
      </c>
      <c r="I45" s="5">
        <f>E45*H45*F45/365</f>
        <v>695096.9999999999</v>
      </c>
      <c r="J45" t="s">
        <v>35</v>
      </c>
      <c r="K45" t="s">
        <v>235</v>
      </c>
    </row>
    <row r="46" spans="1:11">
      <c r="A46" t="s">
        <v>239</v>
      </c>
      <c r="B46">
        <v>1</v>
      </c>
      <c r="C46" s="8">
        <v>45658</v>
      </c>
      <c r="D46" s="8">
        <v>46022</v>
      </c>
      <c r="E46" s="5">
        <v>30175000</v>
      </c>
      <c r="F46" s="12">
        <f>D46-C46+1</f>
        <v>365</v>
      </c>
      <c r="G46" s="12">
        <f>E46*F46</f>
        <v>11013875000</v>
      </c>
      <c r="H46" s="11">
        <f>'借款变动与利息测算'!N33</f>
        <v>0.0398</v>
      </c>
      <c r="I46" s="5">
        <f>E46*H46*F46/365</f>
        <v>1200965</v>
      </c>
      <c r="J46" t="s">
        <v>35</v>
      </c>
      <c r="K46" t="s">
        <v>240</v>
      </c>
    </row>
    <row r="47" spans="1:11">
      <c r="A47" s="13" t="s">
        <v>245</v>
      </c>
      <c r="G47" s="14">
        <f>SUM(G2:G45)</f>
        <v>0</v>
      </c>
      <c r="I47" s="14">
        <f>SUM(I2:I45)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  <col min="4" max="4" width="68.7109375" customWidth="1"/>
  </cols>
  <sheetData>
    <row r="1" spans="1:4">
      <c r="A1" s="13" t="s">
        <v>265</v>
      </c>
    </row>
    <row r="2" spans="1:4">
      <c r="A2" s="15" t="s">
        <v>266</v>
      </c>
    </row>
    <row r="3" spans="1:4">
      <c r="A3" s="15" t="s">
        <v>267</v>
      </c>
      <c r="B3" s="16" t="s">
        <v>268</v>
      </c>
      <c r="C3" s="16" t="s">
        <v>269</v>
      </c>
      <c r="D3" s="15" t="s">
        <v>270</v>
      </c>
    </row>
    <row r="4" spans="1:4">
      <c r="A4" s="1" t="s">
        <v>271</v>
      </c>
      <c r="B4" s="1" t="s">
        <v>272</v>
      </c>
      <c r="C4" s="1" t="s">
        <v>273</v>
      </c>
    </row>
    <row r="5" spans="1:4">
      <c r="A5" s="8">
        <v>43697</v>
      </c>
      <c r="B5">
        <v>4.25</v>
      </c>
      <c r="C5">
        <v>4.85</v>
      </c>
    </row>
    <row r="6" spans="1:4">
      <c r="A6" s="8">
        <v>43728</v>
      </c>
      <c r="B6">
        <v>4.2</v>
      </c>
      <c r="C6">
        <v>4.85</v>
      </c>
    </row>
    <row r="7" spans="1:4">
      <c r="A7" s="8">
        <v>43789</v>
      </c>
      <c r="B7">
        <v>4.15</v>
      </c>
      <c r="C7">
        <v>4.8</v>
      </c>
    </row>
    <row r="8" spans="1:4">
      <c r="A8" s="8">
        <v>43881</v>
      </c>
      <c r="B8">
        <v>4.05</v>
      </c>
      <c r="C8">
        <v>4.75</v>
      </c>
    </row>
    <row r="9" spans="1:4">
      <c r="A9" s="8">
        <v>43941</v>
      </c>
      <c r="B9">
        <v>3.85</v>
      </c>
      <c r="C9">
        <v>4.65</v>
      </c>
    </row>
    <row r="10" spans="1:4">
      <c r="A10" s="8">
        <v>44550</v>
      </c>
      <c r="B10">
        <v>3.8</v>
      </c>
      <c r="C10">
        <v>4.65</v>
      </c>
    </row>
    <row r="11" spans="1:4">
      <c r="A11" s="8">
        <v>44581</v>
      </c>
      <c r="B11">
        <v>3.7</v>
      </c>
      <c r="C11">
        <v>4.6</v>
      </c>
    </row>
    <row r="12" spans="1:4">
      <c r="A12" s="8">
        <v>44701</v>
      </c>
      <c r="B12">
        <v>3.7</v>
      </c>
      <c r="C12">
        <v>4.45</v>
      </c>
    </row>
    <row r="13" spans="1:4">
      <c r="A13" s="8">
        <v>44795</v>
      </c>
      <c r="B13">
        <v>3.65</v>
      </c>
      <c r="C13">
        <v>4.3</v>
      </c>
    </row>
    <row r="14" spans="1:4">
      <c r="A14" s="8">
        <v>45097</v>
      </c>
      <c r="B14">
        <v>3.55</v>
      </c>
      <c r="C14">
        <v>4.2</v>
      </c>
    </row>
    <row r="15" spans="1:4">
      <c r="A15" s="8">
        <v>45159</v>
      </c>
      <c r="B15">
        <v>3.45</v>
      </c>
      <c r="C15">
        <v>4.2</v>
      </c>
    </row>
    <row r="16" spans="1:4">
      <c r="A16" s="8">
        <v>45342</v>
      </c>
      <c r="B16">
        <v>3.45</v>
      </c>
      <c r="C16">
        <v>3.95</v>
      </c>
    </row>
    <row r="17" spans="1:3">
      <c r="A17" s="8">
        <v>45495</v>
      </c>
      <c r="B17">
        <v>3.35</v>
      </c>
      <c r="C17">
        <v>3.85</v>
      </c>
    </row>
    <row r="18" spans="1:3">
      <c r="A18" s="8">
        <v>45586</v>
      </c>
      <c r="B18">
        <v>3.1</v>
      </c>
      <c r="C18">
        <v>3.6</v>
      </c>
    </row>
    <row r="19" spans="1:3">
      <c r="A19" s="8">
        <v>45797</v>
      </c>
      <c r="B19">
        <v>3</v>
      </c>
      <c r="C19">
        <v>3.5</v>
      </c>
    </row>
  </sheetData>
  <hyperlinks>
    <hyperlink ref="B3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借款变动与利息测算</vt:lpstr>
      <vt:lpstr>计息分段明细</vt:lpstr>
      <vt:lpstr>LPR报价表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2026-10-08T12:11:05Z</dcterms:created>
  <dcterms:modified xsi:type="dcterms:W3CDTF">2026-10-08T12:11:05Z</dcterms:modified>
</cp:coreProperties>
</file>