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未实现月度测算" sheetId="2" r:id="rId2"/>
    <sheet name="客户与审计汇率比较" sheetId="3" r:id="rId3"/>
    <sheet name="汇率表" sheetId="4" r:id="rId4"/>
  </sheets>
  <definedNames>
    <definedName name="_xlnm._FilterDatabase" localSheetId="2" hidden="1">客户与审计汇率比较!$A$1:$L$97</definedName>
    <definedName name="_xlnm._FilterDatabase" localSheetId="1" hidden="1">未实现月度测算!$A$1:$J$97</definedName>
  </definedNames>
  <calcPr calcId="124519" fullCalcOnLoad="1"/>
</workbook>
</file>

<file path=xl/sharedStrings.xml><?xml version="1.0" encoding="utf-8"?>
<sst xmlns="http://schemas.openxmlformats.org/spreadsheetml/2006/main" count="2445" uniqueCount="376">
  <si>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</si>
  <si>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</si>
  <si>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</si>
  <si>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</si>
  <si>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</si>
  <si>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</si>
  <si>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</si>
  <si>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</si>
  <si>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各公司按本位币分别比较；不同本位币不汇总。</t>
  </si>
  <si>
    <t>公司</t>
  </si>
  <si>
    <t>记账本位币</t>
  </si>
  <si>
    <t>已实现审计测算</t>
  </si>
  <si>
    <t>未实现审计测算</t>
  </si>
  <si>
    <t>审计合计</t>
  </si>
  <si>
    <t>客户账面合计（JE）</t>
  </si>
  <si>
    <t>差异</t>
  </si>
  <si>
    <t>结论</t>
  </si>
  <si>
    <t>SZ01</t>
  </si>
  <si>
    <t>CNY</t>
  </si>
  <si>
    <t>US01</t>
  </si>
  <si>
    <t>USD</t>
  </si>
  <si>
    <t>客户账面汇兑损益来源</t>
  </si>
  <si>
    <t>主体</t>
  </si>
  <si>
    <t>本位币</t>
  </si>
  <si>
    <t>JE源行</t>
  </si>
  <si>
    <t>汇兑损益科目</t>
  </si>
  <si>
    <t>客户账面金额</t>
  </si>
  <si>
    <t>日期</t>
  </si>
  <si>
    <t>凭证号</t>
  </si>
  <si>
    <t>财务费用-汇兑损益</t>
  </si>
  <si>
    <t>2026-06-30</t>
  </si>
  <si>
    <t>SZ01-2026-06-30-FXREVAL-0630</t>
  </si>
  <si>
    <t>US01-2026-06-30-FXREVAL-0630</t>
  </si>
  <si>
    <t>待复核凭证</t>
  </si>
  <si>
    <t>分类</t>
  </si>
  <si>
    <t>账面汇差</t>
  </si>
  <si>
    <t>原因</t>
  </si>
  <si>
    <t>不构成汇兑事项</t>
  </si>
  <si>
    <t>凭证未满足 A/B/C 已实现收付结构，也不满足原币无实际发生的未实现结构；账面汇差已从测算总体剔除</t>
  </si>
  <si>
    <t>凭证分类复核</t>
  </si>
  <si>
    <t>状态</t>
  </si>
  <si>
    <t>不构成汇兑事项，账面汇差已剔除</t>
  </si>
  <si>
    <t>科目</t>
  </si>
  <si>
    <t>币种（原币→本位币）</t>
  </si>
  <si>
    <t>月末</t>
  </si>
  <si>
    <t>期初审计余额</t>
  </si>
  <si>
    <t>本月审计发生额</t>
  </si>
  <si>
    <t>月末原币余额</t>
  </si>
  <si>
    <t>月末审计汇率</t>
  </si>
  <si>
    <t>审计月末余额</t>
  </si>
  <si>
    <t>未实现汇差</t>
  </si>
  <si>
    <t>01.13010.0000.0000.0000 其他应收款</t>
  </si>
  <si>
    <t>USD→CNY</t>
  </si>
  <si>
    <t>2026-01-31</t>
  </si>
  <si>
    <t>01.21010.0000.0000.0000 应付账款</t>
  </si>
  <si>
    <t>EUR→CNY</t>
  </si>
  <si>
    <t>EUR</t>
  </si>
  <si>
    <t>HKD→CNY</t>
  </si>
  <si>
    <t>HKD</t>
  </si>
  <si>
    <t>JPY→CNY</t>
  </si>
  <si>
    <t>JPY</t>
  </si>
  <si>
    <t>01.12010.0000.0000.0000 应收账款</t>
  </si>
  <si>
    <t>01.11010.0000.0000.0000 银行存款</t>
  </si>
  <si>
    <t>01.25010.0000.0000.0000 长期借款</t>
  </si>
  <si>
    <t>02.13010.0000.0000.0000 其他应收款</t>
  </si>
  <si>
    <t>EUR→USD</t>
  </si>
  <si>
    <t>02.21010.0000.0000.0000 应付账款</t>
  </si>
  <si>
    <t>02.12010.0000.0000.0000 应收账款</t>
  </si>
  <si>
    <t>02.11010.0000.0000.0000 银行存款</t>
  </si>
  <si>
    <t>2026-02-28</t>
  </si>
  <si>
    <t>2026-03-31</t>
  </si>
  <si>
    <t>2026-04-30</t>
  </si>
  <si>
    <t>2026-05-31</t>
  </si>
  <si>
    <t>逐笔发生额</t>
  </si>
  <si>
    <t>交易日</t>
  </si>
  <si>
    <t>原币发生额</t>
  </si>
  <si>
    <t>客户JE本位币发生额</t>
  </si>
  <si>
    <t>审计交易日汇率</t>
  </si>
  <si>
    <t>审计本位币发生额</t>
  </si>
  <si>
    <t>原币</t>
  </si>
  <si>
    <t>SZ01-2026-01-20-PAY-AP-EUR</t>
  </si>
  <si>
    <t>2026-01-20</t>
  </si>
  <si>
    <t>SZ01-2026-01-20-PAY-HKD</t>
  </si>
  <si>
    <t>SZ01-2026-01-15-PURCH-JPY</t>
  </si>
  <si>
    <t>2026-01-15</t>
  </si>
  <si>
    <t>SZ01-2026-01-10-SALES-FOREIGN</t>
  </si>
  <si>
    <t>2026-01-10</t>
  </si>
  <si>
    <t>SZ01-2026-01-18-RECEIPT-EUR</t>
  </si>
  <si>
    <t>2026-01-18</t>
  </si>
  <si>
    <t>SZ01-2026-01-18-RECEIPT-USD</t>
  </si>
  <si>
    <t>SZ01-2026-01-08-USD-LOAN-DRAW</t>
  </si>
  <si>
    <t>2026-01-08</t>
  </si>
  <si>
    <t>US01-2026-01-20-PAY-AP-EUR</t>
  </si>
  <si>
    <t>US01-2026-01-10-SALES-EUR</t>
  </si>
  <si>
    <t>SZ01-2026-02-12-CAPEX-EQUIP</t>
  </si>
  <si>
    <t>2026-02-12</t>
  </si>
  <si>
    <t>SZ01-2026-02-20-PAY-AP-EUR</t>
  </si>
  <si>
    <t>2026-02-20</t>
  </si>
  <si>
    <t>SZ01-2026-02-20-PAY-HKD</t>
  </si>
  <si>
    <t>SZ01-2026-02-15-PURCH-JPY</t>
  </si>
  <si>
    <t>2026-02-15</t>
  </si>
  <si>
    <t>SZ01-2026-02-10-SALES-FOREIGN</t>
  </si>
  <si>
    <t>2026-02-10</t>
  </si>
  <si>
    <t>SZ01-2026-02-18-RECEIPT-EUR</t>
  </si>
  <si>
    <t>2026-02-18</t>
  </si>
  <si>
    <t>SZ01-2026-02-18-RECEIPT-USD</t>
  </si>
  <si>
    <t>US01-2026-02-20-PAY-AP-EUR</t>
  </si>
  <si>
    <t>US01-2026-02-10-SALES-EUR</t>
  </si>
  <si>
    <t>SZ01-2026-03-20-PAY-AP-EUR</t>
  </si>
  <si>
    <t>2026-03-20</t>
  </si>
  <si>
    <t>SZ01-2026-03-20-PAY-HKD</t>
  </si>
  <si>
    <t>SZ01-2026-03-15-PURCH-JPY</t>
  </si>
  <si>
    <t>2026-03-15</t>
  </si>
  <si>
    <t>SZ01-2026-03-10-SALES-FOREIGN</t>
  </si>
  <si>
    <t>2026-03-10</t>
  </si>
  <si>
    <t>SZ01-2026-03-18-RECEIPT-EUR</t>
  </si>
  <si>
    <t>2026-03-18</t>
  </si>
  <si>
    <t>SZ01-2026-03-18-RECEIPT-USD</t>
  </si>
  <si>
    <t>SZ01-2026-03-22-USD-LOAN-REPAY</t>
  </si>
  <si>
    <t>2026-03-22</t>
  </si>
  <si>
    <t>US01-2026-03-20-PAY-AP-EUR</t>
  </si>
  <si>
    <t>US01-2026-03-10-SALES-EUR</t>
  </si>
  <si>
    <t>SZ01-2026-04-20-PAY-AP-EUR</t>
  </si>
  <si>
    <t>2026-04-20</t>
  </si>
  <si>
    <t>SZ01-2026-04-20-PAY-HKD</t>
  </si>
  <si>
    <t>SZ01-2026-04-15-PURCH-JPY</t>
  </si>
  <si>
    <t>2026-04-15</t>
  </si>
  <si>
    <t>SZ01-2026-04-10-SALES-FOREIGN</t>
  </si>
  <si>
    <t>2026-04-10</t>
  </si>
  <si>
    <t>SZ01-2026-04-18-RECEIPT-EUR</t>
  </si>
  <si>
    <t>2026-04-18</t>
  </si>
  <si>
    <t>SZ01-2026-04-18-RECEIPT-USD</t>
  </si>
  <si>
    <t>US01-2026-04-20-PAY-AP-EUR</t>
  </si>
  <si>
    <t>US01-2026-04-10-SALES-EUR</t>
  </si>
  <si>
    <t>SZ01-2026-05-20-PAY-AP-EUR</t>
  </si>
  <si>
    <t>2026-05-20</t>
  </si>
  <si>
    <t>SZ01-2026-05-20-PAY-HKD</t>
  </si>
  <si>
    <t>SZ01-2026-05-15-PURCH-JPY</t>
  </si>
  <si>
    <t>2026-05-15</t>
  </si>
  <si>
    <t>SZ01-2026-05-10-SALES-FOREIGN</t>
  </si>
  <si>
    <t>2026-05-10</t>
  </si>
  <si>
    <t>SZ01-2026-05-18-RECEIPT-EUR</t>
  </si>
  <si>
    <t>2026-05-18</t>
  </si>
  <si>
    <t>SZ01-2026-05-18-RECEIPT-USD</t>
  </si>
  <si>
    <t>US01-2026-05-20-PAY-AP-EUR</t>
  </si>
  <si>
    <t>US01-2026-05-10-SALES-EUR</t>
  </si>
  <si>
    <t>SZ01-2026-06-20-PAY-AP-EUR</t>
  </si>
  <si>
    <t>2026-06-20</t>
  </si>
  <si>
    <t>SZ01-2026-06-20-PAY-HKD</t>
  </si>
  <si>
    <t>SZ01-2026-06-15-PURCH-JPY</t>
  </si>
  <si>
    <t>2026-06-15</t>
  </si>
  <si>
    <t>SZ01-2026-06-10-SALES-FOREIGN</t>
  </si>
  <si>
    <t>2026-06-10</t>
  </si>
  <si>
    <t>SZ01-2026-06-18-RECEIPT-EUR</t>
  </si>
  <si>
    <t>2026-06-18</t>
  </si>
  <si>
    <t>SZ01-2026-06-18-RECEIPT-USD</t>
  </si>
  <si>
    <t>US01-2026-06-20-PAY-AP-EUR</t>
  </si>
  <si>
    <t>US01-2026-06-24-AP-EUR-SETTLE</t>
  </si>
  <si>
    <t>2026-06-24</t>
  </si>
  <si>
    <t>US01-2026-06-10-SALES-EUR</t>
  </si>
  <si>
    <t>类型</t>
  </si>
  <si>
    <t>原币基础</t>
  </si>
  <si>
    <t>客户本位币金额</t>
  </si>
  <si>
    <t>客户隐含汇率</t>
  </si>
  <si>
    <t>审计适用汇率</t>
  </si>
  <si>
    <t>汇率差（客户－审计）</t>
  </si>
  <si>
    <t>反推依据</t>
  </si>
  <si>
    <t>本位币（公式辅助）</t>
  </si>
  <si>
    <t>原币（公式辅助）</t>
  </si>
  <si>
    <t>未实现</t>
  </si>
  <si>
    <t>TB期初本位币及JE滚动后账面余额÷月末原币余额反推</t>
  </si>
  <si>
    <t>AED</t>
  </si>
  <si>
    <t>AUD</t>
  </si>
  <si>
    <t>CAD</t>
  </si>
  <si>
    <t>CHF</t>
  </si>
  <si>
    <t>DKK</t>
  </si>
  <si>
    <t>GBP</t>
  </si>
  <si>
    <t>HUF</t>
  </si>
  <si>
    <t>KRW</t>
  </si>
  <si>
    <t>MOP</t>
  </si>
  <si>
    <t>MXN</t>
  </si>
  <si>
    <t>MYR</t>
  </si>
  <si>
    <t>NOK</t>
  </si>
  <si>
    <t>NZD</t>
  </si>
  <si>
    <t>PLN</t>
  </si>
  <si>
    <t>RUB</t>
  </si>
  <si>
    <t>SAR</t>
  </si>
  <si>
    <t>SEK</t>
  </si>
  <si>
    <t>SGD</t>
  </si>
  <si>
    <t>THB</t>
  </si>
  <si>
    <t>TRY</t>
  </si>
  <si>
    <t>ZAR</t>
  </si>
  <si>
    <t>本次审计汇率来源</t>
  </si>
  <si>
    <t>2025-11-27</t>
  </si>
  <si>
    <t>程序内置牌价表（国家外汇管理局人民币汇率中间价，2022-11-28~2026-08-31，随程序打包；超期区间自动回落在线抓取）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</si>
  <si>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</si>
  <si>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</si>
  <si>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</si>
  <si>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</si>
  <si>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</si>
  <si>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</si>
  <si>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</si>
  <si>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</si>
  <si>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</si>
  <si>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</si>
  <si>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</si>
  <si>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</si>
  <si>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</si>
  <si>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</si>
  <si>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</si>
  <si>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</si>
  <si>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</si>
  <si>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</si>
  <si>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</si>
  <si>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</si>
  <si>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</si>
  <si>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</si>
  <si>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</si>
  <si>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</si>
  <si>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</si>
  <si>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</si>
  <si>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</si>
  <si>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</si>
  <si>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</si>
  <si>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</si>
  <si>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</si>
  <si>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</si>
  <si>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</si>
  <si>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</si>
  <si>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</si>
  <si>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</si>
  <si>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</si>
  <si>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</si>
  <si>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</si>
  <si>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</si>
  <si>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</si>
  <si>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2026-01-09</t>
  </si>
  <si>
    <t>2026-01-11</t>
  </si>
  <si>
    <t>2026-01-12</t>
  </si>
  <si>
    <t>2026-01-13</t>
  </si>
  <si>
    <t>2026-01-14</t>
  </si>
  <si>
    <t>2026-01-16</t>
  </si>
  <si>
    <t>2026-01-17</t>
  </si>
  <si>
    <t>2026-01-19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</si>
  <si>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</si>
  <si>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</si>
  <si>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</si>
  <si>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</si>
  <si>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</si>
  <si>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</si>
  <si>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</si>
  <si>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</si>
  <si>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</si>
  <si>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</si>
  <si>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</si>
  <si>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</si>
  <si>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</si>
  <si>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</si>
  <si>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</si>
  <si>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</si>
  <si>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</si>
  <si>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</si>
  <si>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</si>
  <si>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2026-02-11</t>
  </si>
  <si>
    <t>2026-02-13</t>
  </si>
  <si>
    <t>2026-02-14</t>
  </si>
  <si>
    <t>2026-02-16</t>
  </si>
  <si>
    <t>2026-02-17</t>
  </si>
  <si>
    <t>2026-02-19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</si>
  <si>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</si>
  <si>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</si>
  <si>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</si>
  <si>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</si>
  <si>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</si>
  <si>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</si>
  <si>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</si>
  <si>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</si>
  <si>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</si>
  <si>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</si>
  <si>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</si>
  <si>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</si>
  <si>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</si>
  <si>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</si>
  <si>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</si>
  <si>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</si>
  <si>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2026-03-11</t>
  </si>
  <si>
    <t>2026-03-12</t>
  </si>
  <si>
    <t>2026-03-13</t>
  </si>
  <si>
    <t>2026-03-14</t>
  </si>
  <si>
    <t>2026-03-16</t>
  </si>
  <si>
    <t>2026-03-17</t>
  </si>
  <si>
    <t>2026-03-19</t>
  </si>
  <si>
    <t>2026-03-21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</si>
  <si>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</si>
  <si>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</si>
  <si>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</si>
  <si>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</si>
  <si>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</si>
  <si>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</si>
  <si>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</si>
  <si>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</si>
  <si>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</si>
  <si>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</si>
  <si>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</si>
  <si>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</si>
  <si>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</si>
  <si>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</si>
  <si>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</si>
  <si>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</si>
  <si>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</si>
  <si>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</si>
  <si>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</si>
  <si>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</si>
  <si>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</si>
  <si>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2026-04-16</t>
  </si>
  <si>
    <t>2026-04-17</t>
  </si>
  <si>
    <t>2026-04-19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</si>
  <si>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</si>
  <si>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</si>
  <si>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</si>
  <si>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</si>
  <si>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</si>
  <si>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</si>
  <si>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</si>
  <si>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</si>
  <si>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</si>
  <si>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</si>
  <si>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</si>
  <si>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</si>
  <si>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</si>
  <si>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</si>
  <si>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</si>
  <si>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</si>
  <si>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</si>
  <si>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</si>
  <si>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</si>
  <si>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</si>
  <si>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</si>
  <si>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</si>
  <si>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2026-05-16</t>
  </si>
  <si>
    <t>2026-05-17</t>
  </si>
  <si>
    <t>2026-05-19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</si>
  <si>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</si>
  <si>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</si>
  <si>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</si>
  <si>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</si>
  <si>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</si>
  <si>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</si>
  <si>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</si>
  <si>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</si>
  <si>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</si>
  <si>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</si>
  <si>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</si>
  <si>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</si>
  <si>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</si>
  <si>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</si>
  <si>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</si>
  <si>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</si>
  <si>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</si>
  <si>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</si>
  <si>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</si>
  <si>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</si>
  <si>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</si>
  <si>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</si>
  <si>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</si>
  <si>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2026-06-16</t>
  </si>
  <si>
    <t>2026-06-17</t>
  </si>
  <si>
    <t>2026-06-19</t>
  </si>
  <si>
    <t>2026-06-21</t>
  </si>
  <si>
    <t>2026-06-22</t>
  </si>
  <si>
    <t>2026-06-23</t>
  </si>
  <si>
    <t>2026-06-25</t>
  </si>
  <si>
    <t>2026-06-26</t>
  </si>
  <si>
    <t>2026-06-27</t>
  </si>
  <si>
    <t>2026-06-28</t>
  </si>
  <si>
    <t>2026-06-29</t>
  </si>
</sst>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4.7109375" customWidth="1"/>
    <col min="3" max="3" width="20.7109375" customWidth="1"/>
    <col min="4" max="4" width="38.7109375" customWidth="1"/>
    <col min="5" max="5" width="28.7109375" customWidth="1"/>
    <col min="6" max="6" width="18.7109375" customWidth="1"/>
    <col min="7" max="7" width="28.7109375" customWidth="1"/>
    <col min="8" max="8" width="16.7109375" customWidth="1"/>
  </cols>
  <sheetData>
    <row r="1" spans="1:8">
      <c r="A1" s="1" t="s">
        <v>0</v>
      </c>
      <c r="B1" s="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</row>
    <row r="5" spans="1:8">
      <c r="A5" t="s">
        <v>8</v>
      </c>
    </row>
    <row r="7" spans="1:8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</row>
    <row r="8" spans="1:8">
      <c r="A8" t="s">
        <v>17</v>
      </c>
      <c r="B8" t="s">
        <v>18</v>
      </c>
      <c r="C8" s="2">
        <v>0</v>
      </c>
      <c r="D8" s="2">
        <f>SUMIFS('未实现月度测算'!$J$2:$J$97,'未实现月度测算'!$A$2:$A$97,A8,'未实现月度测算'!$K$2:$K$97,B8)</f>
        <v>76664.21000000031</v>
      </c>
      <c r="E8" s="2">
        <f>C8+D8</f>
        <v>76664.21000000031</v>
      </c>
      <c r="F8" s="2">
        <f>SUMIFS($E$13:$E$14,$A$13:$A$14,A8,$B$13:$B$14,B8)</f>
        <v>-19025.97</v>
      </c>
      <c r="G8" s="2">
        <f>E8-F8</f>
        <v>95690.18000000031</v>
      </c>
      <c r="H8" t="str">
        <f>IF(OR(NOT(ISNUMBER(F8)),NOT(ISNUMBER(G8))),"无法判断",IF(ABS(F8)&lt;0.01,"无法判断",IF(ABS(G8/F8)&lt;0.05,"通过","不通过")))</f>
        <v>不通过</v>
      </c>
    </row>
    <row r="9" spans="1:8">
      <c r="A9" t="s">
        <v>19</v>
      </c>
      <c r="B9" t="s">
        <v>20</v>
      </c>
      <c r="C9" s="2">
        <v>0</v>
      </c>
      <c r="D9" s="2">
        <f>SUMIFS('未实现月度测算'!$J$2:$J$97,'未实现月度测算'!$A$2:$A$97,A9,'未实现月度测算'!$K$2:$K$97,B9)</f>
        <v>732.5020276692085</v>
      </c>
      <c r="E9" s="2">
        <f>C9+D9</f>
        <v>732.5020276692085</v>
      </c>
      <c r="F9" s="2">
        <f>SUMIFS($E$13:$E$14,$A$13:$A$14,A9,$B$13:$B$14,B9)</f>
        <v>-364</v>
      </c>
      <c r="G9" s="2">
        <f>E9-F9</f>
        <v>1096.5020276692085</v>
      </c>
      <c r="H9" t="str">
        <f>IF(OR(NOT(ISNUMBER(F9)),NOT(ISNUMBER(G9))),"无法判断",IF(ABS(F9)&lt;0.01,"无法判断",IF(ABS(G9/F9)&lt;0.05,"通过","不通过")))</f>
        <v>不通过</v>
      </c>
    </row>
    <row r="11" spans="1:8">
      <c r="A11" s="1" t="s">
        <v>21</v>
      </c>
    </row>
    <row r="12" spans="1:8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</row>
    <row r="13" spans="1:8">
      <c r="A13" t="s">
        <v>17</v>
      </c>
      <c r="B13" t="s">
        <v>18</v>
      </c>
      <c r="C13">
        <v>172</v>
      </c>
      <c r="D13" t="s">
        <v>29</v>
      </c>
      <c r="E13" s="2">
        <v>-19025.97</v>
      </c>
      <c r="F13" t="s">
        <v>30</v>
      </c>
      <c r="G13" t="s">
        <v>31</v>
      </c>
    </row>
    <row r="14" spans="1:8">
      <c r="A14" t="s">
        <v>19</v>
      </c>
      <c r="B14" t="s">
        <v>20</v>
      </c>
      <c r="C14">
        <v>281</v>
      </c>
      <c r="D14" t="s">
        <v>29</v>
      </c>
      <c r="E14" s="2">
        <v>-364</v>
      </c>
      <c r="F14" t="s">
        <v>30</v>
      </c>
      <c r="G14" t="s">
        <v>32</v>
      </c>
    </row>
    <row r="16" spans="1:8">
      <c r="A16" s="1" t="s">
        <v>33</v>
      </c>
    </row>
    <row r="17" spans="1:6">
      <c r="A17" s="1" t="s">
        <v>28</v>
      </c>
      <c r="B17" s="1" t="s">
        <v>27</v>
      </c>
      <c r="C17" s="1" t="s">
        <v>34</v>
      </c>
      <c r="D17" s="1" t="s">
        <v>35</v>
      </c>
      <c r="E17" s="1" t="s">
        <v>36</v>
      </c>
    </row>
    <row r="18" spans="1:6">
      <c r="A18" t="s">
        <v>31</v>
      </c>
      <c r="B18" t="s">
        <v>30</v>
      </c>
      <c r="C18" t="s">
        <v>37</v>
      </c>
      <c r="D18" s="2">
        <v>-19025.97</v>
      </c>
      <c r="E18" t="s">
        <v>38</v>
      </c>
    </row>
    <row r="19" spans="1:6">
      <c r="A19" t="s">
        <v>32</v>
      </c>
      <c r="B19" t="s">
        <v>30</v>
      </c>
      <c r="C19" t="s">
        <v>37</v>
      </c>
      <c r="D19" s="2">
        <v>-364</v>
      </c>
      <c r="E19" t="s">
        <v>38</v>
      </c>
    </row>
    <row r="21" spans="1:6">
      <c r="A21" s="1" t="s">
        <v>39</v>
      </c>
    </row>
    <row r="22" spans="1:6">
      <c r="A22" s="1" t="s">
        <v>28</v>
      </c>
      <c r="B22" s="1" t="s">
        <v>27</v>
      </c>
      <c r="C22" s="1" t="s">
        <v>34</v>
      </c>
      <c r="D22" s="1" t="s">
        <v>35</v>
      </c>
      <c r="E22" s="1" t="s">
        <v>40</v>
      </c>
      <c r="F22" s="1" t="s">
        <v>36</v>
      </c>
    </row>
    <row r="23" spans="1:6">
      <c r="A23" t="s">
        <v>31</v>
      </c>
      <c r="B23" t="s">
        <v>30</v>
      </c>
      <c r="C23" t="s">
        <v>37</v>
      </c>
      <c r="D23" s="2">
        <v>-19025.97</v>
      </c>
      <c r="E23" t="s">
        <v>41</v>
      </c>
      <c r="F23" t="s">
        <v>38</v>
      </c>
    </row>
    <row r="24" spans="1:6">
      <c r="A24" t="s">
        <v>32</v>
      </c>
      <c r="B24" t="s">
        <v>30</v>
      </c>
      <c r="C24" t="s">
        <v>37</v>
      </c>
      <c r="D24" s="2">
        <v>-364</v>
      </c>
      <c r="E24" t="s">
        <v>41</v>
      </c>
      <c r="F2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8.7109375" customWidth="1"/>
    <col min="3" max="3" width="20.7109375" customWidth="1"/>
    <col min="4" max="4" width="22.7109375" customWidth="1"/>
    <col min="5" max="5" width="20.7109375" customWidth="1"/>
    <col min="6" max="6" width="22.7109375" customWidth="1"/>
    <col min="7" max="7" width="18.7109375" customWidth="1"/>
    <col min="8" max="8" width="22.7109375" customWidth="1"/>
    <col min="9" max="9" width="20.7109375" customWidth="1"/>
    <col min="10" max="10" width="22.7109375" customWidth="1"/>
    <col min="11" max="11" width="38.7109375" hidden="1" customWidth="1"/>
    <col min="12" max="13" width="0" hidden="1" customWidth="1"/>
  </cols>
  <sheetData>
    <row r="1" spans="1:13">
      <c r="A1" s="1" t="s">
        <v>22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3">
      <c r="A2" t="s">
        <v>17</v>
      </c>
      <c r="B2" t="s">
        <v>51</v>
      </c>
      <c r="C2" t="s">
        <v>52</v>
      </c>
      <c r="D2" t="s">
        <v>53</v>
      </c>
      <c r="E2" s="2">
        <v>35600</v>
      </c>
      <c r="F2" s="2">
        <v>0</v>
      </c>
      <c r="G2" s="2">
        <v>5000</v>
      </c>
      <c r="H2" s="3">
        <f>INDEX('汇率表'!$A:$XFD,MATCH(D2,'汇率表'!$A:$A,0),MATCH(L2,'汇率表'!$1:$1,0))</f>
        <v>6.9677999999999995</v>
      </c>
      <c r="I2" s="2">
        <f>G2*H2</f>
        <v>34839</v>
      </c>
      <c r="J2" s="2">
        <f>E2+F2-I2</f>
        <v>761</v>
      </c>
      <c r="K2" t="s">
        <v>18</v>
      </c>
      <c r="L2" t="s">
        <v>20</v>
      </c>
      <c r="M2" s="2">
        <v>5000</v>
      </c>
    </row>
    <row r="3" spans="1:13">
      <c r="A3" t="s">
        <v>17</v>
      </c>
      <c r="B3" t="s">
        <v>54</v>
      </c>
      <c r="C3" t="s">
        <v>55</v>
      </c>
      <c r="D3" t="s">
        <v>53</v>
      </c>
      <c r="E3" s="2">
        <v>-469800</v>
      </c>
      <c r="F3" s="2">
        <f>SUM(J101:J101)</f>
        <v>40593</v>
      </c>
      <c r="G3" s="2">
        <f>M3+SUM(G101:G101)</f>
        <v>-55000</v>
      </c>
      <c r="H3" s="3">
        <f>INDEX('汇率表'!$A:$XFD,MATCH(D3,'汇率表'!$A:$A,0),MATCH(L3,'汇率表'!$1:$1,0))</f>
        <v>8.3244</v>
      </c>
      <c r="I3" s="2">
        <f>G3*H3</f>
        <v>-457842.00000000006</v>
      </c>
      <c r="J3" s="2">
        <f>E3+F3-I3</f>
        <v>28635.00000000006</v>
      </c>
      <c r="K3" t="s">
        <v>18</v>
      </c>
      <c r="L3" t="s">
        <v>56</v>
      </c>
      <c r="M3" s="2">
        <v>-60000</v>
      </c>
    </row>
    <row r="4" spans="1:13">
      <c r="A4" t="s">
        <v>17</v>
      </c>
      <c r="B4" t="s">
        <v>54</v>
      </c>
      <c r="C4" t="s">
        <v>57</v>
      </c>
      <c r="D4" t="s">
        <v>53</v>
      </c>
      <c r="E4" s="2">
        <v>-91000</v>
      </c>
      <c r="F4" s="2">
        <f>SUM(J102:J102)</f>
        <v>4488.75</v>
      </c>
      <c r="G4" s="2">
        <f>M4+SUM(G102:G102)</f>
        <v>-95000</v>
      </c>
      <c r="H4" s="3">
        <f>INDEX('汇率表'!$A:$XFD,MATCH(D4,'汇率表'!$A:$A,0),MATCH(L4,'汇率表'!$1:$1,0))</f>
        <v>0.89262</v>
      </c>
      <c r="I4" s="2">
        <f>G4*H4</f>
        <v>-84798.9</v>
      </c>
      <c r="J4" s="2">
        <f>E4+F4-I4</f>
        <v>-1712.3500000000058</v>
      </c>
      <c r="K4" t="s">
        <v>18</v>
      </c>
      <c r="L4" t="s">
        <v>58</v>
      </c>
      <c r="M4" s="2">
        <v>-100000</v>
      </c>
    </row>
    <row r="5" spans="1:13">
      <c r="A5" t="s">
        <v>17</v>
      </c>
      <c r="B5" t="s">
        <v>54</v>
      </c>
      <c r="C5" t="s">
        <v>59</v>
      </c>
      <c r="D5" t="s">
        <v>53</v>
      </c>
      <c r="E5" s="2">
        <v>0</v>
      </c>
      <c r="F5" s="2">
        <f>SUM(J103:J103)</f>
        <v>-70537.6</v>
      </c>
      <c r="G5" s="2">
        <f>M5+SUM(G103:G103)</f>
        <v>-1600000</v>
      </c>
      <c r="H5" s="3">
        <f>INDEX('汇率表'!$A:$XFD,MATCH(D5,'汇率表'!$A:$A,0),MATCH(L5,'汇率表'!$1:$1,0))</f>
        <v>0.045464</v>
      </c>
      <c r="I5" s="2">
        <f>G5*H5</f>
        <v>-72742.4</v>
      </c>
      <c r="J5" s="2">
        <f>E5+F5-I5</f>
        <v>2204.7999999999884</v>
      </c>
      <c r="K5" t="s">
        <v>18</v>
      </c>
      <c r="L5" t="s">
        <v>60</v>
      </c>
      <c r="M5" s="2">
        <v>0</v>
      </c>
    </row>
    <row r="6" spans="1:13">
      <c r="A6" t="s">
        <v>17</v>
      </c>
      <c r="B6" t="s">
        <v>54</v>
      </c>
      <c r="C6" t="s">
        <v>52</v>
      </c>
      <c r="D6" t="s">
        <v>53</v>
      </c>
      <c r="E6" s="2">
        <v>-284800</v>
      </c>
      <c r="F6" s="2">
        <v>0</v>
      </c>
      <c r="G6" s="2">
        <v>-40000</v>
      </c>
      <c r="H6" s="3">
        <f>INDEX('汇率表'!$A:$XFD,MATCH(D6,'汇率表'!$A:$A,0),MATCH(L6,'汇率表'!$1:$1,0))</f>
        <v>6.9677999999999995</v>
      </c>
      <c r="I6" s="2">
        <f>G6*H6</f>
        <v>-278712</v>
      </c>
      <c r="J6" s="2">
        <f>E6+F6-I6</f>
        <v>-6088</v>
      </c>
      <c r="K6" t="s">
        <v>18</v>
      </c>
      <c r="L6" t="s">
        <v>20</v>
      </c>
      <c r="M6" s="2">
        <v>-40000</v>
      </c>
    </row>
    <row r="7" spans="1:13">
      <c r="A7" t="s">
        <v>17</v>
      </c>
      <c r="B7" t="s">
        <v>61</v>
      </c>
      <c r="C7" t="s">
        <v>55</v>
      </c>
      <c r="D7" t="s">
        <v>53</v>
      </c>
      <c r="E7" s="2">
        <v>313200</v>
      </c>
      <c r="F7" s="2">
        <f>SUM(J104:J105)</f>
        <v>31431.37999999999</v>
      </c>
      <c r="G7" s="2">
        <f>M7+SUM(G104:G105)</f>
        <v>43800</v>
      </c>
      <c r="H7" s="3">
        <f>INDEX('汇率表'!$A:$XFD,MATCH(D7,'汇率表'!$A:$A,0),MATCH(L7,'汇率表'!$1:$1,0))</f>
        <v>8.3244</v>
      </c>
      <c r="I7" s="2">
        <f>G7*H7</f>
        <v>364608.72000000003</v>
      </c>
      <c r="J7" s="2">
        <f>E7+F7-I7</f>
        <v>-19977.340000000026</v>
      </c>
      <c r="K7" t="s">
        <v>18</v>
      </c>
      <c r="L7" t="s">
        <v>56</v>
      </c>
      <c r="M7" s="2">
        <v>40000</v>
      </c>
    </row>
    <row r="8" spans="1:13">
      <c r="A8" t="s">
        <v>17</v>
      </c>
      <c r="B8" t="s">
        <v>61</v>
      </c>
      <c r="C8" t="s">
        <v>57</v>
      </c>
      <c r="D8" t="s">
        <v>53</v>
      </c>
      <c r="E8" s="2">
        <v>27300</v>
      </c>
      <c r="F8" s="2">
        <v>0</v>
      </c>
      <c r="G8" s="2">
        <v>30000</v>
      </c>
      <c r="H8" s="3">
        <f>INDEX('汇率表'!$A:$XFD,MATCH(D8,'汇率表'!$A:$A,0),MATCH(L8,'汇率表'!$1:$1,0))</f>
        <v>0.89262</v>
      </c>
      <c r="I8" s="2">
        <f>G8*H8</f>
        <v>26778.6</v>
      </c>
      <c r="J8" s="2">
        <f>E8+F8-I8</f>
        <v>521.4000000000015</v>
      </c>
      <c r="K8" t="s">
        <v>18</v>
      </c>
      <c r="L8" t="s">
        <v>58</v>
      </c>
      <c r="M8" s="2">
        <v>30000</v>
      </c>
    </row>
    <row r="9" spans="1:13">
      <c r="A9" t="s">
        <v>17</v>
      </c>
      <c r="B9" t="s">
        <v>61</v>
      </c>
      <c r="C9" t="s">
        <v>52</v>
      </c>
      <c r="D9" t="s">
        <v>53</v>
      </c>
      <c r="E9" s="2">
        <v>1068000</v>
      </c>
      <c r="F9" s="2">
        <f>SUM(J106:J107)</f>
        <v>45758.19999999995</v>
      </c>
      <c r="G9" s="2">
        <f>M9+SUM(G106:G107)</f>
        <v>156500</v>
      </c>
      <c r="H9" s="3">
        <f>INDEX('汇率表'!$A:$XFD,MATCH(D9,'汇率表'!$A:$A,0),MATCH(L9,'汇率表'!$1:$1,0))</f>
        <v>6.9677999999999995</v>
      </c>
      <c r="I9" s="2">
        <f>G9*H9</f>
        <v>1090460.7</v>
      </c>
      <c r="J9" s="2">
        <f>E9+F9-I9</f>
        <v>23297.5</v>
      </c>
      <c r="K9" t="s">
        <v>18</v>
      </c>
      <c r="L9" t="s">
        <v>20</v>
      </c>
      <c r="M9" s="2">
        <v>150000</v>
      </c>
    </row>
    <row r="10" spans="1:13">
      <c r="A10" t="s">
        <v>17</v>
      </c>
      <c r="B10" t="s">
        <v>62</v>
      </c>
      <c r="C10" t="s">
        <v>55</v>
      </c>
      <c r="D10" t="s">
        <v>53</v>
      </c>
      <c r="E10" s="2">
        <v>313200</v>
      </c>
      <c r="F10" s="2">
        <f>SUM(J108:J109)</f>
        <v>32367.300000000003</v>
      </c>
      <c r="G10" s="2">
        <f>M10+SUM(G108:G109)</f>
        <v>44000</v>
      </c>
      <c r="H10" s="3">
        <f>INDEX('汇率表'!$A:$XFD,MATCH(D10,'汇率表'!$A:$A,0),MATCH(L10,'汇率表'!$1:$1,0))</f>
        <v>8.3244</v>
      </c>
      <c r="I10" s="2">
        <f>G10*H10</f>
        <v>366273.60000000003</v>
      </c>
      <c r="J10" s="2">
        <f>E10+F10-I10</f>
        <v>-20706.300000000047</v>
      </c>
      <c r="K10" t="s">
        <v>18</v>
      </c>
      <c r="L10" t="s">
        <v>56</v>
      </c>
      <c r="M10" s="2">
        <v>40000</v>
      </c>
    </row>
    <row r="11" spans="1:13">
      <c r="A11" t="s">
        <v>17</v>
      </c>
      <c r="B11" t="s">
        <v>62</v>
      </c>
      <c r="C11" t="s">
        <v>57</v>
      </c>
      <c r="D11" t="s">
        <v>53</v>
      </c>
      <c r="E11" s="2">
        <v>91000</v>
      </c>
      <c r="F11" s="2">
        <f>SUM(J110:J110)</f>
        <v>-4488.75</v>
      </c>
      <c r="G11" s="2">
        <f>M11+SUM(G110:G110)</f>
        <v>95000</v>
      </c>
      <c r="H11" s="3">
        <f>INDEX('汇率表'!$A:$XFD,MATCH(D11,'汇率表'!$A:$A,0),MATCH(L11,'汇率表'!$1:$1,0))</f>
        <v>0.89262</v>
      </c>
      <c r="I11" s="2">
        <f>G11*H11</f>
        <v>84798.9</v>
      </c>
      <c r="J11" s="2">
        <f>E11+F11-I11</f>
        <v>1712.3500000000058</v>
      </c>
      <c r="K11" t="s">
        <v>18</v>
      </c>
      <c r="L11" t="s">
        <v>58</v>
      </c>
      <c r="M11" s="2">
        <v>100000</v>
      </c>
    </row>
    <row r="12" spans="1:13">
      <c r="A12" t="s">
        <v>17</v>
      </c>
      <c r="B12" t="s">
        <v>62</v>
      </c>
      <c r="C12" t="s">
        <v>52</v>
      </c>
      <c r="D12" t="s">
        <v>53</v>
      </c>
      <c r="E12" s="2">
        <v>712000</v>
      </c>
      <c r="F12" s="2">
        <f>SUM(J111:J112)</f>
        <v>1649213</v>
      </c>
      <c r="G12" s="2">
        <f>M12+SUM(G111:G112)</f>
        <v>335000</v>
      </c>
      <c r="H12" s="3">
        <f>INDEX('汇率表'!$A:$XFD,MATCH(D12,'汇率表'!$A:$A,0),MATCH(L12,'汇率表'!$1:$1,0))</f>
        <v>6.9677999999999995</v>
      </c>
      <c r="I12" s="2">
        <f>G12*H12</f>
        <v>2334213</v>
      </c>
      <c r="J12" s="2">
        <f>E12+F12-I12</f>
        <v>27000</v>
      </c>
      <c r="K12" t="s">
        <v>18</v>
      </c>
      <c r="L12" t="s">
        <v>20</v>
      </c>
      <c r="M12" s="2">
        <v>100000</v>
      </c>
    </row>
    <row r="13" spans="1:13">
      <c r="A13" t="s">
        <v>17</v>
      </c>
      <c r="B13" t="s">
        <v>63</v>
      </c>
      <c r="C13" t="s">
        <v>52</v>
      </c>
      <c r="D13" t="s">
        <v>53</v>
      </c>
      <c r="E13" s="2">
        <v>0</v>
      </c>
      <c r="F13" s="2">
        <f>SUM(J113:J113)</f>
        <v>-1403940</v>
      </c>
      <c r="G13" s="2">
        <f>M13+SUM(G113:G113)</f>
        <v>-200000</v>
      </c>
      <c r="H13" s="3">
        <f>INDEX('汇率表'!$A:$XFD,MATCH(D13,'汇率表'!$A:$A,0),MATCH(L13,'汇率表'!$1:$1,0))</f>
        <v>6.9677999999999995</v>
      </c>
      <c r="I13" s="2">
        <f>G13*H13</f>
        <v>-1393560</v>
      </c>
      <c r="J13" s="2">
        <f>E13+F13-I13</f>
        <v>-10380</v>
      </c>
      <c r="K13" t="s">
        <v>18</v>
      </c>
      <c r="L13" t="s">
        <v>20</v>
      </c>
      <c r="M13" s="2">
        <v>0</v>
      </c>
    </row>
    <row r="14" spans="1:13">
      <c r="A14" t="s">
        <v>19</v>
      </c>
      <c r="B14" t="s">
        <v>64</v>
      </c>
      <c r="C14" t="s">
        <v>65</v>
      </c>
      <c r="D14" t="s">
        <v>53</v>
      </c>
      <c r="E14" s="2">
        <v>1100</v>
      </c>
      <c r="F14" s="2">
        <v>0</v>
      </c>
      <c r="G14" s="2">
        <v>1000</v>
      </c>
      <c r="H14" s="3">
        <f>INDEX('汇率表'!$A:$XFD,MATCH(D14,'汇率表'!$A:$A,0),MATCH(L14,'汇率表'!$1:$1,0))/INDEX('汇率表'!$A:$XFD,MATCH(D14,'汇率表'!$A:$A,0),MATCH(K14,'汇率表'!$1:$1,0))</f>
        <v>1.194695599758891</v>
      </c>
      <c r="I14" s="2">
        <f>G14*H14</f>
        <v>1194.6955997588911</v>
      </c>
      <c r="J14" s="2">
        <f>E14+F14-I14</f>
        <v>-94.69559975889115</v>
      </c>
      <c r="K14" t="s">
        <v>20</v>
      </c>
      <c r="L14" t="s">
        <v>56</v>
      </c>
      <c r="M14" s="2">
        <v>1000</v>
      </c>
    </row>
    <row r="15" spans="1:13">
      <c r="A15" t="s">
        <v>19</v>
      </c>
      <c r="B15" t="s">
        <v>66</v>
      </c>
      <c r="C15" t="s">
        <v>65</v>
      </c>
      <c r="D15" t="s">
        <v>53</v>
      </c>
      <c r="E15" s="2">
        <v>-33000</v>
      </c>
      <c r="F15" s="2">
        <f>SUM(J114:J114)</f>
        <v>1391.6407165100136</v>
      </c>
      <c r="G15" s="2">
        <f>M15+SUM(G114:G114)</f>
        <v>-28800</v>
      </c>
      <c r="H15" s="3">
        <f>INDEX('汇率表'!$A:$XFD,MATCH(D15,'汇率表'!$A:$A,0),MATCH(L15,'汇率表'!$1:$1,0))/INDEX('汇率表'!$A:$XFD,MATCH(D15,'汇率表'!$A:$A,0),MATCH(K15,'汇率表'!$1:$1,0))</f>
        <v>1.194695599758891</v>
      </c>
      <c r="I15" s="2">
        <f>G15*H15</f>
        <v>-34407.23327305606</v>
      </c>
      <c r="J15" s="2">
        <f>E15+F15-I15</f>
        <v>2798.873989566073</v>
      </c>
      <c r="K15" t="s">
        <v>20</v>
      </c>
      <c r="L15" t="s">
        <v>56</v>
      </c>
      <c r="M15" s="2">
        <v>-30000</v>
      </c>
    </row>
    <row r="16" spans="1:13">
      <c r="A16" t="s">
        <v>19</v>
      </c>
      <c r="B16" t="s">
        <v>67</v>
      </c>
      <c r="C16" t="s">
        <v>65</v>
      </c>
      <c r="D16" t="s">
        <v>53</v>
      </c>
      <c r="E16" s="2">
        <v>5500</v>
      </c>
      <c r="F16" s="2">
        <f>SUM(J115:J115)</f>
        <v>3721.4693132557613</v>
      </c>
      <c r="G16" s="2">
        <f>M16+SUM(G115:G115)</f>
        <v>8200</v>
      </c>
      <c r="H16" s="3">
        <f>INDEX('汇率表'!$A:$XFD,MATCH(D16,'汇率表'!$A:$A,0),MATCH(L16,'汇率表'!$1:$1,0))/INDEX('汇率表'!$A:$XFD,MATCH(D16,'汇率表'!$A:$A,0),MATCH(K16,'汇率表'!$1:$1,0))</f>
        <v>1.194695599758891</v>
      </c>
      <c r="I16" s="2">
        <f>G16*H16</f>
        <v>9796.503918022907</v>
      </c>
      <c r="J16" s="2">
        <f>E16+F16-I16</f>
        <v>-575.0346047671446</v>
      </c>
      <c r="K16" t="s">
        <v>20</v>
      </c>
      <c r="L16" t="s">
        <v>56</v>
      </c>
      <c r="M16" s="2">
        <v>5000</v>
      </c>
    </row>
    <row r="17" spans="1:13">
      <c r="A17" t="s">
        <v>19</v>
      </c>
      <c r="B17" t="s">
        <v>68</v>
      </c>
      <c r="C17" t="s">
        <v>65</v>
      </c>
      <c r="D17" t="s">
        <v>53</v>
      </c>
      <c r="E17" s="2">
        <v>22000</v>
      </c>
      <c r="F17" s="2">
        <f>SUM(J116:J116)</f>
        <v>-1391.6407165100136</v>
      </c>
      <c r="G17" s="2">
        <f>M17+SUM(G116:G116)</f>
        <v>18800</v>
      </c>
      <c r="H17" s="3">
        <f>INDEX('汇率表'!$A:$XFD,MATCH(D17,'汇率表'!$A:$A,0),MATCH(L17,'汇率表'!$1:$1,0))/INDEX('汇率表'!$A:$XFD,MATCH(D17,'汇率表'!$A:$A,0),MATCH(K17,'汇率表'!$1:$1,0))</f>
        <v>1.194695599758891</v>
      </c>
      <c r="I17" s="2">
        <f>G17*H17</f>
        <v>22460.277275467153</v>
      </c>
      <c r="J17" s="2">
        <f>E17+F17-I17</f>
        <v>-1851.9179919771668</v>
      </c>
      <c r="K17" t="s">
        <v>20</v>
      </c>
      <c r="L17" t="s">
        <v>56</v>
      </c>
      <c r="M17" s="2">
        <v>20000</v>
      </c>
    </row>
    <row r="18" spans="1:13">
      <c r="A18" t="s">
        <v>17</v>
      </c>
      <c r="B18" t="s">
        <v>51</v>
      </c>
      <c r="C18" t="s">
        <v>52</v>
      </c>
      <c r="D18" t="s">
        <v>69</v>
      </c>
      <c r="E18" s="2">
        <f>I2</f>
        <v>34839</v>
      </c>
      <c r="F18" s="2">
        <v>0</v>
      </c>
      <c r="G18" s="2">
        <v>5000</v>
      </c>
      <c r="H18" s="3">
        <f>INDEX('汇率表'!$A:$XFD,MATCH(D18,'汇率表'!$A:$A,0),MATCH(L18,'汇率表'!$1:$1,0))</f>
        <v>6.9228</v>
      </c>
      <c r="I18" s="2">
        <f>G18*H18</f>
        <v>34614</v>
      </c>
      <c r="J18" s="2">
        <f>E18+F18-I18</f>
        <v>225</v>
      </c>
      <c r="K18" t="s">
        <v>18</v>
      </c>
      <c r="L18" t="s">
        <v>20</v>
      </c>
      <c r="M18" s="2">
        <v>5000</v>
      </c>
    </row>
    <row r="19" spans="1:13">
      <c r="A19" t="s">
        <v>17</v>
      </c>
      <c r="B19" t="s">
        <v>54</v>
      </c>
      <c r="C19" t="s">
        <v>55</v>
      </c>
      <c r="D19" t="s">
        <v>69</v>
      </c>
      <c r="E19" s="2">
        <f>I3</f>
        <v>-457842.00000000006</v>
      </c>
      <c r="F19" s="2">
        <f>SUM(J117:J118)</f>
        <v>-370167.49999999994</v>
      </c>
      <c r="G19" s="2">
        <f>M19+SUM(G117:G118)</f>
        <v>-100000</v>
      </c>
      <c r="H19" s="3">
        <f>INDEX('汇率表'!$A:$XFD,MATCH(D19,'汇率表'!$A:$A,0),MATCH(L19,'汇率表'!$1:$1,0))</f>
        <v>8.120800000000001</v>
      </c>
      <c r="I19" s="2">
        <f>G19*H19</f>
        <v>-812080.0000000001</v>
      </c>
      <c r="J19" s="2">
        <f>E19+F19-I19</f>
        <v>-15929.499999999884</v>
      </c>
      <c r="K19" t="s">
        <v>18</v>
      </c>
      <c r="L19" t="s">
        <v>56</v>
      </c>
      <c r="M19" s="2">
        <v>-55000</v>
      </c>
    </row>
    <row r="20" spans="1:13">
      <c r="A20" t="s">
        <v>17</v>
      </c>
      <c r="B20" t="s">
        <v>54</v>
      </c>
      <c r="C20" t="s">
        <v>57</v>
      </c>
      <c r="D20" t="s">
        <v>69</v>
      </c>
      <c r="E20" s="2">
        <f>I4</f>
        <v>-84798.9</v>
      </c>
      <c r="F20" s="2">
        <f>SUM(J119:J119)</f>
        <v>4439.35</v>
      </c>
      <c r="G20" s="2">
        <f>M20+SUM(G119:G119)</f>
        <v>-90000</v>
      </c>
      <c r="H20" s="3">
        <f>INDEX('汇率表'!$A:$XFD,MATCH(D20,'汇率表'!$A:$A,0),MATCH(L20,'汇率表'!$1:$1,0))</f>
        <v>0.88484</v>
      </c>
      <c r="I20" s="2">
        <f>G20*H20</f>
        <v>-79635.59999999999</v>
      </c>
      <c r="J20" s="2">
        <f>E20+F20-I20</f>
        <v>-723.9499999999971</v>
      </c>
      <c r="K20" t="s">
        <v>18</v>
      </c>
      <c r="L20" t="s">
        <v>58</v>
      </c>
      <c r="M20" s="2">
        <v>-95000</v>
      </c>
    </row>
    <row r="21" spans="1:13">
      <c r="A21" t="s">
        <v>17</v>
      </c>
      <c r="B21" t="s">
        <v>54</v>
      </c>
      <c r="C21" t="s">
        <v>59</v>
      </c>
      <c r="D21" t="s">
        <v>69</v>
      </c>
      <c r="E21" s="2">
        <f>I5</f>
        <v>-72742.4</v>
      </c>
      <c r="F21" s="2">
        <f>SUM(J120:J120)</f>
        <v>-77016.79999999999</v>
      </c>
      <c r="G21" s="2">
        <f>M21+SUM(G120:G120)</f>
        <v>-3300000</v>
      </c>
      <c r="H21" s="3">
        <f>INDEX('汇率表'!$A:$XFD,MATCH(D21,'汇率表'!$A:$A,0),MATCH(L21,'汇率表'!$1:$1,0))</f>
        <v>0.044216</v>
      </c>
      <c r="I21" s="2">
        <f>G21*H21</f>
        <v>-145912.8</v>
      </c>
      <c r="J21" s="2">
        <f>E21+F21-I21</f>
        <v>-3846.399999999994</v>
      </c>
      <c r="K21" t="s">
        <v>18</v>
      </c>
      <c r="L21" t="s">
        <v>60</v>
      </c>
      <c r="M21" s="2">
        <v>-1600000</v>
      </c>
    </row>
    <row r="22" spans="1:13">
      <c r="A22" t="s">
        <v>17</v>
      </c>
      <c r="B22" t="s">
        <v>54</v>
      </c>
      <c r="C22" t="s">
        <v>52</v>
      </c>
      <c r="D22" t="s">
        <v>69</v>
      </c>
      <c r="E22" s="2">
        <f>I6</f>
        <v>-278712</v>
      </c>
      <c r="F22" s="2">
        <v>0</v>
      </c>
      <c r="G22" s="2">
        <v>-40000</v>
      </c>
      <c r="H22" s="3">
        <f>INDEX('汇率表'!$A:$XFD,MATCH(D22,'汇率表'!$A:$A,0),MATCH(L22,'汇率表'!$1:$1,0))</f>
        <v>6.9228</v>
      </c>
      <c r="I22" s="2">
        <f>G22*H22</f>
        <v>-276912</v>
      </c>
      <c r="J22" s="2">
        <f>E22+F22-I22</f>
        <v>-1800</v>
      </c>
      <c r="K22" t="s">
        <v>18</v>
      </c>
      <c r="L22" t="s">
        <v>20</v>
      </c>
      <c r="M22" s="2">
        <v>-40000</v>
      </c>
    </row>
    <row r="23" spans="1:13">
      <c r="A23" t="s">
        <v>17</v>
      </c>
      <c r="B23" t="s">
        <v>61</v>
      </c>
      <c r="C23" t="s">
        <v>55</v>
      </c>
      <c r="D23" t="s">
        <v>69</v>
      </c>
      <c r="E23" s="2">
        <f>I7</f>
        <v>364608.72000000003</v>
      </c>
      <c r="F23" s="2">
        <f>SUM(J121:J122)</f>
        <v>38242.18000000001</v>
      </c>
      <c r="G23" s="2">
        <f>M23+SUM(G121:G122)</f>
        <v>48400</v>
      </c>
      <c r="H23" s="3">
        <f>INDEX('汇率表'!$A:$XFD,MATCH(D23,'汇率表'!$A:$A,0),MATCH(L23,'汇率表'!$1:$1,0))</f>
        <v>8.120800000000001</v>
      </c>
      <c r="I23" s="2">
        <f>G23*H23</f>
        <v>393046.72000000003</v>
      </c>
      <c r="J23" s="2">
        <f>E23+F23-I23</f>
        <v>9804.179999999993</v>
      </c>
      <c r="K23" t="s">
        <v>18</v>
      </c>
      <c r="L23" t="s">
        <v>56</v>
      </c>
      <c r="M23" s="2">
        <v>43800</v>
      </c>
    </row>
    <row r="24" spans="1:13">
      <c r="A24" t="s">
        <v>17</v>
      </c>
      <c r="B24" t="s">
        <v>61</v>
      </c>
      <c r="C24" t="s">
        <v>57</v>
      </c>
      <c r="D24" t="s">
        <v>69</v>
      </c>
      <c r="E24" s="2">
        <f>I8</f>
        <v>26778.6</v>
      </c>
      <c r="F24" s="2">
        <v>0</v>
      </c>
      <c r="G24" s="2">
        <v>30000</v>
      </c>
      <c r="H24" s="3">
        <f>INDEX('汇率表'!$A:$XFD,MATCH(D24,'汇率表'!$A:$A,0),MATCH(L24,'汇率表'!$1:$1,0))</f>
        <v>0.88484</v>
      </c>
      <c r="I24" s="2">
        <f>G24*H24</f>
        <v>26545.199999999997</v>
      </c>
      <c r="J24" s="2">
        <f>E24+F24-I24</f>
        <v>233.40000000000146</v>
      </c>
      <c r="K24" t="s">
        <v>18</v>
      </c>
      <c r="L24" t="s">
        <v>58</v>
      </c>
      <c r="M24" s="2">
        <v>30000</v>
      </c>
    </row>
    <row r="25" spans="1:13">
      <c r="A25" t="s">
        <v>17</v>
      </c>
      <c r="B25" t="s">
        <v>61</v>
      </c>
      <c r="C25" t="s">
        <v>52</v>
      </c>
      <c r="D25" t="s">
        <v>69</v>
      </c>
      <c r="E25" s="2">
        <f>I9</f>
        <v>1090460.7</v>
      </c>
      <c r="F25" s="2">
        <f>SUM(J123:J124)</f>
        <v>55776.40000000002</v>
      </c>
      <c r="G25" s="2">
        <f>M25+SUM(G123:G124)</f>
        <v>164500</v>
      </c>
      <c r="H25" s="3">
        <f>INDEX('汇率表'!$A:$XFD,MATCH(D25,'汇率表'!$A:$A,0),MATCH(L25,'汇率表'!$1:$1,0))</f>
        <v>6.9228</v>
      </c>
      <c r="I25" s="2">
        <f>G25*H25</f>
        <v>1138800.5999999999</v>
      </c>
      <c r="J25" s="2">
        <f>E25+F25-I25</f>
        <v>7436.500000000233</v>
      </c>
      <c r="K25" t="s">
        <v>18</v>
      </c>
      <c r="L25" t="s">
        <v>20</v>
      </c>
      <c r="M25" s="2">
        <v>156500</v>
      </c>
    </row>
    <row r="26" spans="1:13">
      <c r="A26" t="s">
        <v>17</v>
      </c>
      <c r="B26" t="s">
        <v>62</v>
      </c>
      <c r="C26" t="s">
        <v>55</v>
      </c>
      <c r="D26" t="s">
        <v>69</v>
      </c>
      <c r="E26" s="2">
        <f>I10</f>
        <v>366273.60000000003</v>
      </c>
      <c r="F26" s="2">
        <f>SUM(J125:J126)</f>
        <v>32878</v>
      </c>
      <c r="G26" s="2">
        <f>M26+SUM(G125:G126)</f>
        <v>48000</v>
      </c>
      <c r="H26" s="3">
        <f>INDEX('汇率表'!$A:$XFD,MATCH(D26,'汇率表'!$A:$A,0),MATCH(L26,'汇率表'!$1:$1,0))</f>
        <v>8.120800000000001</v>
      </c>
      <c r="I26" s="2">
        <f>G26*H26</f>
        <v>389798.4</v>
      </c>
      <c r="J26" s="2">
        <f>E26+F26-I26</f>
        <v>9353.200000000012</v>
      </c>
      <c r="K26" t="s">
        <v>18</v>
      </c>
      <c r="L26" t="s">
        <v>56</v>
      </c>
      <c r="M26" s="2">
        <v>44000</v>
      </c>
    </row>
    <row r="27" spans="1:13">
      <c r="A27" t="s">
        <v>17</v>
      </c>
      <c r="B27" t="s">
        <v>62</v>
      </c>
      <c r="C27" t="s">
        <v>57</v>
      </c>
      <c r="D27" t="s">
        <v>69</v>
      </c>
      <c r="E27" s="2">
        <f>I11</f>
        <v>84798.9</v>
      </c>
      <c r="F27" s="2">
        <f>SUM(J127:J127)</f>
        <v>-4439.35</v>
      </c>
      <c r="G27" s="2">
        <f>M27+SUM(G127:G127)</f>
        <v>90000</v>
      </c>
      <c r="H27" s="3">
        <f>INDEX('汇率表'!$A:$XFD,MATCH(D27,'汇率表'!$A:$A,0),MATCH(L27,'汇率表'!$1:$1,0))</f>
        <v>0.88484</v>
      </c>
      <c r="I27" s="2">
        <f>G27*H27</f>
        <v>79635.59999999999</v>
      </c>
      <c r="J27" s="2">
        <f>E27+F27-I27</f>
        <v>723.9499999999971</v>
      </c>
      <c r="K27" t="s">
        <v>18</v>
      </c>
      <c r="L27" t="s">
        <v>58</v>
      </c>
      <c r="M27" s="2">
        <v>95000</v>
      </c>
    </row>
    <row r="28" spans="1:13">
      <c r="A28" t="s">
        <v>17</v>
      </c>
      <c r="B28" t="s">
        <v>62</v>
      </c>
      <c r="C28" t="s">
        <v>52</v>
      </c>
      <c r="D28" t="s">
        <v>69</v>
      </c>
      <c r="E28" s="2">
        <f>I12</f>
        <v>2334213</v>
      </c>
      <c r="F28" s="2">
        <f>SUM(J128:J128)</f>
        <v>242893</v>
      </c>
      <c r="G28" s="2">
        <f>M28+SUM(G128:G128)</f>
        <v>370000</v>
      </c>
      <c r="H28" s="3">
        <f>INDEX('汇率表'!$A:$XFD,MATCH(D28,'汇率表'!$A:$A,0),MATCH(L28,'汇率表'!$1:$1,0))</f>
        <v>6.9228</v>
      </c>
      <c r="I28" s="2">
        <f>G28*H28</f>
        <v>2561436</v>
      </c>
      <c r="J28" s="2">
        <f>E28+F28-I28</f>
        <v>15670</v>
      </c>
      <c r="K28" t="s">
        <v>18</v>
      </c>
      <c r="L28" t="s">
        <v>20</v>
      </c>
      <c r="M28" s="2">
        <v>335000</v>
      </c>
    </row>
    <row r="29" spans="1:13">
      <c r="A29" t="s">
        <v>17</v>
      </c>
      <c r="B29" t="s">
        <v>63</v>
      </c>
      <c r="C29" t="s">
        <v>52</v>
      </c>
      <c r="D29" t="s">
        <v>69</v>
      </c>
      <c r="E29" s="2">
        <f>I13</f>
        <v>-1393560</v>
      </c>
      <c r="F29" s="2">
        <v>0</v>
      </c>
      <c r="G29" s="2">
        <v>-200000</v>
      </c>
      <c r="H29" s="3">
        <f>INDEX('汇率表'!$A:$XFD,MATCH(D29,'汇率表'!$A:$A,0),MATCH(L29,'汇率表'!$1:$1,0))</f>
        <v>6.9228</v>
      </c>
      <c r="I29" s="2">
        <f>G29*H29</f>
        <v>-1384560</v>
      </c>
      <c r="J29" s="2">
        <f>E29+F29-I29</f>
        <v>-9000</v>
      </c>
      <c r="K29" t="s">
        <v>18</v>
      </c>
      <c r="L29" t="s">
        <v>20</v>
      </c>
      <c r="M29" s="2">
        <v>-200000</v>
      </c>
    </row>
    <row r="30" spans="1:13">
      <c r="A30" t="s">
        <v>19</v>
      </c>
      <c r="B30" t="s">
        <v>64</v>
      </c>
      <c r="C30" t="s">
        <v>65</v>
      </c>
      <c r="D30" t="s">
        <v>69</v>
      </c>
      <c r="E30" s="2">
        <f>I14</f>
        <v>1194.6955997588911</v>
      </c>
      <c r="F30" s="2">
        <v>0</v>
      </c>
      <c r="G30" s="2">
        <v>1000</v>
      </c>
      <c r="H30" s="3">
        <f>INDEX('汇率表'!$A:$XFD,MATCH(D30,'汇率表'!$A:$A,0),MATCH(L30,'汇率表'!$1:$1,0))/INDEX('汇率表'!$A:$XFD,MATCH(D30,'汇率表'!$A:$A,0),MATCH(K30,'汇率表'!$1:$1,0))</f>
        <v>1.1730513664991047</v>
      </c>
      <c r="I30" s="2">
        <f>G30*H30</f>
        <v>1173.0513664991047</v>
      </c>
      <c r="J30" s="2">
        <f>E30+F30-I30</f>
        <v>21.64423325978646</v>
      </c>
      <c r="K30" t="s">
        <v>20</v>
      </c>
      <c r="L30" t="s">
        <v>56</v>
      </c>
      <c r="M30" s="2">
        <v>1000</v>
      </c>
    </row>
    <row r="31" spans="1:13">
      <c r="A31" t="s">
        <v>19</v>
      </c>
      <c r="B31" t="s">
        <v>66</v>
      </c>
      <c r="C31" t="s">
        <v>65</v>
      </c>
      <c r="D31" t="s">
        <v>69</v>
      </c>
      <c r="E31" s="2">
        <f>I15</f>
        <v>-34407.23327305606</v>
      </c>
      <c r="F31" s="2">
        <f>SUM(J129:J129)</f>
        <v>1421.2801521657684</v>
      </c>
      <c r="G31" s="2">
        <f>M31+SUM(G129:G129)</f>
        <v>-27600</v>
      </c>
      <c r="H31" s="3">
        <f>INDEX('汇率表'!$A:$XFD,MATCH(D31,'汇率表'!$A:$A,0),MATCH(L31,'汇率表'!$1:$1,0))/INDEX('汇率表'!$A:$XFD,MATCH(D31,'汇率表'!$A:$A,0),MATCH(K31,'汇率表'!$1:$1,0))</f>
        <v>1.1730513664991047</v>
      </c>
      <c r="I31" s="2">
        <f>G31*H31</f>
        <v>-32376.21771537529</v>
      </c>
      <c r="J31" s="2">
        <f>E31+F31-I31</f>
        <v>-609.7354055150026</v>
      </c>
      <c r="K31" t="s">
        <v>20</v>
      </c>
      <c r="L31" t="s">
        <v>56</v>
      </c>
      <c r="M31" s="2">
        <v>-28800</v>
      </c>
    </row>
    <row r="32" spans="1:13">
      <c r="A32" t="s">
        <v>19</v>
      </c>
      <c r="B32" t="s">
        <v>67</v>
      </c>
      <c r="C32" t="s">
        <v>65</v>
      </c>
      <c r="D32" t="s">
        <v>69</v>
      </c>
      <c r="E32" s="2">
        <f>I16</f>
        <v>9796.503918022907</v>
      </c>
      <c r="F32" s="2">
        <f>SUM(J130:J130)</f>
        <v>4039.048057819114</v>
      </c>
      <c r="G32" s="2">
        <f>M32+SUM(G130:G130)</f>
        <v>11600</v>
      </c>
      <c r="H32" s="3">
        <f>INDEX('汇率表'!$A:$XFD,MATCH(D32,'汇率表'!$A:$A,0),MATCH(L32,'汇率表'!$1:$1,0))/INDEX('汇率表'!$A:$XFD,MATCH(D32,'汇率表'!$A:$A,0),MATCH(K32,'汇率表'!$1:$1,0))</f>
        <v>1.1730513664991047</v>
      </c>
      <c r="I32" s="2">
        <f>G32*H32</f>
        <v>13607.395851389614</v>
      </c>
      <c r="J32" s="2">
        <f>E32+F32-I32</f>
        <v>228.1561244524073</v>
      </c>
      <c r="K32" t="s">
        <v>20</v>
      </c>
      <c r="L32" t="s">
        <v>56</v>
      </c>
      <c r="M32" s="2">
        <v>8200</v>
      </c>
    </row>
    <row r="33" spans="1:13">
      <c r="A33" t="s">
        <v>19</v>
      </c>
      <c r="B33" t="s">
        <v>68</v>
      </c>
      <c r="C33" t="s">
        <v>65</v>
      </c>
      <c r="D33" t="s">
        <v>69</v>
      </c>
      <c r="E33" s="2">
        <f>I17</f>
        <v>22460.277275467153</v>
      </c>
      <c r="F33" s="2">
        <f>SUM(J131:J131)</f>
        <v>-1421.2801521657684</v>
      </c>
      <c r="G33" s="2">
        <f>M33+SUM(G131:G131)</f>
        <v>17600</v>
      </c>
      <c r="H33" s="3">
        <f>INDEX('汇率表'!$A:$XFD,MATCH(D33,'汇率表'!$A:$A,0),MATCH(L33,'汇率表'!$1:$1,0))/INDEX('汇率表'!$A:$XFD,MATCH(D33,'汇率表'!$A:$A,0),MATCH(K33,'汇率表'!$1:$1,0))</f>
        <v>1.1730513664991047</v>
      </c>
      <c r="I33" s="2">
        <f>G33*H33</f>
        <v>20645.704050384244</v>
      </c>
      <c r="J33" s="2">
        <f>E33+F33-I33</f>
        <v>393.2930729171421</v>
      </c>
      <c r="K33" t="s">
        <v>20</v>
      </c>
      <c r="L33" t="s">
        <v>56</v>
      </c>
      <c r="M33" s="2">
        <v>18800</v>
      </c>
    </row>
    <row r="34" spans="1:13">
      <c r="A34" t="s">
        <v>17</v>
      </c>
      <c r="B34" t="s">
        <v>51</v>
      </c>
      <c r="C34" t="s">
        <v>52</v>
      </c>
      <c r="D34" t="s">
        <v>70</v>
      </c>
      <c r="E34" s="2">
        <f>I18</f>
        <v>34614</v>
      </c>
      <c r="F34" s="2">
        <v>0</v>
      </c>
      <c r="G34" s="2">
        <v>5000</v>
      </c>
      <c r="H34" s="3">
        <f>INDEX('汇率表'!$A:$XFD,MATCH(D34,'汇率表'!$A:$A,0),MATCH(L34,'汇率表'!$1:$1,0))</f>
        <v>6.9194</v>
      </c>
      <c r="I34" s="2">
        <f>G34*H34</f>
        <v>34597</v>
      </c>
      <c r="J34" s="2">
        <f>E34+F34-I34</f>
        <v>17</v>
      </c>
      <c r="K34" t="s">
        <v>18</v>
      </c>
      <c r="L34" t="s">
        <v>20</v>
      </c>
      <c r="M34" s="2">
        <v>5000</v>
      </c>
    </row>
    <row r="35" spans="1:13">
      <c r="A35" t="s">
        <v>17</v>
      </c>
      <c r="B35" t="s">
        <v>54</v>
      </c>
      <c r="C35" t="s">
        <v>55</v>
      </c>
      <c r="D35" t="s">
        <v>70</v>
      </c>
      <c r="E35" s="2">
        <f>I19</f>
        <v>-812080.0000000001</v>
      </c>
      <c r="F35" s="2">
        <f>SUM(J132:J132)</f>
        <v>39837.5</v>
      </c>
      <c r="G35" s="2">
        <f>M35+SUM(G132:G132)</f>
        <v>-95000</v>
      </c>
      <c r="H35" s="3">
        <f>INDEX('汇率表'!$A:$XFD,MATCH(D35,'汇率表'!$A:$A,0),MATCH(L35,'汇率表'!$1:$1,0))</f>
        <v>7.9302</v>
      </c>
      <c r="I35" s="2">
        <f>G35*H35</f>
        <v>-753369</v>
      </c>
      <c r="J35" s="2">
        <f>E35+F35-I35</f>
        <v>-18873.500000000116</v>
      </c>
      <c r="K35" t="s">
        <v>18</v>
      </c>
      <c r="L35" t="s">
        <v>56</v>
      </c>
      <c r="M35" s="2">
        <v>-100000</v>
      </c>
    </row>
    <row r="36" spans="1:13">
      <c r="A36" t="s">
        <v>17</v>
      </c>
      <c r="B36" t="s">
        <v>54</v>
      </c>
      <c r="C36" t="s">
        <v>57</v>
      </c>
      <c r="D36" t="s">
        <v>70</v>
      </c>
      <c r="E36" s="2">
        <f>I20</f>
        <v>-79635.59999999999</v>
      </c>
      <c r="F36" s="2">
        <f>SUM(J133:J133)</f>
        <v>4395.750000000001</v>
      </c>
      <c r="G36" s="2">
        <f>M36+SUM(G133:G133)</f>
        <v>-85000</v>
      </c>
      <c r="H36" s="3">
        <f>INDEX('汇率表'!$A:$XFD,MATCH(D36,'汇率表'!$A:$A,0),MATCH(L36,'汇率表'!$1:$1,0))</f>
        <v>0.88295</v>
      </c>
      <c r="I36" s="2">
        <f>G36*H36</f>
        <v>-75050.75</v>
      </c>
      <c r="J36" s="2">
        <f>E36+F36-I36</f>
        <v>-189.09999999999127</v>
      </c>
      <c r="K36" t="s">
        <v>18</v>
      </c>
      <c r="L36" t="s">
        <v>58</v>
      </c>
      <c r="M36" s="2">
        <v>-90000</v>
      </c>
    </row>
    <row r="37" spans="1:13">
      <c r="A37" t="s">
        <v>17</v>
      </c>
      <c r="B37" t="s">
        <v>54</v>
      </c>
      <c r="C37" t="s">
        <v>59</v>
      </c>
      <c r="D37" t="s">
        <v>70</v>
      </c>
      <c r="E37" s="2">
        <f>I21</f>
        <v>-145912.8</v>
      </c>
      <c r="F37" s="2">
        <f>SUM(J134:J134)</f>
        <v>-77911.20000000001</v>
      </c>
      <c r="G37" s="2">
        <f>M37+SUM(G134:G134)</f>
        <v>-5100000</v>
      </c>
      <c r="H37" s="3">
        <f>INDEX('汇率表'!$A:$XFD,MATCH(D37,'汇率表'!$A:$A,0),MATCH(L37,'汇率表'!$1:$1,0))</f>
        <v>0.043296</v>
      </c>
      <c r="I37" s="2">
        <f>G37*H37</f>
        <v>-220809.6</v>
      </c>
      <c r="J37" s="2">
        <f>E37+F37-I37</f>
        <v>-3014.399999999994</v>
      </c>
      <c r="K37" t="s">
        <v>18</v>
      </c>
      <c r="L37" t="s">
        <v>60</v>
      </c>
      <c r="M37" s="2">
        <v>-3300000</v>
      </c>
    </row>
    <row r="38" spans="1:13">
      <c r="A38" t="s">
        <v>17</v>
      </c>
      <c r="B38" t="s">
        <v>54</v>
      </c>
      <c r="C38" t="s">
        <v>52</v>
      </c>
      <c r="D38" t="s">
        <v>70</v>
      </c>
      <c r="E38" s="2">
        <f>I22</f>
        <v>-276912</v>
      </c>
      <c r="F38" s="2">
        <v>0</v>
      </c>
      <c r="G38" s="2">
        <v>-40000</v>
      </c>
      <c r="H38" s="3">
        <f>INDEX('汇率表'!$A:$XFD,MATCH(D38,'汇率表'!$A:$A,0),MATCH(L38,'汇率表'!$1:$1,0))</f>
        <v>6.9194</v>
      </c>
      <c r="I38" s="2">
        <f>G38*H38</f>
        <v>-276776</v>
      </c>
      <c r="J38" s="2">
        <f>E38+F38-I38</f>
        <v>-136</v>
      </c>
      <c r="K38" t="s">
        <v>18</v>
      </c>
      <c r="L38" t="s">
        <v>20</v>
      </c>
      <c r="M38" s="2">
        <v>-40000</v>
      </c>
    </row>
    <row r="39" spans="1:13">
      <c r="A39" t="s">
        <v>17</v>
      </c>
      <c r="B39" t="s">
        <v>61</v>
      </c>
      <c r="C39" t="s">
        <v>55</v>
      </c>
      <c r="D39" t="s">
        <v>70</v>
      </c>
      <c r="E39" s="2">
        <f>I23</f>
        <v>393046.72000000003</v>
      </c>
      <c r="F39" s="2">
        <f>SUM(J135:J136)</f>
        <v>44002.619999999995</v>
      </c>
      <c r="G39" s="2">
        <f>M39+SUM(G135:G136)</f>
        <v>53800</v>
      </c>
      <c r="H39" s="3">
        <f>INDEX('汇率表'!$A:$XFD,MATCH(D39,'汇率表'!$A:$A,0),MATCH(L39,'汇率表'!$1:$1,0))</f>
        <v>7.9302</v>
      </c>
      <c r="I39" s="2">
        <f>G39*H39</f>
        <v>426644.76</v>
      </c>
      <c r="J39" s="2">
        <f>E39+F39-I39</f>
        <v>10404.580000000016</v>
      </c>
      <c r="K39" t="s">
        <v>18</v>
      </c>
      <c r="L39" t="s">
        <v>56</v>
      </c>
      <c r="M39" s="2">
        <v>48400</v>
      </c>
    </row>
    <row r="40" spans="1:13">
      <c r="A40" t="s">
        <v>17</v>
      </c>
      <c r="B40" t="s">
        <v>61</v>
      </c>
      <c r="C40" t="s">
        <v>57</v>
      </c>
      <c r="D40" t="s">
        <v>70</v>
      </c>
      <c r="E40" s="2">
        <f>I24</f>
        <v>26545.199999999997</v>
      </c>
      <c r="F40" s="2">
        <v>0</v>
      </c>
      <c r="G40" s="2">
        <v>30000</v>
      </c>
      <c r="H40" s="3">
        <f>INDEX('汇率表'!$A:$XFD,MATCH(D40,'汇率表'!$A:$A,0),MATCH(L40,'汇率表'!$1:$1,0))</f>
        <v>0.88295</v>
      </c>
      <c r="I40" s="2">
        <f>G40*H40</f>
        <v>26488.5</v>
      </c>
      <c r="J40" s="2">
        <f>E40+F40-I40</f>
        <v>56.69999999999709</v>
      </c>
      <c r="K40" t="s">
        <v>18</v>
      </c>
      <c r="L40" t="s">
        <v>58</v>
      </c>
      <c r="M40" s="2">
        <v>30000</v>
      </c>
    </row>
    <row r="41" spans="1:13">
      <c r="A41" t="s">
        <v>17</v>
      </c>
      <c r="B41" t="s">
        <v>61</v>
      </c>
      <c r="C41" t="s">
        <v>52</v>
      </c>
      <c r="D41" t="s">
        <v>70</v>
      </c>
      <c r="E41" s="2">
        <f>I25</f>
        <v>1138800.5999999999</v>
      </c>
      <c r="F41" s="2">
        <f>SUM(J137:J138)</f>
        <v>65788.40000000002</v>
      </c>
      <c r="G41" s="2">
        <f>M41+SUM(G137:G138)</f>
        <v>174000</v>
      </c>
      <c r="H41" s="3">
        <f>INDEX('汇率表'!$A:$XFD,MATCH(D41,'汇率表'!$A:$A,0),MATCH(L41,'汇率表'!$1:$1,0))</f>
        <v>6.9194</v>
      </c>
      <c r="I41" s="2">
        <f>G41*H41</f>
        <v>1203975.6</v>
      </c>
      <c r="J41" s="2">
        <f>E41+F41-I41</f>
        <v>613.3999999999069</v>
      </c>
      <c r="K41" t="s">
        <v>18</v>
      </c>
      <c r="L41" t="s">
        <v>20</v>
      </c>
      <c r="M41" s="2">
        <v>164500</v>
      </c>
    </row>
    <row r="42" spans="1:13">
      <c r="A42" t="s">
        <v>17</v>
      </c>
      <c r="B42" t="s">
        <v>62</v>
      </c>
      <c r="C42" t="s">
        <v>55</v>
      </c>
      <c r="D42" t="s">
        <v>70</v>
      </c>
      <c r="E42" s="2">
        <f>I26</f>
        <v>389798.4</v>
      </c>
      <c r="F42" s="2">
        <f>SUM(J139:J140)</f>
        <v>31645</v>
      </c>
      <c r="G42" s="2">
        <f>M42+SUM(G139:G140)</f>
        <v>52000</v>
      </c>
      <c r="H42" s="3">
        <f>INDEX('汇率表'!$A:$XFD,MATCH(D42,'汇率表'!$A:$A,0),MATCH(L42,'汇率表'!$1:$1,0))</f>
        <v>7.9302</v>
      </c>
      <c r="I42" s="2">
        <f>G42*H42</f>
        <v>412370.4</v>
      </c>
      <c r="J42" s="2">
        <f>E42+F42-I42</f>
        <v>9073</v>
      </c>
      <c r="K42" t="s">
        <v>18</v>
      </c>
      <c r="L42" t="s">
        <v>56</v>
      </c>
      <c r="M42" s="2">
        <v>48000</v>
      </c>
    </row>
    <row r="43" spans="1:13">
      <c r="A43" t="s">
        <v>17</v>
      </c>
      <c r="B43" t="s">
        <v>62</v>
      </c>
      <c r="C43" t="s">
        <v>57</v>
      </c>
      <c r="D43" t="s">
        <v>70</v>
      </c>
      <c r="E43" s="2">
        <f>I27</f>
        <v>79635.59999999999</v>
      </c>
      <c r="F43" s="2">
        <f>SUM(J141:J141)</f>
        <v>-4395.750000000001</v>
      </c>
      <c r="G43" s="2">
        <f>M43+SUM(G141:G141)</f>
        <v>85000</v>
      </c>
      <c r="H43" s="3">
        <f>INDEX('汇率表'!$A:$XFD,MATCH(D43,'汇率表'!$A:$A,0),MATCH(L43,'汇率表'!$1:$1,0))</f>
        <v>0.88295</v>
      </c>
      <c r="I43" s="2">
        <f>G43*H43</f>
        <v>75050.75</v>
      </c>
      <c r="J43" s="2">
        <f>E43+F43-I43</f>
        <v>189.09999999999127</v>
      </c>
      <c r="K43" t="s">
        <v>18</v>
      </c>
      <c r="L43" t="s">
        <v>58</v>
      </c>
      <c r="M43" s="2">
        <v>90000</v>
      </c>
    </row>
    <row r="44" spans="1:13">
      <c r="A44" t="s">
        <v>17</v>
      </c>
      <c r="B44" t="s">
        <v>62</v>
      </c>
      <c r="C44" t="s">
        <v>52</v>
      </c>
      <c r="D44" t="s">
        <v>70</v>
      </c>
      <c r="E44" s="2">
        <f>I28</f>
        <v>2561436</v>
      </c>
      <c r="F44" s="2">
        <f>SUM(J142:J143)</f>
        <v>-103308.5</v>
      </c>
      <c r="G44" s="2">
        <f>M44+SUM(G142:G143)</f>
        <v>355000</v>
      </c>
      <c r="H44" s="3">
        <f>INDEX('汇率表'!$A:$XFD,MATCH(D44,'汇率表'!$A:$A,0),MATCH(L44,'汇率表'!$1:$1,0))</f>
        <v>6.9194</v>
      </c>
      <c r="I44" s="2">
        <f>G44*H44</f>
        <v>2456387</v>
      </c>
      <c r="J44" s="2">
        <f>E44+F44-I44</f>
        <v>1740.5</v>
      </c>
      <c r="K44" t="s">
        <v>18</v>
      </c>
      <c r="L44" t="s">
        <v>20</v>
      </c>
      <c r="M44" s="2">
        <v>370000</v>
      </c>
    </row>
    <row r="45" spans="1:13">
      <c r="A45" t="s">
        <v>17</v>
      </c>
      <c r="B45" t="s">
        <v>63</v>
      </c>
      <c r="C45" t="s">
        <v>52</v>
      </c>
      <c r="D45" t="s">
        <v>70</v>
      </c>
      <c r="E45" s="2">
        <f>I29</f>
        <v>-1384560</v>
      </c>
      <c r="F45" s="2">
        <f>SUM(J144:J144)</f>
        <v>344490</v>
      </c>
      <c r="G45" s="2">
        <f>M45+SUM(G144:G144)</f>
        <v>-150000</v>
      </c>
      <c r="H45" s="3">
        <f>INDEX('汇率表'!$A:$XFD,MATCH(D45,'汇率表'!$A:$A,0),MATCH(L45,'汇率表'!$1:$1,0))</f>
        <v>6.9194</v>
      </c>
      <c r="I45" s="2">
        <f>G45*H45</f>
        <v>-1037910.0000000001</v>
      </c>
      <c r="J45" s="2">
        <f>E45+F45-I45</f>
        <v>-2159.9999999998836</v>
      </c>
      <c r="K45" t="s">
        <v>18</v>
      </c>
      <c r="L45" t="s">
        <v>20</v>
      </c>
      <c r="M45" s="2">
        <v>-200000</v>
      </c>
    </row>
    <row r="46" spans="1:13">
      <c r="A46" t="s">
        <v>19</v>
      </c>
      <c r="B46" t="s">
        <v>64</v>
      </c>
      <c r="C46" t="s">
        <v>65</v>
      </c>
      <c r="D46" t="s">
        <v>70</v>
      </c>
      <c r="E46" s="2">
        <f>I30</f>
        <v>1173.0513664991047</v>
      </c>
      <c r="F46" s="2">
        <v>0</v>
      </c>
      <c r="G46" s="2">
        <v>1000</v>
      </c>
      <c r="H46" s="3">
        <f>INDEX('汇率表'!$A:$XFD,MATCH(D46,'汇率表'!$A:$A,0),MATCH(L46,'汇率表'!$1:$1,0))/INDEX('汇率表'!$A:$XFD,MATCH(D46,'汇率表'!$A:$A,0),MATCH(K46,'汇率表'!$1:$1,0))</f>
        <v>1.1460820302338353</v>
      </c>
      <c r="I46" s="2">
        <f>G46*H46</f>
        <v>1146.0820302338352</v>
      </c>
      <c r="J46" s="2">
        <f>E46+F46-I46</f>
        <v>26.969336265269476</v>
      </c>
      <c r="K46" t="s">
        <v>20</v>
      </c>
      <c r="L46" t="s">
        <v>56</v>
      </c>
      <c r="M46" s="2">
        <v>1000</v>
      </c>
    </row>
    <row r="47" spans="1:13">
      <c r="A47" t="s">
        <v>19</v>
      </c>
      <c r="B47" t="s">
        <v>66</v>
      </c>
      <c r="C47" t="s">
        <v>65</v>
      </c>
      <c r="D47" t="s">
        <v>70</v>
      </c>
      <c r="E47" s="2">
        <f>I31</f>
        <v>-32376.21771537529</v>
      </c>
      <c r="F47" s="2">
        <f>SUM(J145:J145)</f>
        <v>1387.7035617869897</v>
      </c>
      <c r="G47" s="2">
        <f>M47+SUM(G145:G145)</f>
        <v>-26400</v>
      </c>
      <c r="H47" s="3">
        <f>INDEX('汇率表'!$A:$XFD,MATCH(D47,'汇率表'!$A:$A,0),MATCH(L47,'汇率表'!$1:$1,0))/INDEX('汇率表'!$A:$XFD,MATCH(D47,'汇率表'!$A:$A,0),MATCH(K47,'汇率表'!$1:$1,0))</f>
        <v>1.1460820302338353</v>
      </c>
      <c r="I47" s="2">
        <f>G47*H47</f>
        <v>-30256.565598173253</v>
      </c>
      <c r="J47" s="2">
        <f>E47+F47-I47</f>
        <v>-731.9485554150488</v>
      </c>
      <c r="K47" t="s">
        <v>20</v>
      </c>
      <c r="L47" t="s">
        <v>56</v>
      </c>
      <c r="M47" s="2">
        <v>-27600</v>
      </c>
    </row>
    <row r="48" spans="1:13">
      <c r="A48" t="s">
        <v>19</v>
      </c>
      <c r="B48" t="s">
        <v>67</v>
      </c>
      <c r="C48" t="s">
        <v>65</v>
      </c>
      <c r="D48" t="s">
        <v>70</v>
      </c>
      <c r="E48" s="2">
        <f>I32</f>
        <v>13607.395851389614</v>
      </c>
      <c r="F48" s="2">
        <f>SUM(J146:J146)</f>
        <v>4185.3353048621375</v>
      </c>
      <c r="G48" s="2">
        <f>M48+SUM(G146:G146)</f>
        <v>15200</v>
      </c>
      <c r="H48" s="3">
        <f>INDEX('汇率表'!$A:$XFD,MATCH(D48,'汇率表'!$A:$A,0),MATCH(L48,'汇率表'!$1:$1,0))/INDEX('汇率表'!$A:$XFD,MATCH(D48,'汇率表'!$A:$A,0),MATCH(K48,'汇率表'!$1:$1,0))</f>
        <v>1.1460820302338353</v>
      </c>
      <c r="I48" s="2">
        <f>G48*H48</f>
        <v>17420.446859554297</v>
      </c>
      <c r="J48" s="2">
        <f>E48+F48-I48</f>
        <v>372.2842966974531</v>
      </c>
      <c r="K48" t="s">
        <v>20</v>
      </c>
      <c r="L48" t="s">
        <v>56</v>
      </c>
      <c r="M48" s="2">
        <v>11600</v>
      </c>
    </row>
    <row r="49" spans="1:13">
      <c r="A49" t="s">
        <v>19</v>
      </c>
      <c r="B49" t="s">
        <v>68</v>
      </c>
      <c r="C49" t="s">
        <v>65</v>
      </c>
      <c r="D49" t="s">
        <v>70</v>
      </c>
      <c r="E49" s="2">
        <f>I33</f>
        <v>20645.704050384244</v>
      </c>
      <c r="F49" s="2">
        <f>SUM(J147:J147)</f>
        <v>-1387.7035617869897</v>
      </c>
      <c r="G49" s="2">
        <f>M49+SUM(G147:G147)</f>
        <v>16400</v>
      </c>
      <c r="H49" s="3">
        <f>INDEX('汇率表'!$A:$XFD,MATCH(D49,'汇率表'!$A:$A,0),MATCH(L49,'汇率表'!$1:$1,0))/INDEX('汇率表'!$A:$XFD,MATCH(D49,'汇率表'!$A:$A,0),MATCH(K49,'汇率表'!$1:$1,0))</f>
        <v>1.1460820302338353</v>
      </c>
      <c r="I49" s="2">
        <f>G49*H49</f>
        <v>18795.7452958349</v>
      </c>
      <c r="J49" s="2">
        <f>E49+F49-I49</f>
        <v>462.25519276235354</v>
      </c>
      <c r="K49" t="s">
        <v>20</v>
      </c>
      <c r="L49" t="s">
        <v>56</v>
      </c>
      <c r="M49" s="2">
        <v>17600</v>
      </c>
    </row>
    <row r="50" spans="1:13">
      <c r="A50" t="s">
        <v>17</v>
      </c>
      <c r="B50" t="s">
        <v>51</v>
      </c>
      <c r="C50" t="s">
        <v>52</v>
      </c>
      <c r="D50" t="s">
        <v>71</v>
      </c>
      <c r="E50" s="2">
        <f>I34</f>
        <v>34597</v>
      </c>
      <c r="F50" s="2">
        <v>0</v>
      </c>
      <c r="G50" s="2">
        <v>5000</v>
      </c>
      <c r="H50" s="3">
        <f>INDEX('汇率表'!$A:$XFD,MATCH(D50,'汇率表'!$A:$A,0),MATCH(L50,'汇率表'!$1:$1,0))</f>
        <v>6.8628</v>
      </c>
      <c r="I50" s="2">
        <f>G50*H50</f>
        <v>34314</v>
      </c>
      <c r="J50" s="2">
        <f>E50+F50-I50</f>
        <v>283</v>
      </c>
      <c r="K50" t="s">
        <v>18</v>
      </c>
      <c r="L50" t="s">
        <v>20</v>
      </c>
      <c r="M50" s="2">
        <v>5000</v>
      </c>
    </row>
    <row r="51" spans="1:13">
      <c r="A51" t="s">
        <v>17</v>
      </c>
      <c r="B51" t="s">
        <v>54</v>
      </c>
      <c r="C51" t="s">
        <v>55</v>
      </c>
      <c r="D51" t="s">
        <v>71</v>
      </c>
      <c r="E51" s="2">
        <f>I35</f>
        <v>-753369</v>
      </c>
      <c r="F51" s="2">
        <f>SUM(J148:J148)</f>
        <v>40201</v>
      </c>
      <c r="G51" s="2">
        <f>M51+SUM(G148:G148)</f>
        <v>-90000</v>
      </c>
      <c r="H51" s="3">
        <f>INDEX('汇率表'!$A:$XFD,MATCH(D51,'汇率表'!$A:$A,0),MATCH(L51,'汇率表'!$1:$1,0))</f>
        <v>8.005700000000001</v>
      </c>
      <c r="I51" s="2">
        <f>G51*H51</f>
        <v>-720513.0000000001</v>
      </c>
      <c r="J51" s="2">
        <f>E51+F51-I51</f>
        <v>7345.000000000116</v>
      </c>
      <c r="K51" t="s">
        <v>18</v>
      </c>
      <c r="L51" t="s">
        <v>56</v>
      </c>
      <c r="M51" s="2">
        <v>-95000</v>
      </c>
    </row>
    <row r="52" spans="1:13">
      <c r="A52" t="s">
        <v>17</v>
      </c>
      <c r="B52" t="s">
        <v>54</v>
      </c>
      <c r="C52" t="s">
        <v>57</v>
      </c>
      <c r="D52" t="s">
        <v>71</v>
      </c>
      <c r="E52" s="2">
        <f>I36</f>
        <v>-75050.75</v>
      </c>
      <c r="F52" s="2">
        <f>SUM(J149:J149)</f>
        <v>4383.150000000001</v>
      </c>
      <c r="G52" s="2">
        <f>M52+SUM(G149:G149)</f>
        <v>-80000</v>
      </c>
      <c r="H52" s="3">
        <f>INDEX('汇率表'!$A:$XFD,MATCH(D52,'汇率表'!$A:$A,0),MATCH(L52,'汇率表'!$1:$1,0))</f>
        <v>0.87581</v>
      </c>
      <c r="I52" s="2">
        <f>G52*H52</f>
        <v>-70064.8</v>
      </c>
      <c r="J52" s="2">
        <f>E52+F52-I52</f>
        <v>-602.8000000000029</v>
      </c>
      <c r="K52" t="s">
        <v>18</v>
      </c>
      <c r="L52" t="s">
        <v>58</v>
      </c>
      <c r="M52" s="2">
        <v>-85000</v>
      </c>
    </row>
    <row r="53" spans="1:13">
      <c r="A53" t="s">
        <v>17</v>
      </c>
      <c r="B53" t="s">
        <v>54</v>
      </c>
      <c r="C53" t="s">
        <v>59</v>
      </c>
      <c r="D53" t="s">
        <v>71</v>
      </c>
      <c r="E53" s="2">
        <f>I37</f>
        <v>-220809.6</v>
      </c>
      <c r="F53" s="2">
        <f>SUM(J150:J150)</f>
        <v>-81758.9</v>
      </c>
      <c r="G53" s="2">
        <f>M53+SUM(G150:G150)</f>
        <v>-7000000</v>
      </c>
      <c r="H53" s="3">
        <f>INDEX('汇率表'!$A:$XFD,MATCH(D53,'汇率表'!$A:$A,0),MATCH(L53,'汇率表'!$1:$1,0))</f>
        <v>0.042812</v>
      </c>
      <c r="I53" s="2">
        <f>G53*H53</f>
        <v>-299684</v>
      </c>
      <c r="J53" s="2">
        <f>E53+F53-I53</f>
        <v>-2884.5</v>
      </c>
      <c r="K53" t="s">
        <v>18</v>
      </c>
      <c r="L53" t="s">
        <v>60</v>
      </c>
      <c r="M53" s="2">
        <v>-5100000</v>
      </c>
    </row>
    <row r="54" spans="1:13">
      <c r="A54" t="s">
        <v>17</v>
      </c>
      <c r="B54" t="s">
        <v>54</v>
      </c>
      <c r="C54" t="s">
        <v>52</v>
      </c>
      <c r="D54" t="s">
        <v>71</v>
      </c>
      <c r="E54" s="2">
        <f>I38</f>
        <v>-276776</v>
      </c>
      <c r="F54" s="2">
        <v>0</v>
      </c>
      <c r="G54" s="2">
        <v>-40000</v>
      </c>
      <c r="H54" s="3">
        <f>INDEX('汇率表'!$A:$XFD,MATCH(D54,'汇率表'!$A:$A,0),MATCH(L54,'汇率表'!$1:$1,0))</f>
        <v>6.8628</v>
      </c>
      <c r="I54" s="2">
        <f>G54*H54</f>
        <v>-274512</v>
      </c>
      <c r="J54" s="2">
        <f>E54+F54-I54</f>
        <v>-2264</v>
      </c>
      <c r="K54" t="s">
        <v>18</v>
      </c>
      <c r="L54" t="s">
        <v>20</v>
      </c>
      <c r="M54" s="2">
        <v>-40000</v>
      </c>
    </row>
    <row r="55" spans="1:13">
      <c r="A55" t="s">
        <v>17</v>
      </c>
      <c r="B55" t="s">
        <v>61</v>
      </c>
      <c r="C55" t="s">
        <v>55</v>
      </c>
      <c r="D55" t="s">
        <v>71</v>
      </c>
      <c r="E55" s="2">
        <f>I39</f>
        <v>426644.76</v>
      </c>
      <c r="F55" s="2">
        <f>SUM(J151:J152)</f>
        <v>49089.40000000001</v>
      </c>
      <c r="G55" s="2">
        <f>M55+SUM(G151:G152)</f>
        <v>60000</v>
      </c>
      <c r="H55" s="3">
        <f>INDEX('汇率表'!$A:$XFD,MATCH(D55,'汇率表'!$A:$A,0),MATCH(L55,'汇率表'!$1:$1,0))</f>
        <v>8.005700000000001</v>
      </c>
      <c r="I55" s="2">
        <f>G55*H55</f>
        <v>480342.00000000006</v>
      </c>
      <c r="J55" s="2">
        <f>E55+F55-I55</f>
        <v>-4607.840000000026</v>
      </c>
      <c r="K55" t="s">
        <v>18</v>
      </c>
      <c r="L55" t="s">
        <v>56</v>
      </c>
      <c r="M55" s="2">
        <v>53800</v>
      </c>
    </row>
    <row r="56" spans="1:13">
      <c r="A56" t="s">
        <v>17</v>
      </c>
      <c r="B56" t="s">
        <v>61</v>
      </c>
      <c r="C56" t="s">
        <v>57</v>
      </c>
      <c r="D56" t="s">
        <v>71</v>
      </c>
      <c r="E56" s="2">
        <f>I40</f>
        <v>26488.5</v>
      </c>
      <c r="F56" s="2">
        <v>0</v>
      </c>
      <c r="G56" s="2">
        <v>30000</v>
      </c>
      <c r="H56" s="3">
        <f>INDEX('汇率表'!$A:$XFD,MATCH(D56,'汇率表'!$A:$A,0),MATCH(L56,'汇率表'!$1:$1,0))</f>
        <v>0.87581</v>
      </c>
      <c r="I56" s="2">
        <f>G56*H56</f>
        <v>26274.3</v>
      </c>
      <c r="J56" s="2">
        <f>E56+F56-I56</f>
        <v>214.20000000000073</v>
      </c>
      <c r="K56" t="s">
        <v>18</v>
      </c>
      <c r="L56" t="s">
        <v>58</v>
      </c>
      <c r="M56" s="2">
        <v>30000</v>
      </c>
    </row>
    <row r="57" spans="1:13">
      <c r="A57" t="s">
        <v>17</v>
      </c>
      <c r="B57" t="s">
        <v>61</v>
      </c>
      <c r="C57" t="s">
        <v>52</v>
      </c>
      <c r="D57" t="s">
        <v>71</v>
      </c>
      <c r="E57" s="2">
        <f>I41</f>
        <v>1203975.6</v>
      </c>
      <c r="F57" s="2">
        <f>SUM(J153:J154)</f>
        <v>75631.39999999994</v>
      </c>
      <c r="G57" s="2">
        <f>M57+SUM(G153:G154)</f>
        <v>185000</v>
      </c>
      <c r="H57" s="3">
        <f>INDEX('汇率表'!$A:$XFD,MATCH(D57,'汇率表'!$A:$A,0),MATCH(L57,'汇率表'!$1:$1,0))</f>
        <v>6.8628</v>
      </c>
      <c r="I57" s="2">
        <f>G57*H57</f>
        <v>1269618</v>
      </c>
      <c r="J57" s="2">
        <f>E57+F57-I57</f>
        <v>9989</v>
      </c>
      <c r="K57" t="s">
        <v>18</v>
      </c>
      <c r="L57" t="s">
        <v>20</v>
      </c>
      <c r="M57" s="2">
        <v>174000</v>
      </c>
    </row>
    <row r="58" spans="1:13">
      <c r="A58" t="s">
        <v>17</v>
      </c>
      <c r="B58" t="s">
        <v>62</v>
      </c>
      <c r="C58" t="s">
        <v>55</v>
      </c>
      <c r="D58" t="s">
        <v>71</v>
      </c>
      <c r="E58" s="2">
        <f>I42</f>
        <v>412370.4</v>
      </c>
      <c r="F58" s="2">
        <f>SUM(J155:J156)</f>
        <v>32355.199999999997</v>
      </c>
      <c r="G58" s="2">
        <f>M58+SUM(G155:G156)</f>
        <v>56000</v>
      </c>
      <c r="H58" s="3">
        <f>INDEX('汇率表'!$A:$XFD,MATCH(D58,'汇率表'!$A:$A,0),MATCH(L58,'汇率表'!$1:$1,0))</f>
        <v>8.005700000000001</v>
      </c>
      <c r="I58" s="2">
        <f>G58*H58</f>
        <v>448319.20000000007</v>
      </c>
      <c r="J58" s="2">
        <f>E58+F58-I58</f>
        <v>-3593.600000000035</v>
      </c>
      <c r="K58" t="s">
        <v>18</v>
      </c>
      <c r="L58" t="s">
        <v>56</v>
      </c>
      <c r="M58" s="2">
        <v>52000</v>
      </c>
    </row>
    <row r="59" spans="1:13">
      <c r="A59" t="s">
        <v>17</v>
      </c>
      <c r="B59" t="s">
        <v>62</v>
      </c>
      <c r="C59" t="s">
        <v>57</v>
      </c>
      <c r="D59" t="s">
        <v>71</v>
      </c>
      <c r="E59" s="2">
        <f>I43</f>
        <v>75050.75</v>
      </c>
      <c r="F59" s="2">
        <f>SUM(J157:J157)</f>
        <v>-4383.150000000001</v>
      </c>
      <c r="G59" s="2">
        <f>M59+SUM(G157:G157)</f>
        <v>80000</v>
      </c>
      <c r="H59" s="3">
        <f>INDEX('汇率表'!$A:$XFD,MATCH(D59,'汇率表'!$A:$A,0),MATCH(L59,'汇率表'!$1:$1,0))</f>
        <v>0.87581</v>
      </c>
      <c r="I59" s="2">
        <f>G59*H59</f>
        <v>70064.8</v>
      </c>
      <c r="J59" s="2">
        <f>E59+F59-I59</f>
        <v>602.8000000000029</v>
      </c>
      <c r="K59" t="s">
        <v>18</v>
      </c>
      <c r="L59" t="s">
        <v>58</v>
      </c>
      <c r="M59" s="2">
        <v>85000</v>
      </c>
    </row>
    <row r="60" spans="1:13">
      <c r="A60" t="s">
        <v>17</v>
      </c>
      <c r="B60" t="s">
        <v>62</v>
      </c>
      <c r="C60" t="s">
        <v>52</v>
      </c>
      <c r="D60" t="s">
        <v>71</v>
      </c>
      <c r="E60" s="2">
        <f>I44</f>
        <v>2456387</v>
      </c>
      <c r="F60" s="2">
        <f>SUM(J158:J158)</f>
        <v>240177.00000000003</v>
      </c>
      <c r="G60" s="2">
        <f>M60+SUM(G158:G158)</f>
        <v>390000</v>
      </c>
      <c r="H60" s="3">
        <f>INDEX('汇率表'!$A:$XFD,MATCH(D60,'汇率表'!$A:$A,0),MATCH(L60,'汇率表'!$1:$1,0))</f>
        <v>6.8628</v>
      </c>
      <c r="I60" s="2">
        <f>G60*H60</f>
        <v>2676492</v>
      </c>
      <c r="J60" s="2">
        <f>E60+F60-I60</f>
        <v>20072</v>
      </c>
      <c r="K60" t="s">
        <v>18</v>
      </c>
      <c r="L60" t="s">
        <v>20</v>
      </c>
      <c r="M60" s="2">
        <v>355000</v>
      </c>
    </row>
    <row r="61" spans="1:13">
      <c r="A61" t="s">
        <v>17</v>
      </c>
      <c r="B61" t="s">
        <v>63</v>
      </c>
      <c r="C61" t="s">
        <v>52</v>
      </c>
      <c r="D61" t="s">
        <v>71</v>
      </c>
      <c r="E61" s="2">
        <f>I45</f>
        <v>-1037910.0000000001</v>
      </c>
      <c r="F61" s="2">
        <v>0</v>
      </c>
      <c r="G61" s="2">
        <v>-150000</v>
      </c>
      <c r="H61" s="3">
        <f>INDEX('汇率表'!$A:$XFD,MATCH(D61,'汇率表'!$A:$A,0),MATCH(L61,'汇率表'!$1:$1,0))</f>
        <v>6.8628</v>
      </c>
      <c r="I61" s="2">
        <f>G61*H61</f>
        <v>-1029420</v>
      </c>
      <c r="J61" s="2">
        <f>E61+F61-I61</f>
        <v>-8490.000000000116</v>
      </c>
      <c r="K61" t="s">
        <v>18</v>
      </c>
      <c r="L61" t="s">
        <v>20</v>
      </c>
      <c r="M61" s="2">
        <v>-150000</v>
      </c>
    </row>
    <row r="62" spans="1:13">
      <c r="A62" t="s">
        <v>19</v>
      </c>
      <c r="B62" t="s">
        <v>64</v>
      </c>
      <c r="C62" t="s">
        <v>65</v>
      </c>
      <c r="D62" t="s">
        <v>71</v>
      </c>
      <c r="E62" s="2">
        <f>I46</f>
        <v>1146.0820302338352</v>
      </c>
      <c r="F62" s="2">
        <v>0</v>
      </c>
      <c r="G62" s="2">
        <v>1000</v>
      </c>
      <c r="H62" s="3">
        <f>INDEX('汇率表'!$A:$XFD,MATCH(D62,'汇率表'!$A:$A,0),MATCH(L62,'汇率表'!$1:$1,0))/INDEX('汇率表'!$A:$XFD,MATCH(D62,'汇率表'!$A:$A,0),MATCH(K62,'汇率表'!$1:$1,0))</f>
        <v>1.1665355248586584</v>
      </c>
      <c r="I62" s="2">
        <f>G62*H62</f>
        <v>1166.5355248586584</v>
      </c>
      <c r="J62" s="2">
        <f>E62+F62-I62</f>
        <v>-20.45349462482318</v>
      </c>
      <c r="K62" t="s">
        <v>20</v>
      </c>
      <c r="L62" t="s">
        <v>56</v>
      </c>
      <c r="M62" s="2">
        <v>1000</v>
      </c>
    </row>
    <row r="63" spans="1:13">
      <c r="A63" t="s">
        <v>19</v>
      </c>
      <c r="B63" t="s">
        <v>66</v>
      </c>
      <c r="C63" t="s">
        <v>65</v>
      </c>
      <c r="D63" t="s">
        <v>71</v>
      </c>
      <c r="E63" s="2">
        <f>I47</f>
        <v>-30256.565598173253</v>
      </c>
      <c r="F63" s="2">
        <f>SUM(J159:J159)</f>
        <v>1405.4655634541432</v>
      </c>
      <c r="G63" s="2">
        <f>M63+SUM(G159:G159)</f>
        <v>-25200</v>
      </c>
      <c r="H63" s="3">
        <f>INDEX('汇率表'!$A:$XFD,MATCH(D63,'汇率表'!$A:$A,0),MATCH(L63,'汇率表'!$1:$1,0))/INDEX('汇率表'!$A:$XFD,MATCH(D63,'汇率表'!$A:$A,0),MATCH(K63,'汇率表'!$1:$1,0))</f>
        <v>1.1665355248586584</v>
      </c>
      <c r="I63" s="2">
        <f>G63*H63</f>
        <v>-29396.69522643819</v>
      </c>
      <c r="J63" s="2">
        <f>E63+F63-I63</f>
        <v>545.5951917190832</v>
      </c>
      <c r="K63" t="s">
        <v>20</v>
      </c>
      <c r="L63" t="s">
        <v>56</v>
      </c>
      <c r="M63" s="2">
        <v>-26400</v>
      </c>
    </row>
    <row r="64" spans="1:13">
      <c r="A64" t="s">
        <v>19</v>
      </c>
      <c r="B64" t="s">
        <v>67</v>
      </c>
      <c r="C64" t="s">
        <v>65</v>
      </c>
      <c r="D64" t="s">
        <v>71</v>
      </c>
      <c r="E64" s="2">
        <f>I48</f>
        <v>17420.446859554297</v>
      </c>
      <c r="F64" s="2">
        <f>SUM(J160:J160)</f>
        <v>4429.661782270517</v>
      </c>
      <c r="G64" s="2">
        <f>M64+SUM(G160:G160)</f>
        <v>19000</v>
      </c>
      <c r="H64" s="3">
        <f>INDEX('汇率表'!$A:$XFD,MATCH(D64,'汇率表'!$A:$A,0),MATCH(L64,'汇率表'!$1:$1,0))/INDEX('汇率表'!$A:$XFD,MATCH(D64,'汇率表'!$A:$A,0),MATCH(K64,'汇率表'!$1:$1,0))</f>
        <v>1.1665355248586584</v>
      </c>
      <c r="I64" s="2">
        <f>G64*H64</f>
        <v>22164.17497231451</v>
      </c>
      <c r="J64" s="2">
        <f>E64+F64-I64</f>
        <v>-314.0663304896989</v>
      </c>
      <c r="K64" t="s">
        <v>20</v>
      </c>
      <c r="L64" t="s">
        <v>56</v>
      </c>
      <c r="M64" s="2">
        <v>15200</v>
      </c>
    </row>
    <row r="65" spans="1:13">
      <c r="A65" t="s">
        <v>19</v>
      </c>
      <c r="B65" t="s">
        <v>68</v>
      </c>
      <c r="C65" t="s">
        <v>65</v>
      </c>
      <c r="D65" t="s">
        <v>71</v>
      </c>
      <c r="E65" s="2">
        <f>I49</f>
        <v>18795.7452958349</v>
      </c>
      <c r="F65" s="2">
        <f>SUM(J161:J161)</f>
        <v>-1405.4655634541432</v>
      </c>
      <c r="G65" s="2">
        <f>M65+SUM(G161:G161)</f>
        <v>15200</v>
      </c>
      <c r="H65" s="3">
        <f>INDEX('汇率表'!$A:$XFD,MATCH(D65,'汇率表'!$A:$A,0),MATCH(L65,'汇率表'!$1:$1,0))/INDEX('汇率表'!$A:$XFD,MATCH(D65,'汇率表'!$A:$A,0),MATCH(K65,'汇率表'!$1:$1,0))</f>
        <v>1.1665355248586584</v>
      </c>
      <c r="I65" s="2">
        <f>G65*H65</f>
        <v>17731.339977851607</v>
      </c>
      <c r="J65" s="2">
        <f>E65+F65-I65</f>
        <v>-341.06024547085326</v>
      </c>
      <c r="K65" t="s">
        <v>20</v>
      </c>
      <c r="L65" t="s">
        <v>56</v>
      </c>
      <c r="M65" s="2">
        <v>16400</v>
      </c>
    </row>
    <row r="66" spans="1:13">
      <c r="A66" t="s">
        <v>17</v>
      </c>
      <c r="B66" t="s">
        <v>51</v>
      </c>
      <c r="C66" t="s">
        <v>52</v>
      </c>
      <c r="D66" t="s">
        <v>72</v>
      </c>
      <c r="E66" s="2">
        <f>I50</f>
        <v>34314</v>
      </c>
      <c r="F66" s="2">
        <v>0</v>
      </c>
      <c r="G66" s="2">
        <v>5000</v>
      </c>
      <c r="H66" s="3">
        <f>INDEX('汇率表'!$A:$XFD,MATCH(D66,'汇率表'!$A:$A,0),MATCH(L66,'汇率表'!$1:$1,0))</f>
        <v>6.8176</v>
      </c>
      <c r="I66" s="2">
        <f>G66*H66</f>
        <v>34088</v>
      </c>
      <c r="J66" s="2">
        <f>E66+F66-I66</f>
        <v>226</v>
      </c>
      <c r="K66" t="s">
        <v>18</v>
      </c>
      <c r="L66" t="s">
        <v>20</v>
      </c>
      <c r="M66" s="2">
        <v>5000</v>
      </c>
    </row>
    <row r="67" spans="1:13">
      <c r="A67" t="s">
        <v>17</v>
      </c>
      <c r="B67" t="s">
        <v>54</v>
      </c>
      <c r="C67" t="s">
        <v>55</v>
      </c>
      <c r="D67" t="s">
        <v>72</v>
      </c>
      <c r="E67" s="2">
        <f>I51</f>
        <v>-720513.0000000001</v>
      </c>
      <c r="F67" s="2">
        <f>SUM(J162:J162)</f>
        <v>39603.5</v>
      </c>
      <c r="G67" s="2">
        <f>M67+SUM(G162:G162)</f>
        <v>-85000</v>
      </c>
      <c r="H67" s="3">
        <f>INDEX('汇率表'!$A:$XFD,MATCH(D67,'汇率表'!$A:$A,0),MATCH(L67,'汇率表'!$1:$1,0))</f>
        <v>7.916</v>
      </c>
      <c r="I67" s="2">
        <f>G67*H67</f>
        <v>-672860</v>
      </c>
      <c r="J67" s="2">
        <f>E67+F67-I67</f>
        <v>-8049.500000000116</v>
      </c>
      <c r="K67" t="s">
        <v>18</v>
      </c>
      <c r="L67" t="s">
        <v>56</v>
      </c>
      <c r="M67" s="2">
        <v>-90000</v>
      </c>
    </row>
    <row r="68" spans="1:13">
      <c r="A68" t="s">
        <v>17</v>
      </c>
      <c r="B68" t="s">
        <v>54</v>
      </c>
      <c r="C68" t="s">
        <v>57</v>
      </c>
      <c r="D68" t="s">
        <v>72</v>
      </c>
      <c r="E68" s="2">
        <f>I52</f>
        <v>-70064.8</v>
      </c>
      <c r="F68" s="2">
        <f>SUM(J163:J163)</f>
        <v>4365.3</v>
      </c>
      <c r="G68" s="2">
        <f>M68+SUM(G163:G163)</f>
        <v>-75000</v>
      </c>
      <c r="H68" s="3">
        <f>INDEX('汇率表'!$A:$XFD,MATCH(D68,'汇率表'!$A:$A,0),MATCH(L68,'汇率表'!$1:$1,0))</f>
        <v>0.87029</v>
      </c>
      <c r="I68" s="2">
        <f>G68*H68</f>
        <v>-65271.75</v>
      </c>
      <c r="J68" s="2">
        <f>E68+F68-I68</f>
        <v>-427.75</v>
      </c>
      <c r="K68" t="s">
        <v>18</v>
      </c>
      <c r="L68" t="s">
        <v>58</v>
      </c>
      <c r="M68" s="2">
        <v>-80000</v>
      </c>
    </row>
    <row r="69" spans="1:13">
      <c r="A69" t="s">
        <v>17</v>
      </c>
      <c r="B69" t="s">
        <v>54</v>
      </c>
      <c r="C69" t="s">
        <v>59</v>
      </c>
      <c r="D69" t="s">
        <v>72</v>
      </c>
      <c r="E69" s="2">
        <f>I53</f>
        <v>-299684</v>
      </c>
      <c r="F69" s="2">
        <f>SUM(J164:J164)</f>
        <v>-86252</v>
      </c>
      <c r="G69" s="2">
        <f>M69+SUM(G164:G164)</f>
        <v>-9000000</v>
      </c>
      <c r="H69" s="3">
        <f>INDEX('汇率表'!$A:$XFD,MATCH(D69,'汇率表'!$A:$A,0),MATCH(L69,'汇率表'!$1:$1,0))</f>
        <v>0.042718</v>
      </c>
      <c r="I69" s="2">
        <f>G69*H69</f>
        <v>-384462</v>
      </c>
      <c r="J69" s="2">
        <f>E69+F69-I69</f>
        <v>-1474</v>
      </c>
      <c r="K69" t="s">
        <v>18</v>
      </c>
      <c r="L69" t="s">
        <v>60</v>
      </c>
      <c r="M69" s="2">
        <v>-7000000</v>
      </c>
    </row>
    <row r="70" spans="1:13">
      <c r="A70" t="s">
        <v>17</v>
      </c>
      <c r="B70" t="s">
        <v>54</v>
      </c>
      <c r="C70" t="s">
        <v>52</v>
      </c>
      <c r="D70" t="s">
        <v>72</v>
      </c>
      <c r="E70" s="2">
        <f>I54</f>
        <v>-274512</v>
      </c>
      <c r="F70" s="2">
        <v>0</v>
      </c>
      <c r="G70" s="2">
        <v>-40000</v>
      </c>
      <c r="H70" s="3">
        <f>INDEX('汇率表'!$A:$XFD,MATCH(D70,'汇率表'!$A:$A,0),MATCH(L70,'汇率表'!$1:$1,0))</f>
        <v>6.8176</v>
      </c>
      <c r="I70" s="2">
        <f>G70*H70</f>
        <v>-272704</v>
      </c>
      <c r="J70" s="2">
        <f>E70+F70-I70</f>
        <v>-1808</v>
      </c>
      <c r="K70" t="s">
        <v>18</v>
      </c>
      <c r="L70" t="s">
        <v>20</v>
      </c>
      <c r="M70" s="2">
        <v>-40000</v>
      </c>
    </row>
    <row r="71" spans="1:13">
      <c r="A71" t="s">
        <v>17</v>
      </c>
      <c r="B71" t="s">
        <v>61</v>
      </c>
      <c r="C71" t="s">
        <v>55</v>
      </c>
      <c r="D71" t="s">
        <v>72</v>
      </c>
      <c r="E71" s="2">
        <f>I55</f>
        <v>480342.00000000006</v>
      </c>
      <c r="F71" s="2">
        <f>SUM(J165:J166)</f>
        <v>56856.89999999998</v>
      </c>
      <c r="G71" s="2">
        <f>M71+SUM(G165:G166)</f>
        <v>67000</v>
      </c>
      <c r="H71" s="3">
        <f>INDEX('汇率表'!$A:$XFD,MATCH(D71,'汇率表'!$A:$A,0),MATCH(L71,'汇率表'!$1:$1,0))</f>
        <v>7.916</v>
      </c>
      <c r="I71" s="2">
        <f>G71*H71</f>
        <v>530372</v>
      </c>
      <c r="J71" s="2">
        <f>E71+F71-I71</f>
        <v>6826.900000000023</v>
      </c>
      <c r="K71" t="s">
        <v>18</v>
      </c>
      <c r="L71" t="s">
        <v>56</v>
      </c>
      <c r="M71" s="2">
        <v>60000</v>
      </c>
    </row>
    <row r="72" spans="1:13">
      <c r="A72" t="s">
        <v>17</v>
      </c>
      <c r="B72" t="s">
        <v>61</v>
      </c>
      <c r="C72" t="s">
        <v>57</v>
      </c>
      <c r="D72" t="s">
        <v>72</v>
      </c>
      <c r="E72" s="2">
        <f>I56</f>
        <v>26274.3</v>
      </c>
      <c r="F72" s="2">
        <v>0</v>
      </c>
      <c r="G72" s="2">
        <v>30000</v>
      </c>
      <c r="H72" s="3">
        <f>INDEX('汇率表'!$A:$XFD,MATCH(D72,'汇率表'!$A:$A,0),MATCH(L72,'汇率表'!$1:$1,0))</f>
        <v>0.87029</v>
      </c>
      <c r="I72" s="2">
        <f>G72*H72</f>
        <v>26108.7</v>
      </c>
      <c r="J72" s="2">
        <f>E72+F72-I72</f>
        <v>165.59999999999854</v>
      </c>
      <c r="K72" t="s">
        <v>18</v>
      </c>
      <c r="L72" t="s">
        <v>58</v>
      </c>
      <c r="M72" s="2">
        <v>30000</v>
      </c>
    </row>
    <row r="73" spans="1:13">
      <c r="A73" t="s">
        <v>17</v>
      </c>
      <c r="B73" t="s">
        <v>61</v>
      </c>
      <c r="C73" t="s">
        <v>52</v>
      </c>
      <c r="D73" t="s">
        <v>72</v>
      </c>
      <c r="E73" s="2">
        <f>I57</f>
        <v>1269618</v>
      </c>
      <c r="F73" s="2">
        <f>SUM(J167:J168)</f>
        <v>85861.99999999997</v>
      </c>
      <c r="G73" s="2">
        <f>M73+SUM(G167:G168)</f>
        <v>197500</v>
      </c>
      <c r="H73" s="3">
        <f>INDEX('汇率表'!$A:$XFD,MATCH(D73,'汇率表'!$A:$A,0),MATCH(L73,'汇率表'!$1:$1,0))</f>
        <v>6.8176</v>
      </c>
      <c r="I73" s="2">
        <f>G73*H73</f>
        <v>1346476</v>
      </c>
      <c r="J73" s="2">
        <f>E73+F73-I73</f>
        <v>9004</v>
      </c>
      <c r="K73" t="s">
        <v>18</v>
      </c>
      <c r="L73" t="s">
        <v>20</v>
      </c>
      <c r="M73" s="2">
        <v>185000</v>
      </c>
    </row>
    <row r="74" spans="1:13">
      <c r="A74" t="s">
        <v>17</v>
      </c>
      <c r="B74" t="s">
        <v>62</v>
      </c>
      <c r="C74" t="s">
        <v>55</v>
      </c>
      <c r="D74" t="s">
        <v>72</v>
      </c>
      <c r="E74" s="2">
        <f>I58</f>
        <v>448319.20000000007</v>
      </c>
      <c r="F74" s="2">
        <f>SUM(J169:J170)</f>
        <v>31762.000000000015</v>
      </c>
      <c r="G74" s="2">
        <f>M74+SUM(G169:G170)</f>
        <v>60000</v>
      </c>
      <c r="H74" s="3">
        <f>INDEX('汇率表'!$A:$XFD,MATCH(D74,'汇率表'!$A:$A,0),MATCH(L74,'汇率表'!$1:$1,0))</f>
        <v>7.916</v>
      </c>
      <c r="I74" s="2">
        <f>G74*H74</f>
        <v>474960</v>
      </c>
      <c r="J74" s="2">
        <f>E74+F74-I74</f>
        <v>5121.20000000007</v>
      </c>
      <c r="K74" t="s">
        <v>18</v>
      </c>
      <c r="L74" t="s">
        <v>56</v>
      </c>
      <c r="M74" s="2">
        <v>56000</v>
      </c>
    </row>
    <row r="75" spans="1:13">
      <c r="A75" t="s">
        <v>17</v>
      </c>
      <c r="B75" t="s">
        <v>62</v>
      </c>
      <c r="C75" t="s">
        <v>57</v>
      </c>
      <c r="D75" t="s">
        <v>72</v>
      </c>
      <c r="E75" s="2">
        <f>I59</f>
        <v>70064.8</v>
      </c>
      <c r="F75" s="2">
        <f>SUM(J171:J171)</f>
        <v>-4365.3</v>
      </c>
      <c r="G75" s="2">
        <f>M75+SUM(G171:G171)</f>
        <v>75000</v>
      </c>
      <c r="H75" s="3">
        <f>INDEX('汇率表'!$A:$XFD,MATCH(D75,'汇率表'!$A:$A,0),MATCH(L75,'汇率表'!$1:$1,0))</f>
        <v>0.87029</v>
      </c>
      <c r="I75" s="2">
        <f>G75*H75</f>
        <v>65271.75</v>
      </c>
      <c r="J75" s="2">
        <f>E75+F75-I75</f>
        <v>427.75</v>
      </c>
      <c r="K75" t="s">
        <v>18</v>
      </c>
      <c r="L75" t="s">
        <v>58</v>
      </c>
      <c r="M75" s="2">
        <v>80000</v>
      </c>
    </row>
    <row r="76" spans="1:13">
      <c r="A76" t="s">
        <v>17</v>
      </c>
      <c r="B76" t="s">
        <v>62</v>
      </c>
      <c r="C76" t="s">
        <v>52</v>
      </c>
      <c r="D76" t="s">
        <v>72</v>
      </c>
      <c r="E76" s="2">
        <f>I60</f>
        <v>2676492</v>
      </c>
      <c r="F76" s="2">
        <f>SUM(J172:J172)</f>
        <v>239522.50000000003</v>
      </c>
      <c r="G76" s="2">
        <f>M76+SUM(G172:G172)</f>
        <v>425000</v>
      </c>
      <c r="H76" s="3">
        <f>INDEX('汇率表'!$A:$XFD,MATCH(D76,'汇率表'!$A:$A,0),MATCH(L76,'汇率表'!$1:$1,0))</f>
        <v>6.8176</v>
      </c>
      <c r="I76" s="2">
        <f>G76*H76</f>
        <v>2897480</v>
      </c>
      <c r="J76" s="2">
        <f>E76+F76-I76</f>
        <v>18534.5</v>
      </c>
      <c r="K76" t="s">
        <v>18</v>
      </c>
      <c r="L76" t="s">
        <v>20</v>
      </c>
      <c r="M76" s="2">
        <v>390000</v>
      </c>
    </row>
    <row r="77" spans="1:13">
      <c r="A77" t="s">
        <v>17</v>
      </c>
      <c r="B77" t="s">
        <v>63</v>
      </c>
      <c r="C77" t="s">
        <v>52</v>
      </c>
      <c r="D77" t="s">
        <v>72</v>
      </c>
      <c r="E77" s="2">
        <f>I61</f>
        <v>-1029420</v>
      </c>
      <c r="F77" s="2">
        <v>0</v>
      </c>
      <c r="G77" s="2">
        <v>-150000</v>
      </c>
      <c r="H77" s="3">
        <f>INDEX('汇率表'!$A:$XFD,MATCH(D77,'汇率表'!$A:$A,0),MATCH(L77,'汇率表'!$1:$1,0))</f>
        <v>6.8176</v>
      </c>
      <c r="I77" s="2">
        <f>G77*H77</f>
        <v>-1022640</v>
      </c>
      <c r="J77" s="2">
        <f>E77+F77-I77</f>
        <v>-6780</v>
      </c>
      <c r="K77" t="s">
        <v>18</v>
      </c>
      <c r="L77" t="s">
        <v>20</v>
      </c>
      <c r="M77" s="2">
        <v>-150000</v>
      </c>
    </row>
    <row r="78" spans="1:13">
      <c r="A78" t="s">
        <v>19</v>
      </c>
      <c r="B78" t="s">
        <v>64</v>
      </c>
      <c r="C78" t="s">
        <v>65</v>
      </c>
      <c r="D78" t="s">
        <v>72</v>
      </c>
      <c r="E78" s="2">
        <f>I62</f>
        <v>1166.5355248586584</v>
      </c>
      <c r="F78" s="2">
        <v>0</v>
      </c>
      <c r="G78" s="2">
        <v>1000</v>
      </c>
      <c r="H78" s="3">
        <f>INDEX('汇率表'!$A:$XFD,MATCH(D78,'汇率表'!$A:$A,0),MATCH(L78,'汇率表'!$1:$1,0))/INDEX('汇率表'!$A:$XFD,MATCH(D78,'汇率表'!$A:$A,0),MATCH(K78,'汇率表'!$1:$1,0))</f>
        <v>1.1611124149260739</v>
      </c>
      <c r="I78" s="2">
        <f>G78*H78</f>
        <v>1161.1124149260738</v>
      </c>
      <c r="J78" s="2">
        <f>E78+F78-I78</f>
        <v>5.423109932584566</v>
      </c>
      <c r="K78" t="s">
        <v>20</v>
      </c>
      <c r="L78" t="s">
        <v>56</v>
      </c>
      <c r="M78" s="2">
        <v>1000</v>
      </c>
    </row>
    <row r="79" spans="1:13">
      <c r="A79" t="s">
        <v>19</v>
      </c>
      <c r="B79" t="s">
        <v>66</v>
      </c>
      <c r="C79" t="s">
        <v>65</v>
      </c>
      <c r="D79" t="s">
        <v>72</v>
      </c>
      <c r="E79" s="2">
        <f>I63</f>
        <v>-29396.69522643819</v>
      </c>
      <c r="F79" s="2">
        <f>SUM(J173:J173)</f>
        <v>1389.6574411158383</v>
      </c>
      <c r="G79" s="2">
        <f>M79+SUM(G173:G173)</f>
        <v>-24000</v>
      </c>
      <c r="H79" s="3">
        <f>INDEX('汇率表'!$A:$XFD,MATCH(D79,'汇率表'!$A:$A,0),MATCH(L79,'汇率表'!$1:$1,0))/INDEX('汇率表'!$A:$XFD,MATCH(D79,'汇率表'!$A:$A,0),MATCH(K79,'汇率表'!$1:$1,0))</f>
        <v>1.1611124149260739</v>
      </c>
      <c r="I79" s="2">
        <f>G79*H79</f>
        <v>-27866.697958225774</v>
      </c>
      <c r="J79" s="2">
        <f>E79+F79-I79</f>
        <v>-140.3398270965772</v>
      </c>
      <c r="K79" t="s">
        <v>20</v>
      </c>
      <c r="L79" t="s">
        <v>56</v>
      </c>
      <c r="M79" s="2">
        <v>-25200</v>
      </c>
    </row>
    <row r="80" spans="1:13">
      <c r="A80" t="s">
        <v>19</v>
      </c>
      <c r="B80" t="s">
        <v>67</v>
      </c>
      <c r="C80" t="s">
        <v>65</v>
      </c>
      <c r="D80" t="s">
        <v>72</v>
      </c>
      <c r="E80" s="2">
        <f>I64</f>
        <v>22164.17497231451</v>
      </c>
      <c r="F80" s="2">
        <f>SUM(J174:J174)</f>
        <v>4679.513006919506</v>
      </c>
      <c r="G80" s="2">
        <f>M80+SUM(G174:G174)</f>
        <v>23000</v>
      </c>
      <c r="H80" s="3">
        <f>INDEX('汇率表'!$A:$XFD,MATCH(D80,'汇率表'!$A:$A,0),MATCH(L80,'汇率表'!$1:$1,0))/INDEX('汇率表'!$A:$XFD,MATCH(D80,'汇率表'!$A:$A,0),MATCH(K80,'汇率表'!$1:$1,0))</f>
        <v>1.1611124149260739</v>
      </c>
      <c r="I80" s="2">
        <f>G80*H80</f>
        <v>26705.585543299698</v>
      </c>
      <c r="J80" s="2">
        <f>E80+F80-I80</f>
        <v>138.10243593432097</v>
      </c>
      <c r="K80" t="s">
        <v>20</v>
      </c>
      <c r="L80" t="s">
        <v>56</v>
      </c>
      <c r="M80" s="2">
        <v>19000</v>
      </c>
    </row>
    <row r="81" spans="1:13">
      <c r="A81" t="s">
        <v>19</v>
      </c>
      <c r="B81" t="s">
        <v>68</v>
      </c>
      <c r="C81" t="s">
        <v>65</v>
      </c>
      <c r="D81" t="s">
        <v>72</v>
      </c>
      <c r="E81" s="2">
        <f>I65</f>
        <v>17731.339977851607</v>
      </c>
      <c r="F81" s="2">
        <f>SUM(J175:J175)</f>
        <v>-1389.6574411158383</v>
      </c>
      <c r="G81" s="2">
        <f>M81+SUM(G175:G175)</f>
        <v>14000</v>
      </c>
      <c r="H81" s="3">
        <f>INDEX('汇率表'!$A:$XFD,MATCH(D81,'汇率表'!$A:$A,0),MATCH(L81,'汇率表'!$1:$1,0))/INDEX('汇率表'!$A:$XFD,MATCH(D81,'汇率表'!$A:$A,0),MATCH(K81,'汇率表'!$1:$1,0))</f>
        <v>1.1611124149260739</v>
      </c>
      <c r="I81" s="2">
        <f>G81*H81</f>
        <v>16255.573808965035</v>
      </c>
      <c r="J81" s="2">
        <f>E81+F81-I81</f>
        <v>86.10872777073382</v>
      </c>
      <c r="K81" t="s">
        <v>20</v>
      </c>
      <c r="L81" t="s">
        <v>56</v>
      </c>
      <c r="M81" s="2">
        <v>15200</v>
      </c>
    </row>
    <row r="82" spans="1:13">
      <c r="A82" t="s">
        <v>17</v>
      </c>
      <c r="B82" t="s">
        <v>51</v>
      </c>
      <c r="C82" t="s">
        <v>52</v>
      </c>
      <c r="D82" t="s">
        <v>30</v>
      </c>
      <c r="E82" s="2">
        <f>I66</f>
        <v>34088</v>
      </c>
      <c r="F82" s="2">
        <f>SUM(J176:J176)</f>
        <v>284.55940200000003</v>
      </c>
      <c r="G82" s="2">
        <f>M82+SUM(G176:G176)</f>
        <v>5041.78</v>
      </c>
      <c r="H82" s="3">
        <f>INDEX('汇率表'!$A:$XFD,MATCH(D82,'汇率表'!$A:$A,0),MATCH(L82,'汇率表'!$1:$1,0))</f>
        <v>6.8109</v>
      </c>
      <c r="I82" s="2">
        <f>G82*H82</f>
        <v>34339.059402</v>
      </c>
      <c r="J82" s="2">
        <f>E82+F82-I82</f>
        <v>33.5</v>
      </c>
      <c r="K82" t="s">
        <v>18</v>
      </c>
      <c r="L82" t="s">
        <v>20</v>
      </c>
      <c r="M82" s="2">
        <v>5000</v>
      </c>
    </row>
    <row r="83" spans="1:13">
      <c r="A83" t="s">
        <v>17</v>
      </c>
      <c r="B83" t="s">
        <v>54</v>
      </c>
      <c r="C83" t="s">
        <v>55</v>
      </c>
      <c r="D83" t="s">
        <v>30</v>
      </c>
      <c r="E83" s="2">
        <f>I67</f>
        <v>-672860</v>
      </c>
      <c r="F83" s="2">
        <f>SUM(J177:J178)</f>
        <v>33581.213493999996</v>
      </c>
      <c r="G83" s="2">
        <f>M83+SUM(G177:G178)</f>
        <v>-80708.86</v>
      </c>
      <c r="H83" s="3">
        <f>INDEX('汇率表'!$A:$XFD,MATCH(D83,'汇率表'!$A:$A,0),MATCH(L83,'汇率表'!$1:$1,0))</f>
        <v>7.7671</v>
      </c>
      <c r="I83" s="2">
        <f>G83*H83</f>
        <v>-626873.786506</v>
      </c>
      <c r="J83" s="2">
        <f>E83+F83-I83</f>
        <v>-12405</v>
      </c>
      <c r="K83" t="s">
        <v>18</v>
      </c>
      <c r="L83" t="s">
        <v>56</v>
      </c>
      <c r="M83" s="2">
        <v>-85000</v>
      </c>
    </row>
    <row r="84" spans="1:13">
      <c r="A84" t="s">
        <v>17</v>
      </c>
      <c r="B84" t="s">
        <v>54</v>
      </c>
      <c r="C84" t="s">
        <v>57</v>
      </c>
      <c r="D84" t="s">
        <v>30</v>
      </c>
      <c r="E84" s="2">
        <f>I68</f>
        <v>-65271.75</v>
      </c>
      <c r="F84" s="2">
        <f>SUM(J179:J180)</f>
        <v>4015.1709395</v>
      </c>
      <c r="G84" s="2">
        <f>M84+SUM(G179:G180)</f>
        <v>-70382.51</v>
      </c>
      <c r="H84" s="3">
        <f>INDEX('汇率表'!$A:$XFD,MATCH(D84,'汇率表'!$A:$A,0),MATCH(L84,'汇率表'!$1:$1,0))</f>
        <v>0.86855</v>
      </c>
      <c r="I84" s="2">
        <f>G84*H84</f>
        <v>-61130.7290605</v>
      </c>
      <c r="J84" s="2">
        <f>E84+F84-I84</f>
        <v>-125.84999999999854</v>
      </c>
      <c r="K84" t="s">
        <v>18</v>
      </c>
      <c r="L84" t="s">
        <v>58</v>
      </c>
      <c r="M84" s="2">
        <v>-75000</v>
      </c>
    </row>
    <row r="85" spans="1:13">
      <c r="A85" t="s">
        <v>17</v>
      </c>
      <c r="B85" t="s">
        <v>54</v>
      </c>
      <c r="C85" t="s">
        <v>59</v>
      </c>
      <c r="D85" t="s">
        <v>30</v>
      </c>
      <c r="E85" s="2">
        <f>I69</f>
        <v>-384462</v>
      </c>
      <c r="F85" s="2">
        <f>SUM(J181:J182)</f>
        <v>-101347.15448175001</v>
      </c>
      <c r="G85" s="2">
        <f>M85+SUM(G181:G182)</f>
        <v>-11391515.15</v>
      </c>
      <c r="H85" s="3">
        <f>INDEX('汇率表'!$A:$XFD,MATCH(D85,'汇率表'!$A:$A,0),MATCH(L85,'汇率表'!$1:$1,0))</f>
        <v>0.042045000000000006</v>
      </c>
      <c r="I85" s="2">
        <f>G85*H85</f>
        <v>-478956.2544817501</v>
      </c>
      <c r="J85" s="2">
        <f>E85+F85-I85</f>
        <v>-6852.899999999907</v>
      </c>
      <c r="K85" t="s">
        <v>18</v>
      </c>
      <c r="L85" t="s">
        <v>60</v>
      </c>
      <c r="M85" s="2">
        <v>-9000000</v>
      </c>
    </row>
    <row r="86" spans="1:13">
      <c r="A86" t="s">
        <v>17</v>
      </c>
      <c r="B86" t="s">
        <v>54</v>
      </c>
      <c r="C86" t="s">
        <v>52</v>
      </c>
      <c r="D86" t="s">
        <v>30</v>
      </c>
      <c r="E86" s="2">
        <f>I70</f>
        <v>-272704</v>
      </c>
      <c r="F86" s="2">
        <f>SUM(J183:J183)</f>
        <v>-2276.611434</v>
      </c>
      <c r="G86" s="2">
        <f>M86+SUM(G183:G183)</f>
        <v>-40334.26</v>
      </c>
      <c r="H86" s="3">
        <f>INDEX('汇率表'!$A:$XFD,MATCH(D86,'汇率表'!$A:$A,0),MATCH(L86,'汇率表'!$1:$1,0))</f>
        <v>6.8109</v>
      </c>
      <c r="I86" s="2">
        <f>G86*H86</f>
        <v>-274712.611434</v>
      </c>
      <c r="J86" s="2">
        <f>E86+F86-I86</f>
        <v>-268</v>
      </c>
      <c r="K86" t="s">
        <v>18</v>
      </c>
      <c r="L86" t="s">
        <v>20</v>
      </c>
      <c r="M86" s="2">
        <v>-40000</v>
      </c>
    </row>
    <row r="87" spans="1:13">
      <c r="A87" t="s">
        <v>17</v>
      </c>
      <c r="B87" t="s">
        <v>61</v>
      </c>
      <c r="C87" t="s">
        <v>55</v>
      </c>
      <c r="D87" t="s">
        <v>30</v>
      </c>
      <c r="E87" s="2">
        <f>I71</f>
        <v>530372</v>
      </c>
      <c r="F87" s="2">
        <f>SUM(J184:J186)</f>
        <v>66489.838538</v>
      </c>
      <c r="G87" s="2">
        <f>M87+SUM(G184:G186)</f>
        <v>75462.78</v>
      </c>
      <c r="H87" s="3">
        <f>INDEX('汇率表'!$A:$XFD,MATCH(D87,'汇率表'!$A:$A,0),MATCH(L87,'汇率表'!$1:$1,0))</f>
        <v>7.7671</v>
      </c>
      <c r="I87" s="2">
        <f>G87*H87</f>
        <v>586126.958538</v>
      </c>
      <c r="J87" s="2">
        <f>E87+F87-I87</f>
        <v>10734.880000000005</v>
      </c>
      <c r="K87" t="s">
        <v>18</v>
      </c>
      <c r="L87" t="s">
        <v>56</v>
      </c>
      <c r="M87" s="2">
        <v>67000</v>
      </c>
    </row>
    <row r="88" spans="1:13">
      <c r="A88" t="s">
        <v>17</v>
      </c>
      <c r="B88" t="s">
        <v>61</v>
      </c>
      <c r="C88" t="s">
        <v>57</v>
      </c>
      <c r="D88" t="s">
        <v>30</v>
      </c>
      <c r="E88" s="2">
        <f>I72</f>
        <v>26108.7</v>
      </c>
      <c r="F88" s="2">
        <f>SUM(J187:J187)</f>
        <v>142.3814015</v>
      </c>
      <c r="G88" s="2">
        <f>M88+SUM(G187:G187)</f>
        <v>30163.93</v>
      </c>
      <c r="H88" s="3">
        <f>INDEX('汇率表'!$A:$XFD,MATCH(D88,'汇率表'!$A:$A,0),MATCH(L88,'汇率表'!$1:$1,0))</f>
        <v>0.86855</v>
      </c>
      <c r="I88" s="2">
        <f>G88*H88</f>
        <v>26198.881401500003</v>
      </c>
      <c r="J88" s="2">
        <f>E88+F88-I88</f>
        <v>52.19999999999709</v>
      </c>
      <c r="K88" t="s">
        <v>18</v>
      </c>
      <c r="L88" t="s">
        <v>58</v>
      </c>
      <c r="M88" s="2">
        <v>30000</v>
      </c>
    </row>
    <row r="89" spans="1:13">
      <c r="A89" t="s">
        <v>17</v>
      </c>
      <c r="B89" t="s">
        <v>61</v>
      </c>
      <c r="C89" t="s">
        <v>52</v>
      </c>
      <c r="D89" t="s">
        <v>30</v>
      </c>
      <c r="E89" s="2">
        <f>I73</f>
        <v>1346476</v>
      </c>
      <c r="F89" s="2">
        <f>SUM(J188:J190)</f>
        <v>107419.65276900001</v>
      </c>
      <c r="G89" s="2">
        <f>M89+SUM(G188:G190)</f>
        <v>213267.41</v>
      </c>
      <c r="H89" s="3">
        <f>INDEX('汇率表'!$A:$XFD,MATCH(D89,'汇率表'!$A:$A,0),MATCH(L89,'汇率表'!$1:$1,0))</f>
        <v>6.8109</v>
      </c>
      <c r="I89" s="2">
        <f>G89*H89</f>
        <v>1452543.0027690001</v>
      </c>
      <c r="J89" s="2">
        <f>E89+F89-I89</f>
        <v>1352.6499999999069</v>
      </c>
      <c r="K89" t="s">
        <v>18</v>
      </c>
      <c r="L89" t="s">
        <v>20</v>
      </c>
      <c r="M89" s="2">
        <v>197500</v>
      </c>
    </row>
    <row r="90" spans="1:13">
      <c r="A90" t="s">
        <v>17</v>
      </c>
      <c r="B90" t="s">
        <v>62</v>
      </c>
      <c r="C90" t="s">
        <v>55</v>
      </c>
      <c r="D90" t="s">
        <v>30</v>
      </c>
      <c r="E90" s="2">
        <f>I74</f>
        <v>474960</v>
      </c>
      <c r="F90" s="2">
        <f>SUM(J191:J193)</f>
        <v>35674.24473900001</v>
      </c>
      <c r="G90" s="2">
        <f>M90+SUM(G191:G193)</f>
        <v>64567.09</v>
      </c>
      <c r="H90" s="3">
        <f>INDEX('汇率表'!$A:$XFD,MATCH(D90,'汇率表'!$A:$A,0),MATCH(L90,'汇率表'!$1:$1,0))</f>
        <v>7.7671</v>
      </c>
      <c r="I90" s="2">
        <f>G90*H90</f>
        <v>501499.044739</v>
      </c>
      <c r="J90" s="2">
        <f>E90+F90-I90</f>
        <v>9135.200000000012</v>
      </c>
      <c r="K90" t="s">
        <v>18</v>
      </c>
      <c r="L90" t="s">
        <v>56</v>
      </c>
      <c r="M90" s="2">
        <v>60000</v>
      </c>
    </row>
    <row r="91" spans="1:13">
      <c r="A91" t="s">
        <v>17</v>
      </c>
      <c r="B91" t="s">
        <v>62</v>
      </c>
      <c r="C91" t="s">
        <v>57</v>
      </c>
      <c r="D91" t="s">
        <v>30</v>
      </c>
      <c r="E91" s="2">
        <f>I75</f>
        <v>65271.75</v>
      </c>
      <c r="F91" s="2">
        <f>SUM(J194:J195)</f>
        <v>-4015.1709395</v>
      </c>
      <c r="G91" s="2">
        <f>M91+SUM(G194:G195)</f>
        <v>70382.51</v>
      </c>
      <c r="H91" s="3">
        <f>INDEX('汇率表'!$A:$XFD,MATCH(D91,'汇率表'!$A:$A,0),MATCH(L91,'汇率表'!$1:$1,0))</f>
        <v>0.86855</v>
      </c>
      <c r="I91" s="2">
        <f>G91*H91</f>
        <v>61130.7290605</v>
      </c>
      <c r="J91" s="2">
        <f>E91+F91-I91</f>
        <v>125.84999999999854</v>
      </c>
      <c r="K91" t="s">
        <v>18</v>
      </c>
      <c r="L91" t="s">
        <v>58</v>
      </c>
      <c r="M91" s="2">
        <v>75000</v>
      </c>
    </row>
    <row r="92" spans="1:13">
      <c r="A92" t="s">
        <v>17</v>
      </c>
      <c r="B92" t="s">
        <v>62</v>
      </c>
      <c r="C92" t="s">
        <v>52</v>
      </c>
      <c r="D92" t="s">
        <v>30</v>
      </c>
      <c r="E92" s="2">
        <f>I76</f>
        <v>2897480</v>
      </c>
      <c r="F92" s="2">
        <f>SUM(J196:J197)</f>
        <v>264636.167709</v>
      </c>
      <c r="G92" s="2">
        <f>M92+SUM(G196:G197)</f>
        <v>463844.01</v>
      </c>
      <c r="H92" s="3">
        <f>INDEX('汇率表'!$A:$XFD,MATCH(D92,'汇率表'!$A:$A,0),MATCH(L92,'汇率表'!$1:$1,0))</f>
        <v>6.8109</v>
      </c>
      <c r="I92" s="2">
        <f>G92*H92</f>
        <v>3159195.167709</v>
      </c>
      <c r="J92" s="2">
        <f>E92+F92-I92</f>
        <v>2921</v>
      </c>
      <c r="K92" t="s">
        <v>18</v>
      </c>
      <c r="L92" t="s">
        <v>20</v>
      </c>
      <c r="M92" s="2">
        <v>425000</v>
      </c>
    </row>
    <row r="93" spans="1:13">
      <c r="A93" t="s">
        <v>17</v>
      </c>
      <c r="B93" t="s">
        <v>63</v>
      </c>
      <c r="C93" t="s">
        <v>52</v>
      </c>
      <c r="D93" t="s">
        <v>30</v>
      </c>
      <c r="E93" s="2">
        <f>I77</f>
        <v>-1022640</v>
      </c>
      <c r="F93" s="2">
        <f>SUM(J198:J198)</f>
        <v>-8537.326932</v>
      </c>
      <c r="G93" s="2">
        <f>M93+SUM(G198:G198)</f>
        <v>-151253.48</v>
      </c>
      <c r="H93" s="3">
        <f>INDEX('汇率表'!$A:$XFD,MATCH(D93,'汇率表'!$A:$A,0),MATCH(L93,'汇率表'!$1:$1,0))</f>
        <v>6.8109</v>
      </c>
      <c r="I93" s="2">
        <f>G93*H93</f>
        <v>-1030172.3269320001</v>
      </c>
      <c r="J93" s="2">
        <f>E93+F93-I93</f>
        <v>-1004.9999999998836</v>
      </c>
      <c r="K93" t="s">
        <v>18</v>
      </c>
      <c r="L93" t="s">
        <v>20</v>
      </c>
      <c r="M93" s="2">
        <v>-150000</v>
      </c>
    </row>
    <row r="94" spans="1:13">
      <c r="A94" t="s">
        <v>19</v>
      </c>
      <c r="B94" t="s">
        <v>64</v>
      </c>
      <c r="C94" t="s">
        <v>65</v>
      </c>
      <c r="D94" t="s">
        <v>30</v>
      </c>
      <c r="E94" s="2">
        <f>I78</f>
        <v>1161.1124149260738</v>
      </c>
      <c r="F94" s="2">
        <f>SUM(J199:J199)</f>
        <v>20.367411942621384</v>
      </c>
      <c r="G94" s="2">
        <f>M94+SUM(G199:G199)</f>
        <v>1017.86</v>
      </c>
      <c r="H94" s="3">
        <f>INDEX('汇率表'!$A:$XFD,MATCH(D94,'汇率表'!$A:$A,0),MATCH(L94,'汇率表'!$1:$1,0))/INDEX('汇率表'!$A:$XFD,MATCH(D94,'汇率表'!$A:$A,0),MATCH(K94,'汇率表'!$1:$1,0))</f>
        <v>1.1403926059698424</v>
      </c>
      <c r="I94" s="2">
        <f>G94*H94</f>
        <v>1160.7600179124638</v>
      </c>
      <c r="J94" s="2">
        <f>E94+F94-I94</f>
        <v>20.719808956231418</v>
      </c>
      <c r="K94" t="s">
        <v>20</v>
      </c>
      <c r="L94" t="s">
        <v>56</v>
      </c>
      <c r="M94" s="2">
        <v>1000</v>
      </c>
    </row>
    <row r="95" spans="1:13">
      <c r="A95" t="s">
        <v>19</v>
      </c>
      <c r="B95" t="s">
        <v>66</v>
      </c>
      <c r="C95" t="s">
        <v>65</v>
      </c>
      <c r="D95" t="s">
        <v>30</v>
      </c>
      <c r="E95" s="2">
        <f>I79</f>
        <v>-27866.697958225774</v>
      </c>
      <c r="F95" s="2">
        <f>SUM(J200:J202)</f>
        <v>7099.110579712431</v>
      </c>
      <c r="G95" s="2">
        <f>M95+SUM(G200:G202)</f>
        <v>-17760.71</v>
      </c>
      <c r="H95" s="3">
        <f>INDEX('汇率表'!$A:$XFD,MATCH(D95,'汇率表'!$A:$A,0),MATCH(L95,'汇率表'!$1:$1,0))/INDEX('汇率表'!$A:$XFD,MATCH(D95,'汇率表'!$A:$A,0),MATCH(K95,'汇率表'!$1:$1,0))</f>
        <v>1.1403926059698424</v>
      </c>
      <c r="I95" s="2">
        <f>G95*H95</f>
        <v>-20254.182360774637</v>
      </c>
      <c r="J95" s="2">
        <f>E95+F95-I95</f>
        <v>-513.4050177387071</v>
      </c>
      <c r="K95" t="s">
        <v>20</v>
      </c>
      <c r="L95" t="s">
        <v>56</v>
      </c>
      <c r="M95" s="2">
        <v>-24000</v>
      </c>
    </row>
    <row r="96" spans="1:13">
      <c r="A96" t="s">
        <v>19</v>
      </c>
      <c r="B96" t="s">
        <v>67</v>
      </c>
      <c r="C96" t="s">
        <v>65</v>
      </c>
      <c r="D96" t="s">
        <v>30</v>
      </c>
      <c r="E96" s="2">
        <f>I80</f>
        <v>26705.585543299698</v>
      </c>
      <c r="F96" s="2">
        <f>SUM(J203:J204)</f>
        <v>5386.520083838919</v>
      </c>
      <c r="G96" s="2">
        <f>M96+SUM(G203:G204)</f>
        <v>27685.71</v>
      </c>
      <c r="H96" s="3">
        <f>INDEX('汇率表'!$A:$XFD,MATCH(D96,'汇率表'!$A:$A,0),MATCH(L96,'汇率表'!$1:$1,0))/INDEX('汇率表'!$A:$XFD,MATCH(D96,'汇率表'!$A:$A,0),MATCH(K96,'汇率表'!$1:$1,0))</f>
        <v>1.1403926059698424</v>
      </c>
      <c r="I96" s="2">
        <f>G96*H96</f>
        <v>31572.578975025324</v>
      </c>
      <c r="J96" s="2">
        <f>E96+F96-I96</f>
        <v>519.5266521132944</v>
      </c>
      <c r="K96" t="s">
        <v>20</v>
      </c>
      <c r="L96" t="s">
        <v>56</v>
      </c>
      <c r="M96" s="2">
        <v>23000</v>
      </c>
    </row>
    <row r="97" spans="1:13">
      <c r="A97" t="s">
        <v>19</v>
      </c>
      <c r="B97" t="s">
        <v>68</v>
      </c>
      <c r="C97" t="s">
        <v>65</v>
      </c>
      <c r="D97" t="s">
        <v>30</v>
      </c>
      <c r="E97" s="2">
        <f>I81</f>
        <v>16255.573808965035</v>
      </c>
      <c r="F97" s="2">
        <f>SUM(J205:J207)</f>
        <v>-7302.750487360466</v>
      </c>
      <c r="G97" s="2">
        <f>M97+SUM(G205:G207)</f>
        <v>7582.14</v>
      </c>
      <c r="H97" s="3">
        <f>INDEX('汇率表'!$A:$XFD,MATCH(D97,'汇率表'!$A:$A,0),MATCH(L97,'汇率表'!$1:$1,0))/INDEX('汇率表'!$A:$XFD,MATCH(D97,'汇率表'!$A:$A,0),MATCH(K97,'汇率表'!$1:$1,0))</f>
        <v>1.1403926059698424</v>
      </c>
      <c r="I97" s="2">
        <f>G97*H97</f>
        <v>8646.616393428181</v>
      </c>
      <c r="J97" s="2">
        <f>E97+F97-I97</f>
        <v>306.20692817638883</v>
      </c>
      <c r="K97" t="s">
        <v>20</v>
      </c>
      <c r="L97" t="s">
        <v>56</v>
      </c>
      <c r="M97" s="2">
        <v>14000</v>
      </c>
    </row>
    <row r="99" spans="1:13">
      <c r="A99" s="1" t="s">
        <v>73</v>
      </c>
    </row>
    <row r="100" spans="1:13">
      <c r="A100" s="1" t="s">
        <v>22</v>
      </c>
      <c r="B100" s="1" t="s">
        <v>42</v>
      </c>
      <c r="C100" s="1" t="s">
        <v>44</v>
      </c>
      <c r="D100" s="1" t="s">
        <v>28</v>
      </c>
      <c r="E100" s="1" t="s">
        <v>24</v>
      </c>
      <c r="F100" s="1" t="s">
        <v>74</v>
      </c>
      <c r="G100" s="1" t="s">
        <v>75</v>
      </c>
      <c r="H100" s="1" t="s">
        <v>76</v>
      </c>
      <c r="I100" s="1" t="s">
        <v>77</v>
      </c>
      <c r="J100" s="1" t="s">
        <v>78</v>
      </c>
      <c r="K100" s="1"/>
      <c r="L100" s="1" t="s">
        <v>79</v>
      </c>
      <c r="M100" s="1" t="s">
        <v>23</v>
      </c>
    </row>
    <row r="101" spans="1:13">
      <c r="A101" t="s">
        <v>17</v>
      </c>
      <c r="B101" t="s">
        <v>54</v>
      </c>
      <c r="C101" t="s">
        <v>53</v>
      </c>
      <c r="D101" t="s">
        <v>80</v>
      </c>
      <c r="E101">
        <v>18</v>
      </c>
      <c r="F101" t="s">
        <v>81</v>
      </c>
      <c r="G101" s="2">
        <v>5000</v>
      </c>
      <c r="H101" s="2">
        <v>39150</v>
      </c>
      <c r="I101" s="3">
        <f>INDEX('汇率表'!$A:$XFD,MATCH(F101,'汇率表'!$A:$A,0),MATCH(L101,'汇率表'!$1:$1,0))</f>
        <v>8.1186</v>
      </c>
      <c r="J101" s="2">
        <f>G101*I101</f>
        <v>40593</v>
      </c>
      <c r="L101" t="s">
        <v>56</v>
      </c>
      <c r="M101" t="s">
        <v>18</v>
      </c>
    </row>
    <row r="102" spans="1:13">
      <c r="A102" t="s">
        <v>17</v>
      </c>
      <c r="B102" t="s">
        <v>54</v>
      </c>
      <c r="C102" t="s">
        <v>53</v>
      </c>
      <c r="D102" t="s">
        <v>82</v>
      </c>
      <c r="E102">
        <v>20</v>
      </c>
      <c r="F102" t="s">
        <v>81</v>
      </c>
      <c r="G102" s="2">
        <v>5000</v>
      </c>
      <c r="H102" s="2">
        <v>4550</v>
      </c>
      <c r="I102" s="3">
        <f>INDEX('汇率表'!$A:$XFD,MATCH(F102,'汇率表'!$A:$A,0),MATCH(L102,'汇率表'!$1:$1,0))</f>
        <v>0.89775</v>
      </c>
      <c r="J102" s="2">
        <f>G102*I102</f>
        <v>4488.75</v>
      </c>
      <c r="L102" t="s">
        <v>58</v>
      </c>
      <c r="M102" t="s">
        <v>18</v>
      </c>
    </row>
    <row r="103" spans="1:13">
      <c r="A103" t="s">
        <v>17</v>
      </c>
      <c r="B103" t="s">
        <v>54</v>
      </c>
      <c r="C103" t="s">
        <v>53</v>
      </c>
      <c r="D103" t="s">
        <v>83</v>
      </c>
      <c r="E103">
        <v>11</v>
      </c>
      <c r="F103" t="s">
        <v>84</v>
      </c>
      <c r="G103" s="2">
        <v>-1600000</v>
      </c>
      <c r="H103" s="2">
        <v>-77120</v>
      </c>
      <c r="I103" s="3">
        <f>INDEX('汇率表'!$A:$XFD,MATCH(F103,'汇率表'!$A:$A,0),MATCH(L103,'汇率表'!$1:$1,0))</f>
        <v>0.044086</v>
      </c>
      <c r="J103" s="2">
        <f>G103*I103</f>
        <v>-70537.6</v>
      </c>
      <c r="L103" t="s">
        <v>60</v>
      </c>
      <c r="M103" t="s">
        <v>18</v>
      </c>
    </row>
    <row r="104" spans="1:13">
      <c r="A104" t="s">
        <v>17</v>
      </c>
      <c r="B104" t="s">
        <v>61</v>
      </c>
      <c r="C104" t="s">
        <v>53</v>
      </c>
      <c r="D104" t="s">
        <v>85</v>
      </c>
      <c r="E104">
        <v>7</v>
      </c>
      <c r="F104" t="s">
        <v>86</v>
      </c>
      <c r="G104" s="2">
        <v>12800</v>
      </c>
      <c r="H104" s="2">
        <v>100224</v>
      </c>
      <c r="I104" s="3">
        <f>INDEX('汇率表'!$A:$XFD,MATCH(F104,'汇率表'!$A:$A,0),MATCH(L104,'汇率表'!$1:$1,0))</f>
        <v>8.1556</v>
      </c>
      <c r="J104" s="2">
        <f>G104*I104</f>
        <v>104391.68</v>
      </c>
      <c r="L104" t="s">
        <v>56</v>
      </c>
      <c r="M104" t="s">
        <v>18</v>
      </c>
    </row>
    <row r="105" spans="1:13">
      <c r="A105" t="s">
        <v>17</v>
      </c>
      <c r="B105" t="s">
        <v>61</v>
      </c>
      <c r="C105" t="s">
        <v>53</v>
      </c>
      <c r="D105" t="s">
        <v>87</v>
      </c>
      <c r="E105">
        <v>13</v>
      </c>
      <c r="F105" t="s">
        <v>88</v>
      </c>
      <c r="G105" s="2">
        <v>-9000</v>
      </c>
      <c r="H105" s="2">
        <v>-70470</v>
      </c>
      <c r="I105" s="3">
        <f>INDEX('汇率表'!$A:$XFD,MATCH(F105,'汇率表'!$A:$A,0),MATCH(L105,'汇率表'!$1:$1,0))</f>
        <v>8.1067</v>
      </c>
      <c r="J105" s="2">
        <f>G105*I105</f>
        <v>-72960.3</v>
      </c>
      <c r="L105" t="s">
        <v>56</v>
      </c>
      <c r="M105" t="s">
        <v>18</v>
      </c>
    </row>
    <row r="106" spans="1:13">
      <c r="A106" t="s">
        <v>17</v>
      </c>
      <c r="B106" t="s">
        <v>61</v>
      </c>
      <c r="C106" t="s">
        <v>53</v>
      </c>
      <c r="D106" t="s">
        <v>85</v>
      </c>
      <c r="E106">
        <v>6</v>
      </c>
      <c r="F106" t="s">
        <v>86</v>
      </c>
      <c r="G106" s="2">
        <v>41500</v>
      </c>
      <c r="H106" s="2">
        <v>295480</v>
      </c>
      <c r="I106" s="3">
        <f>INDEX('汇率表'!$A:$XFD,MATCH(F106,'汇率表'!$A:$A,0),MATCH(L106,'汇率表'!$1:$1,0))</f>
        <v>7.0127999999999995</v>
      </c>
      <c r="J106" s="2">
        <f>G106*I106</f>
        <v>291031.19999999995</v>
      </c>
      <c r="L106" t="s">
        <v>20</v>
      </c>
      <c r="M106" t="s">
        <v>18</v>
      </c>
    </row>
    <row r="107" spans="1:13">
      <c r="A107" t="s">
        <v>17</v>
      </c>
      <c r="B107" t="s">
        <v>61</v>
      </c>
      <c r="C107" t="s">
        <v>53</v>
      </c>
      <c r="D107" t="s">
        <v>89</v>
      </c>
      <c r="E107">
        <v>15</v>
      </c>
      <c r="F107" t="s">
        <v>88</v>
      </c>
      <c r="G107" s="2">
        <v>-35000</v>
      </c>
      <c r="H107" s="2">
        <v>-249200</v>
      </c>
      <c r="I107" s="3">
        <f>INDEX('汇率表'!$A:$XFD,MATCH(F107,'汇率表'!$A:$A,0),MATCH(L107,'汇率表'!$1:$1,0))</f>
        <v>7.0078</v>
      </c>
      <c r="J107" s="2">
        <f>G107*I107</f>
        <v>-245273</v>
      </c>
      <c r="L107" t="s">
        <v>20</v>
      </c>
      <c r="M107" t="s">
        <v>18</v>
      </c>
    </row>
    <row r="108" spans="1:13">
      <c r="A108" t="s">
        <v>17</v>
      </c>
      <c r="B108" t="s">
        <v>62</v>
      </c>
      <c r="C108" t="s">
        <v>53</v>
      </c>
      <c r="D108" t="s">
        <v>87</v>
      </c>
      <c r="E108">
        <v>12</v>
      </c>
      <c r="F108" t="s">
        <v>88</v>
      </c>
      <c r="G108" s="2">
        <v>9000</v>
      </c>
      <c r="H108" s="2">
        <v>70470</v>
      </c>
      <c r="I108" s="3">
        <f>INDEX('汇率表'!$A:$XFD,MATCH(F108,'汇率表'!$A:$A,0),MATCH(L108,'汇率表'!$1:$1,0))</f>
        <v>8.1067</v>
      </c>
      <c r="J108" s="2">
        <f>G108*I108</f>
        <v>72960.3</v>
      </c>
      <c r="L108" t="s">
        <v>56</v>
      </c>
      <c r="M108" t="s">
        <v>18</v>
      </c>
    </row>
    <row r="109" spans="1:13">
      <c r="A109" t="s">
        <v>17</v>
      </c>
      <c r="B109" t="s">
        <v>62</v>
      </c>
      <c r="C109" t="s">
        <v>53</v>
      </c>
      <c r="D109" t="s">
        <v>80</v>
      </c>
      <c r="E109">
        <v>19</v>
      </c>
      <c r="F109" t="s">
        <v>81</v>
      </c>
      <c r="G109" s="2">
        <v>-5000</v>
      </c>
      <c r="H109" s="2">
        <v>-39150</v>
      </c>
      <c r="I109" s="3">
        <f>INDEX('汇率表'!$A:$XFD,MATCH(F109,'汇率表'!$A:$A,0),MATCH(L109,'汇率表'!$1:$1,0))</f>
        <v>8.1186</v>
      </c>
      <c r="J109" s="2">
        <f>G109*I109</f>
        <v>-40593</v>
      </c>
      <c r="L109" t="s">
        <v>56</v>
      </c>
      <c r="M109" t="s">
        <v>18</v>
      </c>
    </row>
    <row r="110" spans="1:13">
      <c r="A110" t="s">
        <v>17</v>
      </c>
      <c r="B110" t="s">
        <v>62</v>
      </c>
      <c r="C110" t="s">
        <v>53</v>
      </c>
      <c r="D110" t="s">
        <v>82</v>
      </c>
      <c r="E110">
        <v>21</v>
      </c>
      <c r="F110" t="s">
        <v>81</v>
      </c>
      <c r="G110" s="2">
        <v>-5000</v>
      </c>
      <c r="H110" s="2">
        <v>-4550</v>
      </c>
      <c r="I110" s="3">
        <f>INDEX('汇率表'!$A:$XFD,MATCH(F110,'汇率表'!$A:$A,0),MATCH(L110,'汇率表'!$1:$1,0))</f>
        <v>0.89775</v>
      </c>
      <c r="J110" s="2">
        <f>G110*I110</f>
        <v>-4488.75</v>
      </c>
      <c r="L110" t="s">
        <v>58</v>
      </c>
      <c r="M110" t="s">
        <v>18</v>
      </c>
    </row>
    <row r="111" spans="1:13">
      <c r="A111" t="s">
        <v>17</v>
      </c>
      <c r="B111" t="s">
        <v>62</v>
      </c>
      <c r="C111" t="s">
        <v>53</v>
      </c>
      <c r="D111" t="s">
        <v>90</v>
      </c>
      <c r="E111">
        <v>2</v>
      </c>
      <c r="F111" t="s">
        <v>91</v>
      </c>
      <c r="G111" s="2">
        <v>200000</v>
      </c>
      <c r="H111" s="2">
        <v>1424000</v>
      </c>
      <c r="I111" s="3">
        <f>INDEX('汇率表'!$A:$XFD,MATCH(F111,'汇率表'!$A:$A,0),MATCH(L111,'汇率表'!$1:$1,0))</f>
        <v>7.0197</v>
      </c>
      <c r="J111" s="2">
        <f>G111*I111</f>
        <v>1403940</v>
      </c>
      <c r="L111" t="s">
        <v>20</v>
      </c>
      <c r="M111" t="s">
        <v>18</v>
      </c>
    </row>
    <row r="112" spans="1:13">
      <c r="A112" t="s">
        <v>17</v>
      </c>
      <c r="B112" t="s">
        <v>62</v>
      </c>
      <c r="C112" t="s">
        <v>53</v>
      </c>
      <c r="D112" t="s">
        <v>89</v>
      </c>
      <c r="E112">
        <v>14</v>
      </c>
      <c r="F112" t="s">
        <v>88</v>
      </c>
      <c r="G112" s="2">
        <v>35000</v>
      </c>
      <c r="H112" s="2">
        <v>249200</v>
      </c>
      <c r="I112" s="3">
        <f>INDEX('汇率表'!$A:$XFD,MATCH(F112,'汇率表'!$A:$A,0),MATCH(L112,'汇率表'!$1:$1,0))</f>
        <v>7.0078</v>
      </c>
      <c r="J112" s="2">
        <f>G112*I112</f>
        <v>245273</v>
      </c>
      <c r="L112" t="s">
        <v>20</v>
      </c>
      <c r="M112" t="s">
        <v>18</v>
      </c>
    </row>
    <row r="113" spans="1:13">
      <c r="A113" t="s">
        <v>17</v>
      </c>
      <c r="B113" t="s">
        <v>63</v>
      </c>
      <c r="C113" t="s">
        <v>53</v>
      </c>
      <c r="D113" t="s">
        <v>90</v>
      </c>
      <c r="E113">
        <v>3</v>
      </c>
      <c r="F113" t="s">
        <v>91</v>
      </c>
      <c r="G113" s="2">
        <v>-200000</v>
      </c>
      <c r="H113" s="2">
        <v>-1424000</v>
      </c>
      <c r="I113" s="3">
        <f>INDEX('汇率表'!$A:$XFD,MATCH(F113,'汇率表'!$A:$A,0),MATCH(L113,'汇率表'!$1:$1,0))</f>
        <v>7.0197</v>
      </c>
      <c r="J113" s="2">
        <f>G113*I113</f>
        <v>-1403940</v>
      </c>
      <c r="L113" t="s">
        <v>20</v>
      </c>
      <c r="M113" t="s">
        <v>18</v>
      </c>
    </row>
    <row r="114" spans="1:13">
      <c r="A114" t="s">
        <v>19</v>
      </c>
      <c r="B114" t="s">
        <v>66</v>
      </c>
      <c r="C114" t="s">
        <v>53</v>
      </c>
      <c r="D114" t="s">
        <v>92</v>
      </c>
      <c r="E114">
        <v>183</v>
      </c>
      <c r="F114" t="s">
        <v>81</v>
      </c>
      <c r="G114" s="2">
        <v>1200</v>
      </c>
      <c r="H114" s="2">
        <v>1320</v>
      </c>
      <c r="I114" s="3">
        <f>INDEX('汇率表'!$A:$XFD,MATCH(F114,'汇率表'!$A:$A,0),MATCH(L114,'汇率表'!$1:$1,0))/INDEX('汇率表'!$A:$XFD,MATCH(F114,'汇率表'!$A:$A,0),MATCH(M114,'汇率表'!$1:$1,0))</f>
        <v>1.159700597091678</v>
      </c>
      <c r="J114" s="2">
        <f>G114*I114</f>
        <v>1391.6407165100136</v>
      </c>
      <c r="L114" t="s">
        <v>56</v>
      </c>
      <c r="M114" t="s">
        <v>20</v>
      </c>
    </row>
    <row r="115" spans="1:13">
      <c r="A115" t="s">
        <v>19</v>
      </c>
      <c r="B115" t="s">
        <v>67</v>
      </c>
      <c r="C115" t="s">
        <v>53</v>
      </c>
      <c r="D115" t="s">
        <v>93</v>
      </c>
      <c r="E115">
        <v>175</v>
      </c>
      <c r="F115" t="s">
        <v>86</v>
      </c>
      <c r="G115" s="2">
        <v>3200</v>
      </c>
      <c r="H115" s="2">
        <v>3520</v>
      </c>
      <c r="I115" s="3">
        <f>INDEX('汇率表'!$A:$XFD,MATCH(F115,'汇率表'!$A:$A,0),MATCH(L115,'汇率表'!$1:$1,0))/INDEX('汇率表'!$A:$XFD,MATCH(F115,'汇率表'!$A:$A,0),MATCH(M115,'汇率表'!$1:$1,0))</f>
        <v>1.1629591603924254</v>
      </c>
      <c r="J115" s="2">
        <f>G115*I115</f>
        <v>3721.4693132557613</v>
      </c>
      <c r="L115" t="s">
        <v>56</v>
      </c>
      <c r="M115" t="s">
        <v>20</v>
      </c>
    </row>
    <row r="116" spans="1:13">
      <c r="A116" t="s">
        <v>19</v>
      </c>
      <c r="B116" t="s">
        <v>68</v>
      </c>
      <c r="C116" t="s">
        <v>53</v>
      </c>
      <c r="D116" t="s">
        <v>92</v>
      </c>
      <c r="E116">
        <v>184</v>
      </c>
      <c r="F116" t="s">
        <v>81</v>
      </c>
      <c r="G116" s="2">
        <v>-1200</v>
      </c>
      <c r="H116" s="2">
        <v>-1320</v>
      </c>
      <c r="I116" s="3">
        <f>INDEX('汇率表'!$A:$XFD,MATCH(F116,'汇率表'!$A:$A,0),MATCH(L116,'汇率表'!$1:$1,0))/INDEX('汇率表'!$A:$XFD,MATCH(F116,'汇率表'!$A:$A,0),MATCH(M116,'汇率表'!$1:$1,0))</f>
        <v>1.159700597091678</v>
      </c>
      <c r="J116" s="2">
        <f>G116*I116</f>
        <v>-1391.6407165100136</v>
      </c>
      <c r="L116" t="s">
        <v>56</v>
      </c>
      <c r="M116" t="s">
        <v>20</v>
      </c>
    </row>
    <row r="117" spans="1:13">
      <c r="A117" t="s">
        <v>17</v>
      </c>
      <c r="B117" t="s">
        <v>54</v>
      </c>
      <c r="C117" t="s">
        <v>69</v>
      </c>
      <c r="D117" t="s">
        <v>94</v>
      </c>
      <c r="E117">
        <v>36</v>
      </c>
      <c r="F117" t="s">
        <v>95</v>
      </c>
      <c r="G117" s="2">
        <v>-50000</v>
      </c>
      <c r="H117" s="2">
        <v>-391500</v>
      </c>
      <c r="I117" s="3">
        <f>INDEX('汇率表'!$A:$XFD,MATCH(F117,'汇率表'!$A:$A,0),MATCH(L117,'汇率表'!$1:$1,0))</f>
        <v>8.225299999999999</v>
      </c>
      <c r="J117" s="2">
        <f>G117*I117</f>
        <v>-411264.99999999994</v>
      </c>
      <c r="L117" t="s">
        <v>56</v>
      </c>
      <c r="M117" t="s">
        <v>18</v>
      </c>
    </row>
    <row r="118" spans="1:13">
      <c r="A118" t="s">
        <v>17</v>
      </c>
      <c r="B118" t="s">
        <v>54</v>
      </c>
      <c r="C118" t="s">
        <v>69</v>
      </c>
      <c r="D118" t="s">
        <v>96</v>
      </c>
      <c r="E118">
        <v>45</v>
      </c>
      <c r="F118" t="s">
        <v>97</v>
      </c>
      <c r="G118" s="2">
        <v>5000</v>
      </c>
      <c r="H118" s="2">
        <v>39150</v>
      </c>
      <c r="I118" s="3">
        <f>INDEX('汇率表'!$A:$XFD,MATCH(F118,'汇率表'!$A:$A,0),MATCH(L118,'汇率表'!$1:$1,0))</f>
        <v>8.2195</v>
      </c>
      <c r="J118" s="2">
        <f>G118*I118</f>
        <v>41097.5</v>
      </c>
      <c r="L118" t="s">
        <v>56</v>
      </c>
      <c r="M118" t="s">
        <v>18</v>
      </c>
    </row>
    <row r="119" spans="1:13">
      <c r="A119" t="s">
        <v>17</v>
      </c>
      <c r="B119" t="s">
        <v>54</v>
      </c>
      <c r="C119" t="s">
        <v>69</v>
      </c>
      <c r="D119" t="s">
        <v>98</v>
      </c>
      <c r="E119">
        <v>47</v>
      </c>
      <c r="F119" t="s">
        <v>97</v>
      </c>
      <c r="G119" s="2">
        <v>5000</v>
      </c>
      <c r="H119" s="2">
        <v>4550</v>
      </c>
      <c r="I119" s="3">
        <f>INDEX('汇率表'!$A:$XFD,MATCH(F119,'汇率表'!$A:$A,0),MATCH(L119,'汇率表'!$1:$1,0))</f>
        <v>0.88787</v>
      </c>
      <c r="J119" s="2">
        <f>G119*I119</f>
        <v>4439.35</v>
      </c>
      <c r="L119" t="s">
        <v>58</v>
      </c>
      <c r="M119" t="s">
        <v>18</v>
      </c>
    </row>
    <row r="120" spans="1:13">
      <c r="A120" t="s">
        <v>17</v>
      </c>
      <c r="B120" t="s">
        <v>54</v>
      </c>
      <c r="C120" t="s">
        <v>69</v>
      </c>
      <c r="D120" t="s">
        <v>99</v>
      </c>
      <c r="E120">
        <v>38</v>
      </c>
      <c r="F120" t="s">
        <v>100</v>
      </c>
      <c r="G120" s="2">
        <v>-1700000</v>
      </c>
      <c r="H120" s="2">
        <v>-81940</v>
      </c>
      <c r="I120" s="3">
        <f>INDEX('汇率表'!$A:$XFD,MATCH(F120,'汇率表'!$A:$A,0),MATCH(L120,'汇率表'!$1:$1,0))</f>
        <v>0.045304</v>
      </c>
      <c r="J120" s="2">
        <f>G120*I120</f>
        <v>-77016.79999999999</v>
      </c>
      <c r="L120" t="s">
        <v>60</v>
      </c>
      <c r="M120" t="s">
        <v>18</v>
      </c>
    </row>
    <row r="121" spans="1:13">
      <c r="A121" t="s">
        <v>17</v>
      </c>
      <c r="B121" t="s">
        <v>61</v>
      </c>
      <c r="C121" t="s">
        <v>69</v>
      </c>
      <c r="D121" t="s">
        <v>101</v>
      </c>
      <c r="E121">
        <v>32</v>
      </c>
      <c r="F121" t="s">
        <v>102</v>
      </c>
      <c r="G121" s="2">
        <v>13600</v>
      </c>
      <c r="H121" s="2">
        <v>106488</v>
      </c>
      <c r="I121" s="3">
        <f>INDEX('汇率表'!$A:$XFD,MATCH(F121,'汇率表'!$A:$A,0),MATCH(L121,'汇率表'!$1:$1,0))</f>
        <v>8.2513</v>
      </c>
      <c r="J121" s="2">
        <f>G121*I121</f>
        <v>112217.68000000001</v>
      </c>
      <c r="L121" t="s">
        <v>56</v>
      </c>
      <c r="M121" t="s">
        <v>18</v>
      </c>
    </row>
    <row r="122" spans="1:13">
      <c r="A122" t="s">
        <v>17</v>
      </c>
      <c r="B122" t="s">
        <v>61</v>
      </c>
      <c r="C122" t="s">
        <v>69</v>
      </c>
      <c r="D122" t="s">
        <v>103</v>
      </c>
      <c r="E122">
        <v>40</v>
      </c>
      <c r="F122" t="s">
        <v>104</v>
      </c>
      <c r="G122" s="2">
        <v>-9000</v>
      </c>
      <c r="H122" s="2">
        <v>-70470</v>
      </c>
      <c r="I122" s="3">
        <f>INDEX('汇率表'!$A:$XFD,MATCH(F122,'汇率表'!$A:$A,0),MATCH(L122,'汇率表'!$1:$1,0))</f>
        <v>8.2195</v>
      </c>
      <c r="J122" s="2">
        <f>G122*I122</f>
        <v>-73975.5</v>
      </c>
      <c r="L122" t="s">
        <v>56</v>
      </c>
      <c r="M122" t="s">
        <v>18</v>
      </c>
    </row>
    <row r="123" spans="1:13">
      <c r="A123" t="s">
        <v>17</v>
      </c>
      <c r="B123" t="s">
        <v>61</v>
      </c>
      <c r="C123" t="s">
        <v>69</v>
      </c>
      <c r="D123" t="s">
        <v>101</v>
      </c>
      <c r="E123">
        <v>31</v>
      </c>
      <c r="F123" t="s">
        <v>102</v>
      </c>
      <c r="G123" s="2">
        <v>43000</v>
      </c>
      <c r="H123" s="2">
        <v>306160</v>
      </c>
      <c r="I123" s="3">
        <f>INDEX('汇率表'!$A:$XFD,MATCH(F123,'汇率表'!$A:$A,0),MATCH(L123,'汇率表'!$1:$1,0))</f>
        <v>6.9458</v>
      </c>
      <c r="J123" s="2">
        <f>G123*I123</f>
        <v>298669.4</v>
      </c>
      <c r="L123" t="s">
        <v>20</v>
      </c>
      <c r="M123" t="s">
        <v>18</v>
      </c>
    </row>
    <row r="124" spans="1:13">
      <c r="A124" t="s">
        <v>17</v>
      </c>
      <c r="B124" t="s">
        <v>61</v>
      </c>
      <c r="C124" t="s">
        <v>69</v>
      </c>
      <c r="D124" t="s">
        <v>105</v>
      </c>
      <c r="E124">
        <v>42</v>
      </c>
      <c r="F124" t="s">
        <v>104</v>
      </c>
      <c r="G124" s="2">
        <v>-35000</v>
      </c>
      <c r="H124" s="2">
        <v>-249200</v>
      </c>
      <c r="I124" s="3">
        <f>INDEX('汇率表'!$A:$XFD,MATCH(F124,'汇率表'!$A:$A,0),MATCH(L124,'汇率表'!$1:$1,0))</f>
        <v>6.9398</v>
      </c>
      <c r="J124" s="2">
        <f>G124*I124</f>
        <v>-242893</v>
      </c>
      <c r="L124" t="s">
        <v>20</v>
      </c>
      <c r="M124" t="s">
        <v>18</v>
      </c>
    </row>
    <row r="125" spans="1:13">
      <c r="A125" t="s">
        <v>17</v>
      </c>
      <c r="B125" t="s">
        <v>62</v>
      </c>
      <c r="C125" t="s">
        <v>69</v>
      </c>
      <c r="D125" t="s">
        <v>103</v>
      </c>
      <c r="E125">
        <v>39</v>
      </c>
      <c r="F125" t="s">
        <v>104</v>
      </c>
      <c r="G125" s="2">
        <v>9000</v>
      </c>
      <c r="H125" s="2">
        <v>70470</v>
      </c>
      <c r="I125" s="3">
        <f>INDEX('汇率表'!$A:$XFD,MATCH(F125,'汇率表'!$A:$A,0),MATCH(L125,'汇率表'!$1:$1,0))</f>
        <v>8.2195</v>
      </c>
      <c r="J125" s="2">
        <f>G125*I125</f>
        <v>73975.5</v>
      </c>
      <c r="L125" t="s">
        <v>56</v>
      </c>
      <c r="M125" t="s">
        <v>18</v>
      </c>
    </row>
    <row r="126" spans="1:13">
      <c r="A126" t="s">
        <v>17</v>
      </c>
      <c r="B126" t="s">
        <v>62</v>
      </c>
      <c r="C126" t="s">
        <v>69</v>
      </c>
      <c r="D126" t="s">
        <v>96</v>
      </c>
      <c r="E126">
        <v>46</v>
      </c>
      <c r="F126" t="s">
        <v>97</v>
      </c>
      <c r="G126" s="2">
        <v>-5000</v>
      </c>
      <c r="H126" s="2">
        <v>-39150</v>
      </c>
      <c r="I126" s="3">
        <f>INDEX('汇率表'!$A:$XFD,MATCH(F126,'汇率表'!$A:$A,0),MATCH(L126,'汇率表'!$1:$1,0))</f>
        <v>8.2195</v>
      </c>
      <c r="J126" s="2">
        <f>G126*I126</f>
        <v>-41097.5</v>
      </c>
      <c r="L126" t="s">
        <v>56</v>
      </c>
      <c r="M126" t="s">
        <v>18</v>
      </c>
    </row>
    <row r="127" spans="1:13">
      <c r="A127" t="s">
        <v>17</v>
      </c>
      <c r="B127" t="s">
        <v>62</v>
      </c>
      <c r="C127" t="s">
        <v>69</v>
      </c>
      <c r="D127" t="s">
        <v>98</v>
      </c>
      <c r="E127">
        <v>48</v>
      </c>
      <c r="F127" t="s">
        <v>97</v>
      </c>
      <c r="G127" s="2">
        <v>-5000</v>
      </c>
      <c r="H127" s="2">
        <v>-4550</v>
      </c>
      <c r="I127" s="3">
        <f>INDEX('汇率表'!$A:$XFD,MATCH(F127,'汇率表'!$A:$A,0),MATCH(L127,'汇率表'!$1:$1,0))</f>
        <v>0.88787</v>
      </c>
      <c r="J127" s="2">
        <f>G127*I127</f>
        <v>-4439.35</v>
      </c>
      <c r="L127" t="s">
        <v>58</v>
      </c>
      <c r="M127" t="s">
        <v>18</v>
      </c>
    </row>
    <row r="128" spans="1:13">
      <c r="A128" t="s">
        <v>17</v>
      </c>
      <c r="B128" t="s">
        <v>62</v>
      </c>
      <c r="C128" t="s">
        <v>69</v>
      </c>
      <c r="D128" t="s">
        <v>105</v>
      </c>
      <c r="E128">
        <v>41</v>
      </c>
      <c r="F128" t="s">
        <v>104</v>
      </c>
      <c r="G128" s="2">
        <v>35000</v>
      </c>
      <c r="H128" s="2">
        <v>249200</v>
      </c>
      <c r="I128" s="3">
        <f>INDEX('汇率表'!$A:$XFD,MATCH(F128,'汇率表'!$A:$A,0),MATCH(L128,'汇率表'!$1:$1,0))</f>
        <v>6.9398</v>
      </c>
      <c r="J128" s="2">
        <f>G128*I128</f>
        <v>242893</v>
      </c>
      <c r="L128" t="s">
        <v>20</v>
      </c>
      <c r="M128" t="s">
        <v>18</v>
      </c>
    </row>
    <row r="129" spans="1:13">
      <c r="A129" t="s">
        <v>19</v>
      </c>
      <c r="B129" t="s">
        <v>66</v>
      </c>
      <c r="C129" t="s">
        <v>69</v>
      </c>
      <c r="D129" t="s">
        <v>106</v>
      </c>
      <c r="E129">
        <v>200</v>
      </c>
      <c r="F129" t="s">
        <v>97</v>
      </c>
      <c r="G129" s="2">
        <v>1200</v>
      </c>
      <c r="H129" s="2">
        <v>1320</v>
      </c>
      <c r="I129" s="3">
        <f>INDEX('汇率表'!$A:$XFD,MATCH(F129,'汇率表'!$A:$A,0),MATCH(L129,'汇率表'!$1:$1,0))/INDEX('汇率表'!$A:$XFD,MATCH(F129,'汇率表'!$A:$A,0),MATCH(M129,'汇率表'!$1:$1,0))</f>
        <v>1.184400126804807</v>
      </c>
      <c r="J129" s="2">
        <f>G129*I129</f>
        <v>1421.2801521657684</v>
      </c>
      <c r="L129" t="s">
        <v>56</v>
      </c>
      <c r="M129" t="s">
        <v>20</v>
      </c>
    </row>
    <row r="130" spans="1:13">
      <c r="A130" t="s">
        <v>19</v>
      </c>
      <c r="B130" t="s">
        <v>67</v>
      </c>
      <c r="C130" t="s">
        <v>69</v>
      </c>
      <c r="D130" t="s">
        <v>107</v>
      </c>
      <c r="E130">
        <v>192</v>
      </c>
      <c r="F130" t="s">
        <v>102</v>
      </c>
      <c r="G130" s="2">
        <v>3400</v>
      </c>
      <c r="H130" s="2">
        <v>3740</v>
      </c>
      <c r="I130" s="3">
        <f>INDEX('汇率表'!$A:$XFD,MATCH(F130,'汇率表'!$A:$A,0),MATCH(L130,'汇率表'!$1:$1,0))/INDEX('汇率表'!$A:$XFD,MATCH(F130,'汇率表'!$A:$A,0),MATCH(M130,'汇率表'!$1:$1,0))</f>
        <v>1.1879553111232688</v>
      </c>
      <c r="J130" s="2">
        <f>G130*I130</f>
        <v>4039.048057819114</v>
      </c>
      <c r="L130" t="s">
        <v>56</v>
      </c>
      <c r="M130" t="s">
        <v>20</v>
      </c>
    </row>
    <row r="131" spans="1:13">
      <c r="A131" t="s">
        <v>19</v>
      </c>
      <c r="B131" t="s">
        <v>68</v>
      </c>
      <c r="C131" t="s">
        <v>69</v>
      </c>
      <c r="D131" t="s">
        <v>106</v>
      </c>
      <c r="E131">
        <v>201</v>
      </c>
      <c r="F131" t="s">
        <v>97</v>
      </c>
      <c r="G131" s="2">
        <v>-1200</v>
      </c>
      <c r="H131" s="2">
        <v>-1320</v>
      </c>
      <c r="I131" s="3">
        <f>INDEX('汇率表'!$A:$XFD,MATCH(F131,'汇率表'!$A:$A,0),MATCH(L131,'汇率表'!$1:$1,0))/INDEX('汇率表'!$A:$XFD,MATCH(F131,'汇率表'!$A:$A,0),MATCH(M131,'汇率表'!$1:$1,0))</f>
        <v>1.184400126804807</v>
      </c>
      <c r="J131" s="2">
        <f>G131*I131</f>
        <v>-1421.2801521657684</v>
      </c>
      <c r="L131" t="s">
        <v>56</v>
      </c>
      <c r="M131" t="s">
        <v>20</v>
      </c>
    </row>
    <row r="132" spans="1:13">
      <c r="A132" t="s">
        <v>17</v>
      </c>
      <c r="B132" t="s">
        <v>54</v>
      </c>
      <c r="C132" t="s">
        <v>70</v>
      </c>
      <c r="D132" t="s">
        <v>108</v>
      </c>
      <c r="E132">
        <v>70</v>
      </c>
      <c r="F132" t="s">
        <v>109</v>
      </c>
      <c r="G132" s="2">
        <v>5000</v>
      </c>
      <c r="H132" s="2">
        <v>39150</v>
      </c>
      <c r="I132" s="3">
        <f>INDEX('汇率表'!$A:$XFD,MATCH(F132,'汇率表'!$A:$A,0),MATCH(L132,'汇率表'!$1:$1,0))</f>
        <v>7.9675</v>
      </c>
      <c r="J132" s="2">
        <f>G132*I132</f>
        <v>39837.5</v>
      </c>
      <c r="L132" t="s">
        <v>56</v>
      </c>
      <c r="M132" t="s">
        <v>18</v>
      </c>
    </row>
    <row r="133" spans="1:13">
      <c r="A133" t="s">
        <v>17</v>
      </c>
      <c r="B133" t="s">
        <v>54</v>
      </c>
      <c r="C133" t="s">
        <v>70</v>
      </c>
      <c r="D133" t="s">
        <v>110</v>
      </c>
      <c r="E133">
        <v>72</v>
      </c>
      <c r="F133" t="s">
        <v>109</v>
      </c>
      <c r="G133" s="2">
        <v>5000</v>
      </c>
      <c r="H133" s="2">
        <v>4550</v>
      </c>
      <c r="I133" s="3">
        <f>INDEX('汇率表'!$A:$XFD,MATCH(F133,'汇率表'!$A:$A,0),MATCH(L133,'汇率表'!$1:$1,0))</f>
        <v>0.8791500000000001</v>
      </c>
      <c r="J133" s="2">
        <f>G133*I133</f>
        <v>4395.750000000001</v>
      </c>
      <c r="L133" t="s">
        <v>58</v>
      </c>
      <c r="M133" t="s">
        <v>18</v>
      </c>
    </row>
    <row r="134" spans="1:13">
      <c r="A134" t="s">
        <v>17</v>
      </c>
      <c r="B134" t="s">
        <v>54</v>
      </c>
      <c r="C134" t="s">
        <v>70</v>
      </c>
      <c r="D134" t="s">
        <v>111</v>
      </c>
      <c r="E134">
        <v>63</v>
      </c>
      <c r="F134" t="s">
        <v>112</v>
      </c>
      <c r="G134" s="2">
        <v>-1800000</v>
      </c>
      <c r="H134" s="2">
        <v>-86760</v>
      </c>
      <c r="I134" s="3">
        <f>INDEX('汇率表'!$A:$XFD,MATCH(F134,'汇率表'!$A:$A,0),MATCH(L134,'汇率表'!$1:$1,0))</f>
        <v>0.043284</v>
      </c>
      <c r="J134" s="2">
        <f>G134*I134</f>
        <v>-77911.20000000001</v>
      </c>
      <c r="L134" t="s">
        <v>60</v>
      </c>
      <c r="M134" t="s">
        <v>18</v>
      </c>
    </row>
    <row r="135" spans="1:13">
      <c r="A135" t="s">
        <v>17</v>
      </c>
      <c r="B135" t="s">
        <v>61</v>
      </c>
      <c r="C135" t="s">
        <v>70</v>
      </c>
      <c r="D135" t="s">
        <v>113</v>
      </c>
      <c r="E135">
        <v>59</v>
      </c>
      <c r="F135" t="s">
        <v>114</v>
      </c>
      <c r="G135" s="2">
        <v>14400</v>
      </c>
      <c r="H135" s="2">
        <v>112752</v>
      </c>
      <c r="I135" s="3">
        <f>INDEX('汇率表'!$A:$XFD,MATCH(F135,'汇率表'!$A:$A,0),MATCH(L135,'汇率表'!$1:$1,0))</f>
        <v>8.0198</v>
      </c>
      <c r="J135" s="2">
        <f>G135*I135</f>
        <v>115485.12</v>
      </c>
      <c r="L135" t="s">
        <v>56</v>
      </c>
      <c r="M135" t="s">
        <v>18</v>
      </c>
    </row>
    <row r="136" spans="1:13">
      <c r="A136" t="s">
        <v>17</v>
      </c>
      <c r="B136" t="s">
        <v>61</v>
      </c>
      <c r="C136" t="s">
        <v>70</v>
      </c>
      <c r="D136" t="s">
        <v>115</v>
      </c>
      <c r="E136">
        <v>65</v>
      </c>
      <c r="F136" t="s">
        <v>116</v>
      </c>
      <c r="G136" s="2">
        <v>-9000</v>
      </c>
      <c r="H136" s="2">
        <v>-70470</v>
      </c>
      <c r="I136" s="3">
        <f>INDEX('汇率表'!$A:$XFD,MATCH(F136,'汇率表'!$A:$A,0),MATCH(L136,'汇率表'!$1:$1,0))</f>
        <v>7.9425</v>
      </c>
      <c r="J136" s="2">
        <f>G136*I136</f>
        <v>-71482.5</v>
      </c>
      <c r="L136" t="s">
        <v>56</v>
      </c>
      <c r="M136" t="s">
        <v>18</v>
      </c>
    </row>
    <row r="137" spans="1:13">
      <c r="A137" t="s">
        <v>17</v>
      </c>
      <c r="B137" t="s">
        <v>61</v>
      </c>
      <c r="C137" t="s">
        <v>70</v>
      </c>
      <c r="D137" t="s">
        <v>113</v>
      </c>
      <c r="E137">
        <v>58</v>
      </c>
      <c r="F137" t="s">
        <v>114</v>
      </c>
      <c r="G137" s="2">
        <v>44500</v>
      </c>
      <c r="H137" s="2">
        <v>316840</v>
      </c>
      <c r="I137" s="3">
        <f>INDEX('汇率表'!$A:$XFD,MATCH(F137,'汇率表'!$A:$A,0),MATCH(L137,'汇率表'!$1:$1,0))</f>
        <v>6.8982</v>
      </c>
      <c r="J137" s="2">
        <f>G137*I137</f>
        <v>306969.9</v>
      </c>
      <c r="L137" t="s">
        <v>20</v>
      </c>
      <c r="M137" t="s">
        <v>18</v>
      </c>
    </row>
    <row r="138" spans="1:13">
      <c r="A138" t="s">
        <v>17</v>
      </c>
      <c r="B138" t="s">
        <v>61</v>
      </c>
      <c r="C138" t="s">
        <v>70</v>
      </c>
      <c r="D138" t="s">
        <v>117</v>
      </c>
      <c r="E138">
        <v>67</v>
      </c>
      <c r="F138" t="s">
        <v>116</v>
      </c>
      <c r="G138" s="2">
        <v>-35000</v>
      </c>
      <c r="H138" s="2">
        <v>-249200</v>
      </c>
      <c r="I138" s="3">
        <f>INDEX('汇率表'!$A:$XFD,MATCH(F138,'汇率表'!$A:$A,0),MATCH(L138,'汇率表'!$1:$1,0))</f>
        <v>6.8909</v>
      </c>
      <c r="J138" s="2">
        <f>G138*I138</f>
        <v>-241181.5</v>
      </c>
      <c r="L138" t="s">
        <v>20</v>
      </c>
      <c r="M138" t="s">
        <v>18</v>
      </c>
    </row>
    <row r="139" spans="1:13">
      <c r="A139" t="s">
        <v>17</v>
      </c>
      <c r="B139" t="s">
        <v>62</v>
      </c>
      <c r="C139" t="s">
        <v>70</v>
      </c>
      <c r="D139" t="s">
        <v>115</v>
      </c>
      <c r="E139">
        <v>64</v>
      </c>
      <c r="F139" t="s">
        <v>116</v>
      </c>
      <c r="G139" s="2">
        <v>9000</v>
      </c>
      <c r="H139" s="2">
        <v>70470</v>
      </c>
      <c r="I139" s="3">
        <f>INDEX('汇率表'!$A:$XFD,MATCH(F139,'汇率表'!$A:$A,0),MATCH(L139,'汇率表'!$1:$1,0))</f>
        <v>7.9425</v>
      </c>
      <c r="J139" s="2">
        <f>G139*I139</f>
        <v>71482.5</v>
      </c>
      <c r="L139" t="s">
        <v>56</v>
      </c>
      <c r="M139" t="s">
        <v>18</v>
      </c>
    </row>
    <row r="140" spans="1:13">
      <c r="A140" t="s">
        <v>17</v>
      </c>
      <c r="B140" t="s">
        <v>62</v>
      </c>
      <c r="C140" t="s">
        <v>70</v>
      </c>
      <c r="D140" t="s">
        <v>108</v>
      </c>
      <c r="E140">
        <v>71</v>
      </c>
      <c r="F140" t="s">
        <v>109</v>
      </c>
      <c r="G140" s="2">
        <v>-5000</v>
      </c>
      <c r="H140" s="2">
        <v>-39150</v>
      </c>
      <c r="I140" s="3">
        <f>INDEX('汇率表'!$A:$XFD,MATCH(F140,'汇率表'!$A:$A,0),MATCH(L140,'汇率表'!$1:$1,0))</f>
        <v>7.9675</v>
      </c>
      <c r="J140" s="2">
        <f>G140*I140</f>
        <v>-39837.5</v>
      </c>
      <c r="L140" t="s">
        <v>56</v>
      </c>
      <c r="M140" t="s">
        <v>18</v>
      </c>
    </row>
    <row r="141" spans="1:13">
      <c r="A141" t="s">
        <v>17</v>
      </c>
      <c r="B141" t="s">
        <v>62</v>
      </c>
      <c r="C141" t="s">
        <v>70</v>
      </c>
      <c r="D141" t="s">
        <v>110</v>
      </c>
      <c r="E141">
        <v>73</v>
      </c>
      <c r="F141" t="s">
        <v>109</v>
      </c>
      <c r="G141" s="2">
        <v>-5000</v>
      </c>
      <c r="H141" s="2">
        <v>-4550</v>
      </c>
      <c r="I141" s="3">
        <f>INDEX('汇率表'!$A:$XFD,MATCH(F141,'汇率表'!$A:$A,0),MATCH(L141,'汇率表'!$1:$1,0))</f>
        <v>0.8791500000000001</v>
      </c>
      <c r="J141" s="2">
        <f>G141*I141</f>
        <v>-4395.750000000001</v>
      </c>
      <c r="L141" t="s">
        <v>58</v>
      </c>
      <c r="M141" t="s">
        <v>18</v>
      </c>
    </row>
    <row r="142" spans="1:13">
      <c r="A142" t="s">
        <v>17</v>
      </c>
      <c r="B142" t="s">
        <v>62</v>
      </c>
      <c r="C142" t="s">
        <v>70</v>
      </c>
      <c r="D142" t="s">
        <v>117</v>
      </c>
      <c r="E142">
        <v>66</v>
      </c>
      <c r="F142" t="s">
        <v>116</v>
      </c>
      <c r="G142" s="2">
        <v>35000</v>
      </c>
      <c r="H142" s="2">
        <v>249200</v>
      </c>
      <c r="I142" s="3">
        <f>INDEX('汇率表'!$A:$XFD,MATCH(F142,'汇率表'!$A:$A,0),MATCH(L142,'汇率表'!$1:$1,0))</f>
        <v>6.8909</v>
      </c>
      <c r="J142" s="2">
        <f>G142*I142</f>
        <v>241181.5</v>
      </c>
      <c r="L142" t="s">
        <v>20</v>
      </c>
      <c r="M142" t="s">
        <v>18</v>
      </c>
    </row>
    <row r="143" spans="1:13">
      <c r="A143" t="s">
        <v>17</v>
      </c>
      <c r="B143" t="s">
        <v>62</v>
      </c>
      <c r="C143" t="s">
        <v>70</v>
      </c>
      <c r="D143" t="s">
        <v>118</v>
      </c>
      <c r="E143">
        <v>75</v>
      </c>
      <c r="F143" t="s">
        <v>119</v>
      </c>
      <c r="G143" s="2">
        <v>-50000</v>
      </c>
      <c r="H143" s="2">
        <v>-356000</v>
      </c>
      <c r="I143" s="3">
        <f>INDEX('汇率表'!$A:$XFD,MATCH(F143,'汇率表'!$A:$A,0),MATCH(L143,'汇率表'!$1:$1,0))</f>
        <v>6.8898</v>
      </c>
      <c r="J143" s="2">
        <f>G143*I143</f>
        <v>-344490</v>
      </c>
      <c r="L143" t="s">
        <v>20</v>
      </c>
      <c r="M143" t="s">
        <v>18</v>
      </c>
    </row>
    <row r="144" spans="1:13">
      <c r="A144" t="s">
        <v>17</v>
      </c>
      <c r="B144" t="s">
        <v>63</v>
      </c>
      <c r="C144" t="s">
        <v>70</v>
      </c>
      <c r="D144" t="s">
        <v>118</v>
      </c>
      <c r="E144">
        <v>74</v>
      </c>
      <c r="F144" t="s">
        <v>119</v>
      </c>
      <c r="G144" s="2">
        <v>50000</v>
      </c>
      <c r="H144" s="2">
        <v>356000</v>
      </c>
      <c r="I144" s="3">
        <f>INDEX('汇率表'!$A:$XFD,MATCH(F144,'汇率表'!$A:$A,0),MATCH(L144,'汇率表'!$1:$1,0))</f>
        <v>6.8898</v>
      </c>
      <c r="J144" s="2">
        <f>G144*I144</f>
        <v>344490</v>
      </c>
      <c r="L144" t="s">
        <v>20</v>
      </c>
      <c r="M144" t="s">
        <v>18</v>
      </c>
    </row>
    <row r="145" spans="1:13">
      <c r="A145" t="s">
        <v>19</v>
      </c>
      <c r="B145" t="s">
        <v>66</v>
      </c>
      <c r="C145" t="s">
        <v>70</v>
      </c>
      <c r="D145" t="s">
        <v>120</v>
      </c>
      <c r="E145">
        <v>217</v>
      </c>
      <c r="F145" t="s">
        <v>109</v>
      </c>
      <c r="G145" s="2">
        <v>1200</v>
      </c>
      <c r="H145" s="2">
        <v>1320</v>
      </c>
      <c r="I145" s="3">
        <f>INDEX('汇率表'!$A:$XFD,MATCH(F145,'汇率表'!$A:$A,0),MATCH(L145,'汇率表'!$1:$1,0))/INDEX('汇率表'!$A:$XFD,MATCH(F145,'汇率表'!$A:$A,0),MATCH(M145,'汇率表'!$1:$1,0))</f>
        <v>1.1564196348224913</v>
      </c>
      <c r="J145" s="2">
        <f>G145*I145</f>
        <v>1387.7035617869897</v>
      </c>
      <c r="L145" t="s">
        <v>56</v>
      </c>
      <c r="M145" t="s">
        <v>20</v>
      </c>
    </row>
    <row r="146" spans="1:13">
      <c r="A146" t="s">
        <v>19</v>
      </c>
      <c r="B146" t="s">
        <v>67</v>
      </c>
      <c r="C146" t="s">
        <v>70</v>
      </c>
      <c r="D146" t="s">
        <v>121</v>
      </c>
      <c r="E146">
        <v>209</v>
      </c>
      <c r="F146" t="s">
        <v>114</v>
      </c>
      <c r="G146" s="2">
        <v>3600</v>
      </c>
      <c r="H146" s="2">
        <v>3960</v>
      </c>
      <c r="I146" s="3">
        <f>INDEX('汇率表'!$A:$XFD,MATCH(F146,'汇率表'!$A:$A,0),MATCH(L146,'汇率表'!$1:$1,0))/INDEX('汇率表'!$A:$XFD,MATCH(F146,'汇率表'!$A:$A,0),MATCH(M146,'汇率表'!$1:$1,0))</f>
        <v>1.1625931402394827</v>
      </c>
      <c r="J146" s="2">
        <f>G146*I146</f>
        <v>4185.3353048621375</v>
      </c>
      <c r="L146" t="s">
        <v>56</v>
      </c>
      <c r="M146" t="s">
        <v>20</v>
      </c>
    </row>
    <row r="147" spans="1:13">
      <c r="A147" t="s">
        <v>19</v>
      </c>
      <c r="B147" t="s">
        <v>68</v>
      </c>
      <c r="C147" t="s">
        <v>70</v>
      </c>
      <c r="D147" t="s">
        <v>120</v>
      </c>
      <c r="E147">
        <v>218</v>
      </c>
      <c r="F147" t="s">
        <v>109</v>
      </c>
      <c r="G147" s="2">
        <v>-1200</v>
      </c>
      <c r="H147" s="2">
        <v>-1320</v>
      </c>
      <c r="I147" s="3">
        <f>INDEX('汇率表'!$A:$XFD,MATCH(F147,'汇率表'!$A:$A,0),MATCH(L147,'汇率表'!$1:$1,0))/INDEX('汇率表'!$A:$XFD,MATCH(F147,'汇率表'!$A:$A,0),MATCH(M147,'汇率表'!$1:$1,0))</f>
        <v>1.1564196348224913</v>
      </c>
      <c r="J147" s="2">
        <f>G147*I147</f>
        <v>-1387.7035617869897</v>
      </c>
      <c r="L147" t="s">
        <v>56</v>
      </c>
      <c r="M147" t="s">
        <v>20</v>
      </c>
    </row>
    <row r="148" spans="1:13">
      <c r="A148" t="s">
        <v>17</v>
      </c>
      <c r="B148" t="s">
        <v>54</v>
      </c>
      <c r="C148" t="s">
        <v>71</v>
      </c>
      <c r="D148" t="s">
        <v>122</v>
      </c>
      <c r="E148">
        <v>97</v>
      </c>
      <c r="F148" t="s">
        <v>123</v>
      </c>
      <c r="G148" s="2">
        <v>5000</v>
      </c>
      <c r="H148" s="2">
        <v>39150</v>
      </c>
      <c r="I148" s="3">
        <f>INDEX('汇率表'!$A:$XFD,MATCH(F148,'汇率表'!$A:$A,0),MATCH(L148,'汇率表'!$1:$1,0))</f>
        <v>8.0402</v>
      </c>
      <c r="J148" s="2">
        <f>G148*I148</f>
        <v>40201</v>
      </c>
      <c r="L148" t="s">
        <v>56</v>
      </c>
      <c r="M148" t="s">
        <v>18</v>
      </c>
    </row>
    <row r="149" spans="1:13">
      <c r="A149" t="s">
        <v>17</v>
      </c>
      <c r="B149" t="s">
        <v>54</v>
      </c>
      <c r="C149" t="s">
        <v>71</v>
      </c>
      <c r="D149" t="s">
        <v>124</v>
      </c>
      <c r="E149">
        <v>99</v>
      </c>
      <c r="F149" t="s">
        <v>123</v>
      </c>
      <c r="G149" s="2">
        <v>5000</v>
      </c>
      <c r="H149" s="2">
        <v>4550</v>
      </c>
      <c r="I149" s="3">
        <f>INDEX('汇率表'!$A:$XFD,MATCH(F149,'汇率表'!$A:$A,0),MATCH(L149,'汇率表'!$1:$1,0))</f>
        <v>0.87663</v>
      </c>
      <c r="J149" s="2">
        <f>G149*I149</f>
        <v>4383.150000000001</v>
      </c>
      <c r="L149" t="s">
        <v>58</v>
      </c>
      <c r="M149" t="s">
        <v>18</v>
      </c>
    </row>
    <row r="150" spans="1:13">
      <c r="A150" t="s">
        <v>17</v>
      </c>
      <c r="B150" t="s">
        <v>54</v>
      </c>
      <c r="C150" t="s">
        <v>71</v>
      </c>
      <c r="D150" t="s">
        <v>125</v>
      </c>
      <c r="E150">
        <v>90</v>
      </c>
      <c r="F150" t="s">
        <v>126</v>
      </c>
      <c r="G150" s="2">
        <v>-1900000</v>
      </c>
      <c r="H150" s="2">
        <v>-91580</v>
      </c>
      <c r="I150" s="3">
        <f>INDEX('汇率表'!$A:$XFD,MATCH(F150,'汇率表'!$A:$A,0),MATCH(L150,'汇率表'!$1:$1,0))</f>
        <v>0.043031</v>
      </c>
      <c r="J150" s="2">
        <f>G150*I150</f>
        <v>-81758.9</v>
      </c>
      <c r="L150" t="s">
        <v>60</v>
      </c>
      <c r="M150" t="s">
        <v>18</v>
      </c>
    </row>
    <row r="151" spans="1:13">
      <c r="A151" t="s">
        <v>17</v>
      </c>
      <c r="B151" t="s">
        <v>61</v>
      </c>
      <c r="C151" t="s">
        <v>71</v>
      </c>
      <c r="D151" t="s">
        <v>127</v>
      </c>
      <c r="E151">
        <v>86</v>
      </c>
      <c r="F151" t="s">
        <v>128</v>
      </c>
      <c r="G151" s="2">
        <v>15200</v>
      </c>
      <c r="H151" s="2">
        <v>119016</v>
      </c>
      <c r="I151" s="3">
        <f>INDEX('汇率表'!$A:$XFD,MATCH(F151,'汇率表'!$A:$A,0),MATCH(L151,'汇率表'!$1:$1,0))</f>
        <v>8.003</v>
      </c>
      <c r="J151" s="2">
        <f>G151*I151</f>
        <v>121645.6</v>
      </c>
      <c r="L151" t="s">
        <v>56</v>
      </c>
      <c r="M151" t="s">
        <v>18</v>
      </c>
    </row>
    <row r="152" spans="1:13">
      <c r="A152" t="s">
        <v>17</v>
      </c>
      <c r="B152" t="s">
        <v>61</v>
      </c>
      <c r="C152" t="s">
        <v>71</v>
      </c>
      <c r="D152" t="s">
        <v>129</v>
      </c>
      <c r="E152">
        <v>92</v>
      </c>
      <c r="F152" t="s">
        <v>130</v>
      </c>
      <c r="G152" s="2">
        <v>-9000</v>
      </c>
      <c r="H152" s="2">
        <v>-70470</v>
      </c>
      <c r="I152" s="3">
        <f>INDEX('汇率表'!$A:$XFD,MATCH(F152,'汇率表'!$A:$A,0),MATCH(L152,'汇率表'!$1:$1,0))</f>
        <v>8.0618</v>
      </c>
      <c r="J152" s="2">
        <f>G152*I152</f>
        <v>-72556.2</v>
      </c>
      <c r="L152" t="s">
        <v>56</v>
      </c>
      <c r="M152" t="s">
        <v>18</v>
      </c>
    </row>
    <row r="153" spans="1:13">
      <c r="A153" t="s">
        <v>17</v>
      </c>
      <c r="B153" t="s">
        <v>61</v>
      </c>
      <c r="C153" t="s">
        <v>71</v>
      </c>
      <c r="D153" t="s">
        <v>127</v>
      </c>
      <c r="E153">
        <v>85</v>
      </c>
      <c r="F153" t="s">
        <v>128</v>
      </c>
      <c r="G153" s="2">
        <v>46000</v>
      </c>
      <c r="H153" s="2">
        <v>327520</v>
      </c>
      <c r="I153" s="3">
        <f>INDEX('汇率表'!$A:$XFD,MATCH(F153,'汇率表'!$A:$A,0),MATCH(L153,'汇率表'!$1:$1,0))</f>
        <v>6.865399999999999</v>
      </c>
      <c r="J153" s="2">
        <f>G153*I153</f>
        <v>315808.39999999997</v>
      </c>
      <c r="L153" t="s">
        <v>20</v>
      </c>
      <c r="M153" t="s">
        <v>18</v>
      </c>
    </row>
    <row r="154" spans="1:13">
      <c r="A154" t="s">
        <v>17</v>
      </c>
      <c r="B154" t="s">
        <v>61</v>
      </c>
      <c r="C154" t="s">
        <v>71</v>
      </c>
      <c r="D154" t="s">
        <v>131</v>
      </c>
      <c r="E154">
        <v>94</v>
      </c>
      <c r="F154" t="s">
        <v>130</v>
      </c>
      <c r="G154" s="2">
        <v>-35000</v>
      </c>
      <c r="H154" s="2">
        <v>-249200</v>
      </c>
      <c r="I154" s="3">
        <f>INDEX('汇率表'!$A:$XFD,MATCH(F154,'汇率表'!$A:$A,0),MATCH(L154,'汇率表'!$1:$1,0))</f>
        <v>6.8622000000000005</v>
      </c>
      <c r="J154" s="2">
        <f>G154*I154</f>
        <v>-240177.00000000003</v>
      </c>
      <c r="L154" t="s">
        <v>20</v>
      </c>
      <c r="M154" t="s">
        <v>18</v>
      </c>
    </row>
    <row r="155" spans="1:13">
      <c r="A155" t="s">
        <v>17</v>
      </c>
      <c r="B155" t="s">
        <v>62</v>
      </c>
      <c r="C155" t="s">
        <v>71</v>
      </c>
      <c r="D155" t="s">
        <v>129</v>
      </c>
      <c r="E155">
        <v>91</v>
      </c>
      <c r="F155" t="s">
        <v>130</v>
      </c>
      <c r="G155" s="2">
        <v>9000</v>
      </c>
      <c r="H155" s="2">
        <v>70470</v>
      </c>
      <c r="I155" s="3">
        <f>INDEX('汇率表'!$A:$XFD,MATCH(F155,'汇率表'!$A:$A,0),MATCH(L155,'汇率表'!$1:$1,0))</f>
        <v>8.0618</v>
      </c>
      <c r="J155" s="2">
        <f>G155*I155</f>
        <v>72556.2</v>
      </c>
      <c r="L155" t="s">
        <v>56</v>
      </c>
      <c r="M155" t="s">
        <v>18</v>
      </c>
    </row>
    <row r="156" spans="1:13">
      <c r="A156" t="s">
        <v>17</v>
      </c>
      <c r="B156" t="s">
        <v>62</v>
      </c>
      <c r="C156" t="s">
        <v>71</v>
      </c>
      <c r="D156" t="s">
        <v>122</v>
      </c>
      <c r="E156">
        <v>98</v>
      </c>
      <c r="F156" t="s">
        <v>123</v>
      </c>
      <c r="G156" s="2">
        <v>-5000</v>
      </c>
      <c r="H156" s="2">
        <v>-39150</v>
      </c>
      <c r="I156" s="3">
        <f>INDEX('汇率表'!$A:$XFD,MATCH(F156,'汇率表'!$A:$A,0),MATCH(L156,'汇率表'!$1:$1,0))</f>
        <v>8.0402</v>
      </c>
      <c r="J156" s="2">
        <f>G156*I156</f>
        <v>-40201</v>
      </c>
      <c r="L156" t="s">
        <v>56</v>
      </c>
      <c r="M156" t="s">
        <v>18</v>
      </c>
    </row>
    <row r="157" spans="1:13">
      <c r="A157" t="s">
        <v>17</v>
      </c>
      <c r="B157" t="s">
        <v>62</v>
      </c>
      <c r="C157" t="s">
        <v>71</v>
      </c>
      <c r="D157" t="s">
        <v>124</v>
      </c>
      <c r="E157">
        <v>100</v>
      </c>
      <c r="F157" t="s">
        <v>123</v>
      </c>
      <c r="G157" s="2">
        <v>-5000</v>
      </c>
      <c r="H157" s="2">
        <v>-4550</v>
      </c>
      <c r="I157" s="3">
        <f>INDEX('汇率表'!$A:$XFD,MATCH(F157,'汇率表'!$A:$A,0),MATCH(L157,'汇率表'!$1:$1,0))</f>
        <v>0.87663</v>
      </c>
      <c r="J157" s="2">
        <f>G157*I157</f>
        <v>-4383.150000000001</v>
      </c>
      <c r="L157" t="s">
        <v>58</v>
      </c>
      <c r="M157" t="s">
        <v>18</v>
      </c>
    </row>
    <row r="158" spans="1:13">
      <c r="A158" t="s">
        <v>17</v>
      </c>
      <c r="B158" t="s">
        <v>62</v>
      </c>
      <c r="C158" t="s">
        <v>71</v>
      </c>
      <c r="D158" t="s">
        <v>131</v>
      </c>
      <c r="E158">
        <v>93</v>
      </c>
      <c r="F158" t="s">
        <v>130</v>
      </c>
      <c r="G158" s="2">
        <v>35000</v>
      </c>
      <c r="H158" s="2">
        <v>249200</v>
      </c>
      <c r="I158" s="3">
        <f>INDEX('汇率表'!$A:$XFD,MATCH(F158,'汇率表'!$A:$A,0),MATCH(L158,'汇率表'!$1:$1,0))</f>
        <v>6.8622000000000005</v>
      </c>
      <c r="J158" s="2">
        <f>G158*I158</f>
        <v>240177.00000000003</v>
      </c>
      <c r="L158" t="s">
        <v>20</v>
      </c>
      <c r="M158" t="s">
        <v>18</v>
      </c>
    </row>
    <row r="159" spans="1:13">
      <c r="A159" t="s">
        <v>19</v>
      </c>
      <c r="B159" t="s">
        <v>66</v>
      </c>
      <c r="C159" t="s">
        <v>71</v>
      </c>
      <c r="D159" t="s">
        <v>132</v>
      </c>
      <c r="E159">
        <v>234</v>
      </c>
      <c r="F159" t="s">
        <v>123</v>
      </c>
      <c r="G159" s="2">
        <v>1200</v>
      </c>
      <c r="H159" s="2">
        <v>1320</v>
      </c>
      <c r="I159" s="3">
        <f>INDEX('汇率表'!$A:$XFD,MATCH(F159,'汇率表'!$A:$A,0),MATCH(L159,'汇率表'!$1:$1,0))/INDEX('汇率表'!$A:$XFD,MATCH(F159,'汇率表'!$A:$A,0),MATCH(M159,'汇率表'!$1:$1,0))</f>
        <v>1.1712213028784526</v>
      </c>
      <c r="J159" s="2">
        <f>G159*I159</f>
        <v>1405.4655634541432</v>
      </c>
      <c r="L159" t="s">
        <v>56</v>
      </c>
      <c r="M159" t="s">
        <v>20</v>
      </c>
    </row>
    <row r="160" spans="1:13">
      <c r="A160" t="s">
        <v>19</v>
      </c>
      <c r="B160" t="s">
        <v>67</v>
      </c>
      <c r="C160" t="s">
        <v>71</v>
      </c>
      <c r="D160" t="s">
        <v>133</v>
      </c>
      <c r="E160">
        <v>226</v>
      </c>
      <c r="F160" t="s">
        <v>128</v>
      </c>
      <c r="G160" s="2">
        <v>3800</v>
      </c>
      <c r="H160" s="2">
        <v>4180</v>
      </c>
      <c r="I160" s="3">
        <f>INDEX('汇率表'!$A:$XFD,MATCH(F160,'汇率表'!$A:$A,0),MATCH(L160,'汇率表'!$1:$1,0))/INDEX('汇率表'!$A:$XFD,MATCH(F160,'汇率表'!$A:$A,0),MATCH(M160,'汇率表'!$1:$1,0))</f>
        <v>1.165700469018557</v>
      </c>
      <c r="J160" s="2">
        <f>G160*I160</f>
        <v>4429.661782270517</v>
      </c>
      <c r="L160" t="s">
        <v>56</v>
      </c>
      <c r="M160" t="s">
        <v>20</v>
      </c>
    </row>
    <row r="161" spans="1:13">
      <c r="A161" t="s">
        <v>19</v>
      </c>
      <c r="B161" t="s">
        <v>68</v>
      </c>
      <c r="C161" t="s">
        <v>71</v>
      </c>
      <c r="D161" t="s">
        <v>132</v>
      </c>
      <c r="E161">
        <v>235</v>
      </c>
      <c r="F161" t="s">
        <v>123</v>
      </c>
      <c r="G161" s="2">
        <v>-1200</v>
      </c>
      <c r="H161" s="2">
        <v>-1320</v>
      </c>
      <c r="I161" s="3">
        <f>INDEX('汇率表'!$A:$XFD,MATCH(F161,'汇率表'!$A:$A,0),MATCH(L161,'汇率表'!$1:$1,0))/INDEX('汇率表'!$A:$XFD,MATCH(F161,'汇率表'!$A:$A,0),MATCH(M161,'汇率表'!$1:$1,0))</f>
        <v>1.1712213028784526</v>
      </c>
      <c r="J161" s="2">
        <f>G161*I161</f>
        <v>-1405.4655634541432</v>
      </c>
      <c r="L161" t="s">
        <v>56</v>
      </c>
      <c r="M161" t="s">
        <v>20</v>
      </c>
    </row>
    <row r="162" spans="1:13">
      <c r="A162" t="s">
        <v>17</v>
      </c>
      <c r="B162" t="s">
        <v>54</v>
      </c>
      <c r="C162" t="s">
        <v>72</v>
      </c>
      <c r="D162" t="s">
        <v>134</v>
      </c>
      <c r="E162">
        <v>122</v>
      </c>
      <c r="F162" t="s">
        <v>135</v>
      </c>
      <c r="G162" s="2">
        <v>5000</v>
      </c>
      <c r="H162" s="2">
        <v>39150</v>
      </c>
      <c r="I162" s="3">
        <f>INDEX('汇率表'!$A:$XFD,MATCH(F162,'汇率表'!$A:$A,0),MATCH(L162,'汇率表'!$1:$1,0))</f>
        <v>7.9207</v>
      </c>
      <c r="J162" s="2">
        <f>G162*I162</f>
        <v>39603.5</v>
      </c>
      <c r="L162" t="s">
        <v>56</v>
      </c>
      <c r="M162" t="s">
        <v>18</v>
      </c>
    </row>
    <row r="163" spans="1:13">
      <c r="A163" t="s">
        <v>17</v>
      </c>
      <c r="B163" t="s">
        <v>54</v>
      </c>
      <c r="C163" t="s">
        <v>72</v>
      </c>
      <c r="D163" t="s">
        <v>136</v>
      </c>
      <c r="E163">
        <v>124</v>
      </c>
      <c r="F163" t="s">
        <v>135</v>
      </c>
      <c r="G163" s="2">
        <v>5000</v>
      </c>
      <c r="H163" s="2">
        <v>4550</v>
      </c>
      <c r="I163" s="3">
        <f>INDEX('汇率表'!$A:$XFD,MATCH(F163,'汇率表'!$A:$A,0),MATCH(L163,'汇率表'!$1:$1,0))</f>
        <v>0.87306</v>
      </c>
      <c r="J163" s="2">
        <f>G163*I163</f>
        <v>4365.3</v>
      </c>
      <c r="L163" t="s">
        <v>58</v>
      </c>
      <c r="M163" t="s">
        <v>18</v>
      </c>
    </row>
    <row r="164" spans="1:13">
      <c r="A164" t="s">
        <v>17</v>
      </c>
      <c r="B164" t="s">
        <v>54</v>
      </c>
      <c r="C164" t="s">
        <v>72</v>
      </c>
      <c r="D164" t="s">
        <v>137</v>
      </c>
      <c r="E164">
        <v>115</v>
      </c>
      <c r="F164" t="s">
        <v>138</v>
      </c>
      <c r="G164" s="2">
        <v>-2000000</v>
      </c>
      <c r="H164" s="2">
        <v>-96400</v>
      </c>
      <c r="I164" s="3">
        <f>INDEX('汇率表'!$A:$XFD,MATCH(F164,'汇率表'!$A:$A,0),MATCH(L164,'汇率表'!$1:$1,0))</f>
        <v>0.043126</v>
      </c>
      <c r="J164" s="2">
        <f>G164*I164</f>
        <v>-86252</v>
      </c>
      <c r="L164" t="s">
        <v>60</v>
      </c>
      <c r="M164" t="s">
        <v>18</v>
      </c>
    </row>
    <row r="165" spans="1:13">
      <c r="A165" t="s">
        <v>17</v>
      </c>
      <c r="B165" t="s">
        <v>61</v>
      </c>
      <c r="C165" t="s">
        <v>72</v>
      </c>
      <c r="D165" t="s">
        <v>139</v>
      </c>
      <c r="E165">
        <v>111</v>
      </c>
      <c r="F165" t="s">
        <v>140</v>
      </c>
      <c r="G165" s="2">
        <v>16000</v>
      </c>
      <c r="H165" s="2">
        <v>125280</v>
      </c>
      <c r="I165" s="3">
        <f>INDEX('汇率表'!$A:$XFD,MATCH(F165,'汇率表'!$A:$A,0),MATCH(L165,'汇率表'!$1:$1,0))</f>
        <v>8.0139</v>
      </c>
      <c r="J165" s="2">
        <f>G165*I165</f>
        <v>128222.4</v>
      </c>
      <c r="L165" t="s">
        <v>56</v>
      </c>
      <c r="M165" t="s">
        <v>18</v>
      </c>
    </row>
    <row r="166" spans="1:13">
      <c r="A166" t="s">
        <v>17</v>
      </c>
      <c r="B166" t="s">
        <v>61</v>
      </c>
      <c r="C166" t="s">
        <v>72</v>
      </c>
      <c r="D166" t="s">
        <v>141</v>
      </c>
      <c r="E166">
        <v>117</v>
      </c>
      <c r="F166" t="s">
        <v>142</v>
      </c>
      <c r="G166" s="2">
        <v>-9000</v>
      </c>
      <c r="H166" s="2">
        <v>-70470</v>
      </c>
      <c r="I166" s="3">
        <f>INDEX('汇率表'!$A:$XFD,MATCH(F166,'汇率表'!$A:$A,0),MATCH(L166,'汇率表'!$1:$1,0))</f>
        <v>7.929500000000001</v>
      </c>
      <c r="J166" s="2">
        <f>G166*I166</f>
        <v>-71365.50000000001</v>
      </c>
      <c r="L166" t="s">
        <v>56</v>
      </c>
      <c r="M166" t="s">
        <v>18</v>
      </c>
    </row>
    <row r="167" spans="1:13">
      <c r="A167" t="s">
        <v>17</v>
      </c>
      <c r="B167" t="s">
        <v>61</v>
      </c>
      <c r="C167" t="s">
        <v>72</v>
      </c>
      <c r="D167" t="s">
        <v>139</v>
      </c>
      <c r="E167">
        <v>110</v>
      </c>
      <c r="F167" t="s">
        <v>140</v>
      </c>
      <c r="G167" s="2">
        <v>47500</v>
      </c>
      <c r="H167" s="2">
        <v>338200</v>
      </c>
      <c r="I167" s="3">
        <f>INDEX('汇率表'!$A:$XFD,MATCH(F167,'汇率表'!$A:$A,0),MATCH(L167,'汇率表'!$1:$1,0))</f>
        <v>6.8502</v>
      </c>
      <c r="J167" s="2">
        <f>G167*I167</f>
        <v>325384.5</v>
      </c>
      <c r="L167" t="s">
        <v>20</v>
      </c>
      <c r="M167" t="s">
        <v>18</v>
      </c>
    </row>
    <row r="168" spans="1:13">
      <c r="A168" t="s">
        <v>17</v>
      </c>
      <c r="B168" t="s">
        <v>61</v>
      </c>
      <c r="C168" t="s">
        <v>72</v>
      </c>
      <c r="D168" t="s">
        <v>143</v>
      </c>
      <c r="E168">
        <v>119</v>
      </c>
      <c r="F168" t="s">
        <v>142</v>
      </c>
      <c r="G168" s="2">
        <v>-35000</v>
      </c>
      <c r="H168" s="2">
        <v>-249200</v>
      </c>
      <c r="I168" s="3">
        <f>INDEX('汇率表'!$A:$XFD,MATCH(F168,'汇率表'!$A:$A,0),MATCH(L168,'汇率表'!$1:$1,0))</f>
        <v>6.843500000000001</v>
      </c>
      <c r="J168" s="2">
        <f>G168*I168</f>
        <v>-239522.50000000003</v>
      </c>
      <c r="L168" t="s">
        <v>20</v>
      </c>
      <c r="M168" t="s">
        <v>18</v>
      </c>
    </row>
    <row r="169" spans="1:13">
      <c r="A169" t="s">
        <v>17</v>
      </c>
      <c r="B169" t="s">
        <v>62</v>
      </c>
      <c r="C169" t="s">
        <v>72</v>
      </c>
      <c r="D169" t="s">
        <v>141</v>
      </c>
      <c r="E169">
        <v>116</v>
      </c>
      <c r="F169" t="s">
        <v>142</v>
      </c>
      <c r="G169" s="2">
        <v>9000</v>
      </c>
      <c r="H169" s="2">
        <v>70470</v>
      </c>
      <c r="I169" s="3">
        <f>INDEX('汇率表'!$A:$XFD,MATCH(F169,'汇率表'!$A:$A,0),MATCH(L169,'汇率表'!$1:$1,0))</f>
        <v>7.929500000000001</v>
      </c>
      <c r="J169" s="2">
        <f>G169*I169</f>
        <v>71365.50000000001</v>
      </c>
      <c r="L169" t="s">
        <v>56</v>
      </c>
      <c r="M169" t="s">
        <v>18</v>
      </c>
    </row>
    <row r="170" spans="1:13">
      <c r="A170" t="s">
        <v>17</v>
      </c>
      <c r="B170" t="s">
        <v>62</v>
      </c>
      <c r="C170" t="s">
        <v>72</v>
      </c>
      <c r="D170" t="s">
        <v>134</v>
      </c>
      <c r="E170">
        <v>123</v>
      </c>
      <c r="F170" t="s">
        <v>135</v>
      </c>
      <c r="G170" s="2">
        <v>-5000</v>
      </c>
      <c r="H170" s="2">
        <v>-39150</v>
      </c>
      <c r="I170" s="3">
        <f>INDEX('汇率表'!$A:$XFD,MATCH(F170,'汇率表'!$A:$A,0),MATCH(L170,'汇率表'!$1:$1,0))</f>
        <v>7.9207</v>
      </c>
      <c r="J170" s="2">
        <f>G170*I170</f>
        <v>-39603.5</v>
      </c>
      <c r="L170" t="s">
        <v>56</v>
      </c>
      <c r="M170" t="s">
        <v>18</v>
      </c>
    </row>
    <row r="171" spans="1:13">
      <c r="A171" t="s">
        <v>17</v>
      </c>
      <c r="B171" t="s">
        <v>62</v>
      </c>
      <c r="C171" t="s">
        <v>72</v>
      </c>
      <c r="D171" t="s">
        <v>136</v>
      </c>
      <c r="E171">
        <v>125</v>
      </c>
      <c r="F171" t="s">
        <v>135</v>
      </c>
      <c r="G171" s="2">
        <v>-5000</v>
      </c>
      <c r="H171" s="2">
        <v>-4550</v>
      </c>
      <c r="I171" s="3">
        <f>INDEX('汇率表'!$A:$XFD,MATCH(F171,'汇率表'!$A:$A,0),MATCH(L171,'汇率表'!$1:$1,0))</f>
        <v>0.87306</v>
      </c>
      <c r="J171" s="2">
        <f>G171*I171</f>
        <v>-4365.3</v>
      </c>
      <c r="L171" t="s">
        <v>58</v>
      </c>
      <c r="M171" t="s">
        <v>18</v>
      </c>
    </row>
    <row r="172" spans="1:13">
      <c r="A172" t="s">
        <v>17</v>
      </c>
      <c r="B172" t="s">
        <v>62</v>
      </c>
      <c r="C172" t="s">
        <v>72</v>
      </c>
      <c r="D172" t="s">
        <v>143</v>
      </c>
      <c r="E172">
        <v>118</v>
      </c>
      <c r="F172" t="s">
        <v>142</v>
      </c>
      <c r="G172" s="2">
        <v>35000</v>
      </c>
      <c r="H172" s="2">
        <v>249200</v>
      </c>
      <c r="I172" s="3">
        <f>INDEX('汇率表'!$A:$XFD,MATCH(F172,'汇率表'!$A:$A,0),MATCH(L172,'汇率表'!$1:$1,0))</f>
        <v>6.843500000000001</v>
      </c>
      <c r="J172" s="2">
        <f>G172*I172</f>
        <v>239522.50000000003</v>
      </c>
      <c r="L172" t="s">
        <v>20</v>
      </c>
      <c r="M172" t="s">
        <v>18</v>
      </c>
    </row>
    <row r="173" spans="1:13">
      <c r="A173" t="s">
        <v>19</v>
      </c>
      <c r="B173" t="s">
        <v>66</v>
      </c>
      <c r="C173" t="s">
        <v>72</v>
      </c>
      <c r="D173" t="s">
        <v>144</v>
      </c>
      <c r="E173">
        <v>251</v>
      </c>
      <c r="F173" t="s">
        <v>135</v>
      </c>
      <c r="G173" s="2">
        <v>1200</v>
      </c>
      <c r="H173" s="2">
        <v>1320</v>
      </c>
      <c r="I173" s="3">
        <f>INDEX('汇率表'!$A:$XFD,MATCH(F173,'汇率表'!$A:$A,0),MATCH(L173,'汇率表'!$1:$1,0))/INDEX('汇率表'!$A:$XFD,MATCH(F173,'汇率表'!$A:$A,0),MATCH(M173,'汇率表'!$1:$1,0))</f>
        <v>1.158047867596532</v>
      </c>
      <c r="J173" s="2">
        <f>G173*I173</f>
        <v>1389.6574411158383</v>
      </c>
      <c r="L173" t="s">
        <v>56</v>
      </c>
      <c r="M173" t="s">
        <v>20</v>
      </c>
    </row>
    <row r="174" spans="1:13">
      <c r="A174" t="s">
        <v>19</v>
      </c>
      <c r="B174" t="s">
        <v>67</v>
      </c>
      <c r="C174" t="s">
        <v>72</v>
      </c>
      <c r="D174" t="s">
        <v>145</v>
      </c>
      <c r="E174">
        <v>243</v>
      </c>
      <c r="F174" t="s">
        <v>140</v>
      </c>
      <c r="G174" s="2">
        <v>4000</v>
      </c>
      <c r="H174" s="2">
        <v>4400</v>
      </c>
      <c r="I174" s="3">
        <f>INDEX('汇率表'!$A:$XFD,MATCH(F174,'汇率表'!$A:$A,0),MATCH(L174,'汇率表'!$1:$1,0))/INDEX('汇率表'!$A:$XFD,MATCH(F174,'汇率表'!$A:$A,0),MATCH(M174,'汇率表'!$1:$1,0))</f>
        <v>1.1698782517298765</v>
      </c>
      <c r="J174" s="2">
        <f>G174*I174</f>
        <v>4679.513006919506</v>
      </c>
      <c r="L174" t="s">
        <v>56</v>
      </c>
      <c r="M174" t="s">
        <v>20</v>
      </c>
    </row>
    <row r="175" spans="1:13">
      <c r="A175" t="s">
        <v>19</v>
      </c>
      <c r="B175" t="s">
        <v>68</v>
      </c>
      <c r="C175" t="s">
        <v>72</v>
      </c>
      <c r="D175" t="s">
        <v>144</v>
      </c>
      <c r="E175">
        <v>252</v>
      </c>
      <c r="F175" t="s">
        <v>135</v>
      </c>
      <c r="G175" s="2">
        <v>-1200</v>
      </c>
      <c r="H175" s="2">
        <v>-1320</v>
      </c>
      <c r="I175" s="3">
        <f>INDEX('汇率表'!$A:$XFD,MATCH(F175,'汇率表'!$A:$A,0),MATCH(L175,'汇率表'!$1:$1,0))/INDEX('汇率表'!$A:$XFD,MATCH(F175,'汇率表'!$A:$A,0),MATCH(M175,'汇率表'!$1:$1,0))</f>
        <v>1.158047867596532</v>
      </c>
      <c r="J175" s="2">
        <f>G175*I175</f>
        <v>-1389.6574411158383</v>
      </c>
      <c r="L175" t="s">
        <v>56</v>
      </c>
      <c r="M175" t="s">
        <v>20</v>
      </c>
    </row>
    <row r="176" spans="1:13">
      <c r="A176" t="s">
        <v>17</v>
      </c>
      <c r="B176" t="s">
        <v>51</v>
      </c>
      <c r="C176" t="s">
        <v>30</v>
      </c>
      <c r="D176" t="s">
        <v>31</v>
      </c>
      <c r="E176">
        <v>166</v>
      </c>
      <c r="F176" t="s">
        <v>30</v>
      </c>
      <c r="G176" s="2">
        <v>41.78</v>
      </c>
      <c r="H176" s="2">
        <v>299.98</v>
      </c>
      <c r="I176" s="3">
        <f>INDEX('汇率表'!$A:$XFD,MATCH(F176,'汇率表'!$A:$A,0),MATCH(L176,'汇率表'!$1:$1,0))</f>
        <v>6.8109</v>
      </c>
      <c r="J176" s="2">
        <f>G176*I176</f>
        <v>284.55940200000003</v>
      </c>
      <c r="L176" t="s">
        <v>20</v>
      </c>
      <c r="M176" t="s">
        <v>18</v>
      </c>
    </row>
    <row r="177" spans="1:13">
      <c r="A177" t="s">
        <v>17</v>
      </c>
      <c r="B177" t="s">
        <v>54</v>
      </c>
      <c r="C177" t="s">
        <v>30</v>
      </c>
      <c r="D177" t="s">
        <v>146</v>
      </c>
      <c r="E177">
        <v>149</v>
      </c>
      <c r="F177" t="s">
        <v>147</v>
      </c>
      <c r="G177" s="2">
        <v>5000</v>
      </c>
      <c r="H177" s="2">
        <v>39150</v>
      </c>
      <c r="I177" s="3">
        <f>INDEX('汇率表'!$A:$XFD,MATCH(F177,'汇率表'!$A:$A,0),MATCH(L177,'汇率表'!$1:$1,0))</f>
        <v>7.8174</v>
      </c>
      <c r="J177" s="2">
        <f>G177*I177</f>
        <v>39087</v>
      </c>
      <c r="L177" t="s">
        <v>56</v>
      </c>
      <c r="M177" t="s">
        <v>18</v>
      </c>
    </row>
    <row r="178" spans="1:13">
      <c r="A178" t="s">
        <v>17</v>
      </c>
      <c r="B178" t="s">
        <v>54</v>
      </c>
      <c r="C178" t="s">
        <v>30</v>
      </c>
      <c r="D178" t="s">
        <v>31</v>
      </c>
      <c r="E178">
        <v>167</v>
      </c>
      <c r="F178" t="s">
        <v>30</v>
      </c>
      <c r="G178" s="2">
        <v>-708.86</v>
      </c>
      <c r="H178" s="2">
        <v>-5599.99</v>
      </c>
      <c r="I178" s="3">
        <f>INDEX('汇率表'!$A:$XFD,MATCH(F178,'汇率表'!$A:$A,0),MATCH(L178,'汇率表'!$1:$1,0))</f>
        <v>7.7671</v>
      </c>
      <c r="J178" s="2">
        <f>G178*I178</f>
        <v>-5505.786506</v>
      </c>
      <c r="L178" t="s">
        <v>56</v>
      </c>
      <c r="M178" t="s">
        <v>18</v>
      </c>
    </row>
    <row r="179" spans="1:13">
      <c r="A179" t="s">
        <v>17</v>
      </c>
      <c r="B179" t="s">
        <v>54</v>
      </c>
      <c r="C179" t="s">
        <v>30</v>
      </c>
      <c r="D179" t="s">
        <v>148</v>
      </c>
      <c r="E179">
        <v>151</v>
      </c>
      <c r="F179" t="s">
        <v>147</v>
      </c>
      <c r="G179" s="2">
        <v>5000</v>
      </c>
      <c r="H179" s="2">
        <v>4550</v>
      </c>
      <c r="I179" s="3">
        <f>INDEX('汇率表'!$A:$XFD,MATCH(F179,'汇率表'!$A:$A,0),MATCH(L179,'汇率表'!$1:$1,0))</f>
        <v>0.8694799999999999</v>
      </c>
      <c r="J179" s="2">
        <f>G179*I179</f>
        <v>4347.4</v>
      </c>
      <c r="L179" t="s">
        <v>58</v>
      </c>
      <c r="M179" t="s">
        <v>18</v>
      </c>
    </row>
    <row r="180" spans="1:13">
      <c r="A180" t="s">
        <v>17</v>
      </c>
      <c r="B180" t="s">
        <v>54</v>
      </c>
      <c r="C180" t="s">
        <v>30</v>
      </c>
      <c r="D180" t="s">
        <v>31</v>
      </c>
      <c r="E180">
        <v>168</v>
      </c>
      <c r="F180" t="s">
        <v>30</v>
      </c>
      <c r="G180" s="2">
        <v>-382.51</v>
      </c>
      <c r="H180" s="2">
        <v>-350</v>
      </c>
      <c r="I180" s="3">
        <f>INDEX('汇率表'!$A:$XFD,MATCH(F180,'汇率表'!$A:$A,0),MATCH(L180,'汇率表'!$1:$1,0))</f>
        <v>0.86855</v>
      </c>
      <c r="J180" s="2">
        <f>G180*I180</f>
        <v>-332.2290605</v>
      </c>
      <c r="L180" t="s">
        <v>58</v>
      </c>
      <c r="M180" t="s">
        <v>18</v>
      </c>
    </row>
    <row r="181" spans="1:13">
      <c r="A181" t="s">
        <v>17</v>
      </c>
      <c r="B181" t="s">
        <v>54</v>
      </c>
      <c r="C181" t="s">
        <v>30</v>
      </c>
      <c r="D181" t="s">
        <v>149</v>
      </c>
      <c r="E181">
        <v>142</v>
      </c>
      <c r="F181" t="s">
        <v>150</v>
      </c>
      <c r="G181" s="2">
        <v>-2100000</v>
      </c>
      <c r="H181" s="2">
        <v>-101220</v>
      </c>
      <c r="I181" s="3">
        <f>INDEX('汇率表'!$A:$XFD,MATCH(F181,'汇率表'!$A:$A,0),MATCH(L181,'汇率表'!$1:$1,0))</f>
        <v>0.042424</v>
      </c>
      <c r="J181" s="2">
        <f>G181*I181</f>
        <v>-89090.40000000001</v>
      </c>
      <c r="L181" t="s">
        <v>60</v>
      </c>
      <c r="M181" t="s">
        <v>18</v>
      </c>
    </row>
    <row r="182" spans="1:13">
      <c r="A182" t="s">
        <v>17</v>
      </c>
      <c r="B182" t="s">
        <v>54</v>
      </c>
      <c r="C182" t="s">
        <v>30</v>
      </c>
      <c r="D182" t="s">
        <v>31</v>
      </c>
      <c r="E182">
        <v>169</v>
      </c>
      <c r="F182" t="s">
        <v>30</v>
      </c>
      <c r="G182" s="2">
        <v>-291515.15</v>
      </c>
      <c r="H182" s="2">
        <v>-14430</v>
      </c>
      <c r="I182" s="3">
        <f>INDEX('汇率表'!$A:$XFD,MATCH(F182,'汇率表'!$A:$A,0),MATCH(L182,'汇率表'!$1:$1,0))</f>
        <v>0.042045000000000006</v>
      </c>
      <c r="J182" s="2">
        <f>G182*I182</f>
        <v>-12256.754481750002</v>
      </c>
      <c r="L182" t="s">
        <v>60</v>
      </c>
      <c r="M182" t="s">
        <v>18</v>
      </c>
    </row>
    <row r="183" spans="1:13">
      <c r="A183" t="s">
        <v>17</v>
      </c>
      <c r="B183" t="s">
        <v>54</v>
      </c>
      <c r="C183" t="s">
        <v>30</v>
      </c>
      <c r="D183" t="s">
        <v>31</v>
      </c>
      <c r="E183">
        <v>170</v>
      </c>
      <c r="F183" t="s">
        <v>30</v>
      </c>
      <c r="G183" s="2">
        <v>-334.26</v>
      </c>
      <c r="H183" s="2">
        <v>-2399.99</v>
      </c>
      <c r="I183" s="3">
        <f>INDEX('汇率表'!$A:$XFD,MATCH(F183,'汇率表'!$A:$A,0),MATCH(L183,'汇率表'!$1:$1,0))</f>
        <v>6.8109</v>
      </c>
      <c r="J183" s="2">
        <f>G183*I183</f>
        <v>-2276.611434</v>
      </c>
      <c r="L183" t="s">
        <v>20</v>
      </c>
      <c r="M183" t="s">
        <v>18</v>
      </c>
    </row>
    <row r="184" spans="1:13">
      <c r="A184" t="s">
        <v>17</v>
      </c>
      <c r="B184" t="s">
        <v>61</v>
      </c>
      <c r="C184" t="s">
        <v>30</v>
      </c>
      <c r="D184" t="s">
        <v>151</v>
      </c>
      <c r="E184">
        <v>138</v>
      </c>
      <c r="F184" t="s">
        <v>152</v>
      </c>
      <c r="G184" s="2">
        <v>16800</v>
      </c>
      <c r="H184" s="2">
        <v>131544</v>
      </c>
      <c r="I184" s="3">
        <f>INDEX('汇率表'!$A:$XFD,MATCH(F184,'汇率表'!$A:$A,0),MATCH(L184,'汇率表'!$1:$1,0))</f>
        <v>7.8392</v>
      </c>
      <c r="J184" s="2">
        <f>G184*I184</f>
        <v>131698.56</v>
      </c>
      <c r="L184" t="s">
        <v>56</v>
      </c>
      <c r="M184" t="s">
        <v>18</v>
      </c>
    </row>
    <row r="185" spans="1:13">
      <c r="A185" t="s">
        <v>17</v>
      </c>
      <c r="B185" t="s">
        <v>61</v>
      </c>
      <c r="C185" t="s">
        <v>30</v>
      </c>
      <c r="D185" t="s">
        <v>153</v>
      </c>
      <c r="E185">
        <v>144</v>
      </c>
      <c r="F185" t="s">
        <v>154</v>
      </c>
      <c r="G185" s="2">
        <v>-9000</v>
      </c>
      <c r="H185" s="2">
        <v>-70470</v>
      </c>
      <c r="I185" s="3">
        <f>INDEX('汇率表'!$A:$XFD,MATCH(F185,'汇率表'!$A:$A,0),MATCH(L185,'汇率表'!$1:$1,0))</f>
        <v>7.8174</v>
      </c>
      <c r="J185" s="2">
        <f>G185*I185</f>
        <v>-70356.6</v>
      </c>
      <c r="L185" t="s">
        <v>56</v>
      </c>
      <c r="M185" t="s">
        <v>18</v>
      </c>
    </row>
    <row r="186" spans="1:13">
      <c r="A186" t="s">
        <v>17</v>
      </c>
      <c r="B186" t="s">
        <v>61</v>
      </c>
      <c r="C186" t="s">
        <v>30</v>
      </c>
      <c r="D186" t="s">
        <v>31</v>
      </c>
      <c r="E186">
        <v>163</v>
      </c>
      <c r="F186" t="s">
        <v>30</v>
      </c>
      <c r="G186" s="2">
        <v>662.78</v>
      </c>
      <c r="H186" s="2">
        <v>5235.96</v>
      </c>
      <c r="I186" s="3">
        <f>INDEX('汇率表'!$A:$XFD,MATCH(F186,'汇率表'!$A:$A,0),MATCH(L186,'汇率表'!$1:$1,0))</f>
        <v>7.7671</v>
      </c>
      <c r="J186" s="2">
        <f>G186*I186</f>
        <v>5147.878538</v>
      </c>
      <c r="L186" t="s">
        <v>56</v>
      </c>
      <c r="M186" t="s">
        <v>18</v>
      </c>
    </row>
    <row r="187" spans="1:13">
      <c r="A187" t="s">
        <v>17</v>
      </c>
      <c r="B187" t="s">
        <v>61</v>
      </c>
      <c r="C187" t="s">
        <v>30</v>
      </c>
      <c r="D187" t="s">
        <v>31</v>
      </c>
      <c r="E187">
        <v>164</v>
      </c>
      <c r="F187" t="s">
        <v>30</v>
      </c>
      <c r="G187" s="2">
        <v>163.93</v>
      </c>
      <c r="H187" s="2">
        <v>150</v>
      </c>
      <c r="I187" s="3">
        <f>INDEX('汇率表'!$A:$XFD,MATCH(F187,'汇率表'!$A:$A,0),MATCH(L187,'汇率表'!$1:$1,0))</f>
        <v>0.86855</v>
      </c>
      <c r="J187" s="2">
        <f>G187*I187</f>
        <v>142.3814015</v>
      </c>
      <c r="L187" t="s">
        <v>58</v>
      </c>
      <c r="M187" t="s">
        <v>18</v>
      </c>
    </row>
    <row r="188" spans="1:13">
      <c r="A188" t="s">
        <v>17</v>
      </c>
      <c r="B188" t="s">
        <v>61</v>
      </c>
      <c r="C188" t="s">
        <v>30</v>
      </c>
      <c r="D188" t="s">
        <v>151</v>
      </c>
      <c r="E188">
        <v>137</v>
      </c>
      <c r="F188" t="s">
        <v>152</v>
      </c>
      <c r="G188" s="2">
        <v>49000</v>
      </c>
      <c r="H188" s="2">
        <v>348880</v>
      </c>
      <c r="I188" s="3">
        <f>INDEX('汇率表'!$A:$XFD,MATCH(F188,'汇率表'!$A:$A,0),MATCH(L188,'汇率表'!$1:$1,0))</f>
        <v>6.813</v>
      </c>
      <c r="J188" s="2">
        <f>G188*I188</f>
        <v>333837</v>
      </c>
      <c r="L188" t="s">
        <v>20</v>
      </c>
      <c r="M188" t="s">
        <v>18</v>
      </c>
    </row>
    <row r="189" spans="1:13">
      <c r="A189" t="s">
        <v>17</v>
      </c>
      <c r="B189" t="s">
        <v>61</v>
      </c>
      <c r="C189" t="s">
        <v>30</v>
      </c>
      <c r="D189" t="s">
        <v>155</v>
      </c>
      <c r="E189">
        <v>146</v>
      </c>
      <c r="F189" t="s">
        <v>154</v>
      </c>
      <c r="G189" s="2">
        <v>-35000</v>
      </c>
      <c r="H189" s="2">
        <v>-249200</v>
      </c>
      <c r="I189" s="3">
        <f>INDEX('汇率表'!$A:$XFD,MATCH(F189,'汇率表'!$A:$A,0),MATCH(L189,'汇率表'!$1:$1,0))</f>
        <v>6.813</v>
      </c>
      <c r="J189" s="2">
        <f>G189*I189</f>
        <v>-238455</v>
      </c>
      <c r="L189" t="s">
        <v>20</v>
      </c>
      <c r="M189" t="s">
        <v>18</v>
      </c>
    </row>
    <row r="190" spans="1:13">
      <c r="A190" t="s">
        <v>17</v>
      </c>
      <c r="B190" t="s">
        <v>61</v>
      </c>
      <c r="C190" t="s">
        <v>30</v>
      </c>
      <c r="D190" t="s">
        <v>31</v>
      </c>
      <c r="E190">
        <v>165</v>
      </c>
      <c r="F190" t="s">
        <v>30</v>
      </c>
      <c r="G190" s="2">
        <v>1767.41</v>
      </c>
      <c r="H190" s="2">
        <v>12690</v>
      </c>
      <c r="I190" s="3">
        <f>INDEX('汇率表'!$A:$XFD,MATCH(F190,'汇率表'!$A:$A,0),MATCH(L190,'汇率表'!$1:$1,0))</f>
        <v>6.8109</v>
      </c>
      <c r="J190" s="2">
        <f>G190*I190</f>
        <v>12037.652769</v>
      </c>
      <c r="L190" t="s">
        <v>20</v>
      </c>
      <c r="M190" t="s">
        <v>18</v>
      </c>
    </row>
    <row r="191" spans="1:13">
      <c r="A191" t="s">
        <v>17</v>
      </c>
      <c r="B191" t="s">
        <v>62</v>
      </c>
      <c r="C191" t="s">
        <v>30</v>
      </c>
      <c r="D191" t="s">
        <v>153</v>
      </c>
      <c r="E191">
        <v>143</v>
      </c>
      <c r="F191" t="s">
        <v>154</v>
      </c>
      <c r="G191" s="2">
        <v>9000</v>
      </c>
      <c r="H191" s="2">
        <v>70470</v>
      </c>
      <c r="I191" s="3">
        <f>INDEX('汇率表'!$A:$XFD,MATCH(F191,'汇率表'!$A:$A,0),MATCH(L191,'汇率表'!$1:$1,0))</f>
        <v>7.8174</v>
      </c>
      <c r="J191" s="2">
        <f>G191*I191</f>
        <v>70356.6</v>
      </c>
      <c r="L191" t="s">
        <v>56</v>
      </c>
      <c r="M191" t="s">
        <v>18</v>
      </c>
    </row>
    <row r="192" spans="1:13">
      <c r="A192" t="s">
        <v>17</v>
      </c>
      <c r="B192" t="s">
        <v>62</v>
      </c>
      <c r="C192" t="s">
        <v>30</v>
      </c>
      <c r="D192" t="s">
        <v>146</v>
      </c>
      <c r="E192">
        <v>150</v>
      </c>
      <c r="F192" t="s">
        <v>147</v>
      </c>
      <c r="G192" s="2">
        <v>-5000</v>
      </c>
      <c r="H192" s="2">
        <v>-39150</v>
      </c>
      <c r="I192" s="3">
        <f>INDEX('汇率表'!$A:$XFD,MATCH(F192,'汇率表'!$A:$A,0),MATCH(L192,'汇率表'!$1:$1,0))</f>
        <v>7.8174</v>
      </c>
      <c r="J192" s="2">
        <f>G192*I192</f>
        <v>-39087</v>
      </c>
      <c r="L192" t="s">
        <v>56</v>
      </c>
      <c r="M192" t="s">
        <v>18</v>
      </c>
    </row>
    <row r="193" spans="1:13">
      <c r="A193" t="s">
        <v>17</v>
      </c>
      <c r="B193" t="s">
        <v>62</v>
      </c>
      <c r="C193" t="s">
        <v>30</v>
      </c>
      <c r="D193" t="s">
        <v>31</v>
      </c>
      <c r="E193">
        <v>160</v>
      </c>
      <c r="F193" t="s">
        <v>30</v>
      </c>
      <c r="G193" s="2">
        <v>567.09</v>
      </c>
      <c r="H193" s="2">
        <v>4480.01</v>
      </c>
      <c r="I193" s="3">
        <f>INDEX('汇率表'!$A:$XFD,MATCH(F193,'汇率表'!$A:$A,0),MATCH(L193,'汇率表'!$1:$1,0))</f>
        <v>7.7671</v>
      </c>
      <c r="J193" s="2">
        <f>G193*I193</f>
        <v>4404.644739</v>
      </c>
      <c r="L193" t="s">
        <v>56</v>
      </c>
      <c r="M193" t="s">
        <v>18</v>
      </c>
    </row>
    <row r="194" spans="1:13">
      <c r="A194" t="s">
        <v>17</v>
      </c>
      <c r="B194" t="s">
        <v>62</v>
      </c>
      <c r="C194" t="s">
        <v>30</v>
      </c>
      <c r="D194" t="s">
        <v>148</v>
      </c>
      <c r="E194">
        <v>152</v>
      </c>
      <c r="F194" t="s">
        <v>147</v>
      </c>
      <c r="G194" s="2">
        <v>-5000</v>
      </c>
      <c r="H194" s="2">
        <v>-4550</v>
      </c>
      <c r="I194" s="3">
        <f>INDEX('汇率表'!$A:$XFD,MATCH(F194,'汇率表'!$A:$A,0),MATCH(L194,'汇率表'!$1:$1,0))</f>
        <v>0.8694799999999999</v>
      </c>
      <c r="J194" s="2">
        <f>G194*I194</f>
        <v>-4347.4</v>
      </c>
      <c r="L194" t="s">
        <v>58</v>
      </c>
      <c r="M194" t="s">
        <v>18</v>
      </c>
    </row>
    <row r="195" spans="1:13">
      <c r="A195" t="s">
        <v>17</v>
      </c>
      <c r="B195" t="s">
        <v>62</v>
      </c>
      <c r="C195" t="s">
        <v>30</v>
      </c>
      <c r="D195" t="s">
        <v>31</v>
      </c>
      <c r="E195">
        <v>161</v>
      </c>
      <c r="F195" t="s">
        <v>30</v>
      </c>
      <c r="G195" s="2">
        <v>382.51</v>
      </c>
      <c r="H195" s="2">
        <v>350</v>
      </c>
      <c r="I195" s="3">
        <f>INDEX('汇率表'!$A:$XFD,MATCH(F195,'汇率表'!$A:$A,0),MATCH(L195,'汇率表'!$1:$1,0))</f>
        <v>0.86855</v>
      </c>
      <c r="J195" s="2">
        <f>G195*I195</f>
        <v>332.2290605</v>
      </c>
      <c r="L195" t="s">
        <v>58</v>
      </c>
      <c r="M195" t="s">
        <v>18</v>
      </c>
    </row>
    <row r="196" spans="1:13">
      <c r="A196" t="s">
        <v>17</v>
      </c>
      <c r="B196" t="s">
        <v>62</v>
      </c>
      <c r="C196" t="s">
        <v>30</v>
      </c>
      <c r="D196" t="s">
        <v>155</v>
      </c>
      <c r="E196">
        <v>145</v>
      </c>
      <c r="F196" t="s">
        <v>154</v>
      </c>
      <c r="G196" s="2">
        <v>35000</v>
      </c>
      <c r="H196" s="2">
        <v>249200</v>
      </c>
      <c r="I196" s="3">
        <f>INDEX('汇率表'!$A:$XFD,MATCH(F196,'汇率表'!$A:$A,0),MATCH(L196,'汇率表'!$1:$1,0))</f>
        <v>6.813</v>
      </c>
      <c r="J196" s="2">
        <f>G196*I196</f>
        <v>238455</v>
      </c>
      <c r="L196" t="s">
        <v>20</v>
      </c>
      <c r="M196" t="s">
        <v>18</v>
      </c>
    </row>
    <row r="197" spans="1:13">
      <c r="A197" t="s">
        <v>17</v>
      </c>
      <c r="B197" t="s">
        <v>62</v>
      </c>
      <c r="C197" t="s">
        <v>30</v>
      </c>
      <c r="D197" t="s">
        <v>31</v>
      </c>
      <c r="E197">
        <v>162</v>
      </c>
      <c r="F197" t="s">
        <v>30</v>
      </c>
      <c r="G197" s="2">
        <v>3844.01</v>
      </c>
      <c r="H197" s="2">
        <v>27599.99</v>
      </c>
      <c r="I197" s="3">
        <f>INDEX('汇率表'!$A:$XFD,MATCH(F197,'汇率表'!$A:$A,0),MATCH(L197,'汇率表'!$1:$1,0))</f>
        <v>6.8109</v>
      </c>
      <c r="J197" s="2">
        <f>G197*I197</f>
        <v>26181.167709</v>
      </c>
      <c r="L197" t="s">
        <v>20</v>
      </c>
      <c r="M197" t="s">
        <v>18</v>
      </c>
    </row>
    <row r="198" spans="1:13">
      <c r="A198" t="s">
        <v>17</v>
      </c>
      <c r="B198" t="s">
        <v>63</v>
      </c>
      <c r="C198" t="s">
        <v>30</v>
      </c>
      <c r="D198" t="s">
        <v>31</v>
      </c>
      <c r="E198">
        <v>171</v>
      </c>
      <c r="F198" t="s">
        <v>30</v>
      </c>
      <c r="G198" s="2">
        <v>-1253.48</v>
      </c>
      <c r="H198" s="2">
        <v>-8999.99</v>
      </c>
      <c r="I198" s="3">
        <f>INDEX('汇率表'!$A:$XFD,MATCH(F198,'汇率表'!$A:$A,0),MATCH(L198,'汇率表'!$1:$1,0))</f>
        <v>6.8109</v>
      </c>
      <c r="J198" s="2">
        <f>G198*I198</f>
        <v>-8537.326932</v>
      </c>
      <c r="L198" t="s">
        <v>20</v>
      </c>
      <c r="M198" t="s">
        <v>18</v>
      </c>
    </row>
    <row r="199" spans="1:13">
      <c r="A199" t="s">
        <v>19</v>
      </c>
      <c r="B199" t="s">
        <v>64</v>
      </c>
      <c r="C199" t="s">
        <v>30</v>
      </c>
      <c r="D199" t="s">
        <v>32</v>
      </c>
      <c r="E199">
        <v>279</v>
      </c>
      <c r="F199" t="s">
        <v>30</v>
      </c>
      <c r="G199" s="2">
        <v>17.86</v>
      </c>
      <c r="H199" s="2">
        <v>20</v>
      </c>
      <c r="I199" s="3">
        <f>INDEX('汇率表'!$A:$XFD,MATCH(F199,'汇率表'!$A:$A,0),MATCH(L199,'汇率表'!$1:$1,0))/INDEX('汇率表'!$A:$XFD,MATCH(F199,'汇率表'!$A:$A,0),MATCH(M199,'汇率表'!$1:$1,0))</f>
        <v>1.1403926059698424</v>
      </c>
      <c r="J199" s="2">
        <f>G199*I199</f>
        <v>20.367411942621384</v>
      </c>
      <c r="L199" t="s">
        <v>56</v>
      </c>
      <c r="M199" t="s">
        <v>20</v>
      </c>
    </row>
    <row r="200" spans="1:13">
      <c r="A200" t="s">
        <v>19</v>
      </c>
      <c r="B200" t="s">
        <v>66</v>
      </c>
      <c r="C200" t="s">
        <v>30</v>
      </c>
      <c r="D200" t="s">
        <v>156</v>
      </c>
      <c r="E200">
        <v>268</v>
      </c>
      <c r="F200" t="s">
        <v>147</v>
      </c>
      <c r="G200" s="2">
        <v>1200</v>
      </c>
      <c r="H200" s="2">
        <v>1320</v>
      </c>
      <c r="I200" s="3">
        <f>INDEX('汇率表'!$A:$XFD,MATCH(F200,'汇率表'!$A:$A,0),MATCH(L200,'汇率表'!$1:$1,0))/INDEX('汇率表'!$A:$XFD,MATCH(F200,'汇率表'!$A:$A,0),MATCH(M200,'汇率表'!$1:$1,0))</f>
        <v>1.147424042272127</v>
      </c>
      <c r="J200" s="2">
        <f>G200*I200</f>
        <v>1376.9088507265524</v>
      </c>
      <c r="L200" t="s">
        <v>56</v>
      </c>
      <c r="M200" t="s">
        <v>20</v>
      </c>
    </row>
    <row r="201" spans="1:13">
      <c r="A201" t="s">
        <v>19</v>
      </c>
      <c r="B201" t="s">
        <v>66</v>
      </c>
      <c r="C201" t="s">
        <v>30</v>
      </c>
      <c r="D201" t="s">
        <v>157</v>
      </c>
      <c r="E201">
        <v>272</v>
      </c>
      <c r="F201" t="s">
        <v>158</v>
      </c>
      <c r="G201" s="2">
        <v>5000</v>
      </c>
      <c r="H201" s="2">
        <v>5100</v>
      </c>
      <c r="I201" s="3">
        <f>INDEX('汇率表'!$A:$XFD,MATCH(F201,'汇率表'!$A:$A,0),MATCH(L201,'汇率表'!$1:$1,0))/INDEX('汇率表'!$A:$XFD,MATCH(F201,'汇率表'!$A:$A,0),MATCH(M201,'汇率表'!$1:$1,0))</f>
        <v>1.1354791406994647</v>
      </c>
      <c r="J201" s="2">
        <f>G201*I201</f>
        <v>5677.395703497324</v>
      </c>
      <c r="L201" t="s">
        <v>56</v>
      </c>
      <c r="M201" t="s">
        <v>20</v>
      </c>
    </row>
    <row r="202" spans="1:13">
      <c r="A202" t="s">
        <v>19</v>
      </c>
      <c r="B202" t="s">
        <v>66</v>
      </c>
      <c r="C202" t="s">
        <v>30</v>
      </c>
      <c r="D202" t="s">
        <v>32</v>
      </c>
      <c r="E202">
        <v>280</v>
      </c>
      <c r="F202" t="s">
        <v>30</v>
      </c>
      <c r="G202" s="2">
        <v>39.29</v>
      </c>
      <c r="H202" s="2">
        <v>44</v>
      </c>
      <c r="I202" s="3">
        <f>INDEX('汇率表'!$A:$XFD,MATCH(F202,'汇率表'!$A:$A,0),MATCH(L202,'汇率表'!$1:$1,0))/INDEX('汇率表'!$A:$XFD,MATCH(F202,'汇率表'!$A:$A,0),MATCH(M202,'汇率表'!$1:$1,0))</f>
        <v>1.1403926059698424</v>
      </c>
      <c r="J202" s="2">
        <f>G202*I202</f>
        <v>44.80602548855511</v>
      </c>
      <c r="L202" t="s">
        <v>56</v>
      </c>
      <c r="M202" t="s">
        <v>20</v>
      </c>
    </row>
    <row r="203" spans="1:13">
      <c r="A203" t="s">
        <v>19</v>
      </c>
      <c r="B203" t="s">
        <v>67</v>
      </c>
      <c r="C203" t="s">
        <v>30</v>
      </c>
      <c r="D203" t="s">
        <v>159</v>
      </c>
      <c r="E203">
        <v>260</v>
      </c>
      <c r="F203" t="s">
        <v>152</v>
      </c>
      <c r="G203" s="2">
        <v>4200</v>
      </c>
      <c r="H203" s="2">
        <v>4620</v>
      </c>
      <c r="I203" s="3">
        <f>INDEX('汇率表'!$A:$XFD,MATCH(F203,'汇率表'!$A:$A,0),MATCH(L203,'汇率表'!$1:$1,0))/INDEX('汇率表'!$A:$XFD,MATCH(F203,'汇率表'!$A:$A,0),MATCH(M203,'汇率表'!$1:$1,0))</f>
        <v>1.150623807426978</v>
      </c>
      <c r="J203" s="2">
        <f>G203*I203</f>
        <v>4832.619991193307</v>
      </c>
      <c r="L203" t="s">
        <v>56</v>
      </c>
      <c r="M203" t="s">
        <v>20</v>
      </c>
    </row>
    <row r="204" spans="1:13">
      <c r="A204" t="s">
        <v>19</v>
      </c>
      <c r="B204" t="s">
        <v>67</v>
      </c>
      <c r="C204" t="s">
        <v>30</v>
      </c>
      <c r="D204" t="s">
        <v>32</v>
      </c>
      <c r="E204">
        <v>278</v>
      </c>
      <c r="F204" t="s">
        <v>30</v>
      </c>
      <c r="G204" s="2">
        <v>485.71</v>
      </c>
      <c r="H204" s="2">
        <v>544</v>
      </c>
      <c r="I204" s="3">
        <f>INDEX('汇率表'!$A:$XFD,MATCH(F204,'汇率表'!$A:$A,0),MATCH(L204,'汇率表'!$1:$1,0))/INDEX('汇率表'!$A:$XFD,MATCH(F204,'汇率表'!$A:$A,0),MATCH(M204,'汇率表'!$1:$1,0))</f>
        <v>1.1403926059698424</v>
      </c>
      <c r="J204" s="2">
        <f>G204*I204</f>
        <v>553.9000926456121</v>
      </c>
      <c r="L204" t="s">
        <v>56</v>
      </c>
      <c r="M204" t="s">
        <v>20</v>
      </c>
    </row>
    <row r="205" spans="1:13">
      <c r="A205" t="s">
        <v>19</v>
      </c>
      <c r="B205" t="s">
        <v>68</v>
      </c>
      <c r="C205" t="s">
        <v>30</v>
      </c>
      <c r="D205" t="s">
        <v>156</v>
      </c>
      <c r="E205">
        <v>269</v>
      </c>
      <c r="F205" t="s">
        <v>147</v>
      </c>
      <c r="G205" s="2">
        <v>-1200</v>
      </c>
      <c r="H205" s="2">
        <v>-1320</v>
      </c>
      <c r="I205" s="3">
        <f>INDEX('汇率表'!$A:$XFD,MATCH(F205,'汇率表'!$A:$A,0),MATCH(L205,'汇率表'!$1:$1,0))/INDEX('汇率表'!$A:$XFD,MATCH(F205,'汇率表'!$A:$A,0),MATCH(M205,'汇率表'!$1:$1,0))</f>
        <v>1.147424042272127</v>
      </c>
      <c r="J205" s="2">
        <f>G205*I205</f>
        <v>-1376.9088507265524</v>
      </c>
      <c r="L205" t="s">
        <v>56</v>
      </c>
      <c r="M205" t="s">
        <v>20</v>
      </c>
    </row>
    <row r="206" spans="1:13">
      <c r="A206" t="s">
        <v>19</v>
      </c>
      <c r="B206" t="s">
        <v>68</v>
      </c>
      <c r="C206" t="s">
        <v>30</v>
      </c>
      <c r="D206" t="s">
        <v>157</v>
      </c>
      <c r="E206">
        <v>273</v>
      </c>
      <c r="F206" t="s">
        <v>158</v>
      </c>
      <c r="G206" s="2">
        <v>-5000</v>
      </c>
      <c r="H206" s="2">
        <v>-5100</v>
      </c>
      <c r="I206" s="3">
        <f>INDEX('汇率表'!$A:$XFD,MATCH(F206,'汇率表'!$A:$A,0),MATCH(L206,'汇率表'!$1:$1,0))/INDEX('汇率表'!$A:$XFD,MATCH(F206,'汇率表'!$A:$A,0),MATCH(M206,'汇率表'!$1:$1,0))</f>
        <v>1.1354791406994647</v>
      </c>
      <c r="J206" s="2">
        <f>G206*I206</f>
        <v>-5677.395703497324</v>
      </c>
      <c r="L206" t="s">
        <v>56</v>
      </c>
      <c r="M206" t="s">
        <v>20</v>
      </c>
    </row>
    <row r="207" spans="1:13">
      <c r="A207" t="s">
        <v>19</v>
      </c>
      <c r="B207" t="s">
        <v>68</v>
      </c>
      <c r="C207" t="s">
        <v>30</v>
      </c>
      <c r="D207" t="s">
        <v>32</v>
      </c>
      <c r="E207">
        <v>277</v>
      </c>
      <c r="F207" t="s">
        <v>30</v>
      </c>
      <c r="G207" s="2">
        <v>-217.86</v>
      </c>
      <c r="H207" s="2">
        <v>-244</v>
      </c>
      <c r="I207" s="3">
        <f>INDEX('汇率表'!$A:$XFD,MATCH(F207,'汇率表'!$A:$A,0),MATCH(L207,'汇率表'!$1:$1,0))/INDEX('汇率表'!$A:$XFD,MATCH(F207,'汇率表'!$A:$A,0),MATCH(M207,'汇率表'!$1:$1,0))</f>
        <v>1.1403926059698424</v>
      </c>
      <c r="J207" s="2">
        <f>G207*I207</f>
        <v>-248.44593313658987</v>
      </c>
      <c r="L207" t="s">
        <v>56</v>
      </c>
      <c r="M207" t="s">
        <v>20</v>
      </c>
    </row>
  </sheetData>
  <autoFilter ref="A1:J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22.7109375" customWidth="1"/>
    <col min="4" max="4" width="16.7109375" customWidth="1"/>
    <col min="5" max="5" width="34.7109375" customWidth="1"/>
    <col min="6" max="6" width="20.7109375" customWidth="1"/>
    <col min="7" max="7" width="17.7109375" customWidth="1"/>
    <col min="8" max="8" width="21.7109375" customWidth="1"/>
    <col min="9" max="10" width="18.7109375" customWidth="1"/>
    <col min="11" max="11" width="24.7109375" customWidth="1"/>
    <col min="12" max="12" width="42.7109375" customWidth="1"/>
    <col min="13" max="14" width="0" hidden="1" customWidth="1"/>
  </cols>
  <sheetData>
    <row r="1" spans="1:14">
      <c r="A1" s="1" t="s">
        <v>160</v>
      </c>
      <c r="B1" s="1" t="s">
        <v>27</v>
      </c>
      <c r="C1" s="1" t="s">
        <v>28</v>
      </c>
      <c r="D1" s="1" t="s">
        <v>22</v>
      </c>
      <c r="E1" s="1" t="s">
        <v>42</v>
      </c>
      <c r="F1" s="1" t="s">
        <v>43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t="s">
        <v>167</v>
      </c>
      <c r="N1" t="s">
        <v>168</v>
      </c>
    </row>
    <row r="2" spans="1:14">
      <c r="A2" s="4" t="s">
        <v>169</v>
      </c>
      <c r="B2" s="4" t="s">
        <v>53</v>
      </c>
      <c r="C2" s="4"/>
      <c r="D2" s="4" t="s">
        <v>17</v>
      </c>
      <c r="E2" s="4" t="s">
        <v>51</v>
      </c>
      <c r="F2" s="4" t="s">
        <v>52</v>
      </c>
      <c r="G2" s="2">
        <v>5000</v>
      </c>
      <c r="H2" s="2">
        <v>35600</v>
      </c>
      <c r="I2" s="3">
        <f>H2/G2</f>
        <v>7.12</v>
      </c>
      <c r="J2" s="3">
        <f>INDEX('汇率表'!$A:$XFD,MATCH(B2,'汇率表'!$A:$A,0),MATCH(N2,'汇率表'!$1:$1,0))</f>
        <v>6.9677999999999995</v>
      </c>
      <c r="K2" s="3">
        <f>I2-J2</f>
        <v>0.15220000000000056</v>
      </c>
      <c r="L2" s="4" t="s">
        <v>170</v>
      </c>
      <c r="M2" s="4" t="s">
        <v>18</v>
      </c>
      <c r="N2" s="4" t="s">
        <v>20</v>
      </c>
    </row>
    <row r="3" spans="1:14">
      <c r="A3" s="4" t="s">
        <v>169</v>
      </c>
      <c r="B3" s="4" t="s">
        <v>53</v>
      </c>
      <c r="C3" s="4"/>
      <c r="D3" s="4" t="s">
        <v>17</v>
      </c>
      <c r="E3" s="4" t="s">
        <v>54</v>
      </c>
      <c r="F3" s="4" t="s">
        <v>55</v>
      </c>
      <c r="G3" s="2">
        <v>-55000</v>
      </c>
      <c r="H3" s="2">
        <v>-430650</v>
      </c>
      <c r="I3" s="3">
        <f>H3/G3</f>
        <v>7.83</v>
      </c>
      <c r="J3" s="3">
        <f>INDEX('汇率表'!$A:$XFD,MATCH(B3,'汇率表'!$A:$A,0),MATCH(N3,'汇率表'!$1:$1,0))</f>
        <v>8.3244</v>
      </c>
      <c r="K3" s="3">
        <f>I3-J3</f>
        <v>-0.4944000000000006</v>
      </c>
      <c r="L3" s="4" t="s">
        <v>170</v>
      </c>
      <c r="M3" s="4" t="s">
        <v>18</v>
      </c>
      <c r="N3" s="4" t="s">
        <v>56</v>
      </c>
    </row>
    <row r="4" spans="1:14">
      <c r="A4" s="4" t="s">
        <v>169</v>
      </c>
      <c r="B4" s="4" t="s">
        <v>53</v>
      </c>
      <c r="C4" s="4"/>
      <c r="D4" s="4" t="s">
        <v>17</v>
      </c>
      <c r="E4" s="4" t="s">
        <v>54</v>
      </c>
      <c r="F4" s="4" t="s">
        <v>57</v>
      </c>
      <c r="G4" s="2">
        <v>-95000</v>
      </c>
      <c r="H4" s="2">
        <v>-86450</v>
      </c>
      <c r="I4" s="3">
        <f>H4/G4</f>
        <v>0.91</v>
      </c>
      <c r="J4" s="3">
        <f>INDEX('汇率表'!$A:$XFD,MATCH(B4,'汇率表'!$A:$A,0),MATCH(N4,'汇率表'!$1:$1,0))</f>
        <v>0.89262</v>
      </c>
      <c r="K4" s="3">
        <f>I4-J4</f>
        <v>0.017380000000000062</v>
      </c>
      <c r="L4" s="4" t="s">
        <v>170</v>
      </c>
      <c r="M4" s="4" t="s">
        <v>18</v>
      </c>
      <c r="N4" s="4" t="s">
        <v>58</v>
      </c>
    </row>
    <row r="5" spans="1:14">
      <c r="A5" s="4" t="s">
        <v>169</v>
      </c>
      <c r="B5" s="4" t="s">
        <v>53</v>
      </c>
      <c r="C5" s="4"/>
      <c r="D5" s="4" t="s">
        <v>17</v>
      </c>
      <c r="E5" s="4" t="s">
        <v>54</v>
      </c>
      <c r="F5" s="4" t="s">
        <v>59</v>
      </c>
      <c r="G5" s="2">
        <v>-1600000</v>
      </c>
      <c r="H5" s="2">
        <v>-77120</v>
      </c>
      <c r="I5" s="3">
        <f>H5/G5</f>
        <v>0.0482</v>
      </c>
      <c r="J5" s="3">
        <f>INDEX('汇率表'!$A:$XFD,MATCH(B5,'汇率表'!$A:$A,0),MATCH(N5,'汇率表'!$1:$1,0))</f>
        <v>0.045464</v>
      </c>
      <c r="K5" s="3">
        <f>I5-J5</f>
        <v>0.0027360000000000023</v>
      </c>
      <c r="L5" s="4" t="s">
        <v>170</v>
      </c>
      <c r="M5" s="4" t="s">
        <v>18</v>
      </c>
      <c r="N5" s="4" t="s">
        <v>60</v>
      </c>
    </row>
    <row r="6" spans="1:14">
      <c r="A6" s="4" t="s">
        <v>169</v>
      </c>
      <c r="B6" s="4" t="s">
        <v>53</v>
      </c>
      <c r="C6" s="4"/>
      <c r="D6" s="4" t="s">
        <v>17</v>
      </c>
      <c r="E6" s="4" t="s">
        <v>54</v>
      </c>
      <c r="F6" s="4" t="s">
        <v>52</v>
      </c>
      <c r="G6" s="2">
        <v>-40000</v>
      </c>
      <c r="H6" s="2">
        <v>-284800</v>
      </c>
      <c r="I6" s="3">
        <f>H6/G6</f>
        <v>7.12</v>
      </c>
      <c r="J6" s="3">
        <f>INDEX('汇率表'!$A:$XFD,MATCH(B6,'汇率表'!$A:$A,0),MATCH(N6,'汇率表'!$1:$1,0))</f>
        <v>6.9677999999999995</v>
      </c>
      <c r="K6" s="3">
        <f>I6-J6</f>
        <v>0.15220000000000056</v>
      </c>
      <c r="L6" s="4" t="s">
        <v>170</v>
      </c>
      <c r="M6" s="4" t="s">
        <v>18</v>
      </c>
      <c r="N6" s="4" t="s">
        <v>20</v>
      </c>
    </row>
    <row r="7" spans="1:14">
      <c r="A7" s="4" t="s">
        <v>169</v>
      </c>
      <c r="B7" s="4" t="s">
        <v>53</v>
      </c>
      <c r="C7" s="4"/>
      <c r="D7" s="4" t="s">
        <v>17</v>
      </c>
      <c r="E7" s="4" t="s">
        <v>61</v>
      </c>
      <c r="F7" s="4" t="s">
        <v>55</v>
      </c>
      <c r="G7" s="2">
        <v>43800</v>
      </c>
      <c r="H7" s="2">
        <v>342954</v>
      </c>
      <c r="I7" s="3">
        <f>H7/G7</f>
        <v>7.83</v>
      </c>
      <c r="J7" s="3">
        <f>INDEX('汇率表'!$A:$XFD,MATCH(B7,'汇率表'!$A:$A,0),MATCH(N7,'汇率表'!$1:$1,0))</f>
        <v>8.3244</v>
      </c>
      <c r="K7" s="3">
        <f>I7-J7</f>
        <v>-0.4944000000000006</v>
      </c>
      <c r="L7" s="4" t="s">
        <v>170</v>
      </c>
      <c r="M7" s="4" t="s">
        <v>18</v>
      </c>
      <c r="N7" s="4" t="s">
        <v>56</v>
      </c>
    </row>
    <row r="8" spans="1:14">
      <c r="A8" s="4" t="s">
        <v>169</v>
      </c>
      <c r="B8" s="4" t="s">
        <v>53</v>
      </c>
      <c r="C8" s="4"/>
      <c r="D8" s="4" t="s">
        <v>17</v>
      </c>
      <c r="E8" s="4" t="s">
        <v>61</v>
      </c>
      <c r="F8" s="4" t="s">
        <v>57</v>
      </c>
      <c r="G8" s="2">
        <v>30000</v>
      </c>
      <c r="H8" s="2">
        <v>27300</v>
      </c>
      <c r="I8" s="3">
        <f>H8/G8</f>
        <v>0.91</v>
      </c>
      <c r="J8" s="3">
        <f>INDEX('汇率表'!$A:$XFD,MATCH(B8,'汇率表'!$A:$A,0),MATCH(N8,'汇率表'!$1:$1,0))</f>
        <v>0.89262</v>
      </c>
      <c r="K8" s="3">
        <f>I8-J8</f>
        <v>0.017380000000000062</v>
      </c>
      <c r="L8" s="4" t="s">
        <v>170</v>
      </c>
      <c r="M8" s="4" t="s">
        <v>18</v>
      </c>
      <c r="N8" s="4" t="s">
        <v>58</v>
      </c>
    </row>
    <row r="9" spans="1:14">
      <c r="A9" s="4" t="s">
        <v>169</v>
      </c>
      <c r="B9" s="4" t="s">
        <v>53</v>
      </c>
      <c r="C9" s="4"/>
      <c r="D9" s="4" t="s">
        <v>17</v>
      </c>
      <c r="E9" s="4" t="s">
        <v>61</v>
      </c>
      <c r="F9" s="4" t="s">
        <v>52</v>
      </c>
      <c r="G9" s="2">
        <v>156500</v>
      </c>
      <c r="H9" s="2">
        <v>1114280</v>
      </c>
      <c r="I9" s="3">
        <f>H9/G9</f>
        <v>7.12</v>
      </c>
      <c r="J9" s="3">
        <f>INDEX('汇率表'!$A:$XFD,MATCH(B9,'汇率表'!$A:$A,0),MATCH(N9,'汇率表'!$1:$1,0))</f>
        <v>6.9677999999999995</v>
      </c>
      <c r="K9" s="3">
        <f>I9-J9</f>
        <v>0.15220000000000056</v>
      </c>
      <c r="L9" s="4" t="s">
        <v>170</v>
      </c>
      <c r="M9" s="4" t="s">
        <v>18</v>
      </c>
      <c r="N9" s="4" t="s">
        <v>20</v>
      </c>
    </row>
    <row r="10" spans="1:14">
      <c r="A10" s="4" t="s">
        <v>169</v>
      </c>
      <c r="B10" s="4" t="s">
        <v>53</v>
      </c>
      <c r="C10" s="4"/>
      <c r="D10" s="4" t="s">
        <v>17</v>
      </c>
      <c r="E10" s="4" t="s">
        <v>62</v>
      </c>
      <c r="F10" s="4" t="s">
        <v>55</v>
      </c>
      <c r="G10" s="2">
        <v>44000</v>
      </c>
      <c r="H10" s="2">
        <v>344520</v>
      </c>
      <c r="I10" s="3">
        <f>H10/G10</f>
        <v>7.83</v>
      </c>
      <c r="J10" s="3">
        <f>INDEX('汇率表'!$A:$XFD,MATCH(B10,'汇率表'!$A:$A,0),MATCH(N10,'汇率表'!$1:$1,0))</f>
        <v>8.3244</v>
      </c>
      <c r="K10" s="3">
        <f>I10-J10</f>
        <v>-0.4944000000000006</v>
      </c>
      <c r="L10" s="4" t="s">
        <v>170</v>
      </c>
      <c r="M10" s="4" t="s">
        <v>18</v>
      </c>
      <c r="N10" s="4" t="s">
        <v>56</v>
      </c>
    </row>
    <row r="11" spans="1:14">
      <c r="A11" s="4" t="s">
        <v>169</v>
      </c>
      <c r="B11" s="4" t="s">
        <v>53</v>
      </c>
      <c r="C11" s="4"/>
      <c r="D11" s="4" t="s">
        <v>17</v>
      </c>
      <c r="E11" s="4" t="s">
        <v>62</v>
      </c>
      <c r="F11" s="4" t="s">
        <v>57</v>
      </c>
      <c r="G11" s="2">
        <v>95000</v>
      </c>
      <c r="H11" s="2">
        <v>86450</v>
      </c>
      <c r="I11" s="3">
        <f>H11/G11</f>
        <v>0.91</v>
      </c>
      <c r="J11" s="3">
        <f>INDEX('汇率表'!$A:$XFD,MATCH(B11,'汇率表'!$A:$A,0),MATCH(N11,'汇率表'!$1:$1,0))</f>
        <v>0.89262</v>
      </c>
      <c r="K11" s="3">
        <f>I11-J11</f>
        <v>0.017380000000000062</v>
      </c>
      <c r="L11" s="4" t="s">
        <v>170</v>
      </c>
      <c r="M11" s="4" t="s">
        <v>18</v>
      </c>
      <c r="N11" s="4" t="s">
        <v>58</v>
      </c>
    </row>
    <row r="12" spans="1:14">
      <c r="A12" s="4" t="s">
        <v>169</v>
      </c>
      <c r="B12" s="4" t="s">
        <v>53</v>
      </c>
      <c r="C12" s="4"/>
      <c r="D12" s="4" t="s">
        <v>17</v>
      </c>
      <c r="E12" s="4" t="s">
        <v>62</v>
      </c>
      <c r="F12" s="4" t="s">
        <v>52</v>
      </c>
      <c r="G12" s="2">
        <v>335000</v>
      </c>
      <c r="H12" s="2">
        <v>2385200</v>
      </c>
      <c r="I12" s="3">
        <f>H12/G12</f>
        <v>7.12</v>
      </c>
      <c r="J12" s="3">
        <f>INDEX('汇率表'!$A:$XFD,MATCH(B12,'汇率表'!$A:$A,0),MATCH(N12,'汇率表'!$1:$1,0))</f>
        <v>6.9677999999999995</v>
      </c>
      <c r="K12" s="3">
        <f>I12-J12</f>
        <v>0.15220000000000056</v>
      </c>
      <c r="L12" s="4" t="s">
        <v>170</v>
      </c>
      <c r="M12" s="4" t="s">
        <v>18</v>
      </c>
      <c r="N12" s="4" t="s">
        <v>20</v>
      </c>
    </row>
    <row r="13" spans="1:14">
      <c r="A13" s="4" t="s">
        <v>169</v>
      </c>
      <c r="B13" s="4" t="s">
        <v>53</v>
      </c>
      <c r="C13" s="4"/>
      <c r="D13" s="4" t="s">
        <v>17</v>
      </c>
      <c r="E13" s="4" t="s">
        <v>63</v>
      </c>
      <c r="F13" s="4" t="s">
        <v>52</v>
      </c>
      <c r="G13" s="2">
        <v>-200000</v>
      </c>
      <c r="H13" s="2">
        <v>-1424000</v>
      </c>
      <c r="I13" s="3">
        <f>H13/G13</f>
        <v>7.12</v>
      </c>
      <c r="J13" s="3">
        <f>INDEX('汇率表'!$A:$XFD,MATCH(B13,'汇率表'!$A:$A,0),MATCH(N13,'汇率表'!$1:$1,0))</f>
        <v>6.9677999999999995</v>
      </c>
      <c r="K13" s="3">
        <f>I13-J13</f>
        <v>0.15220000000000056</v>
      </c>
      <c r="L13" s="4" t="s">
        <v>170</v>
      </c>
      <c r="M13" s="4" t="s">
        <v>18</v>
      </c>
      <c r="N13" s="4" t="s">
        <v>20</v>
      </c>
    </row>
    <row r="14" spans="1:14">
      <c r="A14" s="4" t="s">
        <v>169</v>
      </c>
      <c r="B14" s="4" t="s">
        <v>53</v>
      </c>
      <c r="C14" s="4"/>
      <c r="D14" s="4" t="s">
        <v>19</v>
      </c>
      <c r="E14" s="4" t="s">
        <v>64</v>
      </c>
      <c r="F14" s="4" t="s">
        <v>65</v>
      </c>
      <c r="G14" s="2">
        <v>1000</v>
      </c>
      <c r="H14" s="2">
        <v>1100</v>
      </c>
      <c r="I14" s="3">
        <f>H14/G14</f>
        <v>1.1</v>
      </c>
      <c r="J14" s="3">
        <f>INDEX('汇率表'!$A:$XFD,MATCH(B14,'汇率表'!$A:$A,0),MATCH(N14,'汇率表'!$1:$1,0))/INDEX('汇率表'!$A:$XFD,MATCH(B14,'汇率表'!$A:$A,0),MATCH(M14,'汇率表'!$1:$1,0))</f>
        <v>1.194695599758891</v>
      </c>
      <c r="K14" s="3">
        <f>I14-J14</f>
        <v>-0.09469559975889097</v>
      </c>
      <c r="L14" s="4" t="s">
        <v>170</v>
      </c>
      <c r="M14" s="4" t="s">
        <v>20</v>
      </c>
      <c r="N14" s="4" t="s">
        <v>56</v>
      </c>
    </row>
    <row r="15" spans="1:14">
      <c r="A15" s="4" t="s">
        <v>169</v>
      </c>
      <c r="B15" s="4" t="s">
        <v>53</v>
      </c>
      <c r="C15" s="4"/>
      <c r="D15" s="4" t="s">
        <v>19</v>
      </c>
      <c r="E15" s="4" t="s">
        <v>66</v>
      </c>
      <c r="F15" s="4" t="s">
        <v>65</v>
      </c>
      <c r="G15" s="2">
        <v>-28800</v>
      </c>
      <c r="H15" s="2">
        <v>-31680</v>
      </c>
      <c r="I15" s="3">
        <f>H15/G15</f>
        <v>1.1</v>
      </c>
      <c r="J15" s="3">
        <f>INDEX('汇率表'!$A:$XFD,MATCH(B15,'汇率表'!$A:$A,0),MATCH(N15,'汇率表'!$1:$1,0))/INDEX('汇率表'!$A:$XFD,MATCH(B15,'汇率表'!$A:$A,0),MATCH(M15,'汇率表'!$1:$1,0))</f>
        <v>1.194695599758891</v>
      </c>
      <c r="K15" s="3">
        <f>I15-J15</f>
        <v>-0.09469559975889097</v>
      </c>
      <c r="L15" s="4" t="s">
        <v>170</v>
      </c>
      <c r="M15" s="4" t="s">
        <v>20</v>
      </c>
      <c r="N15" s="4" t="s">
        <v>56</v>
      </c>
    </row>
    <row r="16" spans="1:14">
      <c r="A16" s="4" t="s">
        <v>169</v>
      </c>
      <c r="B16" s="4" t="s">
        <v>53</v>
      </c>
      <c r="C16" s="4"/>
      <c r="D16" s="4" t="s">
        <v>19</v>
      </c>
      <c r="E16" s="4" t="s">
        <v>67</v>
      </c>
      <c r="F16" s="4" t="s">
        <v>65</v>
      </c>
      <c r="G16" s="2">
        <v>8200</v>
      </c>
      <c r="H16" s="2">
        <v>9020</v>
      </c>
      <c r="I16" s="3">
        <f>H16/G16</f>
        <v>1.1</v>
      </c>
      <c r="J16" s="3">
        <f>INDEX('汇率表'!$A:$XFD,MATCH(B16,'汇率表'!$A:$A,0),MATCH(N16,'汇率表'!$1:$1,0))/INDEX('汇率表'!$A:$XFD,MATCH(B16,'汇率表'!$A:$A,0),MATCH(M16,'汇率表'!$1:$1,0))</f>
        <v>1.194695599758891</v>
      </c>
      <c r="K16" s="3">
        <f>I16-J16</f>
        <v>-0.09469559975889097</v>
      </c>
      <c r="L16" s="4" t="s">
        <v>170</v>
      </c>
      <c r="M16" s="4" t="s">
        <v>20</v>
      </c>
      <c r="N16" s="4" t="s">
        <v>56</v>
      </c>
    </row>
    <row r="17" spans="1:14">
      <c r="A17" s="4" t="s">
        <v>169</v>
      </c>
      <c r="B17" s="4" t="s">
        <v>53</v>
      </c>
      <c r="C17" s="4"/>
      <c r="D17" s="4" t="s">
        <v>19</v>
      </c>
      <c r="E17" s="4" t="s">
        <v>68</v>
      </c>
      <c r="F17" s="4" t="s">
        <v>65</v>
      </c>
      <c r="G17" s="2">
        <v>18800</v>
      </c>
      <c r="H17" s="2">
        <v>20680</v>
      </c>
      <c r="I17" s="3">
        <f>H17/G17</f>
        <v>1.1</v>
      </c>
      <c r="J17" s="3">
        <f>INDEX('汇率表'!$A:$XFD,MATCH(B17,'汇率表'!$A:$A,0),MATCH(N17,'汇率表'!$1:$1,0))/INDEX('汇率表'!$A:$XFD,MATCH(B17,'汇率表'!$A:$A,0),MATCH(M17,'汇率表'!$1:$1,0))</f>
        <v>1.194695599758891</v>
      </c>
      <c r="K17" s="3">
        <f>I17-J17</f>
        <v>-0.09469559975889097</v>
      </c>
      <c r="L17" s="4" t="s">
        <v>170</v>
      </c>
      <c r="M17" s="4" t="s">
        <v>20</v>
      </c>
      <c r="N17" s="4" t="s">
        <v>56</v>
      </c>
    </row>
    <row r="18" spans="1:14">
      <c r="A18" s="4" t="s">
        <v>169</v>
      </c>
      <c r="B18" s="4" t="s">
        <v>69</v>
      </c>
      <c r="C18" s="4"/>
      <c r="D18" s="4" t="s">
        <v>17</v>
      </c>
      <c r="E18" s="4" t="s">
        <v>51</v>
      </c>
      <c r="F18" s="4" t="s">
        <v>52</v>
      </c>
      <c r="G18" s="2">
        <v>5000</v>
      </c>
      <c r="H18" s="2">
        <v>35600</v>
      </c>
      <c r="I18" s="3">
        <f>H18/G18</f>
        <v>7.12</v>
      </c>
      <c r="J18" s="3">
        <f>INDEX('汇率表'!$A:$XFD,MATCH(B18,'汇率表'!$A:$A,0),MATCH(N18,'汇率表'!$1:$1,0))</f>
        <v>6.9228</v>
      </c>
      <c r="K18" s="3">
        <f>I18-J18</f>
        <v>0.19720000000000049</v>
      </c>
      <c r="L18" s="4" t="s">
        <v>170</v>
      </c>
      <c r="M18" s="4" t="s">
        <v>18</v>
      </c>
      <c r="N18" s="4" t="s">
        <v>20</v>
      </c>
    </row>
    <row r="19" spans="1:14">
      <c r="A19" s="4" t="s">
        <v>169</v>
      </c>
      <c r="B19" s="4" t="s">
        <v>69</v>
      </c>
      <c r="C19" s="4"/>
      <c r="D19" s="4" t="s">
        <v>17</v>
      </c>
      <c r="E19" s="4" t="s">
        <v>54</v>
      </c>
      <c r="F19" s="4" t="s">
        <v>55</v>
      </c>
      <c r="G19" s="2">
        <v>-100000</v>
      </c>
      <c r="H19" s="2">
        <v>-783000</v>
      </c>
      <c r="I19" s="3">
        <f>H19/G19</f>
        <v>7.83</v>
      </c>
      <c r="J19" s="3">
        <f>INDEX('汇率表'!$A:$XFD,MATCH(B19,'汇率表'!$A:$A,0),MATCH(N19,'汇率表'!$1:$1,0))</f>
        <v>8.120800000000001</v>
      </c>
      <c r="K19" s="3">
        <f>I19-J19</f>
        <v>-0.29080000000000084</v>
      </c>
      <c r="L19" s="4" t="s">
        <v>170</v>
      </c>
      <c r="M19" s="4" t="s">
        <v>18</v>
      </c>
      <c r="N19" s="4" t="s">
        <v>56</v>
      </c>
    </row>
    <row r="20" spans="1:14">
      <c r="A20" s="4" t="s">
        <v>169</v>
      </c>
      <c r="B20" s="4" t="s">
        <v>69</v>
      </c>
      <c r="C20" s="4"/>
      <c r="D20" s="4" t="s">
        <v>17</v>
      </c>
      <c r="E20" s="4" t="s">
        <v>54</v>
      </c>
      <c r="F20" s="4" t="s">
        <v>57</v>
      </c>
      <c r="G20" s="2">
        <v>-90000</v>
      </c>
      <c r="H20" s="2">
        <v>-81900</v>
      </c>
      <c r="I20" s="3">
        <f>H20/G20</f>
        <v>0.91</v>
      </c>
      <c r="J20" s="3">
        <f>INDEX('汇率表'!$A:$XFD,MATCH(B20,'汇率表'!$A:$A,0),MATCH(N20,'汇率表'!$1:$1,0))</f>
        <v>0.88484</v>
      </c>
      <c r="K20" s="3">
        <f>I20-J20</f>
        <v>0.02516000000000007</v>
      </c>
      <c r="L20" s="4" t="s">
        <v>170</v>
      </c>
      <c r="M20" s="4" t="s">
        <v>18</v>
      </c>
      <c r="N20" s="4" t="s">
        <v>58</v>
      </c>
    </row>
    <row r="21" spans="1:14">
      <c r="A21" s="4" t="s">
        <v>169</v>
      </c>
      <c r="B21" s="4" t="s">
        <v>69</v>
      </c>
      <c r="C21" s="4"/>
      <c r="D21" s="4" t="s">
        <v>17</v>
      </c>
      <c r="E21" s="4" t="s">
        <v>54</v>
      </c>
      <c r="F21" s="4" t="s">
        <v>59</v>
      </c>
      <c r="G21" s="2">
        <v>-3300000</v>
      </c>
      <c r="H21" s="2">
        <v>-159060</v>
      </c>
      <c r="I21" s="3">
        <f>H21/G21</f>
        <v>0.0482</v>
      </c>
      <c r="J21" s="3">
        <f>INDEX('汇率表'!$A:$XFD,MATCH(B21,'汇率表'!$A:$A,0),MATCH(N21,'汇率表'!$1:$1,0))</f>
        <v>0.044216</v>
      </c>
      <c r="K21" s="3">
        <f>I21-J21</f>
        <v>0.003984000000000001</v>
      </c>
      <c r="L21" s="4" t="s">
        <v>170</v>
      </c>
      <c r="M21" s="4" t="s">
        <v>18</v>
      </c>
      <c r="N21" s="4" t="s">
        <v>60</v>
      </c>
    </row>
    <row r="22" spans="1:14">
      <c r="A22" s="4" t="s">
        <v>169</v>
      </c>
      <c r="B22" s="4" t="s">
        <v>69</v>
      </c>
      <c r="C22" s="4"/>
      <c r="D22" s="4" t="s">
        <v>17</v>
      </c>
      <c r="E22" s="4" t="s">
        <v>54</v>
      </c>
      <c r="F22" s="4" t="s">
        <v>52</v>
      </c>
      <c r="G22" s="2">
        <v>-40000</v>
      </c>
      <c r="H22" s="2">
        <v>-284800</v>
      </c>
      <c r="I22" s="3">
        <f>H22/G22</f>
        <v>7.12</v>
      </c>
      <c r="J22" s="3">
        <f>INDEX('汇率表'!$A:$XFD,MATCH(B22,'汇率表'!$A:$A,0),MATCH(N22,'汇率表'!$1:$1,0))</f>
        <v>6.9228</v>
      </c>
      <c r="K22" s="3">
        <f>I22-J22</f>
        <v>0.19720000000000049</v>
      </c>
      <c r="L22" s="4" t="s">
        <v>170</v>
      </c>
      <c r="M22" s="4" t="s">
        <v>18</v>
      </c>
      <c r="N22" s="4" t="s">
        <v>20</v>
      </c>
    </row>
    <row r="23" spans="1:14">
      <c r="A23" s="4" t="s">
        <v>169</v>
      </c>
      <c r="B23" s="4" t="s">
        <v>69</v>
      </c>
      <c r="C23" s="4"/>
      <c r="D23" s="4" t="s">
        <v>17</v>
      </c>
      <c r="E23" s="4" t="s">
        <v>61</v>
      </c>
      <c r="F23" s="4" t="s">
        <v>55</v>
      </c>
      <c r="G23" s="2">
        <v>48400</v>
      </c>
      <c r="H23" s="2">
        <v>378972</v>
      </c>
      <c r="I23" s="3">
        <f>H23/G23</f>
        <v>7.83</v>
      </c>
      <c r="J23" s="3">
        <f>INDEX('汇率表'!$A:$XFD,MATCH(B23,'汇率表'!$A:$A,0),MATCH(N23,'汇率表'!$1:$1,0))</f>
        <v>8.120800000000001</v>
      </c>
      <c r="K23" s="3">
        <f>I23-J23</f>
        <v>-0.29080000000000084</v>
      </c>
      <c r="L23" s="4" t="s">
        <v>170</v>
      </c>
      <c r="M23" s="4" t="s">
        <v>18</v>
      </c>
      <c r="N23" s="4" t="s">
        <v>56</v>
      </c>
    </row>
    <row r="24" spans="1:14">
      <c r="A24" s="4" t="s">
        <v>169</v>
      </c>
      <c r="B24" s="4" t="s">
        <v>69</v>
      </c>
      <c r="C24" s="4"/>
      <c r="D24" s="4" t="s">
        <v>17</v>
      </c>
      <c r="E24" s="4" t="s">
        <v>61</v>
      </c>
      <c r="F24" s="4" t="s">
        <v>57</v>
      </c>
      <c r="G24" s="2">
        <v>30000</v>
      </c>
      <c r="H24" s="2">
        <v>27300</v>
      </c>
      <c r="I24" s="3">
        <f>H24/G24</f>
        <v>0.91</v>
      </c>
      <c r="J24" s="3">
        <f>INDEX('汇率表'!$A:$XFD,MATCH(B24,'汇率表'!$A:$A,0),MATCH(N24,'汇率表'!$1:$1,0))</f>
        <v>0.88484</v>
      </c>
      <c r="K24" s="3">
        <f>I24-J24</f>
        <v>0.02516000000000007</v>
      </c>
      <c r="L24" s="4" t="s">
        <v>170</v>
      </c>
      <c r="M24" s="4" t="s">
        <v>18</v>
      </c>
      <c r="N24" s="4" t="s">
        <v>58</v>
      </c>
    </row>
    <row r="25" spans="1:14">
      <c r="A25" s="4" t="s">
        <v>169</v>
      </c>
      <c r="B25" s="4" t="s">
        <v>69</v>
      </c>
      <c r="C25" s="4"/>
      <c r="D25" s="4" t="s">
        <v>17</v>
      </c>
      <c r="E25" s="4" t="s">
        <v>61</v>
      </c>
      <c r="F25" s="4" t="s">
        <v>52</v>
      </c>
      <c r="G25" s="2">
        <v>164500</v>
      </c>
      <c r="H25" s="2">
        <v>1171240</v>
      </c>
      <c r="I25" s="3">
        <f>H25/G25</f>
        <v>7.12</v>
      </c>
      <c r="J25" s="3">
        <f>INDEX('汇率表'!$A:$XFD,MATCH(B25,'汇率表'!$A:$A,0),MATCH(N25,'汇率表'!$1:$1,0))</f>
        <v>6.9228</v>
      </c>
      <c r="K25" s="3">
        <f>I25-J25</f>
        <v>0.19720000000000049</v>
      </c>
      <c r="L25" s="4" t="s">
        <v>170</v>
      </c>
      <c r="M25" s="4" t="s">
        <v>18</v>
      </c>
      <c r="N25" s="4" t="s">
        <v>20</v>
      </c>
    </row>
    <row r="26" spans="1:14">
      <c r="A26" s="4" t="s">
        <v>169</v>
      </c>
      <c r="B26" s="4" t="s">
        <v>69</v>
      </c>
      <c r="C26" s="4"/>
      <c r="D26" s="4" t="s">
        <v>17</v>
      </c>
      <c r="E26" s="4" t="s">
        <v>62</v>
      </c>
      <c r="F26" s="4" t="s">
        <v>55</v>
      </c>
      <c r="G26" s="2">
        <v>48000</v>
      </c>
      <c r="H26" s="2">
        <v>375840</v>
      </c>
      <c r="I26" s="3">
        <f>H26/G26</f>
        <v>7.83</v>
      </c>
      <c r="J26" s="3">
        <f>INDEX('汇率表'!$A:$XFD,MATCH(B26,'汇率表'!$A:$A,0),MATCH(N26,'汇率表'!$1:$1,0))</f>
        <v>8.120800000000001</v>
      </c>
      <c r="K26" s="3">
        <f>I26-J26</f>
        <v>-0.29080000000000084</v>
      </c>
      <c r="L26" s="4" t="s">
        <v>170</v>
      </c>
      <c r="M26" s="4" t="s">
        <v>18</v>
      </c>
      <c r="N26" s="4" t="s">
        <v>56</v>
      </c>
    </row>
    <row r="27" spans="1:14">
      <c r="A27" s="4" t="s">
        <v>169</v>
      </c>
      <c r="B27" s="4" t="s">
        <v>69</v>
      </c>
      <c r="C27" s="4"/>
      <c r="D27" s="4" t="s">
        <v>17</v>
      </c>
      <c r="E27" s="4" t="s">
        <v>62</v>
      </c>
      <c r="F27" s="4" t="s">
        <v>57</v>
      </c>
      <c r="G27" s="2">
        <v>90000</v>
      </c>
      <c r="H27" s="2">
        <v>81900</v>
      </c>
      <c r="I27" s="3">
        <f>H27/G27</f>
        <v>0.91</v>
      </c>
      <c r="J27" s="3">
        <f>INDEX('汇率表'!$A:$XFD,MATCH(B27,'汇率表'!$A:$A,0),MATCH(N27,'汇率表'!$1:$1,0))</f>
        <v>0.88484</v>
      </c>
      <c r="K27" s="3">
        <f>I27-J27</f>
        <v>0.02516000000000007</v>
      </c>
      <c r="L27" s="4" t="s">
        <v>170</v>
      </c>
      <c r="M27" s="4" t="s">
        <v>18</v>
      </c>
      <c r="N27" s="4" t="s">
        <v>58</v>
      </c>
    </row>
    <row r="28" spans="1:14">
      <c r="A28" s="4" t="s">
        <v>169</v>
      </c>
      <c r="B28" s="4" t="s">
        <v>69</v>
      </c>
      <c r="C28" s="4"/>
      <c r="D28" s="4" t="s">
        <v>17</v>
      </c>
      <c r="E28" s="4" t="s">
        <v>62</v>
      </c>
      <c r="F28" s="4" t="s">
        <v>52</v>
      </c>
      <c r="G28" s="2">
        <v>370000</v>
      </c>
      <c r="H28" s="2">
        <v>2634400</v>
      </c>
      <c r="I28" s="3">
        <f>H28/G28</f>
        <v>7.12</v>
      </c>
      <c r="J28" s="3">
        <f>INDEX('汇率表'!$A:$XFD,MATCH(B28,'汇率表'!$A:$A,0),MATCH(N28,'汇率表'!$1:$1,0))</f>
        <v>6.9228</v>
      </c>
      <c r="K28" s="3">
        <f>I28-J28</f>
        <v>0.19720000000000049</v>
      </c>
      <c r="L28" s="4" t="s">
        <v>170</v>
      </c>
      <c r="M28" s="4" t="s">
        <v>18</v>
      </c>
      <c r="N28" s="4" t="s">
        <v>20</v>
      </c>
    </row>
    <row r="29" spans="1:14">
      <c r="A29" s="4" t="s">
        <v>169</v>
      </c>
      <c r="B29" s="4" t="s">
        <v>69</v>
      </c>
      <c r="C29" s="4"/>
      <c r="D29" s="4" t="s">
        <v>17</v>
      </c>
      <c r="E29" s="4" t="s">
        <v>63</v>
      </c>
      <c r="F29" s="4" t="s">
        <v>52</v>
      </c>
      <c r="G29" s="2">
        <v>-200000</v>
      </c>
      <c r="H29" s="2">
        <v>-1424000</v>
      </c>
      <c r="I29" s="3">
        <f>H29/G29</f>
        <v>7.12</v>
      </c>
      <c r="J29" s="3">
        <f>INDEX('汇率表'!$A:$XFD,MATCH(B29,'汇率表'!$A:$A,0),MATCH(N29,'汇率表'!$1:$1,0))</f>
        <v>6.9228</v>
      </c>
      <c r="K29" s="3">
        <f>I29-J29</f>
        <v>0.19720000000000049</v>
      </c>
      <c r="L29" s="4" t="s">
        <v>170</v>
      </c>
      <c r="M29" s="4" t="s">
        <v>18</v>
      </c>
      <c r="N29" s="4" t="s">
        <v>20</v>
      </c>
    </row>
    <row r="30" spans="1:14">
      <c r="A30" s="4" t="s">
        <v>169</v>
      </c>
      <c r="B30" s="4" t="s">
        <v>69</v>
      </c>
      <c r="C30" s="4"/>
      <c r="D30" s="4" t="s">
        <v>19</v>
      </c>
      <c r="E30" s="4" t="s">
        <v>64</v>
      </c>
      <c r="F30" s="4" t="s">
        <v>65</v>
      </c>
      <c r="G30" s="2">
        <v>1000</v>
      </c>
      <c r="H30" s="2">
        <v>1100</v>
      </c>
      <c r="I30" s="3">
        <f>H30/G30</f>
        <v>1.1</v>
      </c>
      <c r="J30" s="3">
        <f>INDEX('汇率表'!$A:$XFD,MATCH(B30,'汇率表'!$A:$A,0),MATCH(N30,'汇率表'!$1:$1,0))/INDEX('汇率表'!$A:$XFD,MATCH(B30,'汇率表'!$A:$A,0),MATCH(M30,'汇率表'!$1:$1,0))</f>
        <v>1.1730513664991047</v>
      </c>
      <c r="K30" s="3">
        <f>I30-J30</f>
        <v>-0.0730513664991046</v>
      </c>
      <c r="L30" s="4" t="s">
        <v>170</v>
      </c>
      <c r="M30" s="4" t="s">
        <v>20</v>
      </c>
      <c r="N30" s="4" t="s">
        <v>56</v>
      </c>
    </row>
    <row r="31" spans="1:14">
      <c r="A31" s="4" t="s">
        <v>169</v>
      </c>
      <c r="B31" s="4" t="s">
        <v>69</v>
      </c>
      <c r="C31" s="4"/>
      <c r="D31" s="4" t="s">
        <v>19</v>
      </c>
      <c r="E31" s="4" t="s">
        <v>66</v>
      </c>
      <c r="F31" s="4" t="s">
        <v>65</v>
      </c>
      <c r="G31" s="2">
        <v>-27600</v>
      </c>
      <c r="H31" s="2">
        <v>-30360</v>
      </c>
      <c r="I31" s="3">
        <f>H31/G31</f>
        <v>1.1</v>
      </c>
      <c r="J31" s="3">
        <f>INDEX('汇率表'!$A:$XFD,MATCH(B31,'汇率表'!$A:$A,0),MATCH(N31,'汇率表'!$1:$1,0))/INDEX('汇率表'!$A:$XFD,MATCH(B31,'汇率表'!$A:$A,0),MATCH(M31,'汇率表'!$1:$1,0))</f>
        <v>1.1730513664991047</v>
      </c>
      <c r="K31" s="3">
        <f>I31-J31</f>
        <v>-0.0730513664991046</v>
      </c>
      <c r="L31" s="4" t="s">
        <v>170</v>
      </c>
      <c r="M31" s="4" t="s">
        <v>20</v>
      </c>
      <c r="N31" s="4" t="s">
        <v>56</v>
      </c>
    </row>
    <row r="32" spans="1:14">
      <c r="A32" s="4" t="s">
        <v>169</v>
      </c>
      <c r="B32" s="4" t="s">
        <v>69</v>
      </c>
      <c r="C32" s="4"/>
      <c r="D32" s="4" t="s">
        <v>19</v>
      </c>
      <c r="E32" s="4" t="s">
        <v>67</v>
      </c>
      <c r="F32" s="4" t="s">
        <v>65</v>
      </c>
      <c r="G32" s="2">
        <v>11600</v>
      </c>
      <c r="H32" s="2">
        <v>12760</v>
      </c>
      <c r="I32" s="3">
        <f>H32/G32</f>
        <v>1.1</v>
      </c>
      <c r="J32" s="3">
        <f>INDEX('汇率表'!$A:$XFD,MATCH(B32,'汇率表'!$A:$A,0),MATCH(N32,'汇率表'!$1:$1,0))/INDEX('汇率表'!$A:$XFD,MATCH(B32,'汇率表'!$A:$A,0),MATCH(M32,'汇率表'!$1:$1,0))</f>
        <v>1.1730513664991047</v>
      </c>
      <c r="K32" s="3">
        <f>I32-J32</f>
        <v>-0.0730513664991046</v>
      </c>
      <c r="L32" s="4" t="s">
        <v>170</v>
      </c>
      <c r="M32" s="4" t="s">
        <v>20</v>
      </c>
      <c r="N32" s="4" t="s">
        <v>56</v>
      </c>
    </row>
    <row r="33" spans="1:14">
      <c r="A33" s="4" t="s">
        <v>169</v>
      </c>
      <c r="B33" s="4" t="s">
        <v>69</v>
      </c>
      <c r="C33" s="4"/>
      <c r="D33" s="4" t="s">
        <v>19</v>
      </c>
      <c r="E33" s="4" t="s">
        <v>68</v>
      </c>
      <c r="F33" s="4" t="s">
        <v>65</v>
      </c>
      <c r="G33" s="2">
        <v>17600</v>
      </c>
      <c r="H33" s="2">
        <v>19360</v>
      </c>
      <c r="I33" s="3">
        <f>H33/G33</f>
        <v>1.1</v>
      </c>
      <c r="J33" s="3">
        <f>INDEX('汇率表'!$A:$XFD,MATCH(B33,'汇率表'!$A:$A,0),MATCH(N33,'汇率表'!$1:$1,0))/INDEX('汇率表'!$A:$XFD,MATCH(B33,'汇率表'!$A:$A,0),MATCH(M33,'汇率表'!$1:$1,0))</f>
        <v>1.1730513664991047</v>
      </c>
      <c r="K33" s="3">
        <f>I33-J33</f>
        <v>-0.0730513664991046</v>
      </c>
      <c r="L33" s="4" t="s">
        <v>170</v>
      </c>
      <c r="M33" s="4" t="s">
        <v>20</v>
      </c>
      <c r="N33" s="4" t="s">
        <v>56</v>
      </c>
    </row>
    <row r="34" spans="1:14">
      <c r="A34" s="4" t="s">
        <v>169</v>
      </c>
      <c r="B34" s="4" t="s">
        <v>70</v>
      </c>
      <c r="C34" s="4"/>
      <c r="D34" s="4" t="s">
        <v>17</v>
      </c>
      <c r="E34" s="4" t="s">
        <v>51</v>
      </c>
      <c r="F34" s="4" t="s">
        <v>52</v>
      </c>
      <c r="G34" s="2">
        <v>5000</v>
      </c>
      <c r="H34" s="2">
        <v>35600</v>
      </c>
      <c r="I34" s="3">
        <f>H34/G34</f>
        <v>7.12</v>
      </c>
      <c r="J34" s="3">
        <f>INDEX('汇率表'!$A:$XFD,MATCH(B34,'汇率表'!$A:$A,0),MATCH(N34,'汇率表'!$1:$1,0))</f>
        <v>6.9194</v>
      </c>
      <c r="K34" s="3">
        <f>I34-J34</f>
        <v>0.20059999999999967</v>
      </c>
      <c r="L34" s="4" t="s">
        <v>170</v>
      </c>
      <c r="M34" s="4" t="s">
        <v>18</v>
      </c>
      <c r="N34" s="4" t="s">
        <v>20</v>
      </c>
    </row>
    <row r="35" spans="1:14">
      <c r="A35" s="4" t="s">
        <v>169</v>
      </c>
      <c r="B35" s="4" t="s">
        <v>70</v>
      </c>
      <c r="C35" s="4"/>
      <c r="D35" s="4" t="s">
        <v>17</v>
      </c>
      <c r="E35" s="4" t="s">
        <v>54</v>
      </c>
      <c r="F35" s="4" t="s">
        <v>55</v>
      </c>
      <c r="G35" s="2">
        <v>-95000</v>
      </c>
      <c r="H35" s="2">
        <v>-743850</v>
      </c>
      <c r="I35" s="3">
        <f>H35/G35</f>
        <v>7.83</v>
      </c>
      <c r="J35" s="3">
        <f>INDEX('汇率表'!$A:$XFD,MATCH(B35,'汇率表'!$A:$A,0),MATCH(N35,'汇率表'!$1:$1,0))</f>
        <v>7.9302</v>
      </c>
      <c r="K35" s="3">
        <f>I35-J35</f>
        <v>-0.10020000000000007</v>
      </c>
      <c r="L35" s="4" t="s">
        <v>170</v>
      </c>
      <c r="M35" s="4" t="s">
        <v>18</v>
      </c>
      <c r="N35" s="4" t="s">
        <v>56</v>
      </c>
    </row>
    <row r="36" spans="1:14">
      <c r="A36" s="4" t="s">
        <v>169</v>
      </c>
      <c r="B36" s="4" t="s">
        <v>70</v>
      </c>
      <c r="C36" s="4"/>
      <c r="D36" s="4" t="s">
        <v>17</v>
      </c>
      <c r="E36" s="4" t="s">
        <v>54</v>
      </c>
      <c r="F36" s="4" t="s">
        <v>57</v>
      </c>
      <c r="G36" s="2">
        <v>-85000</v>
      </c>
      <c r="H36" s="2">
        <v>-77350</v>
      </c>
      <c r="I36" s="3">
        <f>H36/G36</f>
        <v>0.91</v>
      </c>
      <c r="J36" s="3">
        <f>INDEX('汇率表'!$A:$XFD,MATCH(B36,'汇率表'!$A:$A,0),MATCH(N36,'汇率表'!$1:$1,0))</f>
        <v>0.88295</v>
      </c>
      <c r="K36" s="3">
        <f>I36-J36</f>
        <v>0.02705000000000002</v>
      </c>
      <c r="L36" s="4" t="s">
        <v>170</v>
      </c>
      <c r="M36" s="4" t="s">
        <v>18</v>
      </c>
      <c r="N36" s="4" t="s">
        <v>58</v>
      </c>
    </row>
    <row r="37" spans="1:14">
      <c r="A37" s="4" t="s">
        <v>169</v>
      </c>
      <c r="B37" s="4" t="s">
        <v>70</v>
      </c>
      <c r="C37" s="4"/>
      <c r="D37" s="4" t="s">
        <v>17</v>
      </c>
      <c r="E37" s="4" t="s">
        <v>54</v>
      </c>
      <c r="F37" s="4" t="s">
        <v>59</v>
      </c>
      <c r="G37" s="2">
        <v>-5100000</v>
      </c>
      <c r="H37" s="2">
        <v>-245820</v>
      </c>
      <c r="I37" s="3">
        <f>H37/G37</f>
        <v>0.0482</v>
      </c>
      <c r="J37" s="3">
        <f>INDEX('汇率表'!$A:$XFD,MATCH(B37,'汇率表'!$A:$A,0),MATCH(N37,'汇率表'!$1:$1,0))</f>
        <v>0.043296</v>
      </c>
      <c r="K37" s="3">
        <f>I37-J37</f>
        <v>0.004903999999999999</v>
      </c>
      <c r="L37" s="4" t="s">
        <v>170</v>
      </c>
      <c r="M37" s="4" t="s">
        <v>18</v>
      </c>
      <c r="N37" s="4" t="s">
        <v>60</v>
      </c>
    </row>
    <row r="38" spans="1:14">
      <c r="A38" s="4" t="s">
        <v>169</v>
      </c>
      <c r="B38" s="4" t="s">
        <v>70</v>
      </c>
      <c r="C38" s="4"/>
      <c r="D38" s="4" t="s">
        <v>17</v>
      </c>
      <c r="E38" s="4" t="s">
        <v>54</v>
      </c>
      <c r="F38" s="4" t="s">
        <v>52</v>
      </c>
      <c r="G38" s="2">
        <v>-40000</v>
      </c>
      <c r="H38" s="2">
        <v>-284800</v>
      </c>
      <c r="I38" s="3">
        <f>H38/G38</f>
        <v>7.12</v>
      </c>
      <c r="J38" s="3">
        <f>INDEX('汇率表'!$A:$XFD,MATCH(B38,'汇率表'!$A:$A,0),MATCH(N38,'汇率表'!$1:$1,0))</f>
        <v>6.9194</v>
      </c>
      <c r="K38" s="3">
        <f>I38-J38</f>
        <v>0.20059999999999967</v>
      </c>
      <c r="L38" s="4" t="s">
        <v>170</v>
      </c>
      <c r="M38" s="4" t="s">
        <v>18</v>
      </c>
      <c r="N38" s="4" t="s">
        <v>20</v>
      </c>
    </row>
    <row r="39" spans="1:14">
      <c r="A39" s="4" t="s">
        <v>169</v>
      </c>
      <c r="B39" s="4" t="s">
        <v>70</v>
      </c>
      <c r="C39" s="4"/>
      <c r="D39" s="4" t="s">
        <v>17</v>
      </c>
      <c r="E39" s="4" t="s">
        <v>61</v>
      </c>
      <c r="F39" s="4" t="s">
        <v>55</v>
      </c>
      <c r="G39" s="2">
        <v>53800</v>
      </c>
      <c r="H39" s="2">
        <v>421254</v>
      </c>
      <c r="I39" s="3">
        <f>H39/G39</f>
        <v>7.83</v>
      </c>
      <c r="J39" s="3">
        <f>INDEX('汇率表'!$A:$XFD,MATCH(B39,'汇率表'!$A:$A,0),MATCH(N39,'汇率表'!$1:$1,0))</f>
        <v>7.9302</v>
      </c>
      <c r="K39" s="3">
        <f>I39-J39</f>
        <v>-0.10020000000000007</v>
      </c>
      <c r="L39" s="4" t="s">
        <v>170</v>
      </c>
      <c r="M39" s="4" t="s">
        <v>18</v>
      </c>
      <c r="N39" s="4" t="s">
        <v>56</v>
      </c>
    </row>
    <row r="40" spans="1:14">
      <c r="A40" s="4" t="s">
        <v>169</v>
      </c>
      <c r="B40" s="4" t="s">
        <v>70</v>
      </c>
      <c r="C40" s="4"/>
      <c r="D40" s="4" t="s">
        <v>17</v>
      </c>
      <c r="E40" s="4" t="s">
        <v>61</v>
      </c>
      <c r="F40" s="4" t="s">
        <v>57</v>
      </c>
      <c r="G40" s="2">
        <v>30000</v>
      </c>
      <c r="H40" s="2">
        <v>27300</v>
      </c>
      <c r="I40" s="3">
        <f>H40/G40</f>
        <v>0.91</v>
      </c>
      <c r="J40" s="3">
        <f>INDEX('汇率表'!$A:$XFD,MATCH(B40,'汇率表'!$A:$A,0),MATCH(N40,'汇率表'!$1:$1,0))</f>
        <v>0.88295</v>
      </c>
      <c r="K40" s="3">
        <f>I40-J40</f>
        <v>0.02705000000000002</v>
      </c>
      <c r="L40" s="4" t="s">
        <v>170</v>
      </c>
      <c r="M40" s="4" t="s">
        <v>18</v>
      </c>
      <c r="N40" s="4" t="s">
        <v>58</v>
      </c>
    </row>
    <row r="41" spans="1:14">
      <c r="A41" s="4" t="s">
        <v>169</v>
      </c>
      <c r="B41" s="4" t="s">
        <v>70</v>
      </c>
      <c r="C41" s="4"/>
      <c r="D41" s="4" t="s">
        <v>17</v>
      </c>
      <c r="E41" s="4" t="s">
        <v>61</v>
      </c>
      <c r="F41" s="4" t="s">
        <v>52</v>
      </c>
      <c r="G41" s="2">
        <v>174000</v>
      </c>
      <c r="H41" s="2">
        <v>1238880</v>
      </c>
      <c r="I41" s="3">
        <f>H41/G41</f>
        <v>7.12</v>
      </c>
      <c r="J41" s="3">
        <f>INDEX('汇率表'!$A:$XFD,MATCH(B41,'汇率表'!$A:$A,0),MATCH(N41,'汇率表'!$1:$1,0))</f>
        <v>6.9194</v>
      </c>
      <c r="K41" s="3">
        <f>I41-J41</f>
        <v>0.20059999999999967</v>
      </c>
      <c r="L41" s="4" t="s">
        <v>170</v>
      </c>
      <c r="M41" s="4" t="s">
        <v>18</v>
      </c>
      <c r="N41" s="4" t="s">
        <v>20</v>
      </c>
    </row>
    <row r="42" spans="1:14">
      <c r="A42" s="4" t="s">
        <v>169</v>
      </c>
      <c r="B42" s="4" t="s">
        <v>70</v>
      </c>
      <c r="C42" s="4"/>
      <c r="D42" s="4" t="s">
        <v>17</v>
      </c>
      <c r="E42" s="4" t="s">
        <v>62</v>
      </c>
      <c r="F42" s="4" t="s">
        <v>55</v>
      </c>
      <c r="G42" s="2">
        <v>52000</v>
      </c>
      <c r="H42" s="2">
        <v>407160</v>
      </c>
      <c r="I42" s="3">
        <f>H42/G42</f>
        <v>7.83</v>
      </c>
      <c r="J42" s="3">
        <f>INDEX('汇率表'!$A:$XFD,MATCH(B42,'汇率表'!$A:$A,0),MATCH(N42,'汇率表'!$1:$1,0))</f>
        <v>7.9302</v>
      </c>
      <c r="K42" s="3">
        <f>I42-J42</f>
        <v>-0.10020000000000007</v>
      </c>
      <c r="L42" s="4" t="s">
        <v>170</v>
      </c>
      <c r="M42" s="4" t="s">
        <v>18</v>
      </c>
      <c r="N42" s="4" t="s">
        <v>56</v>
      </c>
    </row>
    <row r="43" spans="1:14">
      <c r="A43" s="4" t="s">
        <v>169</v>
      </c>
      <c r="B43" s="4" t="s">
        <v>70</v>
      </c>
      <c r="C43" s="4"/>
      <c r="D43" s="4" t="s">
        <v>17</v>
      </c>
      <c r="E43" s="4" t="s">
        <v>62</v>
      </c>
      <c r="F43" s="4" t="s">
        <v>57</v>
      </c>
      <c r="G43" s="2">
        <v>85000</v>
      </c>
      <c r="H43" s="2">
        <v>77350</v>
      </c>
      <c r="I43" s="3">
        <f>H43/G43</f>
        <v>0.91</v>
      </c>
      <c r="J43" s="3">
        <f>INDEX('汇率表'!$A:$XFD,MATCH(B43,'汇率表'!$A:$A,0),MATCH(N43,'汇率表'!$1:$1,0))</f>
        <v>0.88295</v>
      </c>
      <c r="K43" s="3">
        <f>I43-J43</f>
        <v>0.02705000000000002</v>
      </c>
      <c r="L43" s="4" t="s">
        <v>170</v>
      </c>
      <c r="M43" s="4" t="s">
        <v>18</v>
      </c>
      <c r="N43" s="4" t="s">
        <v>58</v>
      </c>
    </row>
    <row r="44" spans="1:14">
      <c r="A44" s="4" t="s">
        <v>169</v>
      </c>
      <c r="B44" s="4" t="s">
        <v>70</v>
      </c>
      <c r="C44" s="4"/>
      <c r="D44" s="4" t="s">
        <v>17</v>
      </c>
      <c r="E44" s="4" t="s">
        <v>62</v>
      </c>
      <c r="F44" s="4" t="s">
        <v>52</v>
      </c>
      <c r="G44" s="2">
        <v>355000</v>
      </c>
      <c r="H44" s="2">
        <v>2527600</v>
      </c>
      <c r="I44" s="3">
        <f>H44/G44</f>
        <v>7.12</v>
      </c>
      <c r="J44" s="3">
        <f>INDEX('汇率表'!$A:$XFD,MATCH(B44,'汇率表'!$A:$A,0),MATCH(N44,'汇率表'!$1:$1,0))</f>
        <v>6.9194</v>
      </c>
      <c r="K44" s="3">
        <f>I44-J44</f>
        <v>0.20059999999999967</v>
      </c>
      <c r="L44" s="4" t="s">
        <v>170</v>
      </c>
      <c r="M44" s="4" t="s">
        <v>18</v>
      </c>
      <c r="N44" s="4" t="s">
        <v>20</v>
      </c>
    </row>
    <row r="45" spans="1:14">
      <c r="A45" s="4" t="s">
        <v>169</v>
      </c>
      <c r="B45" s="4" t="s">
        <v>70</v>
      </c>
      <c r="C45" s="4"/>
      <c r="D45" s="4" t="s">
        <v>17</v>
      </c>
      <c r="E45" s="4" t="s">
        <v>63</v>
      </c>
      <c r="F45" s="4" t="s">
        <v>52</v>
      </c>
      <c r="G45" s="2">
        <v>-150000</v>
      </c>
      <c r="H45" s="2">
        <v>-1068000</v>
      </c>
      <c r="I45" s="3">
        <f>H45/G45</f>
        <v>7.12</v>
      </c>
      <c r="J45" s="3">
        <f>INDEX('汇率表'!$A:$XFD,MATCH(B45,'汇率表'!$A:$A,0),MATCH(N45,'汇率表'!$1:$1,0))</f>
        <v>6.9194</v>
      </c>
      <c r="K45" s="3">
        <f>I45-J45</f>
        <v>0.20059999999999967</v>
      </c>
      <c r="L45" s="4" t="s">
        <v>170</v>
      </c>
      <c r="M45" s="4" t="s">
        <v>18</v>
      </c>
      <c r="N45" s="4" t="s">
        <v>20</v>
      </c>
    </row>
    <row r="46" spans="1:14">
      <c r="A46" s="4" t="s">
        <v>169</v>
      </c>
      <c r="B46" s="4" t="s">
        <v>70</v>
      </c>
      <c r="C46" s="4"/>
      <c r="D46" s="4" t="s">
        <v>19</v>
      </c>
      <c r="E46" s="4" t="s">
        <v>64</v>
      </c>
      <c r="F46" s="4" t="s">
        <v>65</v>
      </c>
      <c r="G46" s="2">
        <v>1000</v>
      </c>
      <c r="H46" s="2">
        <v>1100</v>
      </c>
      <c r="I46" s="3">
        <f>H46/G46</f>
        <v>1.1</v>
      </c>
      <c r="J46" s="3">
        <f>INDEX('汇率表'!$A:$XFD,MATCH(B46,'汇率表'!$A:$A,0),MATCH(N46,'汇率表'!$1:$1,0))/INDEX('汇率表'!$A:$XFD,MATCH(B46,'汇率表'!$A:$A,0),MATCH(M46,'汇率表'!$1:$1,0))</f>
        <v>1.1460820302338353</v>
      </c>
      <c r="K46" s="3">
        <f>I46-J46</f>
        <v>-0.04608203023383517</v>
      </c>
      <c r="L46" s="4" t="s">
        <v>170</v>
      </c>
      <c r="M46" s="4" t="s">
        <v>20</v>
      </c>
      <c r="N46" s="4" t="s">
        <v>56</v>
      </c>
    </row>
    <row r="47" spans="1:14">
      <c r="A47" s="4" t="s">
        <v>169</v>
      </c>
      <c r="B47" s="4" t="s">
        <v>70</v>
      </c>
      <c r="C47" s="4"/>
      <c r="D47" s="4" t="s">
        <v>19</v>
      </c>
      <c r="E47" s="4" t="s">
        <v>66</v>
      </c>
      <c r="F47" s="4" t="s">
        <v>65</v>
      </c>
      <c r="G47" s="2">
        <v>-26400</v>
      </c>
      <c r="H47" s="2">
        <v>-29040</v>
      </c>
      <c r="I47" s="3">
        <f>H47/G47</f>
        <v>1.1</v>
      </c>
      <c r="J47" s="3">
        <f>INDEX('汇率表'!$A:$XFD,MATCH(B47,'汇率表'!$A:$A,0),MATCH(N47,'汇率表'!$1:$1,0))/INDEX('汇率表'!$A:$XFD,MATCH(B47,'汇率表'!$A:$A,0),MATCH(M47,'汇率表'!$1:$1,0))</f>
        <v>1.1460820302338353</v>
      </c>
      <c r="K47" s="3">
        <f>I47-J47</f>
        <v>-0.04608203023383517</v>
      </c>
      <c r="L47" s="4" t="s">
        <v>170</v>
      </c>
      <c r="M47" s="4" t="s">
        <v>20</v>
      </c>
      <c r="N47" s="4" t="s">
        <v>56</v>
      </c>
    </row>
    <row r="48" spans="1:14">
      <c r="A48" s="4" t="s">
        <v>169</v>
      </c>
      <c r="B48" s="4" t="s">
        <v>70</v>
      </c>
      <c r="C48" s="4"/>
      <c r="D48" s="4" t="s">
        <v>19</v>
      </c>
      <c r="E48" s="4" t="s">
        <v>67</v>
      </c>
      <c r="F48" s="4" t="s">
        <v>65</v>
      </c>
      <c r="G48" s="2">
        <v>15200</v>
      </c>
      <c r="H48" s="2">
        <v>16720</v>
      </c>
      <c r="I48" s="3">
        <f>H48/G48</f>
        <v>1.1</v>
      </c>
      <c r="J48" s="3">
        <f>INDEX('汇率表'!$A:$XFD,MATCH(B48,'汇率表'!$A:$A,0),MATCH(N48,'汇率表'!$1:$1,0))/INDEX('汇率表'!$A:$XFD,MATCH(B48,'汇率表'!$A:$A,0),MATCH(M48,'汇率表'!$1:$1,0))</f>
        <v>1.1460820302338353</v>
      </c>
      <c r="K48" s="3">
        <f>I48-J48</f>
        <v>-0.04608203023383517</v>
      </c>
      <c r="L48" s="4" t="s">
        <v>170</v>
      </c>
      <c r="M48" s="4" t="s">
        <v>20</v>
      </c>
      <c r="N48" s="4" t="s">
        <v>56</v>
      </c>
    </row>
    <row r="49" spans="1:14">
      <c r="A49" s="4" t="s">
        <v>169</v>
      </c>
      <c r="B49" s="4" t="s">
        <v>70</v>
      </c>
      <c r="C49" s="4"/>
      <c r="D49" s="4" t="s">
        <v>19</v>
      </c>
      <c r="E49" s="4" t="s">
        <v>68</v>
      </c>
      <c r="F49" s="4" t="s">
        <v>65</v>
      </c>
      <c r="G49" s="2">
        <v>16400</v>
      </c>
      <c r="H49" s="2">
        <v>18040</v>
      </c>
      <c r="I49" s="3">
        <f>H49/G49</f>
        <v>1.1</v>
      </c>
      <c r="J49" s="3">
        <f>INDEX('汇率表'!$A:$XFD,MATCH(B49,'汇率表'!$A:$A,0),MATCH(N49,'汇率表'!$1:$1,0))/INDEX('汇率表'!$A:$XFD,MATCH(B49,'汇率表'!$A:$A,0),MATCH(M49,'汇率表'!$1:$1,0))</f>
        <v>1.1460820302338353</v>
      </c>
      <c r="K49" s="3">
        <f>I49-J49</f>
        <v>-0.04608203023383517</v>
      </c>
      <c r="L49" s="4" t="s">
        <v>170</v>
      </c>
      <c r="M49" s="4" t="s">
        <v>20</v>
      </c>
      <c r="N49" s="4" t="s">
        <v>56</v>
      </c>
    </row>
    <row r="50" spans="1:14">
      <c r="A50" s="4" t="s">
        <v>169</v>
      </c>
      <c r="B50" s="4" t="s">
        <v>71</v>
      </c>
      <c r="C50" s="4"/>
      <c r="D50" s="4" t="s">
        <v>17</v>
      </c>
      <c r="E50" s="4" t="s">
        <v>51</v>
      </c>
      <c r="F50" s="4" t="s">
        <v>52</v>
      </c>
      <c r="G50" s="2">
        <v>5000</v>
      </c>
      <c r="H50" s="2">
        <v>35600</v>
      </c>
      <c r="I50" s="3">
        <f>H50/G50</f>
        <v>7.12</v>
      </c>
      <c r="J50" s="3">
        <f>INDEX('汇率表'!$A:$XFD,MATCH(B50,'汇率表'!$A:$A,0),MATCH(N50,'汇率表'!$1:$1,0))</f>
        <v>6.8628</v>
      </c>
      <c r="K50" s="3">
        <f>I50-J50</f>
        <v>0.2572000000000001</v>
      </c>
      <c r="L50" s="4" t="s">
        <v>170</v>
      </c>
      <c r="M50" s="4" t="s">
        <v>18</v>
      </c>
      <c r="N50" s="4" t="s">
        <v>20</v>
      </c>
    </row>
    <row r="51" spans="1:14">
      <c r="A51" s="4" t="s">
        <v>169</v>
      </c>
      <c r="B51" s="4" t="s">
        <v>71</v>
      </c>
      <c r="C51" s="4"/>
      <c r="D51" s="4" t="s">
        <v>17</v>
      </c>
      <c r="E51" s="4" t="s">
        <v>54</v>
      </c>
      <c r="F51" s="4" t="s">
        <v>55</v>
      </c>
      <c r="G51" s="2">
        <v>-90000</v>
      </c>
      <c r="H51" s="2">
        <v>-704700</v>
      </c>
      <c r="I51" s="3">
        <f>H51/G51</f>
        <v>7.83</v>
      </c>
      <c r="J51" s="3">
        <f>INDEX('汇率表'!$A:$XFD,MATCH(B51,'汇率表'!$A:$A,0),MATCH(N51,'汇率表'!$1:$1,0))</f>
        <v>8.005700000000001</v>
      </c>
      <c r="K51" s="3">
        <f>I51-J51</f>
        <v>-0.17570000000000086</v>
      </c>
      <c r="L51" s="4" t="s">
        <v>170</v>
      </c>
      <c r="M51" s="4" t="s">
        <v>18</v>
      </c>
      <c r="N51" s="4" t="s">
        <v>56</v>
      </c>
    </row>
    <row r="52" spans="1:14">
      <c r="A52" s="4" t="s">
        <v>169</v>
      </c>
      <c r="B52" s="4" t="s">
        <v>71</v>
      </c>
      <c r="C52" s="4"/>
      <c r="D52" s="4" t="s">
        <v>17</v>
      </c>
      <c r="E52" s="4" t="s">
        <v>54</v>
      </c>
      <c r="F52" s="4" t="s">
        <v>57</v>
      </c>
      <c r="G52" s="2">
        <v>-80000</v>
      </c>
      <c r="H52" s="2">
        <v>-72800</v>
      </c>
      <c r="I52" s="3">
        <f>H52/G52</f>
        <v>0.91</v>
      </c>
      <c r="J52" s="3">
        <f>INDEX('汇率表'!$A:$XFD,MATCH(B52,'汇率表'!$A:$A,0),MATCH(N52,'汇率表'!$1:$1,0))</f>
        <v>0.87581</v>
      </c>
      <c r="K52" s="3">
        <f>I52-J52</f>
        <v>0.034190000000000054</v>
      </c>
      <c r="L52" s="4" t="s">
        <v>170</v>
      </c>
      <c r="M52" s="4" t="s">
        <v>18</v>
      </c>
      <c r="N52" s="4" t="s">
        <v>58</v>
      </c>
    </row>
    <row r="53" spans="1:14">
      <c r="A53" s="4" t="s">
        <v>169</v>
      </c>
      <c r="B53" s="4" t="s">
        <v>71</v>
      </c>
      <c r="C53" s="4"/>
      <c r="D53" s="4" t="s">
        <v>17</v>
      </c>
      <c r="E53" s="4" t="s">
        <v>54</v>
      </c>
      <c r="F53" s="4" t="s">
        <v>59</v>
      </c>
      <c r="G53" s="2">
        <v>-7000000</v>
      </c>
      <c r="H53" s="2">
        <v>-337400</v>
      </c>
      <c r="I53" s="3">
        <f>H53/G53</f>
        <v>0.0482</v>
      </c>
      <c r="J53" s="3">
        <f>INDEX('汇率表'!$A:$XFD,MATCH(B53,'汇率表'!$A:$A,0),MATCH(N53,'汇率表'!$1:$1,0))</f>
        <v>0.042812</v>
      </c>
      <c r="K53" s="3">
        <f>I53-J53</f>
        <v>0.005387999999999997</v>
      </c>
      <c r="L53" s="4" t="s">
        <v>170</v>
      </c>
      <c r="M53" s="4" t="s">
        <v>18</v>
      </c>
      <c r="N53" s="4" t="s">
        <v>60</v>
      </c>
    </row>
    <row r="54" spans="1:14">
      <c r="A54" s="4" t="s">
        <v>169</v>
      </c>
      <c r="B54" s="4" t="s">
        <v>71</v>
      </c>
      <c r="C54" s="4"/>
      <c r="D54" s="4" t="s">
        <v>17</v>
      </c>
      <c r="E54" s="4" t="s">
        <v>54</v>
      </c>
      <c r="F54" s="4" t="s">
        <v>52</v>
      </c>
      <c r="G54" s="2">
        <v>-40000</v>
      </c>
      <c r="H54" s="2">
        <v>-284800</v>
      </c>
      <c r="I54" s="3">
        <f>H54/G54</f>
        <v>7.12</v>
      </c>
      <c r="J54" s="3">
        <f>INDEX('汇率表'!$A:$XFD,MATCH(B54,'汇率表'!$A:$A,0),MATCH(N54,'汇率表'!$1:$1,0))</f>
        <v>6.8628</v>
      </c>
      <c r="K54" s="3">
        <f>I54-J54</f>
        <v>0.2572000000000001</v>
      </c>
      <c r="L54" s="4" t="s">
        <v>170</v>
      </c>
      <c r="M54" s="4" t="s">
        <v>18</v>
      </c>
      <c r="N54" s="4" t="s">
        <v>20</v>
      </c>
    </row>
    <row r="55" spans="1:14">
      <c r="A55" s="4" t="s">
        <v>169</v>
      </c>
      <c r="B55" s="4" t="s">
        <v>71</v>
      </c>
      <c r="C55" s="4"/>
      <c r="D55" s="4" t="s">
        <v>17</v>
      </c>
      <c r="E55" s="4" t="s">
        <v>61</v>
      </c>
      <c r="F55" s="4" t="s">
        <v>55</v>
      </c>
      <c r="G55" s="2">
        <v>60000</v>
      </c>
      <c r="H55" s="2">
        <v>469800</v>
      </c>
      <c r="I55" s="3">
        <f>H55/G55</f>
        <v>7.83</v>
      </c>
      <c r="J55" s="3">
        <f>INDEX('汇率表'!$A:$XFD,MATCH(B55,'汇率表'!$A:$A,0),MATCH(N55,'汇率表'!$1:$1,0))</f>
        <v>8.005700000000001</v>
      </c>
      <c r="K55" s="3">
        <f>I55-J55</f>
        <v>-0.17570000000000086</v>
      </c>
      <c r="L55" s="4" t="s">
        <v>170</v>
      </c>
      <c r="M55" s="4" t="s">
        <v>18</v>
      </c>
      <c r="N55" s="4" t="s">
        <v>56</v>
      </c>
    </row>
    <row r="56" spans="1:14">
      <c r="A56" s="4" t="s">
        <v>169</v>
      </c>
      <c r="B56" s="4" t="s">
        <v>71</v>
      </c>
      <c r="C56" s="4"/>
      <c r="D56" s="4" t="s">
        <v>17</v>
      </c>
      <c r="E56" s="4" t="s">
        <v>61</v>
      </c>
      <c r="F56" s="4" t="s">
        <v>57</v>
      </c>
      <c r="G56" s="2">
        <v>30000</v>
      </c>
      <c r="H56" s="2">
        <v>27300</v>
      </c>
      <c r="I56" s="3">
        <f>H56/G56</f>
        <v>0.91</v>
      </c>
      <c r="J56" s="3">
        <f>INDEX('汇率表'!$A:$XFD,MATCH(B56,'汇率表'!$A:$A,0),MATCH(N56,'汇率表'!$1:$1,0))</f>
        <v>0.87581</v>
      </c>
      <c r="K56" s="3">
        <f>I56-J56</f>
        <v>0.034190000000000054</v>
      </c>
      <c r="L56" s="4" t="s">
        <v>170</v>
      </c>
      <c r="M56" s="4" t="s">
        <v>18</v>
      </c>
      <c r="N56" s="4" t="s">
        <v>58</v>
      </c>
    </row>
    <row r="57" spans="1:14">
      <c r="A57" s="4" t="s">
        <v>169</v>
      </c>
      <c r="B57" s="4" t="s">
        <v>71</v>
      </c>
      <c r="C57" s="4"/>
      <c r="D57" s="4" t="s">
        <v>17</v>
      </c>
      <c r="E57" s="4" t="s">
        <v>61</v>
      </c>
      <c r="F57" s="4" t="s">
        <v>52</v>
      </c>
      <c r="G57" s="2">
        <v>185000</v>
      </c>
      <c r="H57" s="2">
        <v>1317200</v>
      </c>
      <c r="I57" s="3">
        <f>H57/G57</f>
        <v>7.12</v>
      </c>
      <c r="J57" s="3">
        <f>INDEX('汇率表'!$A:$XFD,MATCH(B57,'汇率表'!$A:$A,0),MATCH(N57,'汇率表'!$1:$1,0))</f>
        <v>6.8628</v>
      </c>
      <c r="K57" s="3">
        <f>I57-J57</f>
        <v>0.2572000000000001</v>
      </c>
      <c r="L57" s="4" t="s">
        <v>170</v>
      </c>
      <c r="M57" s="4" t="s">
        <v>18</v>
      </c>
      <c r="N57" s="4" t="s">
        <v>20</v>
      </c>
    </row>
    <row r="58" spans="1:14">
      <c r="A58" s="4" t="s">
        <v>169</v>
      </c>
      <c r="B58" s="4" t="s">
        <v>71</v>
      </c>
      <c r="C58" s="4"/>
      <c r="D58" s="4" t="s">
        <v>17</v>
      </c>
      <c r="E58" s="4" t="s">
        <v>62</v>
      </c>
      <c r="F58" s="4" t="s">
        <v>55</v>
      </c>
      <c r="G58" s="2">
        <v>56000</v>
      </c>
      <c r="H58" s="2">
        <v>438480</v>
      </c>
      <c r="I58" s="3">
        <f>H58/G58</f>
        <v>7.83</v>
      </c>
      <c r="J58" s="3">
        <f>INDEX('汇率表'!$A:$XFD,MATCH(B58,'汇率表'!$A:$A,0),MATCH(N58,'汇率表'!$1:$1,0))</f>
        <v>8.005700000000001</v>
      </c>
      <c r="K58" s="3">
        <f>I58-J58</f>
        <v>-0.17570000000000086</v>
      </c>
      <c r="L58" s="4" t="s">
        <v>170</v>
      </c>
      <c r="M58" s="4" t="s">
        <v>18</v>
      </c>
      <c r="N58" s="4" t="s">
        <v>56</v>
      </c>
    </row>
    <row r="59" spans="1:14">
      <c r="A59" s="4" t="s">
        <v>169</v>
      </c>
      <c r="B59" s="4" t="s">
        <v>71</v>
      </c>
      <c r="C59" s="4"/>
      <c r="D59" s="4" t="s">
        <v>17</v>
      </c>
      <c r="E59" s="4" t="s">
        <v>62</v>
      </c>
      <c r="F59" s="4" t="s">
        <v>57</v>
      </c>
      <c r="G59" s="2">
        <v>80000</v>
      </c>
      <c r="H59" s="2">
        <v>72800</v>
      </c>
      <c r="I59" s="3">
        <f>H59/G59</f>
        <v>0.91</v>
      </c>
      <c r="J59" s="3">
        <f>INDEX('汇率表'!$A:$XFD,MATCH(B59,'汇率表'!$A:$A,0),MATCH(N59,'汇率表'!$1:$1,0))</f>
        <v>0.87581</v>
      </c>
      <c r="K59" s="3">
        <f>I59-J59</f>
        <v>0.034190000000000054</v>
      </c>
      <c r="L59" s="4" t="s">
        <v>170</v>
      </c>
      <c r="M59" s="4" t="s">
        <v>18</v>
      </c>
      <c r="N59" s="4" t="s">
        <v>58</v>
      </c>
    </row>
    <row r="60" spans="1:14">
      <c r="A60" s="4" t="s">
        <v>169</v>
      </c>
      <c r="B60" s="4" t="s">
        <v>71</v>
      </c>
      <c r="C60" s="4"/>
      <c r="D60" s="4" t="s">
        <v>17</v>
      </c>
      <c r="E60" s="4" t="s">
        <v>62</v>
      </c>
      <c r="F60" s="4" t="s">
        <v>52</v>
      </c>
      <c r="G60" s="2">
        <v>390000</v>
      </c>
      <c r="H60" s="2">
        <v>2776800</v>
      </c>
      <c r="I60" s="3">
        <f>H60/G60</f>
        <v>7.12</v>
      </c>
      <c r="J60" s="3">
        <f>INDEX('汇率表'!$A:$XFD,MATCH(B60,'汇率表'!$A:$A,0),MATCH(N60,'汇率表'!$1:$1,0))</f>
        <v>6.8628</v>
      </c>
      <c r="K60" s="3">
        <f>I60-J60</f>
        <v>0.2572000000000001</v>
      </c>
      <c r="L60" s="4" t="s">
        <v>170</v>
      </c>
      <c r="M60" s="4" t="s">
        <v>18</v>
      </c>
      <c r="N60" s="4" t="s">
        <v>20</v>
      </c>
    </row>
    <row r="61" spans="1:14">
      <c r="A61" s="4" t="s">
        <v>169</v>
      </c>
      <c r="B61" s="4" t="s">
        <v>71</v>
      </c>
      <c r="C61" s="4"/>
      <c r="D61" s="4" t="s">
        <v>17</v>
      </c>
      <c r="E61" s="4" t="s">
        <v>63</v>
      </c>
      <c r="F61" s="4" t="s">
        <v>52</v>
      </c>
      <c r="G61" s="2">
        <v>-150000</v>
      </c>
      <c r="H61" s="2">
        <v>-1068000</v>
      </c>
      <c r="I61" s="3">
        <f>H61/G61</f>
        <v>7.12</v>
      </c>
      <c r="J61" s="3">
        <f>INDEX('汇率表'!$A:$XFD,MATCH(B61,'汇率表'!$A:$A,0),MATCH(N61,'汇率表'!$1:$1,0))</f>
        <v>6.8628</v>
      </c>
      <c r="K61" s="3">
        <f>I61-J61</f>
        <v>0.2572000000000001</v>
      </c>
      <c r="L61" s="4" t="s">
        <v>170</v>
      </c>
      <c r="M61" s="4" t="s">
        <v>18</v>
      </c>
      <c r="N61" s="4" t="s">
        <v>20</v>
      </c>
    </row>
    <row r="62" spans="1:14">
      <c r="A62" s="4" t="s">
        <v>169</v>
      </c>
      <c r="B62" s="4" t="s">
        <v>71</v>
      </c>
      <c r="C62" s="4"/>
      <c r="D62" s="4" t="s">
        <v>19</v>
      </c>
      <c r="E62" s="4" t="s">
        <v>64</v>
      </c>
      <c r="F62" s="4" t="s">
        <v>65</v>
      </c>
      <c r="G62" s="2">
        <v>1000</v>
      </c>
      <c r="H62" s="2">
        <v>1100</v>
      </c>
      <c r="I62" s="3">
        <f>H62/G62</f>
        <v>1.1</v>
      </c>
      <c r="J62" s="3">
        <f>INDEX('汇率表'!$A:$XFD,MATCH(B62,'汇率表'!$A:$A,0),MATCH(N62,'汇率表'!$1:$1,0))/INDEX('汇率表'!$A:$XFD,MATCH(B62,'汇率表'!$A:$A,0),MATCH(M62,'汇率表'!$1:$1,0))</f>
        <v>1.1665355248586584</v>
      </c>
      <c r="K62" s="3">
        <f>I62-J62</f>
        <v>-0.06653552485865832</v>
      </c>
      <c r="L62" s="4" t="s">
        <v>170</v>
      </c>
      <c r="M62" s="4" t="s">
        <v>20</v>
      </c>
      <c r="N62" s="4" t="s">
        <v>56</v>
      </c>
    </row>
    <row r="63" spans="1:14">
      <c r="A63" s="4" t="s">
        <v>169</v>
      </c>
      <c r="B63" s="4" t="s">
        <v>71</v>
      </c>
      <c r="C63" s="4"/>
      <c r="D63" s="4" t="s">
        <v>19</v>
      </c>
      <c r="E63" s="4" t="s">
        <v>66</v>
      </c>
      <c r="F63" s="4" t="s">
        <v>65</v>
      </c>
      <c r="G63" s="2">
        <v>-25200</v>
      </c>
      <c r="H63" s="2">
        <v>-27720</v>
      </c>
      <c r="I63" s="3">
        <f>H63/G63</f>
        <v>1.1</v>
      </c>
      <c r="J63" s="3">
        <f>INDEX('汇率表'!$A:$XFD,MATCH(B63,'汇率表'!$A:$A,0),MATCH(N63,'汇率表'!$1:$1,0))/INDEX('汇率表'!$A:$XFD,MATCH(B63,'汇率表'!$A:$A,0),MATCH(M63,'汇率表'!$1:$1,0))</f>
        <v>1.1665355248586584</v>
      </c>
      <c r="K63" s="3">
        <f>I63-J63</f>
        <v>-0.06653552485865832</v>
      </c>
      <c r="L63" s="4" t="s">
        <v>170</v>
      </c>
      <c r="M63" s="4" t="s">
        <v>20</v>
      </c>
      <c r="N63" s="4" t="s">
        <v>56</v>
      </c>
    </row>
    <row r="64" spans="1:14">
      <c r="A64" s="4" t="s">
        <v>169</v>
      </c>
      <c r="B64" s="4" t="s">
        <v>71</v>
      </c>
      <c r="C64" s="4"/>
      <c r="D64" s="4" t="s">
        <v>19</v>
      </c>
      <c r="E64" s="4" t="s">
        <v>67</v>
      </c>
      <c r="F64" s="4" t="s">
        <v>65</v>
      </c>
      <c r="G64" s="2">
        <v>19000</v>
      </c>
      <c r="H64" s="2">
        <v>20900</v>
      </c>
      <c r="I64" s="3">
        <f>H64/G64</f>
        <v>1.1</v>
      </c>
      <c r="J64" s="3">
        <f>INDEX('汇率表'!$A:$XFD,MATCH(B64,'汇率表'!$A:$A,0),MATCH(N64,'汇率表'!$1:$1,0))/INDEX('汇率表'!$A:$XFD,MATCH(B64,'汇率表'!$A:$A,0),MATCH(M64,'汇率表'!$1:$1,0))</f>
        <v>1.1665355248586584</v>
      </c>
      <c r="K64" s="3">
        <f>I64-J64</f>
        <v>-0.06653552485865832</v>
      </c>
      <c r="L64" s="4" t="s">
        <v>170</v>
      </c>
      <c r="M64" s="4" t="s">
        <v>20</v>
      </c>
      <c r="N64" s="4" t="s">
        <v>56</v>
      </c>
    </row>
    <row r="65" spans="1:14">
      <c r="A65" s="4" t="s">
        <v>169</v>
      </c>
      <c r="B65" s="4" t="s">
        <v>71</v>
      </c>
      <c r="C65" s="4"/>
      <c r="D65" s="4" t="s">
        <v>19</v>
      </c>
      <c r="E65" s="4" t="s">
        <v>68</v>
      </c>
      <c r="F65" s="4" t="s">
        <v>65</v>
      </c>
      <c r="G65" s="2">
        <v>15200</v>
      </c>
      <c r="H65" s="2">
        <v>16720</v>
      </c>
      <c r="I65" s="3">
        <f>H65/G65</f>
        <v>1.1</v>
      </c>
      <c r="J65" s="3">
        <f>INDEX('汇率表'!$A:$XFD,MATCH(B65,'汇率表'!$A:$A,0),MATCH(N65,'汇率表'!$1:$1,0))/INDEX('汇率表'!$A:$XFD,MATCH(B65,'汇率表'!$A:$A,0),MATCH(M65,'汇率表'!$1:$1,0))</f>
        <v>1.1665355248586584</v>
      </c>
      <c r="K65" s="3">
        <f>I65-J65</f>
        <v>-0.06653552485865832</v>
      </c>
      <c r="L65" s="4" t="s">
        <v>170</v>
      </c>
      <c r="M65" s="4" t="s">
        <v>20</v>
      </c>
      <c r="N65" s="4" t="s">
        <v>56</v>
      </c>
    </row>
    <row r="66" spans="1:14">
      <c r="A66" s="4" t="s">
        <v>169</v>
      </c>
      <c r="B66" s="4" t="s">
        <v>72</v>
      </c>
      <c r="C66" s="4"/>
      <c r="D66" s="4" t="s">
        <v>17</v>
      </c>
      <c r="E66" s="4" t="s">
        <v>51</v>
      </c>
      <c r="F66" s="4" t="s">
        <v>52</v>
      </c>
      <c r="G66" s="2">
        <v>5000</v>
      </c>
      <c r="H66" s="2">
        <v>35600</v>
      </c>
      <c r="I66" s="3">
        <f>H66/G66</f>
        <v>7.12</v>
      </c>
      <c r="J66" s="3">
        <f>INDEX('汇率表'!$A:$XFD,MATCH(B66,'汇率表'!$A:$A,0),MATCH(N66,'汇率表'!$1:$1,0))</f>
        <v>6.8176</v>
      </c>
      <c r="K66" s="3">
        <f>I66-J66</f>
        <v>0.30240000000000045</v>
      </c>
      <c r="L66" s="4" t="s">
        <v>170</v>
      </c>
      <c r="M66" s="4" t="s">
        <v>18</v>
      </c>
      <c r="N66" s="4" t="s">
        <v>20</v>
      </c>
    </row>
    <row r="67" spans="1:14">
      <c r="A67" s="4" t="s">
        <v>169</v>
      </c>
      <c r="B67" s="4" t="s">
        <v>72</v>
      </c>
      <c r="C67" s="4"/>
      <c r="D67" s="4" t="s">
        <v>17</v>
      </c>
      <c r="E67" s="4" t="s">
        <v>54</v>
      </c>
      <c r="F67" s="4" t="s">
        <v>55</v>
      </c>
      <c r="G67" s="2">
        <v>-85000</v>
      </c>
      <c r="H67" s="2">
        <v>-665550</v>
      </c>
      <c r="I67" s="3">
        <f>H67/G67</f>
        <v>7.83</v>
      </c>
      <c r="J67" s="3">
        <f>INDEX('汇率表'!$A:$XFD,MATCH(B67,'汇率表'!$A:$A,0),MATCH(N67,'汇率表'!$1:$1,0))</f>
        <v>7.916</v>
      </c>
      <c r="K67" s="3">
        <f>I67-J67</f>
        <v>-0.0860000000000003</v>
      </c>
      <c r="L67" s="4" t="s">
        <v>170</v>
      </c>
      <c r="M67" s="4" t="s">
        <v>18</v>
      </c>
      <c r="N67" s="4" t="s">
        <v>56</v>
      </c>
    </row>
    <row r="68" spans="1:14">
      <c r="A68" s="4" t="s">
        <v>169</v>
      </c>
      <c r="B68" s="4" t="s">
        <v>72</v>
      </c>
      <c r="C68" s="4"/>
      <c r="D68" s="4" t="s">
        <v>17</v>
      </c>
      <c r="E68" s="4" t="s">
        <v>54</v>
      </c>
      <c r="F68" s="4" t="s">
        <v>57</v>
      </c>
      <c r="G68" s="2">
        <v>-75000</v>
      </c>
      <c r="H68" s="2">
        <v>-68250</v>
      </c>
      <c r="I68" s="3">
        <f>H68/G68</f>
        <v>0.91</v>
      </c>
      <c r="J68" s="3">
        <f>INDEX('汇率表'!$A:$XFD,MATCH(B68,'汇率表'!$A:$A,0),MATCH(N68,'汇率表'!$1:$1,0))</f>
        <v>0.87029</v>
      </c>
      <c r="K68" s="3">
        <f>I68-J68</f>
        <v>0.03971000000000002</v>
      </c>
      <c r="L68" s="4" t="s">
        <v>170</v>
      </c>
      <c r="M68" s="4" t="s">
        <v>18</v>
      </c>
      <c r="N68" s="4" t="s">
        <v>58</v>
      </c>
    </row>
    <row r="69" spans="1:14">
      <c r="A69" s="4" t="s">
        <v>169</v>
      </c>
      <c r="B69" s="4" t="s">
        <v>72</v>
      </c>
      <c r="C69" s="4"/>
      <c r="D69" s="4" t="s">
        <v>17</v>
      </c>
      <c r="E69" s="4" t="s">
        <v>54</v>
      </c>
      <c r="F69" s="4" t="s">
        <v>59</v>
      </c>
      <c r="G69" s="2">
        <v>-9000000</v>
      </c>
      <c r="H69" s="2">
        <v>-433800</v>
      </c>
      <c r="I69" s="3">
        <f>H69/G69</f>
        <v>0.0482</v>
      </c>
      <c r="J69" s="3">
        <f>INDEX('汇率表'!$A:$XFD,MATCH(B69,'汇率表'!$A:$A,0),MATCH(N69,'汇率表'!$1:$1,0))</f>
        <v>0.042718</v>
      </c>
      <c r="K69" s="3">
        <f>I69-J69</f>
        <v>0.005482000000000001</v>
      </c>
      <c r="L69" s="4" t="s">
        <v>170</v>
      </c>
      <c r="M69" s="4" t="s">
        <v>18</v>
      </c>
      <c r="N69" s="4" t="s">
        <v>60</v>
      </c>
    </row>
    <row r="70" spans="1:14">
      <c r="A70" s="4" t="s">
        <v>169</v>
      </c>
      <c r="B70" s="4" t="s">
        <v>72</v>
      </c>
      <c r="C70" s="4"/>
      <c r="D70" s="4" t="s">
        <v>17</v>
      </c>
      <c r="E70" s="4" t="s">
        <v>54</v>
      </c>
      <c r="F70" s="4" t="s">
        <v>52</v>
      </c>
      <c r="G70" s="2">
        <v>-40000</v>
      </c>
      <c r="H70" s="2">
        <v>-284800</v>
      </c>
      <c r="I70" s="3">
        <f>H70/G70</f>
        <v>7.12</v>
      </c>
      <c r="J70" s="3">
        <f>INDEX('汇率表'!$A:$XFD,MATCH(B70,'汇率表'!$A:$A,0),MATCH(N70,'汇率表'!$1:$1,0))</f>
        <v>6.8176</v>
      </c>
      <c r="K70" s="3">
        <f>I70-J70</f>
        <v>0.30240000000000045</v>
      </c>
      <c r="L70" s="4" t="s">
        <v>170</v>
      </c>
      <c r="M70" s="4" t="s">
        <v>18</v>
      </c>
      <c r="N70" s="4" t="s">
        <v>20</v>
      </c>
    </row>
    <row r="71" spans="1:14">
      <c r="A71" s="4" t="s">
        <v>169</v>
      </c>
      <c r="B71" s="4" t="s">
        <v>72</v>
      </c>
      <c r="C71" s="4"/>
      <c r="D71" s="4" t="s">
        <v>17</v>
      </c>
      <c r="E71" s="4" t="s">
        <v>61</v>
      </c>
      <c r="F71" s="4" t="s">
        <v>55</v>
      </c>
      <c r="G71" s="2">
        <v>67000</v>
      </c>
      <c r="H71" s="2">
        <v>524610</v>
      </c>
      <c r="I71" s="3">
        <f>H71/G71</f>
        <v>7.83</v>
      </c>
      <c r="J71" s="3">
        <f>INDEX('汇率表'!$A:$XFD,MATCH(B71,'汇率表'!$A:$A,0),MATCH(N71,'汇率表'!$1:$1,0))</f>
        <v>7.916</v>
      </c>
      <c r="K71" s="3">
        <f>I71-J71</f>
        <v>-0.0860000000000003</v>
      </c>
      <c r="L71" s="4" t="s">
        <v>170</v>
      </c>
      <c r="M71" s="4" t="s">
        <v>18</v>
      </c>
      <c r="N71" s="4" t="s">
        <v>56</v>
      </c>
    </row>
    <row r="72" spans="1:14">
      <c r="A72" s="4" t="s">
        <v>169</v>
      </c>
      <c r="B72" s="4" t="s">
        <v>72</v>
      </c>
      <c r="C72" s="4"/>
      <c r="D72" s="4" t="s">
        <v>17</v>
      </c>
      <c r="E72" s="4" t="s">
        <v>61</v>
      </c>
      <c r="F72" s="4" t="s">
        <v>57</v>
      </c>
      <c r="G72" s="2">
        <v>30000</v>
      </c>
      <c r="H72" s="2">
        <v>27300</v>
      </c>
      <c r="I72" s="3">
        <f>H72/G72</f>
        <v>0.91</v>
      </c>
      <c r="J72" s="3">
        <f>INDEX('汇率表'!$A:$XFD,MATCH(B72,'汇率表'!$A:$A,0),MATCH(N72,'汇率表'!$1:$1,0))</f>
        <v>0.87029</v>
      </c>
      <c r="K72" s="3">
        <f>I72-J72</f>
        <v>0.03971000000000002</v>
      </c>
      <c r="L72" s="4" t="s">
        <v>170</v>
      </c>
      <c r="M72" s="4" t="s">
        <v>18</v>
      </c>
      <c r="N72" s="4" t="s">
        <v>58</v>
      </c>
    </row>
    <row r="73" spans="1:14">
      <c r="A73" s="4" t="s">
        <v>169</v>
      </c>
      <c r="B73" s="4" t="s">
        <v>72</v>
      </c>
      <c r="C73" s="4"/>
      <c r="D73" s="4" t="s">
        <v>17</v>
      </c>
      <c r="E73" s="4" t="s">
        <v>61</v>
      </c>
      <c r="F73" s="4" t="s">
        <v>52</v>
      </c>
      <c r="G73" s="2">
        <v>197500</v>
      </c>
      <c r="H73" s="2">
        <v>1406200</v>
      </c>
      <c r="I73" s="3">
        <f>H73/G73</f>
        <v>7.12</v>
      </c>
      <c r="J73" s="3">
        <f>INDEX('汇率表'!$A:$XFD,MATCH(B73,'汇率表'!$A:$A,0),MATCH(N73,'汇率表'!$1:$1,0))</f>
        <v>6.8176</v>
      </c>
      <c r="K73" s="3">
        <f>I73-J73</f>
        <v>0.30240000000000045</v>
      </c>
      <c r="L73" s="4" t="s">
        <v>170</v>
      </c>
      <c r="M73" s="4" t="s">
        <v>18</v>
      </c>
      <c r="N73" s="4" t="s">
        <v>20</v>
      </c>
    </row>
    <row r="74" spans="1:14">
      <c r="A74" s="4" t="s">
        <v>169</v>
      </c>
      <c r="B74" s="4" t="s">
        <v>72</v>
      </c>
      <c r="C74" s="4"/>
      <c r="D74" s="4" t="s">
        <v>17</v>
      </c>
      <c r="E74" s="4" t="s">
        <v>62</v>
      </c>
      <c r="F74" s="4" t="s">
        <v>55</v>
      </c>
      <c r="G74" s="2">
        <v>60000</v>
      </c>
      <c r="H74" s="2">
        <v>469800</v>
      </c>
      <c r="I74" s="3">
        <f>H74/G74</f>
        <v>7.83</v>
      </c>
      <c r="J74" s="3">
        <f>INDEX('汇率表'!$A:$XFD,MATCH(B74,'汇率表'!$A:$A,0),MATCH(N74,'汇率表'!$1:$1,0))</f>
        <v>7.916</v>
      </c>
      <c r="K74" s="3">
        <f>I74-J74</f>
        <v>-0.0860000000000003</v>
      </c>
      <c r="L74" s="4" t="s">
        <v>170</v>
      </c>
      <c r="M74" s="4" t="s">
        <v>18</v>
      </c>
      <c r="N74" s="4" t="s">
        <v>56</v>
      </c>
    </row>
    <row r="75" spans="1:14">
      <c r="A75" s="4" t="s">
        <v>169</v>
      </c>
      <c r="B75" s="4" t="s">
        <v>72</v>
      </c>
      <c r="C75" s="4"/>
      <c r="D75" s="4" t="s">
        <v>17</v>
      </c>
      <c r="E75" s="4" t="s">
        <v>62</v>
      </c>
      <c r="F75" s="4" t="s">
        <v>57</v>
      </c>
      <c r="G75" s="2">
        <v>75000</v>
      </c>
      <c r="H75" s="2">
        <v>68250</v>
      </c>
      <c r="I75" s="3">
        <f>H75/G75</f>
        <v>0.91</v>
      </c>
      <c r="J75" s="3">
        <f>INDEX('汇率表'!$A:$XFD,MATCH(B75,'汇率表'!$A:$A,0),MATCH(N75,'汇率表'!$1:$1,0))</f>
        <v>0.87029</v>
      </c>
      <c r="K75" s="3">
        <f>I75-J75</f>
        <v>0.03971000000000002</v>
      </c>
      <c r="L75" s="4" t="s">
        <v>170</v>
      </c>
      <c r="M75" s="4" t="s">
        <v>18</v>
      </c>
      <c r="N75" s="4" t="s">
        <v>58</v>
      </c>
    </row>
    <row r="76" spans="1:14">
      <c r="A76" s="4" t="s">
        <v>169</v>
      </c>
      <c r="B76" s="4" t="s">
        <v>72</v>
      </c>
      <c r="C76" s="4"/>
      <c r="D76" s="4" t="s">
        <v>17</v>
      </c>
      <c r="E76" s="4" t="s">
        <v>62</v>
      </c>
      <c r="F76" s="4" t="s">
        <v>52</v>
      </c>
      <c r="G76" s="2">
        <v>425000</v>
      </c>
      <c r="H76" s="2">
        <v>3026000</v>
      </c>
      <c r="I76" s="3">
        <f>H76/G76</f>
        <v>7.12</v>
      </c>
      <c r="J76" s="3">
        <f>INDEX('汇率表'!$A:$XFD,MATCH(B76,'汇率表'!$A:$A,0),MATCH(N76,'汇率表'!$1:$1,0))</f>
        <v>6.8176</v>
      </c>
      <c r="K76" s="3">
        <f>I76-J76</f>
        <v>0.30240000000000045</v>
      </c>
      <c r="L76" s="4" t="s">
        <v>170</v>
      </c>
      <c r="M76" s="4" t="s">
        <v>18</v>
      </c>
      <c r="N76" s="4" t="s">
        <v>20</v>
      </c>
    </row>
    <row r="77" spans="1:14">
      <c r="A77" s="4" t="s">
        <v>169</v>
      </c>
      <c r="B77" s="4" t="s">
        <v>72</v>
      </c>
      <c r="C77" s="4"/>
      <c r="D77" s="4" t="s">
        <v>17</v>
      </c>
      <c r="E77" s="4" t="s">
        <v>63</v>
      </c>
      <c r="F77" s="4" t="s">
        <v>52</v>
      </c>
      <c r="G77" s="2">
        <v>-150000</v>
      </c>
      <c r="H77" s="2">
        <v>-1068000</v>
      </c>
      <c r="I77" s="3">
        <f>H77/G77</f>
        <v>7.12</v>
      </c>
      <c r="J77" s="3">
        <f>INDEX('汇率表'!$A:$XFD,MATCH(B77,'汇率表'!$A:$A,0),MATCH(N77,'汇率表'!$1:$1,0))</f>
        <v>6.8176</v>
      </c>
      <c r="K77" s="3">
        <f>I77-J77</f>
        <v>0.30240000000000045</v>
      </c>
      <c r="L77" s="4" t="s">
        <v>170</v>
      </c>
      <c r="M77" s="4" t="s">
        <v>18</v>
      </c>
      <c r="N77" s="4" t="s">
        <v>20</v>
      </c>
    </row>
    <row r="78" spans="1:14">
      <c r="A78" s="4" t="s">
        <v>169</v>
      </c>
      <c r="B78" s="4" t="s">
        <v>72</v>
      </c>
      <c r="C78" s="4"/>
      <c r="D78" s="4" t="s">
        <v>19</v>
      </c>
      <c r="E78" s="4" t="s">
        <v>64</v>
      </c>
      <c r="F78" s="4" t="s">
        <v>65</v>
      </c>
      <c r="G78" s="2">
        <v>1000</v>
      </c>
      <c r="H78" s="2">
        <v>1100</v>
      </c>
      <c r="I78" s="3">
        <f>H78/G78</f>
        <v>1.1</v>
      </c>
      <c r="J78" s="3">
        <f>INDEX('汇率表'!$A:$XFD,MATCH(B78,'汇率表'!$A:$A,0),MATCH(N78,'汇率表'!$1:$1,0))/INDEX('汇率表'!$A:$XFD,MATCH(B78,'汇率表'!$A:$A,0),MATCH(M78,'汇率表'!$1:$1,0))</f>
        <v>1.1611124149260739</v>
      </c>
      <c r="K78" s="3">
        <f>I78-J78</f>
        <v>-0.06111241492607378</v>
      </c>
      <c r="L78" s="4" t="s">
        <v>170</v>
      </c>
      <c r="M78" s="4" t="s">
        <v>20</v>
      </c>
      <c r="N78" s="4" t="s">
        <v>56</v>
      </c>
    </row>
    <row r="79" spans="1:14">
      <c r="A79" s="4" t="s">
        <v>169</v>
      </c>
      <c r="B79" s="4" t="s">
        <v>72</v>
      </c>
      <c r="C79" s="4"/>
      <c r="D79" s="4" t="s">
        <v>19</v>
      </c>
      <c r="E79" s="4" t="s">
        <v>66</v>
      </c>
      <c r="F79" s="4" t="s">
        <v>65</v>
      </c>
      <c r="G79" s="2">
        <v>-24000</v>
      </c>
      <c r="H79" s="2">
        <v>-26400</v>
      </c>
      <c r="I79" s="3">
        <f>H79/G79</f>
        <v>1.1</v>
      </c>
      <c r="J79" s="3">
        <f>INDEX('汇率表'!$A:$XFD,MATCH(B79,'汇率表'!$A:$A,0),MATCH(N79,'汇率表'!$1:$1,0))/INDEX('汇率表'!$A:$XFD,MATCH(B79,'汇率表'!$A:$A,0),MATCH(M79,'汇率表'!$1:$1,0))</f>
        <v>1.1611124149260739</v>
      </c>
      <c r="K79" s="3">
        <f>I79-J79</f>
        <v>-0.06111241492607378</v>
      </c>
      <c r="L79" s="4" t="s">
        <v>170</v>
      </c>
      <c r="M79" s="4" t="s">
        <v>20</v>
      </c>
      <c r="N79" s="4" t="s">
        <v>56</v>
      </c>
    </row>
    <row r="80" spans="1:14">
      <c r="A80" s="4" t="s">
        <v>169</v>
      </c>
      <c r="B80" s="4" t="s">
        <v>72</v>
      </c>
      <c r="C80" s="4"/>
      <c r="D80" s="4" t="s">
        <v>19</v>
      </c>
      <c r="E80" s="4" t="s">
        <v>67</v>
      </c>
      <c r="F80" s="4" t="s">
        <v>65</v>
      </c>
      <c r="G80" s="2">
        <v>23000</v>
      </c>
      <c r="H80" s="2">
        <v>25300</v>
      </c>
      <c r="I80" s="3">
        <f>H80/G80</f>
        <v>1.1</v>
      </c>
      <c r="J80" s="3">
        <f>INDEX('汇率表'!$A:$XFD,MATCH(B80,'汇率表'!$A:$A,0),MATCH(N80,'汇率表'!$1:$1,0))/INDEX('汇率表'!$A:$XFD,MATCH(B80,'汇率表'!$A:$A,0),MATCH(M80,'汇率表'!$1:$1,0))</f>
        <v>1.1611124149260739</v>
      </c>
      <c r="K80" s="3">
        <f>I80-J80</f>
        <v>-0.06111241492607378</v>
      </c>
      <c r="L80" s="4" t="s">
        <v>170</v>
      </c>
      <c r="M80" s="4" t="s">
        <v>20</v>
      </c>
      <c r="N80" s="4" t="s">
        <v>56</v>
      </c>
    </row>
    <row r="81" spans="1:14">
      <c r="A81" s="4" t="s">
        <v>169</v>
      </c>
      <c r="B81" s="4" t="s">
        <v>72</v>
      </c>
      <c r="C81" s="4"/>
      <c r="D81" s="4" t="s">
        <v>19</v>
      </c>
      <c r="E81" s="4" t="s">
        <v>68</v>
      </c>
      <c r="F81" s="4" t="s">
        <v>65</v>
      </c>
      <c r="G81" s="2">
        <v>14000</v>
      </c>
      <c r="H81" s="2">
        <v>15400</v>
      </c>
      <c r="I81" s="3">
        <f>H81/G81</f>
        <v>1.1</v>
      </c>
      <c r="J81" s="3">
        <f>INDEX('汇率表'!$A:$XFD,MATCH(B81,'汇率表'!$A:$A,0),MATCH(N81,'汇率表'!$1:$1,0))/INDEX('汇率表'!$A:$XFD,MATCH(B81,'汇率表'!$A:$A,0),MATCH(M81,'汇率表'!$1:$1,0))</f>
        <v>1.1611124149260739</v>
      </c>
      <c r="K81" s="3">
        <f>I81-J81</f>
        <v>-0.06111241492607378</v>
      </c>
      <c r="L81" s="4" t="s">
        <v>170</v>
      </c>
      <c r="M81" s="4" t="s">
        <v>20</v>
      </c>
      <c r="N81" s="4" t="s">
        <v>56</v>
      </c>
    </row>
    <row r="82" spans="1:14">
      <c r="A82" s="4" t="s">
        <v>169</v>
      </c>
      <c r="B82" s="4" t="s">
        <v>30</v>
      </c>
      <c r="C82" s="4"/>
      <c r="D82" s="4" t="s">
        <v>17</v>
      </c>
      <c r="E82" s="4" t="s">
        <v>51</v>
      </c>
      <c r="F82" s="4" t="s">
        <v>52</v>
      </c>
      <c r="G82" s="2">
        <v>5041.78</v>
      </c>
      <c r="H82" s="2">
        <v>35899.98</v>
      </c>
      <c r="I82" s="3">
        <f>H82/G82</f>
        <v>7.120497126015019</v>
      </c>
      <c r="J82" s="3">
        <f>INDEX('汇率表'!$A:$XFD,MATCH(B82,'汇率表'!$A:$A,0),MATCH(N82,'汇率表'!$1:$1,0))</f>
        <v>6.8109</v>
      </c>
      <c r="K82" s="3">
        <f>I82-J82</f>
        <v>0.309597126015019</v>
      </c>
      <c r="L82" s="4" t="s">
        <v>170</v>
      </c>
      <c r="M82" s="4" t="s">
        <v>18</v>
      </c>
      <c r="N82" s="4" t="s">
        <v>20</v>
      </c>
    </row>
    <row r="83" spans="1:14">
      <c r="A83" s="4" t="s">
        <v>169</v>
      </c>
      <c r="B83" s="4" t="s">
        <v>30</v>
      </c>
      <c r="C83" s="4"/>
      <c r="D83" s="4" t="s">
        <v>17</v>
      </c>
      <c r="E83" s="4" t="s">
        <v>54</v>
      </c>
      <c r="F83" s="4" t="s">
        <v>55</v>
      </c>
      <c r="G83" s="2">
        <v>-80708.86</v>
      </c>
      <c r="H83" s="2">
        <v>-631999.99</v>
      </c>
      <c r="I83" s="3">
        <f>H83/G83</f>
        <v>7.830614755306914</v>
      </c>
      <c r="J83" s="3">
        <f>INDEX('汇率表'!$A:$XFD,MATCH(B83,'汇率表'!$A:$A,0),MATCH(N83,'汇率表'!$1:$1,0))</f>
        <v>7.7671</v>
      </c>
      <c r="K83" s="3">
        <f>I83-J83</f>
        <v>0.06351475530691353</v>
      </c>
      <c r="L83" s="4" t="s">
        <v>170</v>
      </c>
      <c r="M83" s="4" t="s">
        <v>18</v>
      </c>
      <c r="N83" s="4" t="s">
        <v>56</v>
      </c>
    </row>
    <row r="84" spans="1:14">
      <c r="A84" s="4" t="s">
        <v>169</v>
      </c>
      <c r="B84" s="4" t="s">
        <v>30</v>
      </c>
      <c r="C84" s="4"/>
      <c r="D84" s="4" t="s">
        <v>17</v>
      </c>
      <c r="E84" s="4" t="s">
        <v>54</v>
      </c>
      <c r="F84" s="4" t="s">
        <v>57</v>
      </c>
      <c r="G84" s="2">
        <v>-70382.51</v>
      </c>
      <c r="H84" s="2">
        <v>-64050</v>
      </c>
      <c r="I84" s="3">
        <f>H84/G84</f>
        <v>0.9100272212514161</v>
      </c>
      <c r="J84" s="3">
        <f>INDEX('汇率表'!$A:$XFD,MATCH(B84,'汇率表'!$A:$A,0),MATCH(N84,'汇率表'!$1:$1,0))</f>
        <v>0.86855</v>
      </c>
      <c r="K84" s="3">
        <f>I84-J84</f>
        <v>0.04147722125141606</v>
      </c>
      <c r="L84" s="4" t="s">
        <v>170</v>
      </c>
      <c r="M84" s="4" t="s">
        <v>18</v>
      </c>
      <c r="N84" s="4" t="s">
        <v>58</v>
      </c>
    </row>
    <row r="85" spans="1:14">
      <c r="A85" s="4" t="s">
        <v>169</v>
      </c>
      <c r="B85" s="4" t="s">
        <v>30</v>
      </c>
      <c r="C85" s="4"/>
      <c r="D85" s="4" t="s">
        <v>17</v>
      </c>
      <c r="E85" s="4" t="s">
        <v>54</v>
      </c>
      <c r="F85" s="4" t="s">
        <v>59</v>
      </c>
      <c r="G85" s="2">
        <v>-11391515.15</v>
      </c>
      <c r="H85" s="2">
        <v>-549450</v>
      </c>
      <c r="I85" s="3">
        <f>H85/G85</f>
        <v>0.04823326772295079</v>
      </c>
      <c r="J85" s="3">
        <f>INDEX('汇率表'!$A:$XFD,MATCH(B85,'汇率表'!$A:$A,0),MATCH(N85,'汇率表'!$1:$1,0))</f>
        <v>0.042045000000000006</v>
      </c>
      <c r="K85" s="3">
        <f>I85-J85</f>
        <v>0.006188267722950787</v>
      </c>
      <c r="L85" s="4" t="s">
        <v>170</v>
      </c>
      <c r="M85" s="4" t="s">
        <v>18</v>
      </c>
      <c r="N85" s="4" t="s">
        <v>60</v>
      </c>
    </row>
    <row r="86" spans="1:14">
      <c r="A86" s="4" t="s">
        <v>169</v>
      </c>
      <c r="B86" s="4" t="s">
        <v>30</v>
      </c>
      <c r="C86" s="4"/>
      <c r="D86" s="4" t="s">
        <v>17</v>
      </c>
      <c r="E86" s="4" t="s">
        <v>54</v>
      </c>
      <c r="F86" s="4" t="s">
        <v>52</v>
      </c>
      <c r="G86" s="2">
        <v>-40334.26</v>
      </c>
      <c r="H86" s="2">
        <v>-287199.99</v>
      </c>
      <c r="I86" s="3">
        <f>H86/G86</f>
        <v>7.120497314193938</v>
      </c>
      <c r="J86" s="3">
        <f>INDEX('汇率表'!$A:$XFD,MATCH(B86,'汇率表'!$A:$A,0),MATCH(N86,'汇率表'!$1:$1,0))</f>
        <v>6.8109</v>
      </c>
      <c r="K86" s="3">
        <f>I86-J86</f>
        <v>0.30959731419393766</v>
      </c>
      <c r="L86" s="4" t="s">
        <v>170</v>
      </c>
      <c r="M86" s="4" t="s">
        <v>18</v>
      </c>
      <c r="N86" s="4" t="s">
        <v>20</v>
      </c>
    </row>
    <row r="87" spans="1:14">
      <c r="A87" s="4" t="s">
        <v>169</v>
      </c>
      <c r="B87" s="4" t="s">
        <v>30</v>
      </c>
      <c r="C87" s="4"/>
      <c r="D87" s="4" t="s">
        <v>17</v>
      </c>
      <c r="E87" s="4" t="s">
        <v>61</v>
      </c>
      <c r="F87" s="4" t="s">
        <v>55</v>
      </c>
      <c r="G87" s="2">
        <v>75462.78</v>
      </c>
      <c r="H87" s="2">
        <v>590919.96</v>
      </c>
      <c r="I87" s="3">
        <f>H87/G87</f>
        <v>7.83061477459484</v>
      </c>
      <c r="J87" s="3">
        <f>INDEX('汇率表'!$A:$XFD,MATCH(B87,'汇率表'!$A:$A,0),MATCH(N87,'汇率表'!$1:$1,0))</f>
        <v>7.7671</v>
      </c>
      <c r="K87" s="3">
        <f>I87-J87</f>
        <v>0.06351477459483945</v>
      </c>
      <c r="L87" s="4" t="s">
        <v>170</v>
      </c>
      <c r="M87" s="4" t="s">
        <v>18</v>
      </c>
      <c r="N87" s="4" t="s">
        <v>56</v>
      </c>
    </row>
    <row r="88" spans="1:14">
      <c r="A88" s="4" t="s">
        <v>169</v>
      </c>
      <c r="B88" s="4" t="s">
        <v>30</v>
      </c>
      <c r="C88" s="4"/>
      <c r="D88" s="4" t="s">
        <v>17</v>
      </c>
      <c r="E88" s="4" t="s">
        <v>61</v>
      </c>
      <c r="F88" s="4" t="s">
        <v>57</v>
      </c>
      <c r="G88" s="2">
        <v>30163.93</v>
      </c>
      <c r="H88" s="2">
        <v>27450</v>
      </c>
      <c r="I88" s="3">
        <f>H88/G88</f>
        <v>0.9100273074496592</v>
      </c>
      <c r="J88" s="3">
        <f>INDEX('汇率表'!$A:$XFD,MATCH(B88,'汇率表'!$A:$A,0),MATCH(N88,'汇率表'!$1:$1,0))</f>
        <v>0.86855</v>
      </c>
      <c r="K88" s="3">
        <f>I88-J88</f>
        <v>0.04147730744965916</v>
      </c>
      <c r="L88" s="4" t="s">
        <v>170</v>
      </c>
      <c r="M88" s="4" t="s">
        <v>18</v>
      </c>
      <c r="N88" s="4" t="s">
        <v>58</v>
      </c>
    </row>
    <row r="89" spans="1:14">
      <c r="A89" s="4" t="s">
        <v>169</v>
      </c>
      <c r="B89" s="4" t="s">
        <v>30</v>
      </c>
      <c r="C89" s="4"/>
      <c r="D89" s="4" t="s">
        <v>17</v>
      </c>
      <c r="E89" s="4" t="s">
        <v>61</v>
      </c>
      <c r="F89" s="4" t="s">
        <v>52</v>
      </c>
      <c r="G89" s="2">
        <v>213267.41</v>
      </c>
      <c r="H89" s="2">
        <v>1518570</v>
      </c>
      <c r="I89" s="3">
        <f>H89/G89</f>
        <v>7.120497219898717</v>
      </c>
      <c r="J89" s="3">
        <f>INDEX('汇率表'!$A:$XFD,MATCH(B89,'汇率表'!$A:$A,0),MATCH(N89,'汇率表'!$1:$1,0))</f>
        <v>6.8109</v>
      </c>
      <c r="K89" s="3">
        <f>I89-J89</f>
        <v>0.30959721989871714</v>
      </c>
      <c r="L89" s="4" t="s">
        <v>170</v>
      </c>
      <c r="M89" s="4" t="s">
        <v>18</v>
      </c>
      <c r="N89" s="4" t="s">
        <v>20</v>
      </c>
    </row>
    <row r="90" spans="1:14">
      <c r="A90" s="4" t="s">
        <v>169</v>
      </c>
      <c r="B90" s="4" t="s">
        <v>30</v>
      </c>
      <c r="C90" s="4"/>
      <c r="D90" s="4" t="s">
        <v>17</v>
      </c>
      <c r="E90" s="4" t="s">
        <v>62</v>
      </c>
      <c r="F90" s="4" t="s">
        <v>55</v>
      </c>
      <c r="G90" s="2">
        <v>64567.09</v>
      </c>
      <c r="H90" s="2">
        <v>505600.01</v>
      </c>
      <c r="I90" s="3">
        <f>H90/G90</f>
        <v>7.8306147915292454</v>
      </c>
      <c r="J90" s="3">
        <f>INDEX('汇率表'!$A:$XFD,MATCH(B90,'汇率表'!$A:$A,0),MATCH(N90,'汇率表'!$1:$1,0))</f>
        <v>7.7671</v>
      </c>
      <c r="K90" s="3">
        <f>I90-J90</f>
        <v>0.06351479152924533</v>
      </c>
      <c r="L90" s="4" t="s">
        <v>170</v>
      </c>
      <c r="M90" s="4" t="s">
        <v>18</v>
      </c>
      <c r="N90" s="4" t="s">
        <v>56</v>
      </c>
    </row>
    <row r="91" spans="1:14">
      <c r="A91" s="4" t="s">
        <v>169</v>
      </c>
      <c r="B91" s="4" t="s">
        <v>30</v>
      </c>
      <c r="C91" s="4"/>
      <c r="D91" s="4" t="s">
        <v>17</v>
      </c>
      <c r="E91" s="4" t="s">
        <v>62</v>
      </c>
      <c r="F91" s="4" t="s">
        <v>57</v>
      </c>
      <c r="G91" s="2">
        <v>70382.51</v>
      </c>
      <c r="H91" s="2">
        <v>64050</v>
      </c>
      <c r="I91" s="3">
        <f>H91/G91</f>
        <v>0.9100272212514161</v>
      </c>
      <c r="J91" s="3">
        <f>INDEX('汇率表'!$A:$XFD,MATCH(B91,'汇率表'!$A:$A,0),MATCH(N91,'汇率表'!$1:$1,0))</f>
        <v>0.86855</v>
      </c>
      <c r="K91" s="3">
        <f>I91-J91</f>
        <v>0.04147722125141606</v>
      </c>
      <c r="L91" s="4" t="s">
        <v>170</v>
      </c>
      <c r="M91" s="4" t="s">
        <v>18</v>
      </c>
      <c r="N91" s="4" t="s">
        <v>58</v>
      </c>
    </row>
    <row r="92" spans="1:14">
      <c r="A92" s="4" t="s">
        <v>169</v>
      </c>
      <c r="B92" s="4" t="s">
        <v>30</v>
      </c>
      <c r="C92" s="4"/>
      <c r="D92" s="4" t="s">
        <v>17</v>
      </c>
      <c r="E92" s="4" t="s">
        <v>62</v>
      </c>
      <c r="F92" s="4" t="s">
        <v>52</v>
      </c>
      <c r="G92" s="2">
        <v>463844.01</v>
      </c>
      <c r="H92" s="2">
        <v>3302799.99</v>
      </c>
      <c r="I92" s="3">
        <f>H92/G92</f>
        <v>7.120497233541941</v>
      </c>
      <c r="J92" s="3">
        <f>INDEX('汇率表'!$A:$XFD,MATCH(B92,'汇率表'!$A:$A,0),MATCH(N92,'汇率表'!$1:$1,0))</f>
        <v>6.8109</v>
      </c>
      <c r="K92" s="3">
        <f>I92-J92</f>
        <v>0.3095972335419406</v>
      </c>
      <c r="L92" s="4" t="s">
        <v>170</v>
      </c>
      <c r="M92" s="4" t="s">
        <v>18</v>
      </c>
      <c r="N92" s="4" t="s">
        <v>20</v>
      </c>
    </row>
    <row r="93" spans="1:14">
      <c r="A93" s="4" t="s">
        <v>169</v>
      </c>
      <c r="B93" s="4" t="s">
        <v>30</v>
      </c>
      <c r="C93" s="4"/>
      <c r="D93" s="4" t="s">
        <v>17</v>
      </c>
      <c r="E93" s="4" t="s">
        <v>63</v>
      </c>
      <c r="F93" s="4" t="s">
        <v>52</v>
      </c>
      <c r="G93" s="2">
        <v>-151253.48</v>
      </c>
      <c r="H93" s="2">
        <v>-1076999.99</v>
      </c>
      <c r="I93" s="3">
        <f>H93/G93</f>
        <v>7.120497260625011</v>
      </c>
      <c r="J93" s="3">
        <f>INDEX('汇率表'!$A:$XFD,MATCH(B93,'汇率表'!$A:$A,0),MATCH(N93,'汇率表'!$1:$1,0))</f>
        <v>6.8109</v>
      </c>
      <c r="K93" s="3">
        <f>I93-J93</f>
        <v>0.3095972606250106</v>
      </c>
      <c r="L93" s="4" t="s">
        <v>170</v>
      </c>
      <c r="M93" s="4" t="s">
        <v>18</v>
      </c>
      <c r="N93" s="4" t="s">
        <v>20</v>
      </c>
    </row>
    <row r="94" spans="1:14">
      <c r="A94" s="4" t="s">
        <v>169</v>
      </c>
      <c r="B94" s="4" t="s">
        <v>30</v>
      </c>
      <c r="C94" s="4"/>
      <c r="D94" s="4" t="s">
        <v>19</v>
      </c>
      <c r="E94" s="4" t="s">
        <v>64</v>
      </c>
      <c r="F94" s="4" t="s">
        <v>65</v>
      </c>
      <c r="G94" s="2">
        <v>1017.86</v>
      </c>
      <c r="H94" s="2">
        <v>1120</v>
      </c>
      <c r="I94" s="3">
        <f>H94/G94</f>
        <v>1.1003477884974358</v>
      </c>
      <c r="J94" s="3">
        <f>INDEX('汇率表'!$A:$XFD,MATCH(B94,'汇率表'!$A:$A,0),MATCH(N94,'汇率表'!$1:$1,0))/INDEX('汇率表'!$A:$XFD,MATCH(B94,'汇率表'!$A:$A,0),MATCH(M94,'汇率表'!$1:$1,0))</f>
        <v>1.1403926059698424</v>
      </c>
      <c r="K94" s="3">
        <f>I94-J94</f>
        <v>-0.040044817472406624</v>
      </c>
      <c r="L94" s="4" t="s">
        <v>170</v>
      </c>
      <c r="M94" s="4" t="s">
        <v>20</v>
      </c>
      <c r="N94" s="4" t="s">
        <v>56</v>
      </c>
    </row>
    <row r="95" spans="1:14">
      <c r="A95" s="4" t="s">
        <v>169</v>
      </c>
      <c r="B95" s="4" t="s">
        <v>30</v>
      </c>
      <c r="C95" s="4"/>
      <c r="D95" s="4" t="s">
        <v>19</v>
      </c>
      <c r="E95" s="4" t="s">
        <v>66</v>
      </c>
      <c r="F95" s="4" t="s">
        <v>65</v>
      </c>
      <c r="G95" s="2">
        <v>-17760.71</v>
      </c>
      <c r="H95" s="2">
        <v>-19936</v>
      </c>
      <c r="I95" s="3">
        <f>H95/G95</f>
        <v>1.1224776486976027</v>
      </c>
      <c r="J95" s="3">
        <f>INDEX('汇率表'!$A:$XFD,MATCH(B95,'汇率表'!$A:$A,0),MATCH(N95,'汇率表'!$1:$1,0))/INDEX('汇率表'!$A:$XFD,MATCH(B95,'汇率表'!$A:$A,0),MATCH(M95,'汇率表'!$1:$1,0))</f>
        <v>1.1403926059698424</v>
      </c>
      <c r="K95" s="3">
        <f>I95-J95</f>
        <v>-0.017914957272239684</v>
      </c>
      <c r="L95" s="4" t="s">
        <v>170</v>
      </c>
      <c r="M95" s="4" t="s">
        <v>20</v>
      </c>
      <c r="N95" s="4" t="s">
        <v>56</v>
      </c>
    </row>
    <row r="96" spans="1:14">
      <c r="A96" s="4" t="s">
        <v>169</v>
      </c>
      <c r="B96" s="4" t="s">
        <v>30</v>
      </c>
      <c r="C96" s="4"/>
      <c r="D96" s="4" t="s">
        <v>19</v>
      </c>
      <c r="E96" s="4" t="s">
        <v>67</v>
      </c>
      <c r="F96" s="4" t="s">
        <v>65</v>
      </c>
      <c r="G96" s="2">
        <v>27685.71</v>
      </c>
      <c r="H96" s="2">
        <v>30464</v>
      </c>
      <c r="I96" s="3">
        <f>H96/G96</f>
        <v>1.100351047525962</v>
      </c>
      <c r="J96" s="3">
        <f>INDEX('汇率表'!$A:$XFD,MATCH(B96,'汇率表'!$A:$A,0),MATCH(N96,'汇率表'!$1:$1,0))/INDEX('汇率表'!$A:$XFD,MATCH(B96,'汇率表'!$A:$A,0),MATCH(M96,'汇率表'!$1:$1,0))</f>
        <v>1.1403926059698424</v>
      </c>
      <c r="K96" s="3">
        <f>I96-J96</f>
        <v>-0.040041558443880465</v>
      </c>
      <c r="L96" s="4" t="s">
        <v>170</v>
      </c>
      <c r="M96" s="4" t="s">
        <v>20</v>
      </c>
      <c r="N96" s="4" t="s">
        <v>56</v>
      </c>
    </row>
    <row r="97" spans="1:14">
      <c r="A97" s="4" t="s">
        <v>169</v>
      </c>
      <c r="B97" s="4" t="s">
        <v>30</v>
      </c>
      <c r="C97" s="4"/>
      <c r="D97" s="4" t="s">
        <v>19</v>
      </c>
      <c r="E97" s="4" t="s">
        <v>68</v>
      </c>
      <c r="F97" s="4" t="s">
        <v>65</v>
      </c>
      <c r="G97" s="2">
        <v>7582.14</v>
      </c>
      <c r="H97" s="2">
        <v>8736</v>
      </c>
      <c r="I97" s="3">
        <f>H97/G97</f>
        <v>1.1521813102897072</v>
      </c>
      <c r="J97" s="3">
        <f>INDEX('汇率表'!$A:$XFD,MATCH(B97,'汇率表'!$A:$A,0),MATCH(N97,'汇率表'!$1:$1,0))/INDEX('汇率表'!$A:$XFD,MATCH(B97,'汇率表'!$A:$A,0),MATCH(M97,'汇率表'!$1:$1,0))</f>
        <v>1.1403926059698424</v>
      </c>
      <c r="K97" s="3">
        <f>I97-J97</f>
        <v>0.011788704319864785</v>
      </c>
      <c r="L97" s="4" t="s">
        <v>170</v>
      </c>
      <c r="M97" s="4" t="s">
        <v>20</v>
      </c>
      <c r="N97" s="4" t="s">
        <v>56</v>
      </c>
    </row>
  </sheetData>
  <autoFilter ref="A1:L9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  <col min="29" max="29" width="42.7109375" customWidth="1"/>
  </cols>
  <sheetData>
    <row r="1" spans="1:29">
      <c r="A1" s="1" t="s">
        <v>27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18</v>
      </c>
      <c r="G1" s="1" t="s">
        <v>175</v>
      </c>
      <c r="H1" s="1" t="s">
        <v>56</v>
      </c>
      <c r="I1" s="1" t="s">
        <v>176</v>
      </c>
      <c r="J1" s="1" t="s">
        <v>58</v>
      </c>
      <c r="K1" s="1" t="s">
        <v>177</v>
      </c>
      <c r="L1" s="1" t="s">
        <v>60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20</v>
      </c>
      <c r="AA1" s="1" t="s">
        <v>191</v>
      </c>
      <c r="AC1" s="1" t="s">
        <v>192</v>
      </c>
    </row>
    <row r="2" spans="1:29">
      <c r="A2" t="s">
        <v>193</v>
      </c>
      <c r="B2" s="3">
        <v>1.925669170036588</v>
      </c>
      <c r="C2" s="3">
        <v>4.6133999999999995</v>
      </c>
      <c r="D2" s="3">
        <v>5.0378</v>
      </c>
      <c r="E2" s="3">
        <v>8.8005</v>
      </c>
      <c r="F2" s="3">
        <v>1</v>
      </c>
      <c r="G2" s="3">
        <v>1.098659635245001</v>
      </c>
      <c r="H2" s="3">
        <v>8.205599999999999</v>
      </c>
      <c r="I2" s="3">
        <v>9.3671</v>
      </c>
      <c r="J2" s="3">
        <v>0.90998</v>
      </c>
      <c r="K2" s="3">
        <v>0.02147789387772635</v>
      </c>
      <c r="L2" s="3">
        <v>0.045267</v>
      </c>
      <c r="M2" s="3">
        <v>0.004814636494944632</v>
      </c>
      <c r="N2" s="3">
        <v>0.8828462964597864</v>
      </c>
      <c r="O2" s="3">
        <v>0.38563881068990785</v>
      </c>
      <c r="P2" s="3">
        <v>1.710893257369673</v>
      </c>
      <c r="Q2" s="3">
        <v>0.6935293709688606</v>
      </c>
      <c r="R2" s="3">
        <v>4.0339</v>
      </c>
      <c r="S2" s="3">
        <v>1.9385856079404464</v>
      </c>
      <c r="T2" s="3">
        <v>0.09008846687447074</v>
      </c>
      <c r="U2" s="3">
        <v>1.8857961831485253</v>
      </c>
      <c r="V2" s="3">
        <v>0.7452675510508272</v>
      </c>
      <c r="W2" s="3">
        <v>5.4565</v>
      </c>
      <c r="X2" s="3">
        <v>0.21959682023804297</v>
      </c>
      <c r="Y2" s="3">
        <v>0.16663861583300144</v>
      </c>
      <c r="Z2" s="3">
        <v>7.0779</v>
      </c>
      <c r="AA2" s="3">
        <v>0.4127285484336952</v>
      </c>
      <c r="AC2" t="s">
        <v>194</v>
      </c>
    </row>
    <row r="3" spans="1:29">
      <c r="A3" t="s">
        <v>195</v>
      </c>
      <c r="B3" s="3">
        <v>1.926893654739195</v>
      </c>
      <c r="C3" s="3">
        <v>4.6243</v>
      </c>
      <c r="D3" s="3">
        <v>5.046</v>
      </c>
      <c r="E3" s="3">
        <v>8.7971</v>
      </c>
      <c r="F3" s="3">
        <v>1</v>
      </c>
      <c r="G3" s="3">
        <v>1.0990218705352237</v>
      </c>
      <c r="H3" s="3">
        <v>8.207799999999999</v>
      </c>
      <c r="I3" s="3">
        <v>9.3697</v>
      </c>
      <c r="J3" s="3">
        <v>0.9099</v>
      </c>
      <c r="K3" s="3">
        <v>0.02152245545389782</v>
      </c>
      <c r="L3" s="3">
        <v>0.045293</v>
      </c>
      <c r="M3" s="3">
        <v>0.004836057645807138</v>
      </c>
      <c r="N3" s="3">
        <v>0.8826904404625298</v>
      </c>
      <c r="O3" s="3">
        <v>0.38583224014198625</v>
      </c>
      <c r="P3" s="3">
        <v>1.7139723022075963</v>
      </c>
      <c r="Q3" s="3">
        <v>0.6965728615213151</v>
      </c>
      <c r="R3" s="3">
        <v>4.0533</v>
      </c>
      <c r="S3" s="3">
        <v>1.941747572815534</v>
      </c>
      <c r="T3" s="3">
        <v>0.09079765742043856</v>
      </c>
      <c r="U3" s="3">
        <v>1.8865076969514032</v>
      </c>
      <c r="V3" s="3">
        <v>0.7471049682480388</v>
      </c>
      <c r="W3" s="3">
        <v>5.4589</v>
      </c>
      <c r="X3" s="3">
        <v>0.2196547028071871</v>
      </c>
      <c r="Y3" s="3">
        <v>0.16657421797569016</v>
      </c>
      <c r="Z3" s="3">
        <v>7.0789</v>
      </c>
      <c r="AA3" s="3">
        <v>0.4126263668248401</v>
      </c>
    </row>
    <row r="4" spans="1:29">
      <c r="A4" t="s">
        <v>196</v>
      </c>
      <c r="B4" s="3">
        <v>1.926893654739195</v>
      </c>
      <c r="C4" s="3">
        <v>4.6243</v>
      </c>
      <c r="D4" s="3">
        <v>5.046</v>
      </c>
      <c r="E4" s="3">
        <v>8.7971</v>
      </c>
      <c r="F4" s="3">
        <v>1</v>
      </c>
      <c r="G4" s="3">
        <v>1.0990218705352237</v>
      </c>
      <c r="H4" s="3">
        <v>8.207799999999999</v>
      </c>
      <c r="I4" s="3">
        <v>9.3697</v>
      </c>
      <c r="J4" s="3">
        <v>0.9099</v>
      </c>
      <c r="K4" s="3">
        <v>0.02152245545389782</v>
      </c>
      <c r="L4" s="3">
        <v>0.045293</v>
      </c>
      <c r="M4" s="3">
        <v>0.004836057645807138</v>
      </c>
      <c r="N4" s="3">
        <v>0.8826904404625298</v>
      </c>
      <c r="O4" s="3">
        <v>0.38583224014198625</v>
      </c>
      <c r="P4" s="3">
        <v>1.7139723022075963</v>
      </c>
      <c r="Q4" s="3">
        <v>0.6965728615213151</v>
      </c>
      <c r="R4" s="3">
        <v>4.0533</v>
      </c>
      <c r="S4" s="3">
        <v>1.941747572815534</v>
      </c>
      <c r="T4" s="3">
        <v>0.09079765742043856</v>
      </c>
      <c r="U4" s="3">
        <v>1.8865076969514032</v>
      </c>
      <c r="V4" s="3">
        <v>0.7471049682480388</v>
      </c>
      <c r="W4" s="3">
        <v>5.4589</v>
      </c>
      <c r="X4" s="3">
        <v>0.2196547028071871</v>
      </c>
      <c r="Y4" s="3">
        <v>0.16657421797569016</v>
      </c>
      <c r="Z4" s="3">
        <v>7.0789</v>
      </c>
      <c r="AA4" s="3">
        <v>0.4126263668248401</v>
      </c>
    </row>
    <row r="5" spans="1:29">
      <c r="A5" t="s">
        <v>197</v>
      </c>
      <c r="B5" s="3">
        <v>1.926893654739195</v>
      </c>
      <c r="C5" s="3">
        <v>4.6243</v>
      </c>
      <c r="D5" s="3">
        <v>5.046</v>
      </c>
      <c r="E5" s="3">
        <v>8.7971</v>
      </c>
      <c r="F5" s="3">
        <v>1</v>
      </c>
      <c r="G5" s="3">
        <v>1.0990218705352237</v>
      </c>
      <c r="H5" s="3">
        <v>8.207799999999999</v>
      </c>
      <c r="I5" s="3">
        <v>9.3697</v>
      </c>
      <c r="J5" s="3">
        <v>0.9099</v>
      </c>
      <c r="K5" s="3">
        <v>0.02152245545389782</v>
      </c>
      <c r="L5" s="3">
        <v>0.045293</v>
      </c>
      <c r="M5" s="3">
        <v>0.004836057645807138</v>
      </c>
      <c r="N5" s="3">
        <v>0.8826904404625298</v>
      </c>
      <c r="O5" s="3">
        <v>0.38583224014198625</v>
      </c>
      <c r="P5" s="3">
        <v>1.7139723022075963</v>
      </c>
      <c r="Q5" s="3">
        <v>0.6965728615213151</v>
      </c>
      <c r="R5" s="3">
        <v>4.0533</v>
      </c>
      <c r="S5" s="3">
        <v>1.941747572815534</v>
      </c>
      <c r="T5" s="3">
        <v>0.09079765742043856</v>
      </c>
      <c r="U5" s="3">
        <v>1.8865076969514032</v>
      </c>
      <c r="V5" s="3">
        <v>0.7471049682480388</v>
      </c>
      <c r="W5" s="3">
        <v>5.4589</v>
      </c>
      <c r="X5" s="3">
        <v>0.2196547028071871</v>
      </c>
      <c r="Y5" s="3">
        <v>0.16657421797569016</v>
      </c>
      <c r="Z5" s="3">
        <v>7.0789</v>
      </c>
      <c r="AA5" s="3">
        <v>0.4126263668248401</v>
      </c>
    </row>
    <row r="6" spans="1:29">
      <c r="A6" t="s">
        <v>198</v>
      </c>
      <c r="B6" s="3">
        <v>1.9255208533908423</v>
      </c>
      <c r="C6" s="3">
        <v>4.630199999999999</v>
      </c>
      <c r="D6" s="3">
        <v>5.0621</v>
      </c>
      <c r="E6" s="3">
        <v>8.8013</v>
      </c>
      <c r="F6" s="3">
        <v>1</v>
      </c>
      <c r="G6" s="3">
        <v>1.0985389432055366</v>
      </c>
      <c r="H6" s="3">
        <v>8.2052</v>
      </c>
      <c r="I6" s="3">
        <v>9.3616</v>
      </c>
      <c r="J6" s="3">
        <v>0.90877</v>
      </c>
      <c r="K6" s="3">
        <v>0.021500567614985037</v>
      </c>
      <c r="L6" s="3">
        <v>0.045331</v>
      </c>
      <c r="M6" s="3">
        <v>0.004819277108433735</v>
      </c>
      <c r="N6" s="3">
        <v>0.8816009873931058</v>
      </c>
      <c r="O6" s="3">
        <v>0.38678734431809386</v>
      </c>
      <c r="P6" s="3">
        <v>1.712592694079567</v>
      </c>
      <c r="Q6" s="3">
        <v>0.6992029086841001</v>
      </c>
      <c r="R6" s="3">
        <v>4.0535000000000005</v>
      </c>
      <c r="S6" s="3">
        <v>1.937458828999884</v>
      </c>
      <c r="T6" s="3">
        <v>0.09125669596006608</v>
      </c>
      <c r="U6" s="3">
        <v>1.8854050792812835</v>
      </c>
      <c r="V6" s="3">
        <v>0.7485029940119761</v>
      </c>
      <c r="W6" s="3">
        <v>5.456900000000001</v>
      </c>
      <c r="X6" s="3">
        <v>0.2201091741503786</v>
      </c>
      <c r="Y6" s="3">
        <v>0.1664483419248419</v>
      </c>
      <c r="Z6" s="3">
        <v>7.075900000000001</v>
      </c>
      <c r="AA6" s="3">
        <v>0.41324021653787346</v>
      </c>
    </row>
    <row r="7" spans="1:29">
      <c r="A7" t="s">
        <v>199</v>
      </c>
      <c r="B7" s="3">
        <v>1.926299770770327</v>
      </c>
      <c r="C7" s="3">
        <v>4.6292</v>
      </c>
      <c r="D7" s="3">
        <v>5.0539</v>
      </c>
      <c r="E7" s="3">
        <v>8.7915</v>
      </c>
      <c r="F7" s="3">
        <v>1</v>
      </c>
      <c r="G7" s="3">
        <v>1.0995052226498077</v>
      </c>
      <c r="H7" s="3">
        <v>8.2113</v>
      </c>
      <c r="I7" s="3">
        <v>9.3451</v>
      </c>
      <c r="J7" s="3">
        <v>0.9088</v>
      </c>
      <c r="K7" s="3">
        <v>0.021563714306661895</v>
      </c>
      <c r="L7" s="3">
        <v>0.045495</v>
      </c>
      <c r="M7" s="3">
        <v>0.004809542131589073</v>
      </c>
      <c r="N7" s="3">
        <v>0.8819119851838787</v>
      </c>
      <c r="O7" s="3">
        <v>0.3864734299516908</v>
      </c>
      <c r="P7" s="3">
        <v>1.7131207921470544</v>
      </c>
      <c r="Q7" s="3">
        <v>0.6983727913960472</v>
      </c>
      <c r="R7" s="3">
        <v>4.0512</v>
      </c>
      <c r="S7" s="3">
        <v>1.942351021676637</v>
      </c>
      <c r="T7" s="3">
        <v>0.09102742656362364</v>
      </c>
      <c r="U7" s="3">
        <v>1.8849786054928277</v>
      </c>
      <c r="V7" s="3">
        <v>0.7483349547257353</v>
      </c>
      <c r="W7" s="3">
        <v>5.4576</v>
      </c>
      <c r="X7" s="3">
        <v>0.22106287028030772</v>
      </c>
      <c r="Y7" s="3">
        <v>0.1666872247577201</v>
      </c>
      <c r="Z7" s="3">
        <v>7.079400000000001</v>
      </c>
      <c r="AA7" s="3">
        <v>0.4139929621196439</v>
      </c>
    </row>
    <row r="8" spans="1:29">
      <c r="A8" t="s">
        <v>200</v>
      </c>
      <c r="B8" s="3">
        <v>1.9245943917319424</v>
      </c>
      <c r="C8" s="3">
        <v>4.6437</v>
      </c>
      <c r="D8" s="3">
        <v>5.0588999999999995</v>
      </c>
      <c r="E8" s="3">
        <v>8.8047</v>
      </c>
      <c r="F8" s="3">
        <v>1</v>
      </c>
      <c r="G8" s="3">
        <v>1.100473203477495</v>
      </c>
      <c r="H8" s="3">
        <v>8.221</v>
      </c>
      <c r="I8" s="3">
        <v>9.3429</v>
      </c>
      <c r="J8" s="3">
        <v>0.90897</v>
      </c>
      <c r="K8" s="3">
        <v>0.021577254121794967</v>
      </c>
      <c r="L8" s="3">
        <v>0.04536</v>
      </c>
      <c r="M8" s="3">
        <v>0.004814404698858986</v>
      </c>
      <c r="N8" s="3">
        <v>0.8821453775582216</v>
      </c>
      <c r="O8" s="3">
        <v>0.3867723844517501</v>
      </c>
      <c r="P8" s="3">
        <v>1.7116546565564932</v>
      </c>
      <c r="Q8" s="3">
        <v>0.6979341150195422</v>
      </c>
      <c r="R8" s="3">
        <v>4.0567</v>
      </c>
      <c r="S8" s="3">
        <v>1.941747572815534</v>
      </c>
      <c r="T8" s="3">
        <v>0.09126252578166354</v>
      </c>
      <c r="U8" s="3">
        <v>1.8830973184694184</v>
      </c>
      <c r="V8" s="3">
        <v>0.7498500299940011</v>
      </c>
      <c r="W8" s="3">
        <v>5.454400000000001</v>
      </c>
      <c r="X8" s="3">
        <v>0.2209212415773777</v>
      </c>
      <c r="Y8" s="3">
        <v>0.1664175949994841</v>
      </c>
      <c r="Z8" s="3">
        <v>7.075399999999999</v>
      </c>
      <c r="AA8" s="3">
        <v>0.4131207138725936</v>
      </c>
    </row>
    <row r="9" spans="1:29">
      <c r="A9" t="s">
        <v>201</v>
      </c>
      <c r="B9" s="3">
        <v>1.9215618454679968</v>
      </c>
      <c r="C9" s="3">
        <v>4.6586</v>
      </c>
      <c r="D9" s="3">
        <v>5.0597</v>
      </c>
      <c r="E9" s="3">
        <v>8.8252</v>
      </c>
      <c r="F9" s="3">
        <v>1</v>
      </c>
      <c r="G9" s="3">
        <v>1.102535832414553</v>
      </c>
      <c r="H9" s="3">
        <v>8.2373</v>
      </c>
      <c r="I9" s="3">
        <v>9.4207</v>
      </c>
      <c r="J9" s="3">
        <v>0.90891</v>
      </c>
      <c r="K9" s="3">
        <v>0.02163584280262053</v>
      </c>
      <c r="L9" s="3">
        <v>0.045468</v>
      </c>
      <c r="M9" s="3">
        <v>0.004813941173638858</v>
      </c>
      <c r="N9" s="3">
        <v>0.8819897689186805</v>
      </c>
      <c r="O9" s="3">
        <v>0.3860854793251226</v>
      </c>
      <c r="P9" s="3">
        <v>1.714207350521119</v>
      </c>
      <c r="Q9" s="3">
        <v>0.7012622720897616</v>
      </c>
      <c r="R9" s="3">
        <v>4.0714999999999995</v>
      </c>
      <c r="S9" s="3">
        <v>1.94984986156066</v>
      </c>
      <c r="T9" s="3">
        <v>0.09137760883073212</v>
      </c>
      <c r="U9" s="3">
        <v>1.8808305747818237</v>
      </c>
      <c r="V9" s="3">
        <v>0.7528419784687194</v>
      </c>
      <c r="W9" s="3">
        <v>5.4573</v>
      </c>
      <c r="X9" s="3">
        <v>0.22134667315950243</v>
      </c>
      <c r="Y9" s="3">
        <v>0.16629914555499012</v>
      </c>
      <c r="Z9" s="3">
        <v>7.073300000000001</v>
      </c>
      <c r="AA9" s="3">
        <v>0.4143016944939305</v>
      </c>
    </row>
    <row r="10" spans="1:29">
      <c r="A10" t="s">
        <v>202</v>
      </c>
      <c r="B10" s="3">
        <v>1.9258916878514751</v>
      </c>
      <c r="C10" s="3">
        <v>4.6754</v>
      </c>
      <c r="D10" s="3">
        <v>5.0682</v>
      </c>
      <c r="E10" s="3">
        <v>8.8016</v>
      </c>
      <c r="F10" s="3">
        <v>1</v>
      </c>
      <c r="G10" s="3">
        <v>1.102779003087781</v>
      </c>
      <c r="H10" s="3">
        <v>8.2376</v>
      </c>
      <c r="I10" s="3">
        <v>9.4269</v>
      </c>
      <c r="J10" s="3">
        <v>0.90906</v>
      </c>
      <c r="K10" s="3">
        <v>0.02150819784961038</v>
      </c>
      <c r="L10" s="3">
        <v>0.045597000000000006</v>
      </c>
      <c r="M10" s="3">
        <v>0.004799155348658636</v>
      </c>
      <c r="N10" s="3">
        <v>0.88261253309797</v>
      </c>
      <c r="O10" s="3">
        <v>0.38791264207300513</v>
      </c>
      <c r="P10" s="3">
        <v>1.7198383351964914</v>
      </c>
      <c r="Q10" s="3">
        <v>0.6993006993006993</v>
      </c>
      <c r="R10" s="3">
        <v>4.0767</v>
      </c>
      <c r="S10" s="3">
        <v>1.9453360568038127</v>
      </c>
      <c r="T10" s="3">
        <v>0.09222369780138703</v>
      </c>
      <c r="U10" s="3">
        <v>1.8847654409408747</v>
      </c>
      <c r="V10" s="3">
        <v>0.7505817008181341</v>
      </c>
      <c r="W10" s="3">
        <v>5.4573</v>
      </c>
      <c r="X10" s="3">
        <v>0.22079441831710492</v>
      </c>
      <c r="Y10" s="3">
        <v>0.16645138953619987</v>
      </c>
      <c r="Z10" s="3">
        <v>7.0749</v>
      </c>
      <c r="AA10" s="3">
        <v>0.4163717366865137</v>
      </c>
    </row>
    <row r="11" spans="1:29">
      <c r="A11" t="s">
        <v>203</v>
      </c>
      <c r="B11" s="3">
        <v>1.9258916878514751</v>
      </c>
      <c r="C11" s="3">
        <v>4.6754</v>
      </c>
      <c r="D11" s="3">
        <v>5.0682</v>
      </c>
      <c r="E11" s="3">
        <v>8.8016</v>
      </c>
      <c r="F11" s="3">
        <v>1</v>
      </c>
      <c r="G11" s="3">
        <v>1.102779003087781</v>
      </c>
      <c r="H11" s="3">
        <v>8.2376</v>
      </c>
      <c r="I11" s="3">
        <v>9.4269</v>
      </c>
      <c r="J11" s="3">
        <v>0.90906</v>
      </c>
      <c r="K11" s="3">
        <v>0.02150819784961038</v>
      </c>
      <c r="L11" s="3">
        <v>0.045597000000000006</v>
      </c>
      <c r="M11" s="3">
        <v>0.004799155348658636</v>
      </c>
      <c r="N11" s="3">
        <v>0.88261253309797</v>
      </c>
      <c r="O11" s="3">
        <v>0.38791264207300513</v>
      </c>
      <c r="P11" s="3">
        <v>1.7198383351964914</v>
      </c>
      <c r="Q11" s="3">
        <v>0.6993006993006993</v>
      </c>
      <c r="R11" s="3">
        <v>4.0767</v>
      </c>
      <c r="S11" s="3">
        <v>1.9453360568038127</v>
      </c>
      <c r="T11" s="3">
        <v>0.09222369780138703</v>
      </c>
      <c r="U11" s="3">
        <v>1.8847654409408747</v>
      </c>
      <c r="V11" s="3">
        <v>0.7505817008181341</v>
      </c>
      <c r="W11" s="3">
        <v>5.4573</v>
      </c>
      <c r="X11" s="3">
        <v>0.22079441831710492</v>
      </c>
      <c r="Y11" s="3">
        <v>0.16645138953619987</v>
      </c>
      <c r="Z11" s="3">
        <v>7.0749</v>
      </c>
      <c r="AA11" s="3">
        <v>0.4163717366865137</v>
      </c>
    </row>
    <row r="12" spans="1:29">
      <c r="A12" t="s">
        <v>204</v>
      </c>
      <c r="B12" s="3">
        <v>1.9258916878514751</v>
      </c>
      <c r="C12" s="3">
        <v>4.6754</v>
      </c>
      <c r="D12" s="3">
        <v>5.0682</v>
      </c>
      <c r="E12" s="3">
        <v>8.8016</v>
      </c>
      <c r="F12" s="3">
        <v>1</v>
      </c>
      <c r="G12" s="3">
        <v>1.102779003087781</v>
      </c>
      <c r="H12" s="3">
        <v>8.2376</v>
      </c>
      <c r="I12" s="3">
        <v>9.4269</v>
      </c>
      <c r="J12" s="3">
        <v>0.90906</v>
      </c>
      <c r="K12" s="3">
        <v>0.02150819784961038</v>
      </c>
      <c r="L12" s="3">
        <v>0.045597000000000006</v>
      </c>
      <c r="M12" s="3">
        <v>0.004799155348658636</v>
      </c>
      <c r="N12" s="3">
        <v>0.88261253309797</v>
      </c>
      <c r="O12" s="3">
        <v>0.38791264207300513</v>
      </c>
      <c r="P12" s="3">
        <v>1.7198383351964914</v>
      </c>
      <c r="Q12" s="3">
        <v>0.6993006993006993</v>
      </c>
      <c r="R12" s="3">
        <v>4.0767</v>
      </c>
      <c r="S12" s="3">
        <v>1.9453360568038127</v>
      </c>
      <c r="T12" s="3">
        <v>0.09222369780138703</v>
      </c>
      <c r="U12" s="3">
        <v>1.8847654409408747</v>
      </c>
      <c r="V12" s="3">
        <v>0.7505817008181341</v>
      </c>
      <c r="W12" s="3">
        <v>5.4573</v>
      </c>
      <c r="X12" s="3">
        <v>0.22079441831710492</v>
      </c>
      <c r="Y12" s="3">
        <v>0.16645138953619987</v>
      </c>
      <c r="Z12" s="3">
        <v>7.0749</v>
      </c>
      <c r="AA12" s="3">
        <v>0.4163717366865137</v>
      </c>
    </row>
    <row r="13" spans="1:29">
      <c r="A13" t="s">
        <v>205</v>
      </c>
      <c r="B13" s="3">
        <v>1.9258916878514751</v>
      </c>
      <c r="C13" s="3">
        <v>4.6954</v>
      </c>
      <c r="D13" s="3">
        <v>5.1152999999999995</v>
      </c>
      <c r="E13" s="3">
        <v>8.7914</v>
      </c>
      <c r="F13" s="3">
        <v>1</v>
      </c>
      <c r="G13" s="3">
        <v>1.102779003087781</v>
      </c>
      <c r="H13" s="3">
        <v>8.237400000000001</v>
      </c>
      <c r="I13" s="3">
        <v>9.4271</v>
      </c>
      <c r="J13" s="3">
        <v>0.90919</v>
      </c>
      <c r="K13" s="3">
        <v>0.02158177117279661</v>
      </c>
      <c r="L13" s="3">
        <v>0.045563</v>
      </c>
      <c r="M13" s="3">
        <v>0.004805151122002787</v>
      </c>
      <c r="N13" s="3">
        <v>0.882223202470225</v>
      </c>
      <c r="O13" s="3">
        <v>0.3891959212267456</v>
      </c>
      <c r="P13" s="3">
        <v>1.7200749952697938</v>
      </c>
      <c r="Q13" s="3">
        <v>0.699741095794556</v>
      </c>
      <c r="R13" s="3">
        <v>4.0861</v>
      </c>
      <c r="S13" s="3">
        <v>1.947685176168124</v>
      </c>
      <c r="T13" s="3">
        <v>0.09247015525739068</v>
      </c>
      <c r="U13" s="3">
        <v>1.8846233580218992</v>
      </c>
      <c r="V13" s="3">
        <v>0.7526153383005946</v>
      </c>
      <c r="W13" s="3">
        <v>5.4599</v>
      </c>
      <c r="X13" s="3">
        <v>0.22161647053609024</v>
      </c>
      <c r="Y13" s="3">
        <v>0.16623418073977533</v>
      </c>
      <c r="Z13" s="3">
        <v>7.0764</v>
      </c>
      <c r="AA13" s="3">
        <v>0.4177109440267335</v>
      </c>
    </row>
    <row r="14" spans="1:29">
      <c r="A14" t="s">
        <v>206</v>
      </c>
      <c r="B14" s="3">
        <v>1.92648532018186</v>
      </c>
      <c r="C14" s="3">
        <v>4.688</v>
      </c>
      <c r="D14" s="3">
        <v>5.1092</v>
      </c>
      <c r="E14" s="3">
        <v>8.7713</v>
      </c>
      <c r="F14" s="3">
        <v>1</v>
      </c>
      <c r="G14" s="3">
        <v>1.102779003087781</v>
      </c>
      <c r="H14" s="3">
        <v>8.2372</v>
      </c>
      <c r="I14" s="3">
        <v>9.4298</v>
      </c>
      <c r="J14" s="3">
        <v>0.90981</v>
      </c>
      <c r="K14" s="3">
        <v>0.02141611948481383</v>
      </c>
      <c r="L14" s="3">
        <v>0.045391</v>
      </c>
      <c r="M14" s="3">
        <v>0.004812087964967999</v>
      </c>
      <c r="N14" s="3">
        <v>0.8833141948591114</v>
      </c>
      <c r="O14" s="3">
        <v>0.3874016968194321</v>
      </c>
      <c r="P14" s="3">
        <v>1.7194834671664634</v>
      </c>
      <c r="Q14" s="3">
        <v>0.6989585517578808</v>
      </c>
      <c r="R14" s="3">
        <v>4.0869</v>
      </c>
      <c r="S14" s="3">
        <v>1.94352127184032</v>
      </c>
      <c r="T14" s="3">
        <v>0.0921871398939848</v>
      </c>
      <c r="U14" s="3">
        <v>1.885333986915782</v>
      </c>
      <c r="V14" s="3">
        <v>0.7531821947729155</v>
      </c>
      <c r="W14" s="3">
        <v>5.453200000000001</v>
      </c>
      <c r="X14" s="3">
        <v>0.22171965766484855</v>
      </c>
      <c r="Y14" s="3">
        <v>0.166312144611736</v>
      </c>
      <c r="Z14" s="3">
        <v>7.0773</v>
      </c>
      <c r="AA14" s="3">
        <v>0.4152651467962294</v>
      </c>
    </row>
    <row r="15" spans="1:29">
      <c r="A15" t="s">
        <v>207</v>
      </c>
      <c r="B15" s="3">
        <v>1.926114257097731</v>
      </c>
      <c r="C15" s="3">
        <v>4.6973</v>
      </c>
      <c r="D15" s="3">
        <v>5.1093</v>
      </c>
      <c r="E15" s="3">
        <v>8.7759</v>
      </c>
      <c r="F15" s="3">
        <v>1</v>
      </c>
      <c r="G15" s="3">
        <v>1.1013215859030838</v>
      </c>
      <c r="H15" s="3">
        <v>8.2258</v>
      </c>
      <c r="I15" s="3">
        <v>9.4107</v>
      </c>
      <c r="J15" s="3">
        <v>0.90928</v>
      </c>
      <c r="K15" s="3">
        <v>0.021435997470552297</v>
      </c>
      <c r="L15" s="3">
        <v>0.045096</v>
      </c>
      <c r="M15" s="3">
        <v>0.004810930433945925</v>
      </c>
      <c r="N15" s="3">
        <v>0.882223202470225</v>
      </c>
      <c r="O15" s="3">
        <v>0.3886664852889735</v>
      </c>
      <c r="P15" s="3">
        <v>1.7188332559858368</v>
      </c>
      <c r="Q15" s="3">
        <v>0.6970584134950508</v>
      </c>
      <c r="R15" s="3">
        <v>4.0877</v>
      </c>
      <c r="S15" s="3">
        <v>1.9453739008637456</v>
      </c>
      <c r="T15" s="3">
        <v>0.09147791723078048</v>
      </c>
      <c r="U15" s="3">
        <v>1.8850496710588325</v>
      </c>
      <c r="V15" s="3">
        <v>0.7558007709167863</v>
      </c>
      <c r="W15" s="3">
        <v>5.455</v>
      </c>
      <c r="X15" s="3">
        <v>0.22226173541963015</v>
      </c>
      <c r="Y15" s="3">
        <v>0.16623860226583215</v>
      </c>
      <c r="Z15" s="3">
        <v>7.0752999999999995</v>
      </c>
      <c r="AA15" s="3">
        <v>0.4148861137617724</v>
      </c>
    </row>
    <row r="16" spans="1:29">
      <c r="A16" t="s">
        <v>208</v>
      </c>
      <c r="B16" s="3">
        <v>1.921451079855507</v>
      </c>
      <c r="C16" s="3">
        <v>4.7084</v>
      </c>
      <c r="D16" s="3">
        <v>5.1167</v>
      </c>
      <c r="E16" s="3">
        <v>8.8282</v>
      </c>
      <c r="F16" s="3">
        <v>1</v>
      </c>
      <c r="G16" s="3">
        <v>1.105583195135434</v>
      </c>
      <c r="H16" s="3">
        <v>8.2593</v>
      </c>
      <c r="I16" s="3">
        <v>9.4482</v>
      </c>
      <c r="J16" s="3">
        <v>0.90862</v>
      </c>
      <c r="K16" s="3">
        <v>0.02158885324329342</v>
      </c>
      <c r="L16" s="3">
        <v>0.045304</v>
      </c>
      <c r="M16" s="3">
        <v>0.004807230074031344</v>
      </c>
      <c r="N16" s="3">
        <v>0.8820675663755844</v>
      </c>
      <c r="O16" s="3">
        <v>0.38878737218615145</v>
      </c>
      <c r="P16" s="3">
        <v>1.7170034855170755</v>
      </c>
      <c r="Q16" s="3">
        <v>0.6995942353435007</v>
      </c>
      <c r="R16" s="3">
        <v>4.1015</v>
      </c>
      <c r="S16" s="3">
        <v>1.9550724354337328</v>
      </c>
      <c r="T16" s="3">
        <v>0.09008116312797831</v>
      </c>
      <c r="U16" s="3">
        <v>1.880759826970096</v>
      </c>
      <c r="V16" s="3">
        <v>0.7617306520414382</v>
      </c>
      <c r="W16" s="3">
        <v>5.464600000000001</v>
      </c>
      <c r="X16" s="3">
        <v>0.22227161591464772</v>
      </c>
      <c r="Y16" s="3">
        <v>0.1656375056316752</v>
      </c>
      <c r="Z16" s="3">
        <v>7.0686</v>
      </c>
      <c r="AA16" s="3">
        <v>0.4169446297531688</v>
      </c>
    </row>
    <row r="17" spans="1:27">
      <c r="A17" t="s">
        <v>209</v>
      </c>
      <c r="B17" s="3">
        <v>1.9204916458613408</v>
      </c>
      <c r="C17" s="3">
        <v>4.6996</v>
      </c>
      <c r="D17" s="3">
        <v>5.120299999999999</v>
      </c>
      <c r="E17" s="3">
        <v>8.8751</v>
      </c>
      <c r="F17" s="3">
        <v>1</v>
      </c>
      <c r="G17" s="3">
        <v>1.1086474501108647</v>
      </c>
      <c r="H17" s="3">
        <v>8.2842</v>
      </c>
      <c r="I17" s="3">
        <v>9.4468</v>
      </c>
      <c r="J17" s="3">
        <v>0.90779</v>
      </c>
      <c r="K17" s="3">
        <v>0.021625315459289265</v>
      </c>
      <c r="L17" s="3">
        <v>0.045343999999999995</v>
      </c>
      <c r="M17" s="3">
        <v>0.0047920260686218135</v>
      </c>
      <c r="N17" s="3">
        <v>0.8807468733485996</v>
      </c>
      <c r="O17" s="3">
        <v>0.39128223187385064</v>
      </c>
      <c r="P17" s="3">
        <v>1.7182721055706385</v>
      </c>
      <c r="Q17" s="3">
        <v>0.7007217433956975</v>
      </c>
      <c r="R17" s="3">
        <v>4.097300000000001</v>
      </c>
      <c r="S17" s="3">
        <v>1.959938849907883</v>
      </c>
      <c r="T17" s="3">
        <v>0.08840560491535163</v>
      </c>
      <c r="U17" s="3">
        <v>1.8795579279753405</v>
      </c>
      <c r="V17" s="3">
        <v>0.7625438462711607</v>
      </c>
      <c r="W17" s="3">
        <v>5.4632000000000005</v>
      </c>
      <c r="X17" s="3">
        <v>0.22291076881924168</v>
      </c>
      <c r="Y17" s="3">
        <v>0.16542323534763692</v>
      </c>
      <c r="Z17" s="3">
        <v>7.0638</v>
      </c>
      <c r="AA17" s="3">
        <v>0.4184625685232456</v>
      </c>
    </row>
    <row r="18" spans="1:27">
      <c r="A18" t="s">
        <v>210</v>
      </c>
      <c r="B18" s="3">
        <v>1.9204916458613408</v>
      </c>
      <c r="C18" s="3">
        <v>4.6996</v>
      </c>
      <c r="D18" s="3">
        <v>5.120299999999999</v>
      </c>
      <c r="E18" s="3">
        <v>8.8751</v>
      </c>
      <c r="F18" s="3">
        <v>1</v>
      </c>
      <c r="G18" s="3">
        <v>1.1086474501108647</v>
      </c>
      <c r="H18" s="3">
        <v>8.2842</v>
      </c>
      <c r="I18" s="3">
        <v>9.4468</v>
      </c>
      <c r="J18" s="3">
        <v>0.90779</v>
      </c>
      <c r="K18" s="3">
        <v>0.021625315459289265</v>
      </c>
      <c r="L18" s="3">
        <v>0.045343999999999995</v>
      </c>
      <c r="M18" s="3">
        <v>0.0047920260686218135</v>
      </c>
      <c r="N18" s="3">
        <v>0.8807468733485996</v>
      </c>
      <c r="O18" s="3">
        <v>0.39128223187385064</v>
      </c>
      <c r="P18" s="3">
        <v>1.7182721055706385</v>
      </c>
      <c r="Q18" s="3">
        <v>0.7007217433956975</v>
      </c>
      <c r="R18" s="3">
        <v>4.097300000000001</v>
      </c>
      <c r="S18" s="3">
        <v>1.959938849907883</v>
      </c>
      <c r="T18" s="3">
        <v>0.08840560491535163</v>
      </c>
      <c r="U18" s="3">
        <v>1.8795579279753405</v>
      </c>
      <c r="V18" s="3">
        <v>0.7625438462711607</v>
      </c>
      <c r="W18" s="3">
        <v>5.4632000000000005</v>
      </c>
      <c r="X18" s="3">
        <v>0.22291076881924168</v>
      </c>
      <c r="Y18" s="3">
        <v>0.16542323534763692</v>
      </c>
      <c r="Z18" s="3">
        <v>7.0638</v>
      </c>
      <c r="AA18" s="3">
        <v>0.4184625685232456</v>
      </c>
    </row>
    <row r="19" spans="1:27">
      <c r="A19" t="s">
        <v>211</v>
      </c>
      <c r="B19" s="3">
        <v>1.9204916458613408</v>
      </c>
      <c r="C19" s="3">
        <v>4.6996</v>
      </c>
      <c r="D19" s="3">
        <v>5.120299999999999</v>
      </c>
      <c r="E19" s="3">
        <v>8.8751</v>
      </c>
      <c r="F19" s="3">
        <v>1</v>
      </c>
      <c r="G19" s="3">
        <v>1.1086474501108647</v>
      </c>
      <c r="H19" s="3">
        <v>8.2842</v>
      </c>
      <c r="I19" s="3">
        <v>9.4468</v>
      </c>
      <c r="J19" s="3">
        <v>0.90779</v>
      </c>
      <c r="K19" s="3">
        <v>0.021625315459289265</v>
      </c>
      <c r="L19" s="3">
        <v>0.045343999999999995</v>
      </c>
      <c r="M19" s="3">
        <v>0.0047920260686218135</v>
      </c>
      <c r="N19" s="3">
        <v>0.8807468733485996</v>
      </c>
      <c r="O19" s="3">
        <v>0.39128223187385064</v>
      </c>
      <c r="P19" s="3">
        <v>1.7182721055706385</v>
      </c>
      <c r="Q19" s="3">
        <v>0.7007217433956975</v>
      </c>
      <c r="R19" s="3">
        <v>4.097300000000001</v>
      </c>
      <c r="S19" s="3">
        <v>1.959938849907883</v>
      </c>
      <c r="T19" s="3">
        <v>0.08840560491535163</v>
      </c>
      <c r="U19" s="3">
        <v>1.8795579279753405</v>
      </c>
      <c r="V19" s="3">
        <v>0.7625438462711607</v>
      </c>
      <c r="W19" s="3">
        <v>5.4632000000000005</v>
      </c>
      <c r="X19" s="3">
        <v>0.22291076881924168</v>
      </c>
      <c r="Y19" s="3">
        <v>0.16542323534763692</v>
      </c>
      <c r="Z19" s="3">
        <v>7.0638</v>
      </c>
      <c r="AA19" s="3">
        <v>0.4184625685232456</v>
      </c>
    </row>
    <row r="20" spans="1:27">
      <c r="A20" t="s">
        <v>212</v>
      </c>
      <c r="B20" s="3">
        <v>1.921931156425977</v>
      </c>
      <c r="C20" s="3">
        <v>4.6919</v>
      </c>
      <c r="D20" s="3">
        <v>5.1278</v>
      </c>
      <c r="E20" s="3">
        <v>8.8702</v>
      </c>
      <c r="F20" s="3">
        <v>1</v>
      </c>
      <c r="G20" s="3">
        <v>1.1092623405435384</v>
      </c>
      <c r="H20" s="3">
        <v>8.285499999999999</v>
      </c>
      <c r="I20" s="3">
        <v>9.4357</v>
      </c>
      <c r="J20" s="3">
        <v>0.90776</v>
      </c>
      <c r="K20" s="3">
        <v>0.021537752449380897</v>
      </c>
      <c r="L20" s="3">
        <v>0.045303</v>
      </c>
      <c r="M20" s="3">
        <v>0.004780114722753346</v>
      </c>
      <c r="N20" s="3">
        <v>0.8807468733485996</v>
      </c>
      <c r="O20" s="3">
        <v>0.39192631785224374</v>
      </c>
      <c r="P20" s="3">
        <v>1.7230684402784475</v>
      </c>
      <c r="Q20" s="3">
        <v>0.6975933031042902</v>
      </c>
      <c r="R20" s="3">
        <v>4.0944</v>
      </c>
      <c r="S20" s="3">
        <v>1.9615535504119264</v>
      </c>
      <c r="T20" s="3">
        <v>0.08816398501212255</v>
      </c>
      <c r="U20" s="3">
        <v>1.8812197829072372</v>
      </c>
      <c r="V20" s="3">
        <v>0.7614986293024673</v>
      </c>
      <c r="W20" s="3">
        <v>5.4653</v>
      </c>
      <c r="X20" s="3">
        <v>0.22356360384529397</v>
      </c>
      <c r="Y20" s="3">
        <v>0.16534473550629383</v>
      </c>
      <c r="Z20" s="3">
        <v>7.0656</v>
      </c>
      <c r="AA20" s="3">
        <v>0.4184625685232456</v>
      </c>
    </row>
    <row r="21" spans="1:27">
      <c r="A21" t="s">
        <v>213</v>
      </c>
      <c r="B21" s="3">
        <v>1.9197174175961296</v>
      </c>
      <c r="C21" s="3">
        <v>4.684200000000001</v>
      </c>
      <c r="D21" s="3">
        <v>5.1208</v>
      </c>
      <c r="E21" s="3">
        <v>8.857899999999999</v>
      </c>
      <c r="F21" s="3">
        <v>1</v>
      </c>
      <c r="G21" s="3">
        <v>1.1096316023080337</v>
      </c>
      <c r="H21" s="3">
        <v>8.2899</v>
      </c>
      <c r="I21" s="3">
        <v>9.4333</v>
      </c>
      <c r="J21" s="3">
        <v>0.90733</v>
      </c>
      <c r="K21" s="3">
        <v>0.021562644874020247</v>
      </c>
      <c r="L21" s="3">
        <v>0.045466</v>
      </c>
      <c r="M21" s="3">
        <v>0.004798925040790863</v>
      </c>
      <c r="N21" s="3">
        <v>0.880514220304658</v>
      </c>
      <c r="O21" s="3">
        <v>0.3924030764401193</v>
      </c>
      <c r="P21" s="3">
        <v>1.7244947230461476</v>
      </c>
      <c r="Q21" s="3">
        <v>0.6950719399457843</v>
      </c>
      <c r="R21" s="3">
        <v>4.0774</v>
      </c>
      <c r="S21" s="3">
        <v>1.9660657059158917</v>
      </c>
      <c r="T21" s="3">
        <v>0.08872484650601555</v>
      </c>
      <c r="U21" s="3">
        <v>1.8792047205622584</v>
      </c>
      <c r="V21" s="3">
        <v>0.7597052343690648</v>
      </c>
      <c r="W21" s="3">
        <v>5.470599999999999</v>
      </c>
      <c r="X21" s="3">
        <v>0.22407457201756745</v>
      </c>
      <c r="Y21" s="3">
        <v>0.16516476837292882</v>
      </c>
      <c r="Z21" s="3">
        <v>7.0602</v>
      </c>
      <c r="AA21" s="3">
        <v>0.4200445247196203</v>
      </c>
    </row>
    <row r="22" spans="1:27">
      <c r="A22" t="s">
        <v>214</v>
      </c>
      <c r="B22" s="3">
        <v>1.9178765271091849</v>
      </c>
      <c r="C22" s="3">
        <v>4.67</v>
      </c>
      <c r="D22" s="3">
        <v>5.1213999999999995</v>
      </c>
      <c r="E22" s="3">
        <v>8.8606</v>
      </c>
      <c r="F22" s="3">
        <v>1</v>
      </c>
      <c r="G22" s="3">
        <v>1.1079104808331486</v>
      </c>
      <c r="H22" s="3">
        <v>8.2803</v>
      </c>
      <c r="I22" s="3">
        <v>9.4581</v>
      </c>
      <c r="J22" s="3">
        <v>0.90719</v>
      </c>
      <c r="K22" s="3">
        <v>0.0214826924688125</v>
      </c>
      <c r="L22" s="3">
        <v>0.045515999999999994</v>
      </c>
      <c r="M22" s="3">
        <v>0.0047794293361372656</v>
      </c>
      <c r="N22" s="3">
        <v>0.8800492827598346</v>
      </c>
      <c r="O22" s="3">
        <v>0.39227993095873215</v>
      </c>
      <c r="P22" s="3">
        <v>1.7270858879812092</v>
      </c>
      <c r="Q22" s="3">
        <v>0.6915629322268326</v>
      </c>
      <c r="R22" s="3">
        <v>4.0709</v>
      </c>
      <c r="S22" s="3">
        <v>1.9653315514327268</v>
      </c>
      <c r="T22" s="3">
        <v>0.0890242056815248</v>
      </c>
      <c r="U22" s="3">
        <v>1.878181169355596</v>
      </c>
      <c r="V22" s="3">
        <v>0.7575183698204682</v>
      </c>
      <c r="W22" s="3">
        <v>5.468</v>
      </c>
      <c r="X22" s="3">
        <v>0.22398924851607124</v>
      </c>
      <c r="Y22" s="3">
        <v>0.16493947545948015</v>
      </c>
      <c r="Z22" s="3">
        <v>7.057300000000001</v>
      </c>
      <c r="AA22" s="3">
        <v>0.42075146211133085</v>
      </c>
    </row>
    <row r="23" spans="1:27">
      <c r="A23" t="s">
        <v>215</v>
      </c>
      <c r="B23" s="3">
        <v>1.9186492709132772</v>
      </c>
      <c r="C23" s="3">
        <v>4.6525</v>
      </c>
      <c r="D23" s="3">
        <v>5.1126</v>
      </c>
      <c r="E23" s="3">
        <v>8.8612</v>
      </c>
      <c r="F23" s="3">
        <v>1</v>
      </c>
      <c r="G23" s="3">
        <v>1.1074197120708749</v>
      </c>
      <c r="H23" s="3">
        <v>8.2759</v>
      </c>
      <c r="I23" s="3">
        <v>9.4251</v>
      </c>
      <c r="J23" s="3">
        <v>0.90736</v>
      </c>
      <c r="K23" s="3">
        <v>0.02128071605353377</v>
      </c>
      <c r="L23" s="3">
        <v>0.045299</v>
      </c>
      <c r="M23" s="3">
        <v>0.004775093114315729</v>
      </c>
      <c r="N23" s="3">
        <v>0.880514220304658</v>
      </c>
      <c r="O23" s="3">
        <v>0.39145071635481093</v>
      </c>
      <c r="P23" s="3">
        <v>1.7241082050309475</v>
      </c>
      <c r="Q23" s="3">
        <v>0.6906077348066297</v>
      </c>
      <c r="R23" s="3">
        <v>4.0645</v>
      </c>
      <c r="S23" s="3">
        <v>1.9648295510364475</v>
      </c>
      <c r="T23" s="3">
        <v>0.0876055647054701</v>
      </c>
      <c r="U23" s="3">
        <v>1.878675158278382</v>
      </c>
      <c r="V23" s="3">
        <v>0.7576331540268202</v>
      </c>
      <c r="W23" s="3">
        <v>5.459700000000001</v>
      </c>
      <c r="X23" s="3">
        <v>0.22378373539811125</v>
      </c>
      <c r="Y23" s="3">
        <v>0.16492941021242907</v>
      </c>
      <c r="Z23" s="3">
        <v>7.0583</v>
      </c>
      <c r="AA23" s="3">
        <v>0.4203623523477238</v>
      </c>
    </row>
    <row r="24" spans="1:27">
      <c r="A24" t="s">
        <v>216</v>
      </c>
      <c r="B24" s="3">
        <v>1.9176558574798168</v>
      </c>
      <c r="C24" s="3">
        <v>4.6578</v>
      </c>
      <c r="D24" s="3">
        <v>5.1131</v>
      </c>
      <c r="E24" s="3">
        <v>8.87</v>
      </c>
      <c r="F24" s="3">
        <v>1</v>
      </c>
      <c r="G24" s="3">
        <v>1.1053387863380126</v>
      </c>
      <c r="H24" s="3">
        <v>8.2616</v>
      </c>
      <c r="I24" s="3">
        <v>9.4267</v>
      </c>
      <c r="J24" s="3">
        <v>0.90675</v>
      </c>
      <c r="K24" s="3">
        <v>0.021313599781748738</v>
      </c>
      <c r="L24" s="3">
        <v>0.045274</v>
      </c>
      <c r="M24" s="3">
        <v>0.004774181227919412</v>
      </c>
      <c r="N24" s="3">
        <v>0.8798944126704795</v>
      </c>
      <c r="O24" s="3">
        <v>0.3917113870500216</v>
      </c>
      <c r="P24" s="3">
        <v>1.725744658820281</v>
      </c>
      <c r="Q24" s="3">
        <v>0.6935293709688606</v>
      </c>
      <c r="R24" s="3">
        <v>4.0655</v>
      </c>
      <c r="S24" s="3">
        <v>1.9656406022722803</v>
      </c>
      <c r="T24" s="3">
        <v>0.08809951721464566</v>
      </c>
      <c r="U24" s="3">
        <v>1.8779342723004695</v>
      </c>
      <c r="V24" s="3">
        <v>0.7590708972218004</v>
      </c>
      <c r="W24" s="3">
        <v>5.4639</v>
      </c>
      <c r="X24" s="3">
        <v>0.2240946575833632</v>
      </c>
      <c r="Y24" s="3">
        <v>0.16464320171755786</v>
      </c>
      <c r="Z24" s="3">
        <v>7.055</v>
      </c>
      <c r="AA24" s="3">
        <v>0.4212477357934201</v>
      </c>
    </row>
    <row r="25" spans="1:27">
      <c r="A25" t="s">
        <v>217</v>
      </c>
      <c r="B25" s="3">
        <v>1.9176558574798168</v>
      </c>
      <c r="C25" s="3">
        <v>4.6578</v>
      </c>
      <c r="D25" s="3">
        <v>5.1131</v>
      </c>
      <c r="E25" s="3">
        <v>8.87</v>
      </c>
      <c r="F25" s="3">
        <v>1</v>
      </c>
      <c r="G25" s="3">
        <v>1.1053387863380126</v>
      </c>
      <c r="H25" s="3">
        <v>8.2616</v>
      </c>
      <c r="I25" s="3">
        <v>9.4267</v>
      </c>
      <c r="J25" s="3">
        <v>0.90675</v>
      </c>
      <c r="K25" s="3">
        <v>0.021313599781748738</v>
      </c>
      <c r="L25" s="3">
        <v>0.045274</v>
      </c>
      <c r="M25" s="3">
        <v>0.004774181227919412</v>
      </c>
      <c r="N25" s="3">
        <v>0.8798944126704795</v>
      </c>
      <c r="O25" s="3">
        <v>0.3917113870500216</v>
      </c>
      <c r="P25" s="3">
        <v>1.725744658820281</v>
      </c>
      <c r="Q25" s="3">
        <v>0.6935293709688606</v>
      </c>
      <c r="R25" s="3">
        <v>4.0655</v>
      </c>
      <c r="S25" s="3">
        <v>1.9656406022722803</v>
      </c>
      <c r="T25" s="3">
        <v>0.08809951721464566</v>
      </c>
      <c r="U25" s="3">
        <v>1.8779342723004695</v>
      </c>
      <c r="V25" s="3">
        <v>0.7590708972218004</v>
      </c>
      <c r="W25" s="3">
        <v>5.4639</v>
      </c>
      <c r="X25" s="3">
        <v>0.2240946575833632</v>
      </c>
      <c r="Y25" s="3">
        <v>0.16464320171755786</v>
      </c>
      <c r="Z25" s="3">
        <v>7.055</v>
      </c>
      <c r="AA25" s="3">
        <v>0.4212477357934201</v>
      </c>
    </row>
    <row r="26" spans="1:27">
      <c r="A26" t="s">
        <v>218</v>
      </c>
      <c r="B26" s="3">
        <v>1.9176558574798168</v>
      </c>
      <c r="C26" s="3">
        <v>4.6578</v>
      </c>
      <c r="D26" s="3">
        <v>5.1131</v>
      </c>
      <c r="E26" s="3">
        <v>8.87</v>
      </c>
      <c r="F26" s="3">
        <v>1</v>
      </c>
      <c r="G26" s="3">
        <v>1.1053387863380126</v>
      </c>
      <c r="H26" s="3">
        <v>8.2616</v>
      </c>
      <c r="I26" s="3">
        <v>9.4267</v>
      </c>
      <c r="J26" s="3">
        <v>0.90675</v>
      </c>
      <c r="K26" s="3">
        <v>0.021313599781748738</v>
      </c>
      <c r="L26" s="3">
        <v>0.045274</v>
      </c>
      <c r="M26" s="3">
        <v>0.004774181227919412</v>
      </c>
      <c r="N26" s="3">
        <v>0.8798944126704795</v>
      </c>
      <c r="O26" s="3">
        <v>0.3917113870500216</v>
      </c>
      <c r="P26" s="3">
        <v>1.725744658820281</v>
      </c>
      <c r="Q26" s="3">
        <v>0.6935293709688606</v>
      </c>
      <c r="R26" s="3">
        <v>4.0655</v>
      </c>
      <c r="S26" s="3">
        <v>1.9656406022722803</v>
      </c>
      <c r="T26" s="3">
        <v>0.08809951721464566</v>
      </c>
      <c r="U26" s="3">
        <v>1.8779342723004695</v>
      </c>
      <c r="V26" s="3">
        <v>0.7590708972218004</v>
      </c>
      <c r="W26" s="3">
        <v>5.4639</v>
      </c>
      <c r="X26" s="3">
        <v>0.2240946575833632</v>
      </c>
      <c r="Y26" s="3">
        <v>0.16464320171755786</v>
      </c>
      <c r="Z26" s="3">
        <v>7.055</v>
      </c>
      <c r="AA26" s="3">
        <v>0.4212477357934201</v>
      </c>
    </row>
    <row r="27" spans="1:27">
      <c r="A27" t="s">
        <v>219</v>
      </c>
      <c r="B27" s="3">
        <v>1.9179500949385295</v>
      </c>
      <c r="C27" s="3">
        <v>4.6575999999999995</v>
      </c>
      <c r="D27" s="3">
        <v>5.1071</v>
      </c>
      <c r="E27" s="3">
        <v>8.8599</v>
      </c>
      <c r="F27" s="3">
        <v>1</v>
      </c>
      <c r="G27" s="3">
        <v>1.104728236853734</v>
      </c>
      <c r="H27" s="3">
        <v>8.2531</v>
      </c>
      <c r="I27" s="3">
        <v>9.4289</v>
      </c>
      <c r="J27" s="3">
        <v>0.90699</v>
      </c>
      <c r="K27" s="3">
        <v>0.02134048097176014</v>
      </c>
      <c r="L27" s="3">
        <v>0.044699</v>
      </c>
      <c r="M27" s="3">
        <v>0.004767125899795013</v>
      </c>
      <c r="N27" s="3">
        <v>0.8805917576611483</v>
      </c>
      <c r="O27" s="3">
        <v>0.39094569764259746</v>
      </c>
      <c r="P27" s="3">
        <v>1.7287578874578615</v>
      </c>
      <c r="Q27" s="3">
        <v>0.6951685783802573</v>
      </c>
      <c r="R27" s="3">
        <v>4.0553</v>
      </c>
      <c r="S27" s="3">
        <v>1.9625929778423252</v>
      </c>
      <c r="T27" s="3">
        <v>0.08753501400560224</v>
      </c>
      <c r="U27" s="3">
        <v>1.878075348382977</v>
      </c>
      <c r="V27" s="3">
        <v>0.7601672367920942</v>
      </c>
      <c r="W27" s="3">
        <v>5.4511</v>
      </c>
      <c r="X27" s="3">
        <v>0.2241901132160072</v>
      </c>
      <c r="Y27" s="3">
        <v>0.16455758692754527</v>
      </c>
      <c r="Z27" s="3">
        <v>7.0572</v>
      </c>
      <c r="AA27" s="3">
        <v>0.42038002354128134</v>
      </c>
    </row>
    <row r="28" spans="1:27">
      <c r="A28" t="s">
        <v>220</v>
      </c>
      <c r="B28" s="3">
        <v>1.9155253328225263</v>
      </c>
      <c r="C28" s="3">
        <v>4.6841</v>
      </c>
      <c r="D28" s="3">
        <v>5.1172</v>
      </c>
      <c r="E28" s="3">
        <v>8.891</v>
      </c>
      <c r="F28" s="3">
        <v>1</v>
      </c>
      <c r="G28" s="3">
        <v>1.10803324099723</v>
      </c>
      <c r="H28" s="3">
        <v>8.2828</v>
      </c>
      <c r="I28" s="3">
        <v>9.4771</v>
      </c>
      <c r="J28" s="3">
        <v>0.90673</v>
      </c>
      <c r="K28" s="3">
        <v>0.02130696950972663</v>
      </c>
      <c r="L28" s="3">
        <v>0.044846</v>
      </c>
      <c r="M28" s="3">
        <v>0.004752174119659744</v>
      </c>
      <c r="N28" s="3">
        <v>0.8798169980644026</v>
      </c>
      <c r="O28" s="3">
        <v>0.39166536111546296</v>
      </c>
      <c r="P28" s="3">
        <v>1.72869811744775</v>
      </c>
      <c r="Q28" s="3">
        <v>0.6959910913140311</v>
      </c>
      <c r="R28" s="3">
        <v>4.0766</v>
      </c>
      <c r="S28" s="3">
        <v>1.9645593493379432</v>
      </c>
      <c r="T28" s="3">
        <v>0.08924826189009968</v>
      </c>
      <c r="U28" s="3">
        <v>1.875891048247918</v>
      </c>
      <c r="V28" s="3">
        <v>0.7623113279463333</v>
      </c>
      <c r="W28" s="3">
        <v>5.4663</v>
      </c>
      <c r="X28" s="3">
        <v>0.2259835935911053</v>
      </c>
      <c r="Y28" s="3">
        <v>0.1643352965923433</v>
      </c>
      <c r="Z28" s="3">
        <v>7.0523</v>
      </c>
      <c r="AA28" s="3">
        <v>0.42138974337364626</v>
      </c>
    </row>
    <row r="29" spans="1:27">
      <c r="A29" t="s">
        <v>221</v>
      </c>
      <c r="B29" s="3">
        <v>1.9142053176623728</v>
      </c>
      <c r="C29" s="3">
        <v>4.7108</v>
      </c>
      <c r="D29" s="3">
        <v>5.1364</v>
      </c>
      <c r="E29" s="3">
        <v>8.9312</v>
      </c>
      <c r="F29" s="3">
        <v>1</v>
      </c>
      <c r="G29" s="3">
        <v>1.1102475852115024</v>
      </c>
      <c r="H29" s="3">
        <v>8.2969</v>
      </c>
      <c r="I29" s="3">
        <v>9.5009</v>
      </c>
      <c r="J29" s="3">
        <v>0.90623</v>
      </c>
      <c r="K29" s="3">
        <v>0.02124328446669797</v>
      </c>
      <c r="L29" s="3">
        <v>0.045016999999999995</v>
      </c>
      <c r="M29" s="3">
        <v>0.004765762760329791</v>
      </c>
      <c r="N29" s="3">
        <v>0.8798169980644026</v>
      </c>
      <c r="O29" s="3">
        <v>0.3930354124906654</v>
      </c>
      <c r="P29" s="3">
        <v>1.7336731332674538</v>
      </c>
      <c r="Q29" s="3">
        <v>0.7009182028457279</v>
      </c>
      <c r="R29" s="3">
        <v>4.1038</v>
      </c>
      <c r="S29" s="3">
        <v>1.9647909462433195</v>
      </c>
      <c r="T29" s="3">
        <v>0.08994180765045016</v>
      </c>
      <c r="U29" s="3">
        <v>1.8744142455482664</v>
      </c>
      <c r="V29" s="3">
        <v>0.7672241829062452</v>
      </c>
      <c r="W29" s="3">
        <v>5.4762</v>
      </c>
      <c r="X29" s="3">
        <v>0.22589681033703804</v>
      </c>
      <c r="Y29" s="3">
        <v>0.16414216024214254</v>
      </c>
      <c r="Z29" s="3">
        <v>7.0471</v>
      </c>
      <c r="AA29" s="3">
        <v>0.421674045962471</v>
      </c>
    </row>
    <row r="30" spans="1:27">
      <c r="A30" t="s">
        <v>222</v>
      </c>
      <c r="B30" s="3">
        <v>1.9121555729774176</v>
      </c>
      <c r="C30" s="3">
        <v>4.7120999999999995</v>
      </c>
      <c r="D30" s="3">
        <v>5.1366</v>
      </c>
      <c r="E30" s="3">
        <v>8.9163</v>
      </c>
      <c r="F30" s="3">
        <v>1</v>
      </c>
      <c r="G30" s="3">
        <v>1.1085245538188673</v>
      </c>
      <c r="H30" s="3">
        <v>8.2825</v>
      </c>
      <c r="I30" s="3">
        <v>9.4877</v>
      </c>
      <c r="J30" s="3">
        <v>0.90526</v>
      </c>
      <c r="K30" s="3">
        <v>0.02128035376460098</v>
      </c>
      <c r="L30" s="3">
        <v>0.045047</v>
      </c>
      <c r="M30" s="3">
        <v>0.0048454307587944565</v>
      </c>
      <c r="N30" s="3">
        <v>0.8788890841975743</v>
      </c>
      <c r="O30" s="3">
        <v>0.3924030764401193</v>
      </c>
      <c r="P30" s="3">
        <v>1.7388280299078422</v>
      </c>
      <c r="Q30" s="3">
        <v>0.7029382820188388</v>
      </c>
      <c r="R30" s="3">
        <v>4.1006</v>
      </c>
      <c r="S30" s="3">
        <v>1.9635563933396167</v>
      </c>
      <c r="T30" s="3">
        <v>0.08881625692766804</v>
      </c>
      <c r="U30" s="3">
        <v>1.872378669862193</v>
      </c>
      <c r="V30" s="3">
        <v>0.7665772326561902</v>
      </c>
      <c r="W30" s="3">
        <v>5.474</v>
      </c>
      <c r="X30" s="3">
        <v>0.2258202922114581</v>
      </c>
      <c r="Y30" s="3">
        <v>0.1642068480823924</v>
      </c>
      <c r="Z30" s="3">
        <v>7.039199999999999</v>
      </c>
      <c r="AA30" s="3">
        <v>0.4218697266284171</v>
      </c>
    </row>
    <row r="31" spans="1:27">
      <c r="A31" t="s">
        <v>223</v>
      </c>
      <c r="B31" s="3">
        <v>1.9094901661256445</v>
      </c>
      <c r="C31" s="3">
        <v>4.7057</v>
      </c>
      <c r="D31" s="3">
        <v>5.1292</v>
      </c>
      <c r="E31" s="3">
        <v>8.903500000000001</v>
      </c>
      <c r="F31" s="3">
        <v>1</v>
      </c>
      <c r="G31" s="3">
        <v>1.1076650420912717</v>
      </c>
      <c r="H31" s="3">
        <v>8.274700000000001</v>
      </c>
      <c r="I31" s="3">
        <v>9.4767</v>
      </c>
      <c r="J31" s="3">
        <v>0.90486</v>
      </c>
      <c r="K31" s="3">
        <v>0.021216827490219043</v>
      </c>
      <c r="L31" s="3">
        <v>0.044998</v>
      </c>
      <c r="M31" s="3">
        <v>0.004840974003969599</v>
      </c>
      <c r="N31" s="3">
        <v>0.8785802143735724</v>
      </c>
      <c r="O31" s="3">
        <v>0.3913741145160659</v>
      </c>
      <c r="P31" s="3">
        <v>1.7367744624683037</v>
      </c>
      <c r="Q31" s="3">
        <v>0.7016559079427448</v>
      </c>
      <c r="R31" s="3">
        <v>4.0938</v>
      </c>
      <c r="S31" s="3">
        <v>1.9614381264343017</v>
      </c>
      <c r="T31" s="3">
        <v>0.08972230945224531</v>
      </c>
      <c r="U31" s="3">
        <v>1.8697530056279563</v>
      </c>
      <c r="V31" s="3">
        <v>0.7651109410864576</v>
      </c>
      <c r="W31" s="3">
        <v>5.4655</v>
      </c>
      <c r="X31" s="3">
        <v>0.22578969947391</v>
      </c>
      <c r="Y31" s="3">
        <v>0.16365594283825227</v>
      </c>
      <c r="Z31" s="3">
        <v>7.0358</v>
      </c>
      <c r="AA31" s="3">
        <v>0.4220299641274531</v>
      </c>
    </row>
    <row r="32" spans="1:27">
      <c r="A32" t="s">
        <v>224</v>
      </c>
      <c r="B32" s="3">
        <v>1.9094901661256445</v>
      </c>
      <c r="C32" s="3">
        <v>4.7057</v>
      </c>
      <c r="D32" s="3">
        <v>5.1292</v>
      </c>
      <c r="E32" s="3">
        <v>8.903500000000001</v>
      </c>
      <c r="F32" s="3">
        <v>1</v>
      </c>
      <c r="G32" s="3">
        <v>1.1076650420912717</v>
      </c>
      <c r="H32" s="3">
        <v>8.274700000000001</v>
      </c>
      <c r="I32" s="3">
        <v>9.4767</v>
      </c>
      <c r="J32" s="3">
        <v>0.90486</v>
      </c>
      <c r="K32" s="3">
        <v>0.021216827490219043</v>
      </c>
      <c r="L32" s="3">
        <v>0.044998</v>
      </c>
      <c r="M32" s="3">
        <v>0.004840974003969599</v>
      </c>
      <c r="N32" s="3">
        <v>0.8785802143735724</v>
      </c>
      <c r="O32" s="3">
        <v>0.3913741145160659</v>
      </c>
      <c r="P32" s="3">
        <v>1.7367744624683037</v>
      </c>
      <c r="Q32" s="3">
        <v>0.7016559079427448</v>
      </c>
      <c r="R32" s="3">
        <v>4.0938</v>
      </c>
      <c r="S32" s="3">
        <v>1.9614381264343017</v>
      </c>
      <c r="T32" s="3">
        <v>0.08972230945224531</v>
      </c>
      <c r="U32" s="3">
        <v>1.8697530056279563</v>
      </c>
      <c r="V32" s="3">
        <v>0.7651109410864576</v>
      </c>
      <c r="W32" s="3">
        <v>5.4655</v>
      </c>
      <c r="X32" s="3">
        <v>0.22578969947391</v>
      </c>
      <c r="Y32" s="3">
        <v>0.16365594283825227</v>
      </c>
      <c r="Z32" s="3">
        <v>7.0358</v>
      </c>
      <c r="AA32" s="3">
        <v>0.4220299641274531</v>
      </c>
    </row>
    <row r="33" spans="1:27">
      <c r="A33" t="s">
        <v>225</v>
      </c>
      <c r="B33" s="3">
        <v>1.9094901661256445</v>
      </c>
      <c r="C33" s="3">
        <v>4.7057</v>
      </c>
      <c r="D33" s="3">
        <v>5.1292</v>
      </c>
      <c r="E33" s="3">
        <v>8.903500000000001</v>
      </c>
      <c r="F33" s="3">
        <v>1</v>
      </c>
      <c r="G33" s="3">
        <v>1.1076650420912717</v>
      </c>
      <c r="H33" s="3">
        <v>8.274700000000001</v>
      </c>
      <c r="I33" s="3">
        <v>9.4767</v>
      </c>
      <c r="J33" s="3">
        <v>0.90486</v>
      </c>
      <c r="K33" s="3">
        <v>0.021216827490219043</v>
      </c>
      <c r="L33" s="3">
        <v>0.044998</v>
      </c>
      <c r="M33" s="3">
        <v>0.004840974003969599</v>
      </c>
      <c r="N33" s="3">
        <v>0.8785802143735724</v>
      </c>
      <c r="O33" s="3">
        <v>0.3913741145160659</v>
      </c>
      <c r="P33" s="3">
        <v>1.7367744624683037</v>
      </c>
      <c r="Q33" s="3">
        <v>0.7016559079427448</v>
      </c>
      <c r="R33" s="3">
        <v>4.0938</v>
      </c>
      <c r="S33" s="3">
        <v>1.9614381264343017</v>
      </c>
      <c r="T33" s="3">
        <v>0.08972230945224531</v>
      </c>
      <c r="U33" s="3">
        <v>1.8697530056279563</v>
      </c>
      <c r="V33" s="3">
        <v>0.7651109410864576</v>
      </c>
      <c r="W33" s="3">
        <v>5.4655</v>
      </c>
      <c r="X33" s="3">
        <v>0.22578969947391</v>
      </c>
      <c r="Y33" s="3">
        <v>0.16365594283825227</v>
      </c>
      <c r="Z33" s="3">
        <v>7.0358</v>
      </c>
      <c r="AA33" s="3">
        <v>0.4220299641274531</v>
      </c>
    </row>
    <row r="34" spans="1:27">
      <c r="A34" t="s">
        <v>226</v>
      </c>
      <c r="B34" s="3">
        <v>1.9088340841414064</v>
      </c>
      <c r="C34" s="3">
        <v>4.7061</v>
      </c>
      <c r="D34" s="3">
        <v>5.1305</v>
      </c>
      <c r="E34" s="3">
        <v>8.8904</v>
      </c>
      <c r="F34" s="3">
        <v>1</v>
      </c>
      <c r="G34" s="3">
        <v>1.105583195135434</v>
      </c>
      <c r="H34" s="3">
        <v>8.263</v>
      </c>
      <c r="I34" s="3">
        <v>9.4661</v>
      </c>
      <c r="J34" s="3">
        <v>0.90494</v>
      </c>
      <c r="K34" s="3">
        <v>0.02133269619680692</v>
      </c>
      <c r="L34" s="3">
        <v>0.044833</v>
      </c>
      <c r="M34" s="3">
        <v>0.004871395167575994</v>
      </c>
      <c r="N34" s="3">
        <v>0.8781944322472995</v>
      </c>
      <c r="O34" s="3">
        <v>0.3922030042750128</v>
      </c>
      <c r="P34" s="3">
        <v>1.7358398861289035</v>
      </c>
      <c r="Q34" s="3">
        <v>0.7006726457399103</v>
      </c>
      <c r="R34" s="3">
        <v>4.0819</v>
      </c>
      <c r="S34" s="3">
        <v>1.9602846333287591</v>
      </c>
      <c r="T34" s="3">
        <v>0.0906947215672048</v>
      </c>
      <c r="U34" s="3">
        <v>1.8695083193120208</v>
      </c>
      <c r="V34" s="3">
        <v>0.7659900421294522</v>
      </c>
      <c r="W34" s="3">
        <v>5.4633</v>
      </c>
      <c r="X34" s="3">
        <v>0.22565213466919395</v>
      </c>
      <c r="Y34" s="3">
        <v>0.16341097533474738</v>
      </c>
      <c r="Z34" s="3">
        <v>7.033099999999999</v>
      </c>
      <c r="AA34" s="3">
        <v>0.4211058238935445</v>
      </c>
    </row>
    <row r="35" spans="1:27">
      <c r="A35" t="s">
        <v>227</v>
      </c>
      <c r="B35" s="3">
        <v>1.9112419250028667</v>
      </c>
      <c r="C35" s="3">
        <v>4.6986</v>
      </c>
      <c r="D35" s="3">
        <v>5.1284</v>
      </c>
      <c r="E35" s="3">
        <v>8.8995</v>
      </c>
      <c r="F35" s="3">
        <v>1</v>
      </c>
      <c r="G35" s="3">
        <v>1.1068068622025458</v>
      </c>
      <c r="H35" s="3">
        <v>8.268099999999999</v>
      </c>
      <c r="I35" s="3">
        <v>9.4836</v>
      </c>
      <c r="J35" s="3">
        <v>0.90447</v>
      </c>
      <c r="K35" s="3">
        <v>0.02139531699301657</v>
      </c>
      <c r="L35" s="3">
        <v>0.044969</v>
      </c>
      <c r="M35" s="3">
        <v>0.004889497359671426</v>
      </c>
      <c r="N35" s="3">
        <v>0.8777319406653208</v>
      </c>
      <c r="O35" s="3">
        <v>0.39080819133969047</v>
      </c>
      <c r="P35" s="3">
        <v>1.7317516668109794</v>
      </c>
      <c r="Q35" s="3">
        <v>0.6991051454138703</v>
      </c>
      <c r="R35" s="3">
        <v>4.0741000000000005</v>
      </c>
      <c r="S35" s="3">
        <v>1.9557606931215896</v>
      </c>
      <c r="T35" s="3">
        <v>0.08951028920774443</v>
      </c>
      <c r="U35" s="3">
        <v>1.8719931110653512</v>
      </c>
      <c r="V35" s="3">
        <v>0.7648183556405354</v>
      </c>
      <c r="W35" s="3">
        <v>5.462999999999999</v>
      </c>
      <c r="X35" s="3">
        <v>0.22197558268590456</v>
      </c>
      <c r="Y35" s="3">
        <v>0.16352454258097326</v>
      </c>
      <c r="Z35" s="3">
        <v>7.034800000000001</v>
      </c>
      <c r="AA35" s="3">
        <v>0.42096400757735214</v>
      </c>
    </row>
    <row r="36" spans="1:27">
      <c r="A36" t="s">
        <v>228</v>
      </c>
      <c r="B36" s="3">
        <v>1.907086734304676</v>
      </c>
      <c r="C36" s="3">
        <v>4.6892000000000005</v>
      </c>
      <c r="D36" s="3">
        <v>5.1142</v>
      </c>
      <c r="E36" s="3">
        <v>8.851</v>
      </c>
      <c r="F36" s="3">
        <v>1</v>
      </c>
      <c r="G36" s="3">
        <v>1.1018069634200087</v>
      </c>
      <c r="H36" s="3">
        <v>8.2355</v>
      </c>
      <c r="I36" s="3">
        <v>9.4346</v>
      </c>
      <c r="J36" s="3">
        <v>0.90322</v>
      </c>
      <c r="K36" s="3">
        <v>0.021338750530801417</v>
      </c>
      <c r="L36" s="3">
        <v>0.044797</v>
      </c>
      <c r="M36" s="3">
        <v>0.004860267314702308</v>
      </c>
      <c r="N36" s="3">
        <v>0.8762705923589204</v>
      </c>
      <c r="O36" s="3">
        <v>0.38987874770946235</v>
      </c>
      <c r="P36" s="3">
        <v>1.7319316233395106</v>
      </c>
      <c r="Q36" s="3">
        <v>0.6968155529231412</v>
      </c>
      <c r="R36" s="3">
        <v>4.052</v>
      </c>
      <c r="S36" s="3">
        <v>1.9497358107976368</v>
      </c>
      <c r="T36" s="3">
        <v>0.08805297266835728</v>
      </c>
      <c r="U36" s="3">
        <v>1.8680415452439665</v>
      </c>
      <c r="V36" s="3">
        <v>0.7616726331022927</v>
      </c>
      <c r="W36" s="3">
        <v>5.458600000000001</v>
      </c>
      <c r="X36" s="3">
        <v>0.22251891410769917</v>
      </c>
      <c r="Y36" s="3">
        <v>0.16314358103423243</v>
      </c>
      <c r="Z36" s="3">
        <v>7.0288</v>
      </c>
      <c r="AA36" s="3">
        <v>0.4224400135180804</v>
      </c>
    </row>
    <row r="37" spans="1:27">
      <c r="A37" t="s">
        <v>229</v>
      </c>
      <c r="B37" s="3">
        <v>1.907086734304676</v>
      </c>
      <c r="C37" s="3">
        <v>4.6892000000000005</v>
      </c>
      <c r="D37" s="3">
        <v>5.1142</v>
      </c>
      <c r="E37" s="3">
        <v>8.851</v>
      </c>
      <c r="F37" s="3">
        <v>1</v>
      </c>
      <c r="G37" s="3">
        <v>1.1018069634200087</v>
      </c>
      <c r="H37" s="3">
        <v>8.2355</v>
      </c>
      <c r="I37" s="3">
        <v>9.4346</v>
      </c>
      <c r="J37" s="3">
        <v>0.90322</v>
      </c>
      <c r="K37" s="3">
        <v>0.021338750530801417</v>
      </c>
      <c r="L37" s="3">
        <v>0.044797</v>
      </c>
      <c r="M37" s="3">
        <v>0.004860267314702308</v>
      </c>
      <c r="N37" s="3">
        <v>0.8762705923589204</v>
      </c>
      <c r="O37" s="3">
        <v>0.38987874770946235</v>
      </c>
      <c r="P37" s="3">
        <v>1.7319316233395106</v>
      </c>
      <c r="Q37" s="3">
        <v>0.6968155529231412</v>
      </c>
      <c r="R37" s="3">
        <v>4.052</v>
      </c>
      <c r="S37" s="3">
        <v>1.9497358107976368</v>
      </c>
      <c r="T37" s="3">
        <v>0.08805297266835728</v>
      </c>
      <c r="U37" s="3">
        <v>1.8680415452439665</v>
      </c>
      <c r="V37" s="3">
        <v>0.7616726331022927</v>
      </c>
      <c r="W37" s="3">
        <v>5.458600000000001</v>
      </c>
      <c r="X37" s="3">
        <v>0.22251891410769917</v>
      </c>
      <c r="Y37" s="3">
        <v>0.16314358103423243</v>
      </c>
      <c r="Z37" s="3">
        <v>7.0288</v>
      </c>
      <c r="AA37" s="3">
        <v>0.4224400135180804</v>
      </c>
    </row>
    <row r="38" spans="1:27">
      <c r="A38" t="s">
        <v>230</v>
      </c>
      <c r="B38" s="3">
        <v>1.907086734304676</v>
      </c>
      <c r="C38" s="3">
        <v>4.6892000000000005</v>
      </c>
      <c r="D38" s="3">
        <v>5.1142</v>
      </c>
      <c r="E38" s="3">
        <v>8.851</v>
      </c>
      <c r="F38" s="3">
        <v>1</v>
      </c>
      <c r="G38" s="3">
        <v>1.1018069634200087</v>
      </c>
      <c r="H38" s="3">
        <v>8.2355</v>
      </c>
      <c r="I38" s="3">
        <v>9.4346</v>
      </c>
      <c r="J38" s="3">
        <v>0.90322</v>
      </c>
      <c r="K38" s="3">
        <v>0.021338750530801417</v>
      </c>
      <c r="L38" s="3">
        <v>0.044797</v>
      </c>
      <c r="M38" s="3">
        <v>0.004860267314702308</v>
      </c>
      <c r="N38" s="3">
        <v>0.8762705923589204</v>
      </c>
      <c r="O38" s="3">
        <v>0.38987874770946235</v>
      </c>
      <c r="P38" s="3">
        <v>1.7319316233395106</v>
      </c>
      <c r="Q38" s="3">
        <v>0.6968155529231412</v>
      </c>
      <c r="R38" s="3">
        <v>4.052</v>
      </c>
      <c r="S38" s="3">
        <v>1.9497358107976368</v>
      </c>
      <c r="T38" s="3">
        <v>0.08805297266835728</v>
      </c>
      <c r="U38" s="3">
        <v>1.8680415452439665</v>
      </c>
      <c r="V38" s="3">
        <v>0.7616726331022927</v>
      </c>
      <c r="W38" s="3">
        <v>5.458600000000001</v>
      </c>
      <c r="X38" s="3">
        <v>0.22251891410769917</v>
      </c>
      <c r="Y38" s="3">
        <v>0.16314358103423243</v>
      </c>
      <c r="Z38" s="3">
        <v>7.0288</v>
      </c>
      <c r="AA38" s="3">
        <v>0.4224400135180804</v>
      </c>
    </row>
    <row r="39" spans="1:27">
      <c r="A39" t="s">
        <v>231</v>
      </c>
      <c r="B39" s="3">
        <v>1.907086734304676</v>
      </c>
      <c r="C39" s="3">
        <v>4.6892000000000005</v>
      </c>
      <c r="D39" s="3">
        <v>5.1142</v>
      </c>
      <c r="E39" s="3">
        <v>8.851</v>
      </c>
      <c r="F39" s="3">
        <v>1</v>
      </c>
      <c r="G39" s="3">
        <v>1.1018069634200087</v>
      </c>
      <c r="H39" s="3">
        <v>8.2355</v>
      </c>
      <c r="I39" s="3">
        <v>9.4346</v>
      </c>
      <c r="J39" s="3">
        <v>0.90322</v>
      </c>
      <c r="K39" s="3">
        <v>0.021338750530801417</v>
      </c>
      <c r="L39" s="3">
        <v>0.044797</v>
      </c>
      <c r="M39" s="3">
        <v>0.004860267314702308</v>
      </c>
      <c r="N39" s="3">
        <v>0.8762705923589204</v>
      </c>
      <c r="O39" s="3">
        <v>0.38987874770946235</v>
      </c>
      <c r="P39" s="3">
        <v>1.7319316233395106</v>
      </c>
      <c r="Q39" s="3">
        <v>0.6968155529231412</v>
      </c>
      <c r="R39" s="3">
        <v>4.052</v>
      </c>
      <c r="S39" s="3">
        <v>1.9497358107976368</v>
      </c>
      <c r="T39" s="3">
        <v>0.08805297266835728</v>
      </c>
      <c r="U39" s="3">
        <v>1.8680415452439665</v>
      </c>
      <c r="V39" s="3">
        <v>0.7616726331022927</v>
      </c>
      <c r="W39" s="3">
        <v>5.458600000000001</v>
      </c>
      <c r="X39" s="3">
        <v>0.22251891410769917</v>
      </c>
      <c r="Y39" s="3">
        <v>0.16314358103423243</v>
      </c>
      <c r="Z39" s="3">
        <v>7.0288</v>
      </c>
      <c r="AA39" s="3">
        <v>0.4224400135180804</v>
      </c>
    </row>
    <row r="40" spans="1:27">
      <c r="A40" t="s">
        <v>232</v>
      </c>
      <c r="B40" s="3">
        <v>1.907086734304676</v>
      </c>
      <c r="C40" s="3">
        <v>4.6892000000000005</v>
      </c>
      <c r="D40" s="3">
        <v>5.1142</v>
      </c>
      <c r="E40" s="3">
        <v>8.851</v>
      </c>
      <c r="F40" s="3">
        <v>1</v>
      </c>
      <c r="G40" s="3">
        <v>1.1018069634200087</v>
      </c>
      <c r="H40" s="3">
        <v>8.2355</v>
      </c>
      <c r="I40" s="3">
        <v>9.4346</v>
      </c>
      <c r="J40" s="3">
        <v>0.90322</v>
      </c>
      <c r="K40" s="3">
        <v>0.021338750530801417</v>
      </c>
      <c r="L40" s="3">
        <v>0.044797</v>
      </c>
      <c r="M40" s="3">
        <v>0.004860267314702308</v>
      </c>
      <c r="N40" s="3">
        <v>0.8762705923589204</v>
      </c>
      <c r="O40" s="3">
        <v>0.38987874770946235</v>
      </c>
      <c r="P40" s="3">
        <v>1.7319316233395106</v>
      </c>
      <c r="Q40" s="3">
        <v>0.6968155529231412</v>
      </c>
      <c r="R40" s="3">
        <v>4.052</v>
      </c>
      <c r="S40" s="3">
        <v>1.9497358107976368</v>
      </c>
      <c r="T40" s="3">
        <v>0.08805297266835728</v>
      </c>
      <c r="U40" s="3">
        <v>1.8680415452439665</v>
      </c>
      <c r="V40" s="3">
        <v>0.7616726331022927</v>
      </c>
      <c r="W40" s="3">
        <v>5.458600000000001</v>
      </c>
      <c r="X40" s="3">
        <v>0.22251891410769917</v>
      </c>
      <c r="Y40" s="3">
        <v>0.16314358103423243</v>
      </c>
      <c r="Z40" s="3">
        <v>7.0288</v>
      </c>
      <c r="AA40" s="3">
        <v>0.4224400135180804</v>
      </c>
    </row>
    <row r="41" spans="1:27">
      <c r="A41" t="s">
        <v>233</v>
      </c>
      <c r="B41" s="3">
        <v>1.9062142584826536</v>
      </c>
      <c r="C41" s="3">
        <v>4.6817</v>
      </c>
      <c r="D41" s="3">
        <v>5.0945</v>
      </c>
      <c r="E41" s="3">
        <v>8.8342</v>
      </c>
      <c r="F41" s="3">
        <v>1</v>
      </c>
      <c r="G41" s="3">
        <v>1.0974539069359086</v>
      </c>
      <c r="H41" s="3">
        <v>8.2027</v>
      </c>
      <c r="I41" s="3">
        <v>9.4168</v>
      </c>
      <c r="J41" s="3">
        <v>0.90141</v>
      </c>
      <c r="K41" s="3">
        <v>0.021374966067241367</v>
      </c>
      <c r="L41" s="3">
        <v>0.044660000000000005</v>
      </c>
      <c r="M41" s="3">
        <v>0.0048430840759395586</v>
      </c>
      <c r="N41" s="3">
        <v>0.8745080891998251</v>
      </c>
      <c r="O41" s="3">
        <v>0.39128223187385064</v>
      </c>
      <c r="P41" s="3">
        <v>1.727652810891123</v>
      </c>
      <c r="Q41" s="3">
        <v>0.6953619358876295</v>
      </c>
      <c r="R41" s="3">
        <v>4.0306999999999995</v>
      </c>
      <c r="S41" s="3">
        <v>1.9481025481181329</v>
      </c>
      <c r="T41" s="3">
        <v>0.08701402666109777</v>
      </c>
      <c r="U41" s="3">
        <v>1.8667861409796895</v>
      </c>
      <c r="V41" s="3">
        <v>0.7588980799878575</v>
      </c>
      <c r="W41" s="3">
        <v>5.4428</v>
      </c>
      <c r="X41" s="3">
        <v>0.222182723071454</v>
      </c>
      <c r="Y41" s="3">
        <v>0.16272598571265845</v>
      </c>
      <c r="Z41" s="3">
        <v>7.023</v>
      </c>
      <c r="AA41" s="3">
        <v>0.42482688304515914</v>
      </c>
    </row>
    <row r="42" spans="1:27">
      <c r="A42" t="s">
        <v>234</v>
      </c>
      <c r="B42" s="3">
        <v>1.90171915411532</v>
      </c>
      <c r="C42" s="3">
        <v>4.6862</v>
      </c>
      <c r="D42" s="3">
        <v>5.0742</v>
      </c>
      <c r="E42" s="3">
        <v>8.8224</v>
      </c>
      <c r="F42" s="3">
        <v>1</v>
      </c>
      <c r="G42" s="3">
        <v>1.0955302366345312</v>
      </c>
      <c r="H42" s="3">
        <v>8.1919</v>
      </c>
      <c r="I42" s="3">
        <v>9.4562</v>
      </c>
      <c r="J42" s="3">
        <v>0.90161</v>
      </c>
      <c r="K42" s="3">
        <v>0.021329784057266207</v>
      </c>
      <c r="L42" s="3">
        <v>0.044664</v>
      </c>
      <c r="M42" s="3">
        <v>0.004826487764853516</v>
      </c>
      <c r="N42" s="3">
        <v>0.8747375787263821</v>
      </c>
      <c r="O42" s="3">
        <v>0.3905334687182691</v>
      </c>
      <c r="P42" s="3">
        <v>1.722504521574369</v>
      </c>
      <c r="Q42" s="3">
        <v>0.6957489737702638</v>
      </c>
      <c r="R42" s="3">
        <v>4.0347</v>
      </c>
      <c r="S42" s="3">
        <v>1.9445416715280208</v>
      </c>
      <c r="T42" s="3">
        <v>0.08616975441619991</v>
      </c>
      <c r="U42" s="3">
        <v>1.8625789267820223</v>
      </c>
      <c r="V42" s="3">
        <v>0.761266747868453</v>
      </c>
      <c r="W42" s="3">
        <v>5.4517999999999995</v>
      </c>
      <c r="X42" s="3">
        <v>0.2231246374224642</v>
      </c>
      <c r="Y42" s="3">
        <v>0.16233766233766234</v>
      </c>
      <c r="Z42" s="3">
        <v>7.0173000000000005</v>
      </c>
      <c r="AA42" s="3">
        <v>0.42725913266396065</v>
      </c>
    </row>
    <row r="43" spans="1:27">
      <c r="A43" t="s">
        <v>235</v>
      </c>
      <c r="B43" s="3">
        <v>1.9043266301035953</v>
      </c>
      <c r="C43" s="3">
        <v>4.711</v>
      </c>
      <c r="D43" s="3">
        <v>5.0637</v>
      </c>
      <c r="E43" s="3">
        <v>8.7953</v>
      </c>
      <c r="F43" s="3">
        <v>1</v>
      </c>
      <c r="G43" s="3">
        <v>1.0944511327569224</v>
      </c>
      <c r="H43" s="3">
        <v>8.1822</v>
      </c>
      <c r="I43" s="3">
        <v>9.447</v>
      </c>
      <c r="J43" s="3">
        <v>0.90131</v>
      </c>
      <c r="K43" s="3">
        <v>0.02126252628579812</v>
      </c>
      <c r="L43" s="3">
        <v>0.044662</v>
      </c>
      <c r="M43" s="3">
        <v>0.004826720725938797</v>
      </c>
      <c r="N43" s="3">
        <v>0.8746610688358262</v>
      </c>
      <c r="O43" s="3">
        <v>0.38930198154708606</v>
      </c>
      <c r="P43" s="3">
        <v>1.7308524448290783</v>
      </c>
      <c r="Q43" s="3">
        <v>0.6960395350455907</v>
      </c>
      <c r="R43" s="3">
        <v>4.0423</v>
      </c>
      <c r="S43" s="3">
        <v>1.943294661769564</v>
      </c>
      <c r="T43" s="3">
        <v>0.08666487559257109</v>
      </c>
      <c r="U43" s="3">
        <v>1.8651844667437611</v>
      </c>
      <c r="V43" s="3">
        <v>0.7605141075366948</v>
      </c>
      <c r="W43" s="3">
        <v>5.465199999999999</v>
      </c>
      <c r="X43" s="3">
        <v>0.22415996054784693</v>
      </c>
      <c r="Y43" s="3">
        <v>0.16253898903999597</v>
      </c>
      <c r="Z43" s="3">
        <v>7.0187</v>
      </c>
      <c r="AA43" s="3">
        <v>0.42773429145814623</v>
      </c>
    </row>
    <row r="44" spans="1:27">
      <c r="A44" t="s">
        <v>91</v>
      </c>
      <c r="B44" s="3">
        <v>1.905560425321087</v>
      </c>
      <c r="C44" s="3">
        <v>4.7027</v>
      </c>
      <c r="D44" s="3">
        <v>5.0502</v>
      </c>
      <c r="E44" s="3">
        <v>8.7774</v>
      </c>
      <c r="F44" s="3">
        <v>1</v>
      </c>
      <c r="G44" s="3">
        <v>1.0937329104232745</v>
      </c>
      <c r="H44" s="3">
        <v>8.1769</v>
      </c>
      <c r="I44" s="3">
        <v>9.4207</v>
      </c>
      <c r="J44" s="3">
        <v>0.90146</v>
      </c>
      <c r="K44" s="3">
        <v>0.021253533399927735</v>
      </c>
      <c r="L44" s="3">
        <v>0.044674</v>
      </c>
      <c r="M44" s="3">
        <v>0.004829984544049459</v>
      </c>
      <c r="N44" s="3">
        <v>0.8748141020033243</v>
      </c>
      <c r="O44" s="3">
        <v>0.3895901511609786</v>
      </c>
      <c r="P44" s="3">
        <v>1.7277125086385623</v>
      </c>
      <c r="Q44" s="3">
        <v>0.6942997986530584</v>
      </c>
      <c r="R44" s="3">
        <v>4.0371</v>
      </c>
      <c r="S44" s="3">
        <v>1.9425774117098569</v>
      </c>
      <c r="T44" s="3">
        <v>0.0868507903421921</v>
      </c>
      <c r="U44" s="3">
        <v>1.8664377169733848</v>
      </c>
      <c r="V44" s="3">
        <v>0.7620789513793629</v>
      </c>
      <c r="W44" s="3">
        <v>5.4595</v>
      </c>
      <c r="X44" s="3">
        <v>0.223254152527237</v>
      </c>
      <c r="Y44" s="3">
        <v>0.1626637820955975</v>
      </c>
      <c r="Z44" s="3">
        <v>7.0197</v>
      </c>
      <c r="AA44" s="3">
        <v>0.42589437819420783</v>
      </c>
    </row>
    <row r="45" spans="1:27">
      <c r="A45" t="s">
        <v>236</v>
      </c>
      <c r="B45" s="3">
        <v>1.90352914303118</v>
      </c>
      <c r="C45" s="3">
        <v>4.6825</v>
      </c>
      <c r="D45" s="3">
        <v>5.0426</v>
      </c>
      <c r="E45" s="3">
        <v>8.7537</v>
      </c>
      <c r="F45" s="3">
        <v>1</v>
      </c>
      <c r="G45" s="3">
        <v>1.0907504363001743</v>
      </c>
      <c r="H45" s="3">
        <v>8.1556</v>
      </c>
      <c r="I45" s="3">
        <v>9.3961</v>
      </c>
      <c r="J45" s="3">
        <v>0.89973</v>
      </c>
      <c r="K45" s="3">
        <v>0.021176390865352036</v>
      </c>
      <c r="L45" s="3">
        <v>0.044592</v>
      </c>
      <c r="M45" s="3">
        <v>0.004809542131589073</v>
      </c>
      <c r="N45" s="3">
        <v>0.8740494712000699</v>
      </c>
      <c r="O45" s="3">
        <v>0.38943842978425114</v>
      </c>
      <c r="P45" s="3">
        <v>1.7240784800524118</v>
      </c>
      <c r="Q45" s="3">
        <v>0.6933851060879213</v>
      </c>
      <c r="R45" s="3">
        <v>4.0163</v>
      </c>
      <c r="S45" s="3">
        <v>1.9357336430507164</v>
      </c>
      <c r="T45" s="3">
        <v>0.08698450805911466</v>
      </c>
      <c r="U45" s="3">
        <v>1.864349901189455</v>
      </c>
      <c r="V45" s="3">
        <v>0.7584951456310679</v>
      </c>
      <c r="W45" s="3">
        <v>5.4456</v>
      </c>
      <c r="X45" s="3">
        <v>0.222246916324036</v>
      </c>
      <c r="Y45" s="3">
        <v>0.16217259380468255</v>
      </c>
      <c r="Z45" s="3">
        <v>7.0127999999999995</v>
      </c>
      <c r="AA45" s="3">
        <v>0.4236031685517008</v>
      </c>
    </row>
    <row r="46" spans="1:27">
      <c r="A46" t="s">
        <v>86</v>
      </c>
      <c r="B46" s="3">
        <v>1.90352914303118</v>
      </c>
      <c r="C46" s="3">
        <v>4.6825</v>
      </c>
      <c r="D46" s="3">
        <v>5.0426</v>
      </c>
      <c r="E46" s="3">
        <v>8.7537</v>
      </c>
      <c r="F46" s="3">
        <v>1</v>
      </c>
      <c r="G46" s="3">
        <v>1.0907504363001743</v>
      </c>
      <c r="H46" s="3">
        <v>8.1556</v>
      </c>
      <c r="I46" s="3">
        <v>9.3961</v>
      </c>
      <c r="J46" s="3">
        <v>0.89973</v>
      </c>
      <c r="K46" s="3">
        <v>0.021176390865352036</v>
      </c>
      <c r="L46" s="3">
        <v>0.044592</v>
      </c>
      <c r="M46" s="3">
        <v>0.004809542131589073</v>
      </c>
      <c r="N46" s="3">
        <v>0.8740494712000699</v>
      </c>
      <c r="O46" s="3">
        <v>0.38943842978425114</v>
      </c>
      <c r="P46" s="3">
        <v>1.7240784800524118</v>
      </c>
      <c r="Q46" s="3">
        <v>0.6933851060879213</v>
      </c>
      <c r="R46" s="3">
        <v>4.0163</v>
      </c>
      <c r="S46" s="3">
        <v>1.9357336430507164</v>
      </c>
      <c r="T46" s="3">
        <v>0.08698450805911466</v>
      </c>
      <c r="U46" s="3">
        <v>1.864349901189455</v>
      </c>
      <c r="V46" s="3">
        <v>0.7584951456310679</v>
      </c>
      <c r="W46" s="3">
        <v>5.4456</v>
      </c>
      <c r="X46" s="3">
        <v>0.222246916324036</v>
      </c>
      <c r="Y46" s="3">
        <v>0.16217259380468255</v>
      </c>
      <c r="Z46" s="3">
        <v>7.0127999999999995</v>
      </c>
      <c r="AA46" s="3">
        <v>0.4236031685517008</v>
      </c>
    </row>
    <row r="47" spans="1:27">
      <c r="A47" t="s">
        <v>237</v>
      </c>
      <c r="B47" s="3">
        <v>1.90352914303118</v>
      </c>
      <c r="C47" s="3">
        <v>4.6825</v>
      </c>
      <c r="D47" s="3">
        <v>5.0426</v>
      </c>
      <c r="E47" s="3">
        <v>8.7537</v>
      </c>
      <c r="F47" s="3">
        <v>1</v>
      </c>
      <c r="G47" s="3">
        <v>1.0907504363001743</v>
      </c>
      <c r="H47" s="3">
        <v>8.1556</v>
      </c>
      <c r="I47" s="3">
        <v>9.3961</v>
      </c>
      <c r="J47" s="3">
        <v>0.89973</v>
      </c>
      <c r="K47" s="3">
        <v>0.021176390865352036</v>
      </c>
      <c r="L47" s="3">
        <v>0.044592</v>
      </c>
      <c r="M47" s="3">
        <v>0.004809542131589073</v>
      </c>
      <c r="N47" s="3">
        <v>0.8740494712000699</v>
      </c>
      <c r="O47" s="3">
        <v>0.38943842978425114</v>
      </c>
      <c r="P47" s="3">
        <v>1.7240784800524118</v>
      </c>
      <c r="Q47" s="3">
        <v>0.6933851060879213</v>
      </c>
      <c r="R47" s="3">
        <v>4.0163</v>
      </c>
      <c r="S47" s="3">
        <v>1.9357336430507164</v>
      </c>
      <c r="T47" s="3">
        <v>0.08698450805911466</v>
      </c>
      <c r="U47" s="3">
        <v>1.864349901189455</v>
      </c>
      <c r="V47" s="3">
        <v>0.7584951456310679</v>
      </c>
      <c r="W47" s="3">
        <v>5.4456</v>
      </c>
      <c r="X47" s="3">
        <v>0.222246916324036</v>
      </c>
      <c r="Y47" s="3">
        <v>0.16217259380468255</v>
      </c>
      <c r="Z47" s="3">
        <v>7.0127999999999995</v>
      </c>
      <c r="AA47" s="3">
        <v>0.4236031685517008</v>
      </c>
    </row>
    <row r="48" spans="1:27">
      <c r="A48" t="s">
        <v>238</v>
      </c>
      <c r="B48" s="3">
        <v>1.9030944315456932</v>
      </c>
      <c r="C48" s="3">
        <v>4.6758999999999995</v>
      </c>
      <c r="D48" s="3">
        <v>5.024100000000001</v>
      </c>
      <c r="E48" s="3">
        <v>8.726</v>
      </c>
      <c r="F48" s="3">
        <v>1</v>
      </c>
      <c r="G48" s="3">
        <v>1.0887316276537835</v>
      </c>
      <c r="H48" s="3">
        <v>8.14</v>
      </c>
      <c r="I48" s="3">
        <v>9.3699</v>
      </c>
      <c r="J48" s="3">
        <v>0.89959</v>
      </c>
      <c r="K48" s="3">
        <v>0.02109477672233578</v>
      </c>
      <c r="L48" s="3">
        <v>0.044267</v>
      </c>
      <c r="M48" s="3">
        <v>0.004789272030651341</v>
      </c>
      <c r="N48" s="3">
        <v>0.8729812309035356</v>
      </c>
      <c r="O48" s="3">
        <v>0.3894080996884735</v>
      </c>
      <c r="P48" s="3">
        <v>1.7184788025639703</v>
      </c>
      <c r="Q48" s="3">
        <v>0.6931447979482913</v>
      </c>
      <c r="R48" s="3">
        <v>4.0056</v>
      </c>
      <c r="S48" s="3">
        <v>1.9313594839407455</v>
      </c>
      <c r="T48" s="3">
        <v>0.08840091583348803</v>
      </c>
      <c r="U48" s="3">
        <v>1.8641066268990585</v>
      </c>
      <c r="V48" s="3">
        <v>0.7591861524445794</v>
      </c>
      <c r="W48" s="3">
        <v>5.434500000000001</v>
      </c>
      <c r="X48" s="3">
        <v>0.2228759917981635</v>
      </c>
      <c r="Y48" s="3">
        <v>0.16207980809750722</v>
      </c>
      <c r="Z48" s="3">
        <v>7.010800000000001</v>
      </c>
      <c r="AA48" s="3">
        <v>0.42434015106509376</v>
      </c>
    </row>
    <row r="49" spans="1:27">
      <c r="A49" t="s">
        <v>239</v>
      </c>
      <c r="B49" s="3">
        <v>1.9006709368407049</v>
      </c>
      <c r="C49" s="3">
        <v>4.6827</v>
      </c>
      <c r="D49" s="3">
        <v>5.0308</v>
      </c>
      <c r="E49" s="3">
        <v>8.7582</v>
      </c>
      <c r="F49" s="3">
        <v>1</v>
      </c>
      <c r="G49" s="3">
        <v>1.090037061260083</v>
      </c>
      <c r="H49" s="3">
        <v>8.1463</v>
      </c>
      <c r="I49" s="3">
        <v>9.4038</v>
      </c>
      <c r="J49" s="3">
        <v>0.89914</v>
      </c>
      <c r="K49" s="3">
        <v>0.02105945927732359</v>
      </c>
      <c r="L49" s="3">
        <v>0.044222</v>
      </c>
      <c r="M49" s="3">
        <v>0.004751045229950589</v>
      </c>
      <c r="N49" s="3">
        <v>0.8726003490401396</v>
      </c>
      <c r="O49" s="3">
        <v>0.3900308124341823</v>
      </c>
      <c r="P49" s="3">
        <v>1.7230684402784475</v>
      </c>
      <c r="Q49" s="3">
        <v>0.6934812760055479</v>
      </c>
      <c r="R49" s="3">
        <v>4.026</v>
      </c>
      <c r="S49" s="3">
        <v>1.934984520123839</v>
      </c>
      <c r="T49" s="3">
        <v>0.08898301314279104</v>
      </c>
      <c r="U49" s="3">
        <v>1.8616773713115515</v>
      </c>
      <c r="V49" s="3">
        <v>0.7617886798202178</v>
      </c>
      <c r="W49" s="3">
        <v>5.4368</v>
      </c>
      <c r="X49" s="3">
        <v>0.22345370039327853</v>
      </c>
      <c r="Y49" s="3">
        <v>0.16186572914036348</v>
      </c>
      <c r="Z49" s="3">
        <v>7.0103</v>
      </c>
      <c r="AA49" s="3">
        <v>0.4265119849867781</v>
      </c>
    </row>
    <row r="50" spans="1:27">
      <c r="A50" t="s">
        <v>240</v>
      </c>
      <c r="B50" s="3">
        <v>1.9026599185661557</v>
      </c>
      <c r="C50" s="3">
        <v>4.6712</v>
      </c>
      <c r="D50" s="3">
        <v>5.0328</v>
      </c>
      <c r="E50" s="3">
        <v>8.7281</v>
      </c>
      <c r="F50" s="3">
        <v>1</v>
      </c>
      <c r="G50" s="3">
        <v>1.0890873448050535</v>
      </c>
      <c r="H50" s="3">
        <v>8.1423</v>
      </c>
      <c r="I50" s="3">
        <v>9.385</v>
      </c>
      <c r="J50" s="3">
        <v>0.89884</v>
      </c>
      <c r="K50" s="3">
        <v>0.021078813684365844</v>
      </c>
      <c r="L50" s="3">
        <v>0.043958</v>
      </c>
      <c r="M50" s="3">
        <v>0.00473260766682442</v>
      </c>
      <c r="N50" s="3">
        <v>0.8730574471800244</v>
      </c>
      <c r="O50" s="3">
        <v>0.39251089217725793</v>
      </c>
      <c r="P50" s="3">
        <v>1.7254468907447027</v>
      </c>
      <c r="Q50" s="3">
        <v>0.6928566479595372</v>
      </c>
      <c r="R50" s="3">
        <v>4.0086</v>
      </c>
      <c r="S50" s="3">
        <v>1.932665919369178</v>
      </c>
      <c r="T50" s="3">
        <v>0.08858180529719195</v>
      </c>
      <c r="U50" s="3">
        <v>1.8636550001863657</v>
      </c>
      <c r="V50" s="3">
        <v>0.7579777154551656</v>
      </c>
      <c r="W50" s="3">
        <v>5.4261</v>
      </c>
      <c r="X50" s="3">
        <v>0.22158209616662977</v>
      </c>
      <c r="Y50" s="3">
        <v>0.16197453436370737</v>
      </c>
      <c r="Z50" s="3">
        <v>7.0120000000000005</v>
      </c>
      <c r="AA50" s="3">
        <v>0.4266939750810718</v>
      </c>
    </row>
    <row r="51" spans="1:27">
      <c r="A51" t="s">
        <v>84</v>
      </c>
      <c r="B51" s="3">
        <v>1.8996599608670048</v>
      </c>
      <c r="C51" s="3">
        <v>4.6593</v>
      </c>
      <c r="D51" s="3">
        <v>5.0254</v>
      </c>
      <c r="E51" s="3">
        <v>8.729800000000001</v>
      </c>
      <c r="F51" s="3">
        <v>1</v>
      </c>
      <c r="G51" s="3">
        <v>1.087547580206634</v>
      </c>
      <c r="H51" s="3">
        <v>8.1312</v>
      </c>
      <c r="I51" s="3">
        <v>9.3786</v>
      </c>
      <c r="J51" s="3">
        <v>0.8987999999999999</v>
      </c>
      <c r="K51" s="3">
        <v>0.02105772976615391</v>
      </c>
      <c r="L51" s="3">
        <v>0.044086</v>
      </c>
      <c r="M51" s="3">
        <v>0.004762811964183654</v>
      </c>
      <c r="N51" s="3">
        <v>0.872219799389446</v>
      </c>
      <c r="O51" s="3">
        <v>0.3926650174735933</v>
      </c>
      <c r="P51" s="3">
        <v>1.7279811995645489</v>
      </c>
      <c r="Q51" s="3">
        <v>0.6936736958934517</v>
      </c>
      <c r="R51" s="3">
        <v>4.0009</v>
      </c>
      <c r="S51" s="3">
        <v>1.931322183166596</v>
      </c>
      <c r="T51" s="3">
        <v>0.08880915800037299</v>
      </c>
      <c r="U51" s="3">
        <v>1.86039589224587</v>
      </c>
      <c r="V51" s="3">
        <v>0.7590132827324478</v>
      </c>
      <c r="W51" s="3">
        <v>5.4231</v>
      </c>
      <c r="X51" s="3">
        <v>0.2215526409074796</v>
      </c>
      <c r="Y51" s="3">
        <v>0.16166815670817763</v>
      </c>
      <c r="Z51" s="3">
        <v>7.0064</v>
      </c>
      <c r="AA51" s="3">
        <v>0.425930658488798</v>
      </c>
    </row>
    <row r="52" spans="1:27">
      <c r="A52" t="s">
        <v>241</v>
      </c>
      <c r="B52" s="3">
        <v>1.9000931045621237</v>
      </c>
      <c r="C52" s="3">
        <v>4.6745</v>
      </c>
      <c r="D52" s="3">
        <v>5.0245</v>
      </c>
      <c r="E52" s="3">
        <v>8.690800000000001</v>
      </c>
      <c r="F52" s="3">
        <v>1</v>
      </c>
      <c r="G52" s="3">
        <v>1.0844810758052272</v>
      </c>
      <c r="H52" s="3">
        <v>8.1067</v>
      </c>
      <c r="I52" s="3">
        <v>9.3404</v>
      </c>
      <c r="J52" s="3">
        <v>0.89877</v>
      </c>
      <c r="K52" s="3">
        <v>0.02104053880611775</v>
      </c>
      <c r="L52" s="3">
        <v>0.044041</v>
      </c>
      <c r="M52" s="3">
        <v>0.004742483164184767</v>
      </c>
      <c r="N52" s="3">
        <v>0.8719916288803627</v>
      </c>
      <c r="O52" s="3">
        <v>0.3957104981995172</v>
      </c>
      <c r="P52" s="3">
        <v>1.724673174433445</v>
      </c>
      <c r="Q52" s="3">
        <v>0.6900835001035125</v>
      </c>
      <c r="R52" s="3">
        <v>4.0042</v>
      </c>
      <c r="S52" s="3">
        <v>1.924668475855034</v>
      </c>
      <c r="T52" s="3">
        <v>0.08908765334212332</v>
      </c>
      <c r="U52" s="3">
        <v>1.8611230016191769</v>
      </c>
      <c r="V52" s="3">
        <v>0.7574036203893054</v>
      </c>
      <c r="W52" s="3">
        <v>5.4238</v>
      </c>
      <c r="X52" s="3">
        <v>0.22213830330763937</v>
      </c>
      <c r="Y52" s="3">
        <v>0.16131634134537828</v>
      </c>
      <c r="Z52" s="3">
        <v>7.0078</v>
      </c>
      <c r="AA52" s="3">
        <v>0.4275879762261085</v>
      </c>
    </row>
    <row r="53" spans="1:27">
      <c r="A53" t="s">
        <v>242</v>
      </c>
      <c r="B53" s="3">
        <v>1.9000931045621237</v>
      </c>
      <c r="C53" s="3">
        <v>4.6745</v>
      </c>
      <c r="D53" s="3">
        <v>5.0245</v>
      </c>
      <c r="E53" s="3">
        <v>8.690800000000001</v>
      </c>
      <c r="F53" s="3">
        <v>1</v>
      </c>
      <c r="G53" s="3">
        <v>1.0844810758052272</v>
      </c>
      <c r="H53" s="3">
        <v>8.1067</v>
      </c>
      <c r="I53" s="3">
        <v>9.3404</v>
      </c>
      <c r="J53" s="3">
        <v>0.89877</v>
      </c>
      <c r="K53" s="3">
        <v>0.02104053880611775</v>
      </c>
      <c r="L53" s="3">
        <v>0.044041</v>
      </c>
      <c r="M53" s="3">
        <v>0.004742483164184767</v>
      </c>
      <c r="N53" s="3">
        <v>0.8719916288803627</v>
      </c>
      <c r="O53" s="3">
        <v>0.3957104981995172</v>
      </c>
      <c r="P53" s="3">
        <v>1.724673174433445</v>
      </c>
      <c r="Q53" s="3">
        <v>0.6900835001035125</v>
      </c>
      <c r="R53" s="3">
        <v>4.0042</v>
      </c>
      <c r="S53" s="3">
        <v>1.924668475855034</v>
      </c>
      <c r="T53" s="3">
        <v>0.08908765334212332</v>
      </c>
      <c r="U53" s="3">
        <v>1.8611230016191769</v>
      </c>
      <c r="V53" s="3">
        <v>0.7574036203893054</v>
      </c>
      <c r="W53" s="3">
        <v>5.4238</v>
      </c>
      <c r="X53" s="3">
        <v>0.22213830330763937</v>
      </c>
      <c r="Y53" s="3">
        <v>0.16131634134537828</v>
      </c>
      <c r="Z53" s="3">
        <v>7.0078</v>
      </c>
      <c r="AA53" s="3">
        <v>0.4275879762261085</v>
      </c>
    </row>
    <row r="54" spans="1:27">
      <c r="A54" t="s">
        <v>88</v>
      </c>
      <c r="B54" s="3">
        <v>1.9000931045621237</v>
      </c>
      <c r="C54" s="3">
        <v>4.6745</v>
      </c>
      <c r="D54" s="3">
        <v>5.0245</v>
      </c>
      <c r="E54" s="3">
        <v>8.690800000000001</v>
      </c>
      <c r="F54" s="3">
        <v>1</v>
      </c>
      <c r="G54" s="3">
        <v>1.0844810758052272</v>
      </c>
      <c r="H54" s="3">
        <v>8.1067</v>
      </c>
      <c r="I54" s="3">
        <v>9.3404</v>
      </c>
      <c r="J54" s="3">
        <v>0.89877</v>
      </c>
      <c r="K54" s="3">
        <v>0.02104053880611775</v>
      </c>
      <c r="L54" s="3">
        <v>0.044041</v>
      </c>
      <c r="M54" s="3">
        <v>0.004742483164184767</v>
      </c>
      <c r="N54" s="3">
        <v>0.8719916288803627</v>
      </c>
      <c r="O54" s="3">
        <v>0.3957104981995172</v>
      </c>
      <c r="P54" s="3">
        <v>1.724673174433445</v>
      </c>
      <c r="Q54" s="3">
        <v>0.6900835001035125</v>
      </c>
      <c r="R54" s="3">
        <v>4.0042</v>
      </c>
      <c r="S54" s="3">
        <v>1.924668475855034</v>
      </c>
      <c r="T54" s="3">
        <v>0.08908765334212332</v>
      </c>
      <c r="U54" s="3">
        <v>1.8611230016191769</v>
      </c>
      <c r="V54" s="3">
        <v>0.7574036203893054</v>
      </c>
      <c r="W54" s="3">
        <v>5.4238</v>
      </c>
      <c r="X54" s="3">
        <v>0.22213830330763937</v>
      </c>
      <c r="Y54" s="3">
        <v>0.16131634134537828</v>
      </c>
      <c r="Z54" s="3">
        <v>7.0078</v>
      </c>
      <c r="AA54" s="3">
        <v>0.4275879762261085</v>
      </c>
    </row>
    <row r="55" spans="1:27">
      <c r="A55" t="s">
        <v>243</v>
      </c>
      <c r="B55" s="3">
        <v>1.899984800121599</v>
      </c>
      <c r="C55" s="3">
        <v>4.6637</v>
      </c>
      <c r="D55" s="3">
        <v>5.018</v>
      </c>
      <c r="E55" s="3">
        <v>8.7401</v>
      </c>
      <c r="F55" s="3">
        <v>1</v>
      </c>
      <c r="G55" s="3">
        <v>1.0851871947911014</v>
      </c>
      <c r="H55" s="3">
        <v>8.1097</v>
      </c>
      <c r="I55" s="3">
        <v>9.3445</v>
      </c>
      <c r="J55" s="3">
        <v>0.8982800000000001</v>
      </c>
      <c r="K55" s="3">
        <v>0.02105192246155919</v>
      </c>
      <c r="L55" s="3">
        <v>0.044280999999999994</v>
      </c>
      <c r="M55" s="3">
        <v>0.004730592743270732</v>
      </c>
      <c r="N55" s="3">
        <v>0.871763577717723</v>
      </c>
      <c r="O55" s="3">
        <v>0.3961808169248445</v>
      </c>
      <c r="P55" s="3">
        <v>1.725149225407998</v>
      </c>
      <c r="Q55" s="3">
        <v>0.6922331441229406</v>
      </c>
      <c r="R55" s="3">
        <v>4.0139</v>
      </c>
      <c r="S55" s="3">
        <v>1.9204916458613408</v>
      </c>
      <c r="T55" s="3">
        <v>0.08937908350687773</v>
      </c>
      <c r="U55" s="3">
        <v>1.8608805686851015</v>
      </c>
      <c r="V55" s="3">
        <v>0.7572889057175312</v>
      </c>
      <c r="W55" s="3">
        <v>5.4244</v>
      </c>
      <c r="X55" s="3">
        <v>0.2227667631989307</v>
      </c>
      <c r="Y55" s="3">
        <v>0.1613082746305637</v>
      </c>
      <c r="Z55" s="3">
        <v>7.0051</v>
      </c>
      <c r="AA55" s="3">
        <v>0.4252423881612519</v>
      </c>
    </row>
    <row r="56" spans="1:27">
      <c r="A56" t="s">
        <v>81</v>
      </c>
      <c r="B56" s="3">
        <v>1.897209205259064</v>
      </c>
      <c r="C56" s="3">
        <v>4.6739999999999995</v>
      </c>
      <c r="D56" s="3">
        <v>5.0219</v>
      </c>
      <c r="E56" s="3">
        <v>8.738</v>
      </c>
      <c r="F56" s="3">
        <v>1</v>
      </c>
      <c r="G56" s="3">
        <v>1.0857763300760044</v>
      </c>
      <c r="H56" s="3">
        <v>8.1186</v>
      </c>
      <c r="I56" s="3">
        <v>9.3527</v>
      </c>
      <c r="J56" s="3">
        <v>0.89775</v>
      </c>
      <c r="K56" s="3">
        <v>0.021053296419886944</v>
      </c>
      <c r="L56" s="3">
        <v>0.044086999999999994</v>
      </c>
      <c r="M56" s="3">
        <v>0.004725004725004725</v>
      </c>
      <c r="N56" s="3">
        <v>0.8711560240439062</v>
      </c>
      <c r="O56" s="3">
        <v>0.3968883949833307</v>
      </c>
      <c r="P56" s="3">
        <v>1.7236624379481522</v>
      </c>
      <c r="Q56" s="3">
        <v>0.6923769300006923</v>
      </c>
      <c r="R56" s="3">
        <v>4.031499999999999</v>
      </c>
      <c r="S56" s="3">
        <v>1.9219680953296177</v>
      </c>
      <c r="T56" s="3">
        <v>0.08978917501705994</v>
      </c>
      <c r="U56" s="3">
        <v>1.858183439869184</v>
      </c>
      <c r="V56" s="3">
        <v>0.7571742257893541</v>
      </c>
      <c r="W56" s="3">
        <v>5.427899999999999</v>
      </c>
      <c r="X56" s="3">
        <v>0.2229008314201012</v>
      </c>
      <c r="Y56" s="3">
        <v>0.16105808720973305</v>
      </c>
      <c r="Z56" s="3">
        <v>7.0005999999999995</v>
      </c>
      <c r="AA56" s="3">
        <v>0.4256949470009791</v>
      </c>
    </row>
    <row r="57" spans="1:27">
      <c r="A57" t="s">
        <v>244</v>
      </c>
      <c r="B57" s="3">
        <v>1.897281196046066</v>
      </c>
      <c r="C57" s="3">
        <v>4.6898</v>
      </c>
      <c r="D57" s="3">
        <v>5.0365</v>
      </c>
      <c r="E57" s="3">
        <v>8.8238</v>
      </c>
      <c r="F57" s="3">
        <v>1</v>
      </c>
      <c r="G57" s="3">
        <v>1.0937329104232745</v>
      </c>
      <c r="H57" s="3">
        <v>8.1745</v>
      </c>
      <c r="I57" s="3">
        <v>9.3662</v>
      </c>
      <c r="J57" s="3">
        <v>0.89779</v>
      </c>
      <c r="K57" s="3">
        <v>0.021233135582063942</v>
      </c>
      <c r="L57" s="3">
        <v>0.044095</v>
      </c>
      <c r="M57" s="3">
        <v>0.00470787627701144</v>
      </c>
      <c r="N57" s="3">
        <v>0.8712319219376198</v>
      </c>
      <c r="O57" s="3">
        <v>0.39651070578905634</v>
      </c>
      <c r="P57" s="3">
        <v>1.7211111493580256</v>
      </c>
      <c r="Q57" s="3">
        <v>0.6967670011148271</v>
      </c>
      <c r="R57" s="3">
        <v>4.0555</v>
      </c>
      <c r="S57" s="3">
        <v>1.9352466471851837</v>
      </c>
      <c r="T57" s="3">
        <v>0.08922278036028158</v>
      </c>
      <c r="U57" s="3">
        <v>1.8580798602723945</v>
      </c>
      <c r="V57" s="3">
        <v>0.7638252367858235</v>
      </c>
      <c r="W57" s="3">
        <v>5.4286</v>
      </c>
      <c r="X57" s="3">
        <v>0.22439133849433412</v>
      </c>
      <c r="Y57" s="3">
        <v>0.16100933532126194</v>
      </c>
      <c r="Z57" s="3">
        <v>7.0014</v>
      </c>
      <c r="AA57" s="3">
        <v>0.42482688304515914</v>
      </c>
    </row>
    <row r="58" spans="1:27">
      <c r="A58" t="s">
        <v>245</v>
      </c>
      <c r="B58" s="3">
        <v>1.8992991586104728</v>
      </c>
      <c r="C58" s="3">
        <v>4.7138</v>
      </c>
      <c r="D58" s="3">
        <v>5.0408</v>
      </c>
      <c r="E58" s="3">
        <v>8.7678</v>
      </c>
      <c r="F58" s="3">
        <v>1</v>
      </c>
      <c r="G58" s="3">
        <v>1.0907504363001743</v>
      </c>
      <c r="H58" s="3">
        <v>8.1537</v>
      </c>
      <c r="I58" s="3">
        <v>9.3657</v>
      </c>
      <c r="J58" s="3">
        <v>0.8981999999999999</v>
      </c>
      <c r="K58" s="3">
        <v>0.0212039608998961</v>
      </c>
      <c r="L58" s="3">
        <v>0.044112</v>
      </c>
      <c r="M58" s="3">
        <v>0.004751722499406035</v>
      </c>
      <c r="N58" s="3">
        <v>0.8716875871687587</v>
      </c>
      <c r="O58" s="3">
        <v>0.3993769719237989</v>
      </c>
      <c r="P58" s="3">
        <v>1.7275334277718273</v>
      </c>
      <c r="Q58" s="3">
        <v>0.6993006993006993</v>
      </c>
      <c r="R58" s="3">
        <v>4.0709</v>
      </c>
      <c r="S58" s="3">
        <v>1.9353964659660532</v>
      </c>
      <c r="T58" s="3">
        <v>0.09045435221115664</v>
      </c>
      <c r="U58" s="3">
        <v>1.8601882510510064</v>
      </c>
      <c r="V58" s="3">
        <v>0.765345170671973</v>
      </c>
      <c r="W58" s="3">
        <v>5.4322</v>
      </c>
      <c r="X58" s="3">
        <v>0.22268739143989663</v>
      </c>
      <c r="Y58" s="3">
        <v>0.16111932819684915</v>
      </c>
      <c r="Z58" s="3">
        <v>7.001900000000001</v>
      </c>
      <c r="AA58" s="3">
        <v>0.4287613085795138</v>
      </c>
    </row>
    <row r="59" spans="1:27">
      <c r="A59" t="s">
        <v>246</v>
      </c>
      <c r="B59" s="3">
        <v>1.8953393605124995</v>
      </c>
      <c r="C59" s="3">
        <v>4.7529</v>
      </c>
      <c r="D59" s="3">
        <v>5.047</v>
      </c>
      <c r="E59" s="3">
        <v>8.8266</v>
      </c>
      <c r="F59" s="3">
        <v>1</v>
      </c>
      <c r="G59" s="3">
        <v>1.095290251916758</v>
      </c>
      <c r="H59" s="3">
        <v>8.19</v>
      </c>
      <c r="I59" s="3">
        <v>9.3981</v>
      </c>
      <c r="J59" s="3">
        <v>0.89676</v>
      </c>
      <c r="K59" s="3">
        <v>0.021447123190130892</v>
      </c>
      <c r="L59" s="3">
        <v>0.04401</v>
      </c>
      <c r="M59" s="3">
        <v>0.0047485635595232445</v>
      </c>
      <c r="N59" s="3">
        <v>0.8702462796971543</v>
      </c>
      <c r="O59" s="3">
        <v>0.3993610223642172</v>
      </c>
      <c r="P59" s="3">
        <v>1.7307026652821045</v>
      </c>
      <c r="Q59" s="3">
        <v>0.7055171440666008</v>
      </c>
      <c r="R59" s="3">
        <v>4.1078</v>
      </c>
      <c r="S59" s="3">
        <v>1.9511814403621397</v>
      </c>
      <c r="T59" s="3">
        <v>0.09172208209126348</v>
      </c>
      <c r="U59" s="3">
        <v>1.8563207722294413</v>
      </c>
      <c r="V59" s="3">
        <v>0.7724393635099644</v>
      </c>
      <c r="W59" s="3">
        <v>5.4419</v>
      </c>
      <c r="X59" s="3">
        <v>0.22393407380867072</v>
      </c>
      <c r="Y59" s="3">
        <v>0.16069213315592923</v>
      </c>
      <c r="Z59" s="3">
        <v>6.9929</v>
      </c>
      <c r="AA59" s="3">
        <v>0.43161120462687214</v>
      </c>
    </row>
    <row r="60" spans="1:27">
      <c r="A60" t="s">
        <v>247</v>
      </c>
      <c r="B60" s="3">
        <v>1.8953393605124995</v>
      </c>
      <c r="C60" s="3">
        <v>4.7529</v>
      </c>
      <c r="D60" s="3">
        <v>5.047</v>
      </c>
      <c r="E60" s="3">
        <v>8.8266</v>
      </c>
      <c r="F60" s="3">
        <v>1</v>
      </c>
      <c r="G60" s="3">
        <v>1.095290251916758</v>
      </c>
      <c r="H60" s="3">
        <v>8.19</v>
      </c>
      <c r="I60" s="3">
        <v>9.3981</v>
      </c>
      <c r="J60" s="3">
        <v>0.89676</v>
      </c>
      <c r="K60" s="3">
        <v>0.021447123190130892</v>
      </c>
      <c r="L60" s="3">
        <v>0.04401</v>
      </c>
      <c r="M60" s="3">
        <v>0.0047485635595232445</v>
      </c>
      <c r="N60" s="3">
        <v>0.8702462796971543</v>
      </c>
      <c r="O60" s="3">
        <v>0.3993610223642172</v>
      </c>
      <c r="P60" s="3">
        <v>1.7307026652821045</v>
      </c>
      <c r="Q60" s="3">
        <v>0.7055171440666008</v>
      </c>
      <c r="R60" s="3">
        <v>4.1078</v>
      </c>
      <c r="S60" s="3">
        <v>1.9511814403621397</v>
      </c>
      <c r="T60" s="3">
        <v>0.09172208209126348</v>
      </c>
      <c r="U60" s="3">
        <v>1.8563207722294413</v>
      </c>
      <c r="V60" s="3">
        <v>0.7724393635099644</v>
      </c>
      <c r="W60" s="3">
        <v>5.4419</v>
      </c>
      <c r="X60" s="3">
        <v>0.22393407380867072</v>
      </c>
      <c r="Y60" s="3">
        <v>0.16069213315592923</v>
      </c>
      <c r="Z60" s="3">
        <v>6.9929</v>
      </c>
      <c r="AA60" s="3">
        <v>0.43161120462687214</v>
      </c>
    </row>
    <row r="61" spans="1:27">
      <c r="A61" t="s">
        <v>248</v>
      </c>
      <c r="B61" s="3">
        <v>1.8953393605124995</v>
      </c>
      <c r="C61" s="3">
        <v>4.7529</v>
      </c>
      <c r="D61" s="3">
        <v>5.047</v>
      </c>
      <c r="E61" s="3">
        <v>8.8266</v>
      </c>
      <c r="F61" s="3">
        <v>1</v>
      </c>
      <c r="G61" s="3">
        <v>1.095290251916758</v>
      </c>
      <c r="H61" s="3">
        <v>8.19</v>
      </c>
      <c r="I61" s="3">
        <v>9.3981</v>
      </c>
      <c r="J61" s="3">
        <v>0.89676</v>
      </c>
      <c r="K61" s="3">
        <v>0.021447123190130892</v>
      </c>
      <c r="L61" s="3">
        <v>0.04401</v>
      </c>
      <c r="M61" s="3">
        <v>0.0047485635595232445</v>
      </c>
      <c r="N61" s="3">
        <v>0.8702462796971543</v>
      </c>
      <c r="O61" s="3">
        <v>0.3993610223642172</v>
      </c>
      <c r="P61" s="3">
        <v>1.7307026652821045</v>
      </c>
      <c r="Q61" s="3">
        <v>0.7055171440666008</v>
      </c>
      <c r="R61" s="3">
        <v>4.1078</v>
      </c>
      <c r="S61" s="3">
        <v>1.9511814403621397</v>
      </c>
      <c r="T61" s="3">
        <v>0.09172208209126348</v>
      </c>
      <c r="U61" s="3">
        <v>1.8563207722294413</v>
      </c>
      <c r="V61" s="3">
        <v>0.7724393635099644</v>
      </c>
      <c r="W61" s="3">
        <v>5.4419</v>
      </c>
      <c r="X61" s="3">
        <v>0.22393407380867072</v>
      </c>
      <c r="Y61" s="3">
        <v>0.16069213315592923</v>
      </c>
      <c r="Z61" s="3">
        <v>6.9929</v>
      </c>
      <c r="AA61" s="3">
        <v>0.43161120462687214</v>
      </c>
    </row>
    <row r="62" spans="1:27">
      <c r="A62" t="s">
        <v>249</v>
      </c>
      <c r="B62" s="3">
        <v>1.8918254223500257</v>
      </c>
      <c r="C62" s="3">
        <v>4.8006</v>
      </c>
      <c r="D62" s="3">
        <v>5.0738</v>
      </c>
      <c r="E62" s="3">
        <v>8.94</v>
      </c>
      <c r="F62" s="3">
        <v>1</v>
      </c>
      <c r="G62" s="3">
        <v>1.1037527593818983</v>
      </c>
      <c r="H62" s="3">
        <v>8.249</v>
      </c>
      <c r="I62" s="3">
        <v>9.4983</v>
      </c>
      <c r="J62" s="3">
        <v>0.89594</v>
      </c>
      <c r="K62" s="3">
        <v>0.021585404812681855</v>
      </c>
      <c r="L62" s="3">
        <v>0.044826</v>
      </c>
      <c r="M62" s="3">
        <v>0.004799616030717543</v>
      </c>
      <c r="N62" s="3">
        <v>0.8694140149539211</v>
      </c>
      <c r="O62" s="3">
        <v>0.40093015796648224</v>
      </c>
      <c r="P62" s="3">
        <v>1.7462673535318256</v>
      </c>
      <c r="Q62" s="3">
        <v>0.7135212272565109</v>
      </c>
      <c r="R62" s="3">
        <v>4.133500000000001</v>
      </c>
      <c r="S62" s="3">
        <v>1.9589406049208584</v>
      </c>
      <c r="T62" s="3">
        <v>0.09198278082342984</v>
      </c>
      <c r="U62" s="3">
        <v>1.8530185672460435</v>
      </c>
      <c r="V62" s="3">
        <v>0.7814942169427946</v>
      </c>
      <c r="W62" s="3">
        <v>5.478400000000001</v>
      </c>
      <c r="X62" s="3">
        <v>0.22412479268456675</v>
      </c>
      <c r="Y62" s="3">
        <v>0.16016734283979903</v>
      </c>
      <c r="Z62" s="3">
        <v>6.984299999999999</v>
      </c>
      <c r="AA62" s="3">
        <v>0.4334821622090251</v>
      </c>
    </row>
    <row r="63" spans="1:27">
      <c r="A63" t="s">
        <v>250</v>
      </c>
      <c r="B63" s="3">
        <v>1.8959143046734288</v>
      </c>
      <c r="C63" s="3">
        <v>4.8135</v>
      </c>
      <c r="D63" s="3">
        <v>5.0782</v>
      </c>
      <c r="E63" s="3">
        <v>8.9646</v>
      </c>
      <c r="F63" s="3">
        <v>1</v>
      </c>
      <c r="G63" s="3">
        <v>1.1076650420912717</v>
      </c>
      <c r="H63" s="3">
        <v>8.2755</v>
      </c>
      <c r="I63" s="3">
        <v>9.5261</v>
      </c>
      <c r="J63" s="3">
        <v>0.8959199999999999</v>
      </c>
      <c r="K63" s="3">
        <v>0.02169131523120773</v>
      </c>
      <c r="L63" s="3">
        <v>0.045176</v>
      </c>
      <c r="M63" s="3">
        <v>0.0048118564142046</v>
      </c>
      <c r="N63" s="3">
        <v>0.8694140149539211</v>
      </c>
      <c r="O63" s="3">
        <v>0.4015741707493374</v>
      </c>
      <c r="P63" s="3">
        <v>1.758272672926117</v>
      </c>
      <c r="Q63" s="3">
        <v>0.7122507122507122</v>
      </c>
      <c r="R63" s="3">
        <v>4.1544</v>
      </c>
      <c r="S63" s="3">
        <v>1.967419532541119</v>
      </c>
      <c r="T63" s="3">
        <v>0.0911020616396549</v>
      </c>
      <c r="U63" s="3">
        <v>1.856872284324284</v>
      </c>
      <c r="V63" s="3">
        <v>0.778816199376947</v>
      </c>
      <c r="W63" s="3">
        <v>5.4847</v>
      </c>
      <c r="X63" s="3">
        <v>0.22309974789728487</v>
      </c>
      <c r="Y63" s="3">
        <v>0.16052549626457172</v>
      </c>
      <c r="Z63" s="3">
        <v>6.9858</v>
      </c>
      <c r="AA63" s="3">
        <v>0.4346881112801565</v>
      </c>
    </row>
    <row r="64" spans="1:27">
      <c r="A64" t="s">
        <v>251</v>
      </c>
      <c r="B64" s="3">
        <v>1.889466225791214</v>
      </c>
      <c r="C64" s="3">
        <v>4.845400000000001</v>
      </c>
      <c r="D64" s="3">
        <v>5.1016</v>
      </c>
      <c r="E64" s="3">
        <v>9.0893</v>
      </c>
      <c r="F64" s="3">
        <v>1</v>
      </c>
      <c r="G64" s="3">
        <v>1.1150758251561106</v>
      </c>
      <c r="H64" s="3">
        <v>8.3436</v>
      </c>
      <c r="I64" s="3">
        <v>9.5905</v>
      </c>
      <c r="J64" s="3">
        <v>0.8942700000000001</v>
      </c>
      <c r="K64" s="3">
        <v>0.02196291342439157</v>
      </c>
      <c r="L64" s="3">
        <v>0.04543</v>
      </c>
      <c r="M64" s="3">
        <v>0.004839099927413501</v>
      </c>
      <c r="N64" s="3">
        <v>0.8678295582747548</v>
      </c>
      <c r="O64" s="3">
        <v>0.40500587258515247</v>
      </c>
      <c r="P64" s="3">
        <v>1.7680026873640848</v>
      </c>
      <c r="Q64" s="3">
        <v>0.7229612492770388</v>
      </c>
      <c r="R64" s="3">
        <v>4.1723</v>
      </c>
      <c r="S64" s="3">
        <v>1.9875973922722217</v>
      </c>
      <c r="T64" s="3">
        <v>0.0910804878270928</v>
      </c>
      <c r="U64" s="3">
        <v>1.850549613235131</v>
      </c>
      <c r="V64" s="3">
        <v>0.7892036934732855</v>
      </c>
      <c r="W64" s="3">
        <v>5.5083</v>
      </c>
      <c r="X64" s="3">
        <v>0.2243611316775482</v>
      </c>
      <c r="Y64" s="3">
        <v>0.15986111266531638</v>
      </c>
      <c r="Z64" s="3">
        <v>6.975499999999999</v>
      </c>
      <c r="AA64" s="3">
        <v>0.4374835943652113</v>
      </c>
    </row>
    <row r="65" spans="1:27">
      <c r="A65" t="s">
        <v>252</v>
      </c>
      <c r="B65" s="3">
        <v>1.894621170496959</v>
      </c>
      <c r="C65" s="3">
        <v>4.9</v>
      </c>
      <c r="D65" s="3">
        <v>5.1372</v>
      </c>
      <c r="E65" s="3">
        <v>9.0779</v>
      </c>
      <c r="F65" s="3">
        <v>1</v>
      </c>
      <c r="G65" s="3">
        <v>1.115822361080116</v>
      </c>
      <c r="H65" s="3">
        <v>8.3349</v>
      </c>
      <c r="I65" s="3">
        <v>9.6175</v>
      </c>
      <c r="J65" s="3">
        <v>0.89435</v>
      </c>
      <c r="K65" s="3">
        <v>0.021919345576018483</v>
      </c>
      <c r="L65" s="3">
        <v>0.045437000000000005</v>
      </c>
      <c r="M65" s="3">
        <v>0.004860031104199067</v>
      </c>
      <c r="N65" s="3">
        <v>0.8679048776254122</v>
      </c>
      <c r="O65" s="3">
        <v>0.40558079169370537</v>
      </c>
      <c r="P65" s="3">
        <v>1.7789479301940831</v>
      </c>
      <c r="Q65" s="3">
        <v>0.7267441860465117</v>
      </c>
      <c r="R65" s="3">
        <v>4.2173</v>
      </c>
      <c r="S65" s="3">
        <v>1.981649921724828</v>
      </c>
      <c r="T65" s="3">
        <v>0.09083064626004814</v>
      </c>
      <c r="U65" s="3">
        <v>1.8556662769767485</v>
      </c>
      <c r="V65" s="3">
        <v>0.7887679444707367</v>
      </c>
      <c r="W65" s="3">
        <v>5.5181</v>
      </c>
      <c r="X65" s="3">
        <v>0.22381879630251347</v>
      </c>
      <c r="Y65" s="3">
        <v>0.16032655312340174</v>
      </c>
      <c r="Z65" s="3">
        <v>6.9771</v>
      </c>
      <c r="AA65" s="3">
        <v>0.4426149692382596</v>
      </c>
    </row>
    <row r="66" spans="1:27">
      <c r="A66" t="s">
        <v>253</v>
      </c>
      <c r="B66" s="3">
        <v>1.8948365703458077</v>
      </c>
      <c r="C66" s="3">
        <v>4.9019</v>
      </c>
      <c r="D66" s="3">
        <v>5.1577</v>
      </c>
      <c r="E66" s="3">
        <v>9.1047</v>
      </c>
      <c r="F66" s="3">
        <v>1</v>
      </c>
      <c r="G66" s="3">
        <v>1.115324559446799</v>
      </c>
      <c r="H66" s="3">
        <v>8.3244</v>
      </c>
      <c r="I66" s="3">
        <v>9.608</v>
      </c>
      <c r="J66" s="3">
        <v>0.89262</v>
      </c>
      <c r="K66" s="3">
        <v>0.021886196157221677</v>
      </c>
      <c r="L66" s="3">
        <v>0.045464</v>
      </c>
      <c r="M66" s="3">
        <v>0.0048503662026483</v>
      </c>
      <c r="N66" s="3">
        <v>0.8661758336942399</v>
      </c>
      <c r="O66" s="3">
        <v>0.4045143804862263</v>
      </c>
      <c r="P66" s="3">
        <v>1.7727353306151392</v>
      </c>
      <c r="Q66" s="3">
        <v>0.7293946024799417</v>
      </c>
      <c r="R66" s="3">
        <v>4.2233</v>
      </c>
      <c r="S66" s="3">
        <v>1.9809825673534072</v>
      </c>
      <c r="T66" s="3">
        <v>0.09236424764702078</v>
      </c>
      <c r="U66" s="3">
        <v>1.8553908380800417</v>
      </c>
      <c r="V66" s="3">
        <v>0.790263948158685</v>
      </c>
      <c r="W66" s="3">
        <v>5.5061</v>
      </c>
      <c r="X66" s="3">
        <v>0.22239025041142196</v>
      </c>
      <c r="Y66" s="3">
        <v>0.1602114791524813</v>
      </c>
      <c r="Z66" s="3">
        <v>6.9677999999999995</v>
      </c>
      <c r="AA66" s="3">
        <v>0.4426345609065156</v>
      </c>
    </row>
    <row r="67" spans="1:27">
      <c r="A67" t="s">
        <v>53</v>
      </c>
      <c r="B67" s="3">
        <v>1.8948365703458077</v>
      </c>
      <c r="C67" s="3">
        <v>4.9019</v>
      </c>
      <c r="D67" s="3">
        <v>5.1577</v>
      </c>
      <c r="E67" s="3">
        <v>9.1047</v>
      </c>
      <c r="F67" s="3">
        <v>1</v>
      </c>
      <c r="G67" s="3">
        <v>1.115324559446799</v>
      </c>
      <c r="H67" s="3">
        <v>8.3244</v>
      </c>
      <c r="I67" s="3">
        <v>9.608</v>
      </c>
      <c r="J67" s="3">
        <v>0.89262</v>
      </c>
      <c r="K67" s="3">
        <v>0.021886196157221677</v>
      </c>
      <c r="L67" s="3">
        <v>0.045464</v>
      </c>
      <c r="M67" s="3">
        <v>0.0048503662026483</v>
      </c>
      <c r="N67" s="3">
        <v>0.8661758336942399</v>
      </c>
      <c r="O67" s="3">
        <v>0.4045143804862263</v>
      </c>
      <c r="P67" s="3">
        <v>1.7727353306151392</v>
      </c>
      <c r="Q67" s="3">
        <v>0.7293946024799417</v>
      </c>
      <c r="R67" s="3">
        <v>4.2233</v>
      </c>
      <c r="S67" s="3">
        <v>1.9809825673534072</v>
      </c>
      <c r="T67" s="3">
        <v>0.09236424764702078</v>
      </c>
      <c r="U67" s="3">
        <v>1.8553908380800417</v>
      </c>
      <c r="V67" s="3">
        <v>0.790263948158685</v>
      </c>
      <c r="W67" s="3">
        <v>5.5061</v>
      </c>
      <c r="X67" s="3">
        <v>0.22239025041142196</v>
      </c>
      <c r="Y67" s="3">
        <v>0.1602114791524813</v>
      </c>
      <c r="Z67" s="3">
        <v>6.9677999999999995</v>
      </c>
      <c r="AA67" s="3">
        <v>0.4426345609065156</v>
      </c>
    </row>
    <row r="68" spans="1:27">
      <c r="A68" t="s">
        <v>254</v>
      </c>
      <c r="B68" s="3">
        <v>1.8948365703458077</v>
      </c>
      <c r="C68" s="3">
        <v>4.9019</v>
      </c>
      <c r="D68" s="3">
        <v>5.1577</v>
      </c>
      <c r="E68" s="3">
        <v>9.1047</v>
      </c>
      <c r="F68" s="3">
        <v>1</v>
      </c>
      <c r="G68" s="3">
        <v>1.115324559446799</v>
      </c>
      <c r="H68" s="3">
        <v>8.3244</v>
      </c>
      <c r="I68" s="3">
        <v>9.608</v>
      </c>
      <c r="J68" s="3">
        <v>0.89262</v>
      </c>
      <c r="K68" s="3">
        <v>0.021886196157221677</v>
      </c>
      <c r="L68" s="3">
        <v>0.045464</v>
      </c>
      <c r="M68" s="3">
        <v>0.0048503662026483</v>
      </c>
      <c r="N68" s="3">
        <v>0.8661758336942399</v>
      </c>
      <c r="O68" s="3">
        <v>0.4045143804862263</v>
      </c>
      <c r="P68" s="3">
        <v>1.7727353306151392</v>
      </c>
      <c r="Q68" s="3">
        <v>0.7293946024799417</v>
      </c>
      <c r="R68" s="3">
        <v>4.2233</v>
      </c>
      <c r="S68" s="3">
        <v>1.9809825673534072</v>
      </c>
      <c r="T68" s="3">
        <v>0.09236424764702078</v>
      </c>
      <c r="U68" s="3">
        <v>1.8553908380800417</v>
      </c>
      <c r="V68" s="3">
        <v>0.790263948158685</v>
      </c>
      <c r="W68" s="3">
        <v>5.5061</v>
      </c>
      <c r="X68" s="3">
        <v>0.22239025041142196</v>
      </c>
      <c r="Y68" s="3">
        <v>0.1602114791524813</v>
      </c>
      <c r="Z68" s="3">
        <v>6.9677999999999995</v>
      </c>
      <c r="AA68" s="3">
        <v>0.4426345609065156</v>
      </c>
    </row>
    <row r="69" spans="1:27">
      <c r="A69" t="s">
        <v>255</v>
      </c>
      <c r="B69" s="3">
        <v>1.8982175736982976</v>
      </c>
      <c r="C69" s="3">
        <v>4.843</v>
      </c>
      <c r="D69" s="3">
        <v>5.1098</v>
      </c>
      <c r="E69" s="3">
        <v>9.0099</v>
      </c>
      <c r="F69" s="3">
        <v>1</v>
      </c>
      <c r="G69" s="3">
        <v>1.1068068622025458</v>
      </c>
      <c r="H69" s="3">
        <v>8.2651</v>
      </c>
      <c r="I69" s="3">
        <v>9.5385</v>
      </c>
      <c r="J69" s="3">
        <v>0.89249</v>
      </c>
      <c r="K69" s="3">
        <v>0.02170134179396312</v>
      </c>
      <c r="L69" s="3">
        <v>0.044926</v>
      </c>
      <c r="M69" s="3">
        <v>0.004806767929244376</v>
      </c>
      <c r="N69" s="3">
        <v>0.8661008141347654</v>
      </c>
      <c r="O69" s="3">
        <v>0.399090074629844</v>
      </c>
      <c r="P69" s="3">
        <v>1.7681277295471824</v>
      </c>
      <c r="Q69" s="3">
        <v>0.7227522405319455</v>
      </c>
      <c r="R69" s="3">
        <v>4.1916</v>
      </c>
      <c r="S69" s="3">
        <v>1.9620153822005963</v>
      </c>
      <c r="T69" s="3">
        <v>0.09154407389437644</v>
      </c>
      <c r="U69" s="3">
        <v>1.8586324182666396</v>
      </c>
      <c r="V69" s="3">
        <v>0.7822277847309136</v>
      </c>
      <c r="W69" s="3">
        <v>5.4759</v>
      </c>
      <c r="X69" s="3">
        <v>0.2209456473707468</v>
      </c>
      <c r="Y69" s="3">
        <v>0.16030727698853162</v>
      </c>
      <c r="Z69" s="3">
        <v>6.9695</v>
      </c>
      <c r="AA69" s="3">
        <v>0.430533430920911</v>
      </c>
    </row>
    <row r="70" spans="1:27">
      <c r="A70" t="s">
        <v>256</v>
      </c>
      <c r="B70" s="3">
        <v>1.896094046264695</v>
      </c>
      <c r="C70" s="3">
        <v>4.8441</v>
      </c>
      <c r="D70" s="3">
        <v>5.092</v>
      </c>
      <c r="E70" s="3">
        <v>8.938099999999999</v>
      </c>
      <c r="F70" s="3">
        <v>1</v>
      </c>
      <c r="G70" s="3">
        <v>1.1002310485201892</v>
      </c>
      <c r="H70" s="3">
        <v>8.2174</v>
      </c>
      <c r="I70" s="3">
        <v>9.5192</v>
      </c>
      <c r="J70" s="3">
        <v>0.89117</v>
      </c>
      <c r="K70" s="3">
        <v>0.021577673150038192</v>
      </c>
      <c r="L70" s="3">
        <v>0.044797</v>
      </c>
      <c r="M70" s="3">
        <v>0.004795933048774639</v>
      </c>
      <c r="N70" s="3">
        <v>0.8648274669203494</v>
      </c>
      <c r="O70" s="3">
        <v>0.4006089255668616</v>
      </c>
      <c r="P70" s="3">
        <v>1.763108713283261</v>
      </c>
      <c r="Q70" s="3">
        <v>0.7183391997701314</v>
      </c>
      <c r="R70" s="3">
        <v>4.1856</v>
      </c>
      <c r="S70" s="3">
        <v>1.9469646820606672</v>
      </c>
      <c r="T70" s="3">
        <v>0.09084880034159148</v>
      </c>
      <c r="U70" s="3">
        <v>1.856872284324284</v>
      </c>
      <c r="V70" s="3">
        <v>0.776940408670655</v>
      </c>
      <c r="W70" s="3">
        <v>5.4765</v>
      </c>
      <c r="X70" s="3">
        <v>0.2205947233742169</v>
      </c>
      <c r="Y70" s="3">
        <v>0.16021686955462916</v>
      </c>
      <c r="Z70" s="3">
        <v>6.960800000000001</v>
      </c>
      <c r="AA70" s="3">
        <v>0.43340701252546265</v>
      </c>
    </row>
    <row r="71" spans="1:27">
      <c r="A71" t="s">
        <v>257</v>
      </c>
      <c r="B71" s="3">
        <v>1.8920759857715888</v>
      </c>
      <c r="C71" s="3">
        <v>4.8751999999999995</v>
      </c>
      <c r="D71" s="3">
        <v>5.0933</v>
      </c>
      <c r="E71" s="3">
        <v>8.9558</v>
      </c>
      <c r="F71" s="3">
        <v>1</v>
      </c>
      <c r="G71" s="3">
        <v>1.0993843447669307</v>
      </c>
      <c r="H71" s="3">
        <v>8.2111</v>
      </c>
      <c r="I71" s="3">
        <v>9.5144</v>
      </c>
      <c r="J71" s="3">
        <v>0.8897799999999999</v>
      </c>
      <c r="K71" s="3">
        <v>0.021574647200581654</v>
      </c>
      <c r="L71" s="3">
        <v>0.044615</v>
      </c>
      <c r="M71" s="3">
        <v>0.004790189691511784</v>
      </c>
      <c r="N71" s="3">
        <v>0.8634832915983075</v>
      </c>
      <c r="O71" s="3">
        <v>0.40324206621234726</v>
      </c>
      <c r="P71" s="3">
        <v>1.7687219215394956</v>
      </c>
      <c r="Q71" s="3">
        <v>0.7218652999350321</v>
      </c>
      <c r="R71" s="3">
        <v>4.1951</v>
      </c>
      <c r="S71" s="3">
        <v>1.9449576971700864</v>
      </c>
      <c r="T71" s="3">
        <v>0.09009901882168504</v>
      </c>
      <c r="U71" s="3">
        <v>1.8530872433474168</v>
      </c>
      <c r="V71" s="3">
        <v>0.7799703611262772</v>
      </c>
      <c r="W71" s="3">
        <v>5.472899999999999</v>
      </c>
      <c r="X71" s="3">
        <v>0.21939447125932424</v>
      </c>
      <c r="Y71" s="3">
        <v>0.15983121823354535</v>
      </c>
      <c r="Z71" s="3">
        <v>6.9533000000000005</v>
      </c>
      <c r="AA71" s="3">
        <v>0.4352746583093932</v>
      </c>
    </row>
    <row r="72" spans="1:27">
      <c r="A72" t="s">
        <v>258</v>
      </c>
      <c r="B72" s="3">
        <v>1.892362425251684</v>
      </c>
      <c r="C72" s="3">
        <v>4.8637</v>
      </c>
      <c r="D72" s="3">
        <v>5.0851</v>
      </c>
      <c r="E72" s="3">
        <v>8.9439</v>
      </c>
      <c r="F72" s="3">
        <v>1</v>
      </c>
      <c r="G72" s="3">
        <v>1.0985389432055366</v>
      </c>
      <c r="H72" s="3">
        <v>8.2036</v>
      </c>
      <c r="I72" s="3">
        <v>9.4843</v>
      </c>
      <c r="J72" s="3">
        <v>0.89062</v>
      </c>
      <c r="K72" s="3">
        <v>0.021616573859509564</v>
      </c>
      <c r="L72" s="3">
        <v>0.044328000000000006</v>
      </c>
      <c r="M72" s="3">
        <v>0.004756016360696281</v>
      </c>
      <c r="N72" s="3">
        <v>0.8640801866413202</v>
      </c>
      <c r="O72" s="3">
        <v>0.4013163175214704</v>
      </c>
      <c r="P72" s="3">
        <v>1.7675339366515836</v>
      </c>
      <c r="Q72" s="3">
        <v>0.718803910293272</v>
      </c>
      <c r="R72" s="3">
        <v>4.1714</v>
      </c>
      <c r="S72" s="3">
        <v>1.945411746396125</v>
      </c>
      <c r="T72" s="3">
        <v>0.09074574856167988</v>
      </c>
      <c r="U72" s="3">
        <v>1.8533276497952071</v>
      </c>
      <c r="V72" s="3">
        <v>0.7732755954222085</v>
      </c>
      <c r="W72" s="3">
        <v>5.4621</v>
      </c>
      <c r="X72" s="3">
        <v>0.21915886826360428</v>
      </c>
      <c r="Y72" s="3">
        <v>0.15969466380280903</v>
      </c>
      <c r="Z72" s="3">
        <v>6.957000000000001</v>
      </c>
      <c r="AA72" s="3">
        <v>0.4323763403666551</v>
      </c>
    </row>
    <row r="73" spans="1:27">
      <c r="A73" t="s">
        <v>259</v>
      </c>
      <c r="B73" s="3">
        <v>1.8938676565281616</v>
      </c>
      <c r="C73" s="3">
        <v>4.8103</v>
      </c>
      <c r="D73" s="3">
        <v>5.0725</v>
      </c>
      <c r="E73" s="3">
        <v>8.9412</v>
      </c>
      <c r="F73" s="3">
        <v>1</v>
      </c>
      <c r="G73" s="3">
        <v>1.097092704333516</v>
      </c>
      <c r="H73" s="3">
        <v>8.1923</v>
      </c>
      <c r="I73" s="3">
        <v>9.4053</v>
      </c>
      <c r="J73" s="3">
        <v>0.8908</v>
      </c>
      <c r="K73" s="3">
        <v>0.021556184038076843</v>
      </c>
      <c r="L73" s="3">
        <v>0.044367</v>
      </c>
      <c r="M73" s="3">
        <v>0.004723888705182106</v>
      </c>
      <c r="N73" s="3">
        <v>0.8643789437289308</v>
      </c>
      <c r="O73" s="3">
        <v>0.3972983710766786</v>
      </c>
      <c r="P73" s="3">
        <v>1.7591077805337132</v>
      </c>
      <c r="Q73" s="3">
        <v>0.7088679379031687</v>
      </c>
      <c r="R73" s="3">
        <v>4.131600000000001</v>
      </c>
      <c r="S73" s="3">
        <v>1.9399018409668471</v>
      </c>
      <c r="T73" s="3">
        <v>0.09056084330257284</v>
      </c>
      <c r="U73" s="3">
        <v>1.854736998293642</v>
      </c>
      <c r="V73" s="3">
        <v>0.7670476336580502</v>
      </c>
      <c r="W73" s="3">
        <v>5.453099999999999</v>
      </c>
      <c r="X73" s="3">
        <v>0.218435998252512</v>
      </c>
      <c r="Y73" s="3">
        <v>0.159509730891133</v>
      </c>
      <c r="Z73" s="3">
        <v>6.959</v>
      </c>
      <c r="AA73" s="3">
        <v>0.4270219489281749</v>
      </c>
    </row>
    <row r="74" spans="1:27">
      <c r="A74" t="s">
        <v>260</v>
      </c>
      <c r="B74" s="3">
        <v>1.8938676565281616</v>
      </c>
      <c r="C74" s="3">
        <v>4.8103</v>
      </c>
      <c r="D74" s="3">
        <v>5.0725</v>
      </c>
      <c r="E74" s="3">
        <v>8.9412</v>
      </c>
      <c r="F74" s="3">
        <v>1</v>
      </c>
      <c r="G74" s="3">
        <v>1.097092704333516</v>
      </c>
      <c r="H74" s="3">
        <v>8.1923</v>
      </c>
      <c r="I74" s="3">
        <v>9.4053</v>
      </c>
      <c r="J74" s="3">
        <v>0.8908</v>
      </c>
      <c r="K74" s="3">
        <v>0.021556184038076843</v>
      </c>
      <c r="L74" s="3">
        <v>0.044367</v>
      </c>
      <c r="M74" s="3">
        <v>0.004723888705182106</v>
      </c>
      <c r="N74" s="3">
        <v>0.8643789437289308</v>
      </c>
      <c r="O74" s="3">
        <v>0.3972983710766786</v>
      </c>
      <c r="P74" s="3">
        <v>1.7591077805337132</v>
      </c>
      <c r="Q74" s="3">
        <v>0.7088679379031687</v>
      </c>
      <c r="R74" s="3">
        <v>4.131600000000001</v>
      </c>
      <c r="S74" s="3">
        <v>1.9399018409668471</v>
      </c>
      <c r="T74" s="3">
        <v>0.09056084330257284</v>
      </c>
      <c r="U74" s="3">
        <v>1.854736998293642</v>
      </c>
      <c r="V74" s="3">
        <v>0.7670476336580502</v>
      </c>
      <c r="W74" s="3">
        <v>5.453099999999999</v>
      </c>
      <c r="X74" s="3">
        <v>0.218435998252512</v>
      </c>
      <c r="Y74" s="3">
        <v>0.159509730891133</v>
      </c>
      <c r="Z74" s="3">
        <v>6.959</v>
      </c>
      <c r="AA74" s="3">
        <v>0.4270219489281749</v>
      </c>
    </row>
    <row r="75" spans="1:27">
      <c r="A75" t="s">
        <v>261</v>
      </c>
      <c r="B75" s="3">
        <v>1.8938676565281616</v>
      </c>
      <c r="C75" s="3">
        <v>4.8103</v>
      </c>
      <c r="D75" s="3">
        <v>5.0725</v>
      </c>
      <c r="E75" s="3">
        <v>8.9412</v>
      </c>
      <c r="F75" s="3">
        <v>1</v>
      </c>
      <c r="G75" s="3">
        <v>1.097092704333516</v>
      </c>
      <c r="H75" s="3">
        <v>8.1923</v>
      </c>
      <c r="I75" s="3">
        <v>9.4053</v>
      </c>
      <c r="J75" s="3">
        <v>0.8908</v>
      </c>
      <c r="K75" s="3">
        <v>0.021556184038076843</v>
      </c>
      <c r="L75" s="3">
        <v>0.044367</v>
      </c>
      <c r="M75" s="3">
        <v>0.004723888705182106</v>
      </c>
      <c r="N75" s="3">
        <v>0.8643789437289308</v>
      </c>
      <c r="O75" s="3">
        <v>0.3972983710766786</v>
      </c>
      <c r="P75" s="3">
        <v>1.7591077805337132</v>
      </c>
      <c r="Q75" s="3">
        <v>0.7088679379031687</v>
      </c>
      <c r="R75" s="3">
        <v>4.131600000000001</v>
      </c>
      <c r="S75" s="3">
        <v>1.9399018409668471</v>
      </c>
      <c r="T75" s="3">
        <v>0.09056084330257284</v>
      </c>
      <c r="U75" s="3">
        <v>1.854736998293642</v>
      </c>
      <c r="V75" s="3">
        <v>0.7670476336580502</v>
      </c>
      <c r="W75" s="3">
        <v>5.453099999999999</v>
      </c>
      <c r="X75" s="3">
        <v>0.218435998252512</v>
      </c>
      <c r="Y75" s="3">
        <v>0.159509730891133</v>
      </c>
      <c r="Z75" s="3">
        <v>6.959</v>
      </c>
      <c r="AA75" s="3">
        <v>0.4270219489281749</v>
      </c>
    </row>
    <row r="76" spans="1:27">
      <c r="A76" t="s">
        <v>262</v>
      </c>
      <c r="B76" s="3">
        <v>1.8888595066298968</v>
      </c>
      <c r="C76" s="3">
        <v>4.8748000000000005</v>
      </c>
      <c r="D76" s="3">
        <v>5.077</v>
      </c>
      <c r="E76" s="3">
        <v>8.9361</v>
      </c>
      <c r="F76" s="3">
        <v>1</v>
      </c>
      <c r="G76" s="3">
        <v>1.0981770261366133</v>
      </c>
      <c r="H76" s="3">
        <v>8.204600000000001</v>
      </c>
      <c r="I76" s="3">
        <v>9.4343</v>
      </c>
      <c r="J76" s="3">
        <v>0.88969</v>
      </c>
      <c r="K76" s="3">
        <v>0.021719960209032895</v>
      </c>
      <c r="L76" s="3">
        <v>0.044125</v>
      </c>
      <c r="M76" s="3">
        <v>0.004741134079271762</v>
      </c>
      <c r="N76" s="3">
        <v>0.8631851532153647</v>
      </c>
      <c r="O76" s="3">
        <v>0.40233353450010056</v>
      </c>
      <c r="P76" s="3">
        <v>1.761028440609316</v>
      </c>
      <c r="Q76" s="3">
        <v>0.7167944950182783</v>
      </c>
      <c r="R76" s="3">
        <v>4.1756</v>
      </c>
      <c r="S76" s="3">
        <v>1.9456767063584717</v>
      </c>
      <c r="T76" s="3">
        <v>0.09002277576226786</v>
      </c>
      <c r="U76" s="3">
        <v>1.8499334023975136</v>
      </c>
      <c r="V76" s="3">
        <v>0.7702973347712218</v>
      </c>
      <c r="W76" s="3">
        <v>5.4615</v>
      </c>
      <c r="X76" s="3">
        <v>0.21995424951610065</v>
      </c>
      <c r="Y76" s="3">
        <v>0.15929756147292898</v>
      </c>
      <c r="Z76" s="3">
        <v>6.9523</v>
      </c>
      <c r="AA76" s="3">
        <v>0.43344458410992154</v>
      </c>
    </row>
    <row r="77" spans="1:27">
      <c r="A77" t="s">
        <v>102</v>
      </c>
      <c r="B77" s="3">
        <v>1.885902876001886</v>
      </c>
      <c r="C77" s="3">
        <v>4.9055</v>
      </c>
      <c r="D77" s="3">
        <v>5.1071</v>
      </c>
      <c r="E77" s="3">
        <v>9.0316</v>
      </c>
      <c r="F77" s="3">
        <v>1</v>
      </c>
      <c r="G77" s="3">
        <v>1.1042402826855124</v>
      </c>
      <c r="H77" s="3">
        <v>8.2513</v>
      </c>
      <c r="I77" s="3">
        <v>9.4795</v>
      </c>
      <c r="J77" s="3">
        <v>0.88882</v>
      </c>
      <c r="K77" s="3">
        <v>0.021919009260781417</v>
      </c>
      <c r="L77" s="3">
        <v>0.044389000000000005</v>
      </c>
      <c r="M77" s="3">
        <v>0.0047467603360706314</v>
      </c>
      <c r="N77" s="3">
        <v>0.8622919720617401</v>
      </c>
      <c r="O77" s="3">
        <v>0.4031120248317007</v>
      </c>
      <c r="P77" s="3">
        <v>1.7629532993670998</v>
      </c>
      <c r="Q77" s="3">
        <v>0.7231180851833104</v>
      </c>
      <c r="R77" s="3">
        <v>4.1876999999999995</v>
      </c>
      <c r="S77" s="3">
        <v>1.9619768879122603</v>
      </c>
      <c r="T77" s="3">
        <v>0.08981256118480731</v>
      </c>
      <c r="U77" s="3">
        <v>1.846790278495974</v>
      </c>
      <c r="V77" s="3">
        <v>0.7763975155279502</v>
      </c>
      <c r="W77" s="3">
        <v>5.4762</v>
      </c>
      <c r="X77" s="3">
        <v>0.22213830330763937</v>
      </c>
      <c r="Y77" s="3">
        <v>0.15896456838735212</v>
      </c>
      <c r="Z77" s="3">
        <v>6.9458</v>
      </c>
      <c r="AA77" s="3">
        <v>0.4360908813396712</v>
      </c>
    </row>
    <row r="78" spans="1:27">
      <c r="A78" t="s">
        <v>263</v>
      </c>
      <c r="B78" s="3">
        <v>1.8857961831485253</v>
      </c>
      <c r="C78" s="3">
        <v>4.8976999999999995</v>
      </c>
      <c r="D78" s="3">
        <v>5.1105</v>
      </c>
      <c r="E78" s="3">
        <v>9.0138</v>
      </c>
      <c r="F78" s="3">
        <v>1</v>
      </c>
      <c r="G78" s="3">
        <v>1.102779003087781</v>
      </c>
      <c r="H78" s="3">
        <v>8.2392</v>
      </c>
      <c r="I78" s="3">
        <v>9.4418</v>
      </c>
      <c r="J78" s="3">
        <v>0.88825</v>
      </c>
      <c r="K78" s="3">
        <v>0.021805067061483743</v>
      </c>
      <c r="L78" s="3">
        <v>0.044836</v>
      </c>
      <c r="M78" s="3">
        <v>0.004751270964983133</v>
      </c>
      <c r="N78" s="3">
        <v>0.8619203585588692</v>
      </c>
      <c r="O78" s="3">
        <v>0.4033884630899556</v>
      </c>
      <c r="P78" s="3">
        <v>1.7677526560483656</v>
      </c>
      <c r="Q78" s="3">
        <v>0.7274843590862796</v>
      </c>
      <c r="R78" s="3">
        <v>4.1813</v>
      </c>
      <c r="S78" s="3">
        <v>1.953850061546277</v>
      </c>
      <c r="T78" s="3">
        <v>0.08940865118108828</v>
      </c>
      <c r="U78" s="3">
        <v>1.846517468055248</v>
      </c>
      <c r="V78" s="3">
        <v>0.7792410192472531</v>
      </c>
      <c r="W78" s="3">
        <v>5.4777</v>
      </c>
      <c r="X78" s="3">
        <v>0.22177374642389833</v>
      </c>
      <c r="Y78" s="3">
        <v>0.15882116577912106</v>
      </c>
      <c r="Z78" s="3">
        <v>6.9437999999999995</v>
      </c>
      <c r="AA78" s="3">
        <v>0.43470700747696056</v>
      </c>
    </row>
    <row r="79" spans="1:27">
      <c r="A79" t="s">
        <v>95</v>
      </c>
      <c r="B79" s="3">
        <v>1.8857606215467009</v>
      </c>
      <c r="C79" s="3">
        <v>4.9364</v>
      </c>
      <c r="D79" s="3">
        <v>5.1029</v>
      </c>
      <c r="E79" s="3">
        <v>8.9846</v>
      </c>
      <c r="F79" s="3">
        <v>1</v>
      </c>
      <c r="G79" s="3">
        <v>1.1012003083360864</v>
      </c>
      <c r="H79" s="3">
        <v>8.225299999999999</v>
      </c>
      <c r="I79" s="3">
        <v>9.4368</v>
      </c>
      <c r="J79" s="3">
        <v>0.88881</v>
      </c>
      <c r="K79" s="3">
        <v>0.02171175474401841</v>
      </c>
      <c r="L79" s="3">
        <v>0.045241</v>
      </c>
      <c r="M79" s="3">
        <v>0.004779200917606577</v>
      </c>
      <c r="N79" s="3">
        <v>0.8625150940141453</v>
      </c>
      <c r="O79" s="3">
        <v>0.4034861200774693</v>
      </c>
      <c r="P79" s="3">
        <v>1.7711967976761898</v>
      </c>
      <c r="Q79" s="3">
        <v>0.7302468234263181</v>
      </c>
      <c r="R79" s="3">
        <v>4.188</v>
      </c>
      <c r="S79" s="3">
        <v>1.953086853772387</v>
      </c>
      <c r="T79" s="3">
        <v>0.08961858330943505</v>
      </c>
      <c r="U79" s="3">
        <v>1.8466879651345312</v>
      </c>
      <c r="V79" s="3">
        <v>0.778755548633284</v>
      </c>
      <c r="W79" s="3">
        <v>5.4905</v>
      </c>
      <c r="X79" s="3">
        <v>0.22275683863494608</v>
      </c>
      <c r="Y79" s="3">
        <v>0.1587737585082888</v>
      </c>
      <c r="Z79" s="3">
        <v>6.9457</v>
      </c>
      <c r="AA79" s="3">
        <v>0.4364906154517678</v>
      </c>
    </row>
    <row r="80" spans="1:27">
      <c r="A80" t="s">
        <v>264</v>
      </c>
      <c r="B80" s="3">
        <v>1.8847654409408747</v>
      </c>
      <c r="C80" s="3">
        <v>4.9048</v>
      </c>
      <c r="D80" s="3">
        <v>5.0865</v>
      </c>
      <c r="E80" s="3">
        <v>8.9993</v>
      </c>
      <c r="F80" s="3">
        <v>1</v>
      </c>
      <c r="G80" s="3">
        <v>1.1003521126760565</v>
      </c>
      <c r="H80" s="3">
        <v>8.2195</v>
      </c>
      <c r="I80" s="3">
        <v>9.4245</v>
      </c>
      <c r="J80" s="3">
        <v>0.88787</v>
      </c>
      <c r="K80" s="3">
        <v>0.021714724972150865</v>
      </c>
      <c r="L80" s="3">
        <v>0.045304</v>
      </c>
      <c r="M80" s="3">
        <v>0.004794783275795934</v>
      </c>
      <c r="N80" s="3">
        <v>0.8615490652192643</v>
      </c>
      <c r="O80" s="3">
        <v>0.4027061855670103</v>
      </c>
      <c r="P80" s="3">
        <v>1.7750639023004828</v>
      </c>
      <c r="Q80" s="3">
        <v>0.7257947452460444</v>
      </c>
      <c r="R80" s="3">
        <v>4.1709</v>
      </c>
      <c r="S80" s="3">
        <v>1.9526292152383184</v>
      </c>
      <c r="T80" s="3">
        <v>0.08942464185430937</v>
      </c>
      <c r="U80" s="3">
        <v>1.8458017239788105</v>
      </c>
      <c r="V80" s="3">
        <v>0.7753140021708793</v>
      </c>
      <c r="W80" s="3">
        <v>5.4851</v>
      </c>
      <c r="X80" s="3">
        <v>0.222637812806127</v>
      </c>
      <c r="Y80" s="3">
        <v>0.1583932587829062</v>
      </c>
      <c r="Z80" s="3">
        <v>6.9398</v>
      </c>
      <c r="AA80" s="3">
        <v>0.4341031429067546</v>
      </c>
    </row>
    <row r="81" spans="1:27">
      <c r="A81" t="s">
        <v>265</v>
      </c>
      <c r="B81" s="3">
        <v>1.8847654409408747</v>
      </c>
      <c r="C81" s="3">
        <v>4.9048</v>
      </c>
      <c r="D81" s="3">
        <v>5.0865</v>
      </c>
      <c r="E81" s="3">
        <v>8.9993</v>
      </c>
      <c r="F81" s="3">
        <v>1</v>
      </c>
      <c r="G81" s="3">
        <v>1.1003521126760565</v>
      </c>
      <c r="H81" s="3">
        <v>8.2195</v>
      </c>
      <c r="I81" s="3">
        <v>9.4245</v>
      </c>
      <c r="J81" s="3">
        <v>0.88787</v>
      </c>
      <c r="K81" s="3">
        <v>0.021714724972150865</v>
      </c>
      <c r="L81" s="3">
        <v>0.045304</v>
      </c>
      <c r="M81" s="3">
        <v>0.004794783275795934</v>
      </c>
      <c r="N81" s="3">
        <v>0.8615490652192643</v>
      </c>
      <c r="O81" s="3">
        <v>0.4027061855670103</v>
      </c>
      <c r="P81" s="3">
        <v>1.7750639023004828</v>
      </c>
      <c r="Q81" s="3">
        <v>0.7257947452460444</v>
      </c>
      <c r="R81" s="3">
        <v>4.1709</v>
      </c>
      <c r="S81" s="3">
        <v>1.9526292152383184</v>
      </c>
      <c r="T81" s="3">
        <v>0.08942464185430937</v>
      </c>
      <c r="U81" s="3">
        <v>1.8458017239788105</v>
      </c>
      <c r="V81" s="3">
        <v>0.7753140021708793</v>
      </c>
      <c r="W81" s="3">
        <v>5.4851</v>
      </c>
      <c r="X81" s="3">
        <v>0.222637812806127</v>
      </c>
      <c r="Y81" s="3">
        <v>0.1583932587829062</v>
      </c>
      <c r="Z81" s="3">
        <v>6.9398</v>
      </c>
      <c r="AA81" s="3">
        <v>0.4341031429067546</v>
      </c>
    </row>
    <row r="82" spans="1:27">
      <c r="A82" t="s">
        <v>100</v>
      </c>
      <c r="B82" s="3">
        <v>1.8847654409408747</v>
      </c>
      <c r="C82" s="3">
        <v>4.9048</v>
      </c>
      <c r="D82" s="3">
        <v>5.0865</v>
      </c>
      <c r="E82" s="3">
        <v>8.9993</v>
      </c>
      <c r="F82" s="3">
        <v>1</v>
      </c>
      <c r="G82" s="3">
        <v>1.1003521126760565</v>
      </c>
      <c r="H82" s="3">
        <v>8.2195</v>
      </c>
      <c r="I82" s="3">
        <v>9.4245</v>
      </c>
      <c r="J82" s="3">
        <v>0.88787</v>
      </c>
      <c r="K82" s="3">
        <v>0.021714724972150865</v>
      </c>
      <c r="L82" s="3">
        <v>0.045304</v>
      </c>
      <c r="M82" s="3">
        <v>0.004794783275795934</v>
      </c>
      <c r="N82" s="3">
        <v>0.8615490652192643</v>
      </c>
      <c r="O82" s="3">
        <v>0.4027061855670103</v>
      </c>
      <c r="P82" s="3">
        <v>1.7750639023004828</v>
      </c>
      <c r="Q82" s="3">
        <v>0.7257947452460444</v>
      </c>
      <c r="R82" s="3">
        <v>4.1709</v>
      </c>
      <c r="S82" s="3">
        <v>1.9526292152383184</v>
      </c>
      <c r="T82" s="3">
        <v>0.08942464185430937</v>
      </c>
      <c r="U82" s="3">
        <v>1.8458017239788105</v>
      </c>
      <c r="V82" s="3">
        <v>0.7753140021708793</v>
      </c>
      <c r="W82" s="3">
        <v>5.4851</v>
      </c>
      <c r="X82" s="3">
        <v>0.222637812806127</v>
      </c>
      <c r="Y82" s="3">
        <v>0.1583932587829062</v>
      </c>
      <c r="Z82" s="3">
        <v>6.9398</v>
      </c>
      <c r="AA82" s="3">
        <v>0.4341031429067546</v>
      </c>
    </row>
    <row r="83" spans="1:27">
      <c r="A83" t="s">
        <v>266</v>
      </c>
      <c r="B83" s="3">
        <v>1.8847654409408747</v>
      </c>
      <c r="C83" s="3">
        <v>4.9048</v>
      </c>
      <c r="D83" s="3">
        <v>5.0865</v>
      </c>
      <c r="E83" s="3">
        <v>8.9993</v>
      </c>
      <c r="F83" s="3">
        <v>1</v>
      </c>
      <c r="G83" s="3">
        <v>1.1003521126760565</v>
      </c>
      <c r="H83" s="3">
        <v>8.2195</v>
      </c>
      <c r="I83" s="3">
        <v>9.4245</v>
      </c>
      <c r="J83" s="3">
        <v>0.88787</v>
      </c>
      <c r="K83" s="3">
        <v>0.021714724972150865</v>
      </c>
      <c r="L83" s="3">
        <v>0.045304</v>
      </c>
      <c r="M83" s="3">
        <v>0.004794783275795934</v>
      </c>
      <c r="N83" s="3">
        <v>0.8615490652192643</v>
      </c>
      <c r="O83" s="3">
        <v>0.4027061855670103</v>
      </c>
      <c r="P83" s="3">
        <v>1.7750639023004828</v>
      </c>
      <c r="Q83" s="3">
        <v>0.7257947452460444</v>
      </c>
      <c r="R83" s="3">
        <v>4.1709</v>
      </c>
      <c r="S83" s="3">
        <v>1.9526292152383184</v>
      </c>
      <c r="T83" s="3">
        <v>0.08942464185430937</v>
      </c>
      <c r="U83" s="3">
        <v>1.8458017239788105</v>
      </c>
      <c r="V83" s="3">
        <v>0.7753140021708793</v>
      </c>
      <c r="W83" s="3">
        <v>5.4851</v>
      </c>
      <c r="X83" s="3">
        <v>0.222637812806127</v>
      </c>
      <c r="Y83" s="3">
        <v>0.1583932587829062</v>
      </c>
      <c r="Z83" s="3">
        <v>6.9398</v>
      </c>
      <c r="AA83" s="3">
        <v>0.4341031429067546</v>
      </c>
    </row>
    <row r="84" spans="1:27">
      <c r="A84" t="s">
        <v>267</v>
      </c>
      <c r="B84" s="3">
        <v>1.8847654409408747</v>
      </c>
      <c r="C84" s="3">
        <v>4.9048</v>
      </c>
      <c r="D84" s="3">
        <v>5.0865</v>
      </c>
      <c r="E84" s="3">
        <v>8.9993</v>
      </c>
      <c r="F84" s="3">
        <v>1</v>
      </c>
      <c r="G84" s="3">
        <v>1.1003521126760565</v>
      </c>
      <c r="H84" s="3">
        <v>8.2195</v>
      </c>
      <c r="I84" s="3">
        <v>9.4245</v>
      </c>
      <c r="J84" s="3">
        <v>0.88787</v>
      </c>
      <c r="K84" s="3">
        <v>0.021714724972150865</v>
      </c>
      <c r="L84" s="3">
        <v>0.045304</v>
      </c>
      <c r="M84" s="3">
        <v>0.004794783275795934</v>
      </c>
      <c r="N84" s="3">
        <v>0.8615490652192643</v>
      </c>
      <c r="O84" s="3">
        <v>0.4027061855670103</v>
      </c>
      <c r="P84" s="3">
        <v>1.7750639023004828</v>
      </c>
      <c r="Q84" s="3">
        <v>0.7257947452460444</v>
      </c>
      <c r="R84" s="3">
        <v>4.1709</v>
      </c>
      <c r="S84" s="3">
        <v>1.9526292152383184</v>
      </c>
      <c r="T84" s="3">
        <v>0.08942464185430937</v>
      </c>
      <c r="U84" s="3">
        <v>1.8458017239788105</v>
      </c>
      <c r="V84" s="3">
        <v>0.7753140021708793</v>
      </c>
      <c r="W84" s="3">
        <v>5.4851</v>
      </c>
      <c r="X84" s="3">
        <v>0.222637812806127</v>
      </c>
      <c r="Y84" s="3">
        <v>0.1583932587829062</v>
      </c>
      <c r="Z84" s="3">
        <v>6.9398</v>
      </c>
      <c r="AA84" s="3">
        <v>0.4341031429067546</v>
      </c>
    </row>
    <row r="85" spans="1:27">
      <c r="A85" t="s">
        <v>104</v>
      </c>
      <c r="B85" s="3">
        <v>1.8847654409408747</v>
      </c>
      <c r="C85" s="3">
        <v>4.9048</v>
      </c>
      <c r="D85" s="3">
        <v>5.0865</v>
      </c>
      <c r="E85" s="3">
        <v>8.9993</v>
      </c>
      <c r="F85" s="3">
        <v>1</v>
      </c>
      <c r="G85" s="3">
        <v>1.1003521126760565</v>
      </c>
      <c r="H85" s="3">
        <v>8.2195</v>
      </c>
      <c r="I85" s="3">
        <v>9.4245</v>
      </c>
      <c r="J85" s="3">
        <v>0.88787</v>
      </c>
      <c r="K85" s="3">
        <v>0.021714724972150865</v>
      </c>
      <c r="L85" s="3">
        <v>0.045304</v>
      </c>
      <c r="M85" s="3">
        <v>0.004794783275795934</v>
      </c>
      <c r="N85" s="3">
        <v>0.8615490652192643</v>
      </c>
      <c r="O85" s="3">
        <v>0.4027061855670103</v>
      </c>
      <c r="P85" s="3">
        <v>1.7750639023004828</v>
      </c>
      <c r="Q85" s="3">
        <v>0.7257947452460444</v>
      </c>
      <c r="R85" s="3">
        <v>4.1709</v>
      </c>
      <c r="S85" s="3">
        <v>1.9526292152383184</v>
      </c>
      <c r="T85" s="3">
        <v>0.08942464185430937</v>
      </c>
      <c r="U85" s="3">
        <v>1.8458017239788105</v>
      </c>
      <c r="V85" s="3">
        <v>0.7753140021708793</v>
      </c>
      <c r="W85" s="3">
        <v>5.4851</v>
      </c>
      <c r="X85" s="3">
        <v>0.222637812806127</v>
      </c>
      <c r="Y85" s="3">
        <v>0.1583932587829062</v>
      </c>
      <c r="Z85" s="3">
        <v>6.9398</v>
      </c>
      <c r="AA85" s="3">
        <v>0.4341031429067546</v>
      </c>
    </row>
    <row r="86" spans="1:27">
      <c r="A86" t="s">
        <v>268</v>
      </c>
      <c r="B86" s="3">
        <v>1.8847654409408747</v>
      </c>
      <c r="C86" s="3">
        <v>4.9048</v>
      </c>
      <c r="D86" s="3">
        <v>5.0865</v>
      </c>
      <c r="E86" s="3">
        <v>8.9993</v>
      </c>
      <c r="F86" s="3">
        <v>1</v>
      </c>
      <c r="G86" s="3">
        <v>1.1003521126760565</v>
      </c>
      <c r="H86" s="3">
        <v>8.2195</v>
      </c>
      <c r="I86" s="3">
        <v>9.4245</v>
      </c>
      <c r="J86" s="3">
        <v>0.88787</v>
      </c>
      <c r="K86" s="3">
        <v>0.021714724972150865</v>
      </c>
      <c r="L86" s="3">
        <v>0.045304</v>
      </c>
      <c r="M86" s="3">
        <v>0.004794783275795934</v>
      </c>
      <c r="N86" s="3">
        <v>0.8615490652192643</v>
      </c>
      <c r="O86" s="3">
        <v>0.4027061855670103</v>
      </c>
      <c r="P86" s="3">
        <v>1.7750639023004828</v>
      </c>
      <c r="Q86" s="3">
        <v>0.7257947452460444</v>
      </c>
      <c r="R86" s="3">
        <v>4.1709</v>
      </c>
      <c r="S86" s="3">
        <v>1.9526292152383184</v>
      </c>
      <c r="T86" s="3">
        <v>0.08942464185430937</v>
      </c>
      <c r="U86" s="3">
        <v>1.8458017239788105</v>
      </c>
      <c r="V86" s="3">
        <v>0.7753140021708793</v>
      </c>
      <c r="W86" s="3">
        <v>5.4851</v>
      </c>
      <c r="X86" s="3">
        <v>0.222637812806127</v>
      </c>
      <c r="Y86" s="3">
        <v>0.1583932587829062</v>
      </c>
      <c r="Z86" s="3">
        <v>6.9398</v>
      </c>
      <c r="AA86" s="3">
        <v>0.4341031429067546</v>
      </c>
    </row>
    <row r="87" spans="1:27">
      <c r="A87" t="s">
        <v>97</v>
      </c>
      <c r="B87" s="3">
        <v>1.8847654409408747</v>
      </c>
      <c r="C87" s="3">
        <v>4.9048</v>
      </c>
      <c r="D87" s="3">
        <v>5.0865</v>
      </c>
      <c r="E87" s="3">
        <v>8.9993</v>
      </c>
      <c r="F87" s="3">
        <v>1</v>
      </c>
      <c r="G87" s="3">
        <v>1.1003521126760565</v>
      </c>
      <c r="H87" s="3">
        <v>8.2195</v>
      </c>
      <c r="I87" s="3">
        <v>9.4245</v>
      </c>
      <c r="J87" s="3">
        <v>0.88787</v>
      </c>
      <c r="K87" s="3">
        <v>0.021714724972150865</v>
      </c>
      <c r="L87" s="3">
        <v>0.045304</v>
      </c>
      <c r="M87" s="3">
        <v>0.004794783275795934</v>
      </c>
      <c r="N87" s="3">
        <v>0.8615490652192643</v>
      </c>
      <c r="O87" s="3">
        <v>0.4027061855670103</v>
      </c>
      <c r="P87" s="3">
        <v>1.7750639023004828</v>
      </c>
      <c r="Q87" s="3">
        <v>0.7257947452460444</v>
      </c>
      <c r="R87" s="3">
        <v>4.1709</v>
      </c>
      <c r="S87" s="3">
        <v>1.9526292152383184</v>
      </c>
      <c r="T87" s="3">
        <v>0.08942464185430937</v>
      </c>
      <c r="U87" s="3">
        <v>1.8458017239788105</v>
      </c>
      <c r="V87" s="3">
        <v>0.7753140021708793</v>
      </c>
      <c r="W87" s="3">
        <v>5.4851</v>
      </c>
      <c r="X87" s="3">
        <v>0.222637812806127</v>
      </c>
      <c r="Y87" s="3">
        <v>0.1583932587829062</v>
      </c>
      <c r="Z87" s="3">
        <v>6.9398</v>
      </c>
      <c r="AA87" s="3">
        <v>0.4341031429067546</v>
      </c>
    </row>
    <row r="88" spans="1:27">
      <c r="A88" t="s">
        <v>269</v>
      </c>
      <c r="B88" s="3">
        <v>1.8847654409408747</v>
      </c>
      <c r="C88" s="3">
        <v>4.9048</v>
      </c>
      <c r="D88" s="3">
        <v>5.0865</v>
      </c>
      <c r="E88" s="3">
        <v>8.9993</v>
      </c>
      <c r="F88" s="3">
        <v>1</v>
      </c>
      <c r="G88" s="3">
        <v>1.1003521126760565</v>
      </c>
      <c r="H88" s="3">
        <v>8.2195</v>
      </c>
      <c r="I88" s="3">
        <v>9.4245</v>
      </c>
      <c r="J88" s="3">
        <v>0.88787</v>
      </c>
      <c r="K88" s="3">
        <v>0.021714724972150865</v>
      </c>
      <c r="L88" s="3">
        <v>0.045304</v>
      </c>
      <c r="M88" s="3">
        <v>0.004794783275795934</v>
      </c>
      <c r="N88" s="3">
        <v>0.8615490652192643</v>
      </c>
      <c r="O88" s="3">
        <v>0.4027061855670103</v>
      </c>
      <c r="P88" s="3">
        <v>1.7750639023004828</v>
      </c>
      <c r="Q88" s="3">
        <v>0.7257947452460444</v>
      </c>
      <c r="R88" s="3">
        <v>4.1709</v>
      </c>
      <c r="S88" s="3">
        <v>1.9526292152383184</v>
      </c>
      <c r="T88" s="3">
        <v>0.08942464185430937</v>
      </c>
      <c r="U88" s="3">
        <v>1.8458017239788105</v>
      </c>
      <c r="V88" s="3">
        <v>0.7753140021708793</v>
      </c>
      <c r="W88" s="3">
        <v>5.4851</v>
      </c>
      <c r="X88" s="3">
        <v>0.222637812806127</v>
      </c>
      <c r="Y88" s="3">
        <v>0.1583932587829062</v>
      </c>
      <c r="Z88" s="3">
        <v>6.9398</v>
      </c>
      <c r="AA88" s="3">
        <v>0.4341031429067546</v>
      </c>
    </row>
    <row r="89" spans="1:27">
      <c r="A89" t="s">
        <v>270</v>
      </c>
      <c r="B89" s="3">
        <v>1.8847654409408747</v>
      </c>
      <c r="C89" s="3">
        <v>4.9048</v>
      </c>
      <c r="D89" s="3">
        <v>5.0865</v>
      </c>
      <c r="E89" s="3">
        <v>8.9993</v>
      </c>
      <c r="F89" s="3">
        <v>1</v>
      </c>
      <c r="G89" s="3">
        <v>1.1003521126760565</v>
      </c>
      <c r="H89" s="3">
        <v>8.2195</v>
      </c>
      <c r="I89" s="3">
        <v>9.4245</v>
      </c>
      <c r="J89" s="3">
        <v>0.88787</v>
      </c>
      <c r="K89" s="3">
        <v>0.021714724972150865</v>
      </c>
      <c r="L89" s="3">
        <v>0.045304</v>
      </c>
      <c r="M89" s="3">
        <v>0.004794783275795934</v>
      </c>
      <c r="N89" s="3">
        <v>0.8615490652192643</v>
      </c>
      <c r="O89" s="3">
        <v>0.4027061855670103</v>
      </c>
      <c r="P89" s="3">
        <v>1.7750639023004828</v>
      </c>
      <c r="Q89" s="3">
        <v>0.7257947452460444</v>
      </c>
      <c r="R89" s="3">
        <v>4.1709</v>
      </c>
      <c r="S89" s="3">
        <v>1.9526292152383184</v>
      </c>
      <c r="T89" s="3">
        <v>0.08942464185430937</v>
      </c>
      <c r="U89" s="3">
        <v>1.8458017239788105</v>
      </c>
      <c r="V89" s="3">
        <v>0.7753140021708793</v>
      </c>
      <c r="W89" s="3">
        <v>5.4851</v>
      </c>
      <c r="X89" s="3">
        <v>0.222637812806127</v>
      </c>
      <c r="Y89" s="3">
        <v>0.1583932587829062</v>
      </c>
      <c r="Z89" s="3">
        <v>6.9398</v>
      </c>
      <c r="AA89" s="3">
        <v>0.4341031429067546</v>
      </c>
    </row>
    <row r="90" spans="1:27">
      <c r="A90" t="s">
        <v>271</v>
      </c>
      <c r="B90" s="3">
        <v>1.8847654409408747</v>
      </c>
      <c r="C90" s="3">
        <v>4.9048</v>
      </c>
      <c r="D90" s="3">
        <v>5.0865</v>
      </c>
      <c r="E90" s="3">
        <v>8.9993</v>
      </c>
      <c r="F90" s="3">
        <v>1</v>
      </c>
      <c r="G90" s="3">
        <v>1.1003521126760565</v>
      </c>
      <c r="H90" s="3">
        <v>8.2195</v>
      </c>
      <c r="I90" s="3">
        <v>9.4245</v>
      </c>
      <c r="J90" s="3">
        <v>0.88787</v>
      </c>
      <c r="K90" s="3">
        <v>0.021714724972150865</v>
      </c>
      <c r="L90" s="3">
        <v>0.045304</v>
      </c>
      <c r="M90" s="3">
        <v>0.004794783275795934</v>
      </c>
      <c r="N90" s="3">
        <v>0.8615490652192643</v>
      </c>
      <c r="O90" s="3">
        <v>0.4027061855670103</v>
      </c>
      <c r="P90" s="3">
        <v>1.7750639023004828</v>
      </c>
      <c r="Q90" s="3">
        <v>0.7257947452460444</v>
      </c>
      <c r="R90" s="3">
        <v>4.1709</v>
      </c>
      <c r="S90" s="3">
        <v>1.9526292152383184</v>
      </c>
      <c r="T90" s="3">
        <v>0.08942464185430937</v>
      </c>
      <c r="U90" s="3">
        <v>1.8458017239788105</v>
      </c>
      <c r="V90" s="3">
        <v>0.7753140021708793</v>
      </c>
      <c r="W90" s="3">
        <v>5.4851</v>
      </c>
      <c r="X90" s="3">
        <v>0.222637812806127</v>
      </c>
      <c r="Y90" s="3">
        <v>0.1583932587829062</v>
      </c>
      <c r="Z90" s="3">
        <v>6.9398</v>
      </c>
      <c r="AA90" s="3">
        <v>0.4341031429067546</v>
      </c>
    </row>
    <row r="91" spans="1:27">
      <c r="A91" t="s">
        <v>272</v>
      </c>
      <c r="B91" s="3">
        <v>1.8871841325558136</v>
      </c>
      <c r="C91" s="3">
        <v>4.8902</v>
      </c>
      <c r="D91" s="3">
        <v>5.0601</v>
      </c>
      <c r="E91" s="3">
        <v>8.9502</v>
      </c>
      <c r="F91" s="3">
        <v>1</v>
      </c>
      <c r="G91" s="3">
        <v>1.0937329104232745</v>
      </c>
      <c r="H91" s="3">
        <v>8.173</v>
      </c>
      <c r="I91" s="3">
        <v>9.3519</v>
      </c>
      <c r="J91" s="3">
        <v>0.8877299999999999</v>
      </c>
      <c r="K91" s="3">
        <v>0.021562133443731455</v>
      </c>
      <c r="L91" s="3">
        <v>0.044846</v>
      </c>
      <c r="M91" s="3">
        <v>0.004790419161676647</v>
      </c>
      <c r="N91" s="3">
        <v>0.861474844934528</v>
      </c>
      <c r="O91" s="3">
        <v>0.40171935885590326</v>
      </c>
      <c r="P91" s="3">
        <v>1.7812928623595004</v>
      </c>
      <c r="Q91" s="3">
        <v>0.7241129616220131</v>
      </c>
      <c r="R91" s="3">
        <v>4.1270999999999995</v>
      </c>
      <c r="S91" s="3">
        <v>1.9377967251235344</v>
      </c>
      <c r="T91" s="3">
        <v>0.08987794574967195</v>
      </c>
      <c r="U91" s="3">
        <v>1.847643330931397</v>
      </c>
      <c r="V91" s="3">
        <v>0.7644091117566122</v>
      </c>
      <c r="W91" s="3">
        <v>5.4715</v>
      </c>
      <c r="X91" s="3">
        <v>0.22345869366047685</v>
      </c>
      <c r="Y91" s="3">
        <v>0.15812626698671425</v>
      </c>
      <c r="Z91" s="3">
        <v>6.9414</v>
      </c>
      <c r="AA91" s="3">
        <v>0.4331441937020834</v>
      </c>
    </row>
    <row r="92" spans="1:27">
      <c r="A92" t="s">
        <v>273</v>
      </c>
      <c r="B92" s="3">
        <v>1.88040616773223</v>
      </c>
      <c r="C92" s="3">
        <v>4.8732999999999995</v>
      </c>
      <c r="D92" s="3">
        <v>5.0387</v>
      </c>
      <c r="E92" s="3">
        <v>8.9237</v>
      </c>
      <c r="F92" s="3">
        <v>1</v>
      </c>
      <c r="G92" s="3">
        <v>1.0884946119516707</v>
      </c>
      <c r="H92" s="3">
        <v>8.1352</v>
      </c>
      <c r="I92" s="3">
        <v>9.3175</v>
      </c>
      <c r="J92" s="3">
        <v>0.8861100000000001</v>
      </c>
      <c r="K92" s="3">
        <v>0.021529174183936656</v>
      </c>
      <c r="L92" s="3">
        <v>0.044388</v>
      </c>
      <c r="M92" s="3">
        <v>0.004784002296321102</v>
      </c>
      <c r="N92" s="3">
        <v>0.8598452278589854</v>
      </c>
      <c r="O92" s="3">
        <v>0.4030307915524746</v>
      </c>
      <c r="P92" s="3">
        <v>1.7754736075848232</v>
      </c>
      <c r="Q92" s="3">
        <v>0.721552781585973</v>
      </c>
      <c r="R92" s="3">
        <v>4.113</v>
      </c>
      <c r="S92" s="3">
        <v>1.932180465655492</v>
      </c>
      <c r="T92" s="3">
        <v>0.08987956138774043</v>
      </c>
      <c r="U92" s="3">
        <v>1.8410442402930944</v>
      </c>
      <c r="V92" s="3">
        <v>0.7633587786259542</v>
      </c>
      <c r="W92" s="3">
        <v>5.455</v>
      </c>
      <c r="X92" s="3">
        <v>0.2219558751720158</v>
      </c>
      <c r="Y92" s="3">
        <v>0.157597706638173</v>
      </c>
      <c r="Z92" s="3">
        <v>6.9321</v>
      </c>
      <c r="AA92" s="3">
        <v>0.4330129037845328</v>
      </c>
    </row>
    <row r="93" spans="1:27">
      <c r="A93" t="s">
        <v>274</v>
      </c>
      <c r="B93" s="3">
        <v>1.875926238580299</v>
      </c>
      <c r="C93" s="3">
        <v>4.9024</v>
      </c>
      <c r="D93" s="3">
        <v>5.0382</v>
      </c>
      <c r="E93" s="3">
        <v>8.921100000000001</v>
      </c>
      <c r="F93" s="3">
        <v>1</v>
      </c>
      <c r="G93" s="3">
        <v>1.090037061260083</v>
      </c>
      <c r="H93" s="3">
        <v>8.1462</v>
      </c>
      <c r="I93" s="3">
        <v>9.3391</v>
      </c>
      <c r="J93" s="3">
        <v>0.88557</v>
      </c>
      <c r="K93" s="3">
        <v>0.021747829566609252</v>
      </c>
      <c r="L93" s="3">
        <v>0.044208</v>
      </c>
      <c r="M93" s="3">
        <v>0.004822298307373294</v>
      </c>
      <c r="N93" s="3">
        <v>0.8593280054996992</v>
      </c>
      <c r="O93" s="3">
        <v>0.4026089057089942</v>
      </c>
      <c r="P93" s="3">
        <v>1.7759465795268878</v>
      </c>
      <c r="Q93" s="3">
        <v>0.7212925562608195</v>
      </c>
      <c r="R93" s="3">
        <v>4.1268</v>
      </c>
      <c r="S93" s="3">
        <v>1.934610176049526</v>
      </c>
      <c r="T93" s="3">
        <v>0.08924985496898567</v>
      </c>
      <c r="U93" s="3">
        <v>1.8368509028122184</v>
      </c>
      <c r="V93" s="3">
        <v>0.7642338555598013</v>
      </c>
      <c r="W93" s="3">
        <v>5.461799999999999</v>
      </c>
      <c r="X93" s="3">
        <v>0.2214103841470165</v>
      </c>
      <c r="Y93" s="3">
        <v>0.15721292919129667</v>
      </c>
      <c r="Z93" s="3">
        <v>6.9228</v>
      </c>
      <c r="AA93" s="3">
        <v>0.4352557127312296</v>
      </c>
    </row>
    <row r="94" spans="1:27">
      <c r="A94" t="s">
        <v>275</v>
      </c>
      <c r="B94" s="3">
        <v>1.8722735017131305</v>
      </c>
      <c r="C94" s="3">
        <v>4.8776</v>
      </c>
      <c r="D94" s="3">
        <v>5.0266</v>
      </c>
      <c r="E94" s="3">
        <v>8.8912</v>
      </c>
      <c r="F94" s="3">
        <v>1</v>
      </c>
      <c r="G94" s="3">
        <v>1.0866021949364335</v>
      </c>
      <c r="H94" s="3">
        <v>8.120800000000001</v>
      </c>
      <c r="I94" s="3">
        <v>9.2709</v>
      </c>
      <c r="J94" s="3">
        <v>0.88484</v>
      </c>
      <c r="K94" s="3">
        <v>0.021643616215397267</v>
      </c>
      <c r="L94" s="3">
        <v>0.044216</v>
      </c>
      <c r="M94" s="3">
        <v>0.004786979415988511</v>
      </c>
      <c r="N94" s="3">
        <v>0.8586639189421261</v>
      </c>
      <c r="O94" s="3">
        <v>0.40117142054800015</v>
      </c>
      <c r="P94" s="3">
        <v>1.7732697320589434</v>
      </c>
      <c r="Q94" s="3">
        <v>0.7193209610128039</v>
      </c>
      <c r="R94" s="3">
        <v>4.1018</v>
      </c>
      <c r="S94" s="3">
        <v>1.9268193992177112</v>
      </c>
      <c r="T94" s="3">
        <v>0.08905353898763936</v>
      </c>
      <c r="U94" s="3">
        <v>1.833550303452575</v>
      </c>
      <c r="V94" s="3">
        <v>0.7595898214963919</v>
      </c>
      <c r="W94" s="3">
        <v>5.4488</v>
      </c>
      <c r="X94" s="3">
        <v>0.22089196174151224</v>
      </c>
      <c r="Y94" s="3">
        <v>0.1566281100469101</v>
      </c>
      <c r="Z94" s="3">
        <v>6.9228</v>
      </c>
      <c r="AA94" s="3">
        <v>0.4324511330219685</v>
      </c>
    </row>
    <row r="95" spans="1:27">
      <c r="A95" t="s">
        <v>69</v>
      </c>
      <c r="B95" s="3">
        <v>1.8722735017131305</v>
      </c>
      <c r="C95" s="3">
        <v>4.8776</v>
      </c>
      <c r="D95" s="3">
        <v>5.0266</v>
      </c>
      <c r="E95" s="3">
        <v>8.8912</v>
      </c>
      <c r="F95" s="3">
        <v>1</v>
      </c>
      <c r="G95" s="3">
        <v>1.0866021949364335</v>
      </c>
      <c r="H95" s="3">
        <v>8.120800000000001</v>
      </c>
      <c r="I95" s="3">
        <v>9.2709</v>
      </c>
      <c r="J95" s="3">
        <v>0.88484</v>
      </c>
      <c r="K95" s="3">
        <v>0.021643616215397267</v>
      </c>
      <c r="L95" s="3">
        <v>0.044216</v>
      </c>
      <c r="M95" s="3">
        <v>0.004786979415988511</v>
      </c>
      <c r="N95" s="3">
        <v>0.8586639189421261</v>
      </c>
      <c r="O95" s="3">
        <v>0.40117142054800015</v>
      </c>
      <c r="P95" s="3">
        <v>1.7732697320589434</v>
      </c>
      <c r="Q95" s="3">
        <v>0.7193209610128039</v>
      </c>
      <c r="R95" s="3">
        <v>4.1018</v>
      </c>
      <c r="S95" s="3">
        <v>1.9268193992177112</v>
      </c>
      <c r="T95" s="3">
        <v>0.08905353898763936</v>
      </c>
      <c r="U95" s="3">
        <v>1.833550303452575</v>
      </c>
      <c r="V95" s="3">
        <v>0.7595898214963919</v>
      </c>
      <c r="W95" s="3">
        <v>5.4488</v>
      </c>
      <c r="X95" s="3">
        <v>0.22089196174151224</v>
      </c>
      <c r="Y95" s="3">
        <v>0.1566281100469101</v>
      </c>
      <c r="Z95" s="3">
        <v>6.9228</v>
      </c>
      <c r="AA95" s="3">
        <v>0.4324511330219685</v>
      </c>
    </row>
    <row r="96" spans="1:27">
      <c r="A96" t="s">
        <v>276</v>
      </c>
      <c r="B96" s="3">
        <v>1.8722735017131305</v>
      </c>
      <c r="C96" s="3">
        <v>4.8776</v>
      </c>
      <c r="D96" s="3">
        <v>5.0266</v>
      </c>
      <c r="E96" s="3">
        <v>8.8912</v>
      </c>
      <c r="F96" s="3">
        <v>1</v>
      </c>
      <c r="G96" s="3">
        <v>1.0866021949364335</v>
      </c>
      <c r="H96" s="3">
        <v>8.120800000000001</v>
      </c>
      <c r="I96" s="3">
        <v>9.2709</v>
      </c>
      <c r="J96" s="3">
        <v>0.88484</v>
      </c>
      <c r="K96" s="3">
        <v>0.021643616215397267</v>
      </c>
      <c r="L96" s="3">
        <v>0.044216</v>
      </c>
      <c r="M96" s="3">
        <v>0.004786979415988511</v>
      </c>
      <c r="N96" s="3">
        <v>0.8586639189421261</v>
      </c>
      <c r="O96" s="3">
        <v>0.40117142054800015</v>
      </c>
      <c r="P96" s="3">
        <v>1.7732697320589434</v>
      </c>
      <c r="Q96" s="3">
        <v>0.7193209610128039</v>
      </c>
      <c r="R96" s="3">
        <v>4.1018</v>
      </c>
      <c r="S96" s="3">
        <v>1.9268193992177112</v>
      </c>
      <c r="T96" s="3">
        <v>0.08905353898763936</v>
      </c>
      <c r="U96" s="3">
        <v>1.833550303452575</v>
      </c>
      <c r="V96" s="3">
        <v>0.7595898214963919</v>
      </c>
      <c r="W96" s="3">
        <v>5.4488</v>
      </c>
      <c r="X96" s="3">
        <v>0.22089196174151224</v>
      </c>
      <c r="Y96" s="3">
        <v>0.1566281100469101</v>
      </c>
      <c r="Z96" s="3">
        <v>6.9228</v>
      </c>
      <c r="AA96" s="3">
        <v>0.4324511330219685</v>
      </c>
    </row>
    <row r="97" spans="1:27">
      <c r="A97" t="s">
        <v>277</v>
      </c>
      <c r="B97" s="3">
        <v>1.8767712028226635</v>
      </c>
      <c r="C97" s="3">
        <v>4.8724</v>
      </c>
      <c r="D97" s="3">
        <v>5.0439</v>
      </c>
      <c r="E97" s="3">
        <v>8.97</v>
      </c>
      <c r="F97" s="3">
        <v>1</v>
      </c>
      <c r="G97" s="3">
        <v>1.086130118388183</v>
      </c>
      <c r="H97" s="3">
        <v>8.1135</v>
      </c>
      <c r="I97" s="3">
        <v>9.2493</v>
      </c>
      <c r="J97" s="3">
        <v>0.88518</v>
      </c>
      <c r="K97" s="3">
        <v>0.02146097750460338</v>
      </c>
      <c r="L97" s="3">
        <v>0.044123</v>
      </c>
      <c r="M97" s="3">
        <v>0.00476077124494168</v>
      </c>
      <c r="N97" s="3">
        <v>0.8587376556462001</v>
      </c>
      <c r="O97" s="3">
        <v>0.3989945337748873</v>
      </c>
      <c r="P97" s="3">
        <v>1.7687219215394956</v>
      </c>
      <c r="Q97" s="3">
        <v>0.7248477819657871</v>
      </c>
      <c r="R97" s="3">
        <v>4.1114</v>
      </c>
      <c r="S97" s="3">
        <v>1.9217834150091289</v>
      </c>
      <c r="T97" s="3">
        <v>0.08911067545891997</v>
      </c>
      <c r="U97" s="3">
        <v>1.8376272556874564</v>
      </c>
      <c r="V97" s="3">
        <v>0.7598206823189726</v>
      </c>
      <c r="W97" s="3">
        <v>5.437799999999999</v>
      </c>
      <c r="X97" s="3">
        <v>0.22078954340722423</v>
      </c>
      <c r="Y97" s="3">
        <v>0.15693241078000117</v>
      </c>
      <c r="Z97" s="3">
        <v>6.9236</v>
      </c>
      <c r="AA97" s="3">
        <v>0.4294241422252759</v>
      </c>
    </row>
    <row r="98" spans="1:27">
      <c r="A98" t="s">
        <v>278</v>
      </c>
      <c r="B98" s="3">
        <v>1.8788869473723768</v>
      </c>
      <c r="C98" s="3">
        <v>4.9025</v>
      </c>
      <c r="D98" s="3">
        <v>5.0472</v>
      </c>
      <c r="E98" s="3">
        <v>8.8691</v>
      </c>
      <c r="F98" s="3">
        <v>1</v>
      </c>
      <c r="G98" s="3">
        <v>1.0807305738679347</v>
      </c>
      <c r="H98" s="3">
        <v>8.0732</v>
      </c>
      <c r="I98" s="3">
        <v>9.2584</v>
      </c>
      <c r="J98" s="3">
        <v>0.88327</v>
      </c>
      <c r="K98" s="3">
        <v>0.021270169438169746</v>
      </c>
      <c r="L98" s="3">
        <v>0.043968999999999994</v>
      </c>
      <c r="M98" s="3">
        <v>0.004741358873453132</v>
      </c>
      <c r="N98" s="3">
        <v>0.8571183680466272</v>
      </c>
      <c r="O98" s="3">
        <v>0.39942482824732384</v>
      </c>
      <c r="P98" s="3">
        <v>1.7599436818021823</v>
      </c>
      <c r="Q98" s="3">
        <v>0.7209285559801023</v>
      </c>
      <c r="R98" s="3">
        <v>4.1034</v>
      </c>
      <c r="S98" s="3">
        <v>1.907705221389191</v>
      </c>
      <c r="T98" s="3">
        <v>0.08901469632636348</v>
      </c>
      <c r="U98" s="3">
        <v>1.8387761106207707</v>
      </c>
      <c r="V98" s="3">
        <v>0.7535795026375284</v>
      </c>
      <c r="W98" s="3">
        <v>5.4251</v>
      </c>
      <c r="X98" s="3">
        <v>0.219823701391484</v>
      </c>
      <c r="Y98" s="3">
        <v>0.1570507132458142</v>
      </c>
      <c r="Z98" s="3">
        <v>6.9088</v>
      </c>
      <c r="AA98" s="3">
        <v>0.42946102641185313</v>
      </c>
    </row>
    <row r="99" spans="1:27">
      <c r="A99" t="s">
        <v>279</v>
      </c>
      <c r="B99" s="3">
        <v>1.881255173451727</v>
      </c>
      <c r="C99" s="3">
        <v>4.8638</v>
      </c>
      <c r="D99" s="3">
        <v>5.0529</v>
      </c>
      <c r="E99" s="3">
        <v>8.837200000000001</v>
      </c>
      <c r="F99" s="3">
        <v>1</v>
      </c>
      <c r="G99" s="3">
        <v>1.074113856068743</v>
      </c>
      <c r="H99" s="3">
        <v>8.0214</v>
      </c>
      <c r="I99" s="3">
        <v>9.2292</v>
      </c>
      <c r="J99" s="3">
        <v>0.88574</v>
      </c>
      <c r="K99" s="3">
        <v>0.0207542079156549</v>
      </c>
      <c r="L99" s="3">
        <v>0.043830999999999995</v>
      </c>
      <c r="M99" s="3">
        <v>0.004659832246039142</v>
      </c>
      <c r="N99" s="3">
        <v>0.8595495960116899</v>
      </c>
      <c r="O99" s="3">
        <v>0.3909762677405481</v>
      </c>
      <c r="P99" s="3">
        <v>1.7517122987720497</v>
      </c>
      <c r="Q99" s="3">
        <v>0.7152052639107425</v>
      </c>
      <c r="R99" s="3">
        <v>4.069599999999999</v>
      </c>
      <c r="S99" s="3">
        <v>1.870102668636508</v>
      </c>
      <c r="T99" s="3">
        <v>0.08905829756158382</v>
      </c>
      <c r="U99" s="3">
        <v>1.841179828033804</v>
      </c>
      <c r="V99" s="3">
        <v>0.7463800567248844</v>
      </c>
      <c r="W99" s="3">
        <v>5.4111</v>
      </c>
      <c r="X99" s="3">
        <v>0.2188758536158291</v>
      </c>
      <c r="Y99" s="3">
        <v>0.15720057221008285</v>
      </c>
      <c r="Z99" s="3">
        <v>6.9124</v>
      </c>
      <c r="AA99" s="3">
        <v>0.4186728072011723</v>
      </c>
    </row>
    <row r="100" spans="1:27">
      <c r="A100" t="s">
        <v>280</v>
      </c>
      <c r="B100" s="3">
        <v>1.8793813076735135</v>
      </c>
      <c r="C100" s="3">
        <v>4.8855</v>
      </c>
      <c r="D100" s="3">
        <v>5.0605</v>
      </c>
      <c r="E100" s="3">
        <v>8.861799999999999</v>
      </c>
      <c r="F100" s="3">
        <v>1</v>
      </c>
      <c r="G100" s="3">
        <v>1.075268817204301</v>
      </c>
      <c r="H100" s="3">
        <v>8.036200000000001</v>
      </c>
      <c r="I100" s="3">
        <v>9.2309</v>
      </c>
      <c r="J100" s="3">
        <v>0.88259</v>
      </c>
      <c r="K100" s="3">
        <v>0.020898248517791724</v>
      </c>
      <c r="L100" s="3">
        <v>0.043985</v>
      </c>
      <c r="M100" s="3">
        <v>0.004719207173194903</v>
      </c>
      <c r="N100" s="3">
        <v>0.8564576909900651</v>
      </c>
      <c r="O100" s="3">
        <v>0.3925571170605323</v>
      </c>
      <c r="P100" s="3">
        <v>1.752879103928202</v>
      </c>
      <c r="Q100" s="3">
        <v>0.7169486664754804</v>
      </c>
      <c r="R100" s="3">
        <v>4.1001</v>
      </c>
      <c r="S100" s="3">
        <v>1.8830973184694184</v>
      </c>
      <c r="T100" s="3">
        <v>0.0886713485138682</v>
      </c>
      <c r="U100" s="3">
        <v>1.839080459770115</v>
      </c>
      <c r="V100" s="3">
        <v>0.7526719855486979</v>
      </c>
      <c r="W100" s="3">
        <v>5.415900000000001</v>
      </c>
      <c r="X100" s="3">
        <v>0.2185601258906325</v>
      </c>
      <c r="Y100" s="3">
        <v>0.15698587127158556</v>
      </c>
      <c r="Z100" s="3">
        <v>6.9007000000000005</v>
      </c>
      <c r="AA100" s="3">
        <v>0.4225114078080108</v>
      </c>
    </row>
    <row r="101" spans="1:27">
      <c r="A101" t="s">
        <v>281</v>
      </c>
      <c r="B101" s="3">
        <v>1.879451951810852</v>
      </c>
      <c r="C101" s="3">
        <v>4.8415</v>
      </c>
      <c r="D101" s="3">
        <v>5.0494</v>
      </c>
      <c r="E101" s="3">
        <v>8.8414</v>
      </c>
      <c r="F101" s="3">
        <v>1</v>
      </c>
      <c r="G101" s="3">
        <v>1.0725010725010726</v>
      </c>
      <c r="H101" s="3">
        <v>8.013200000000001</v>
      </c>
      <c r="I101" s="3">
        <v>9.2198</v>
      </c>
      <c r="J101" s="3">
        <v>0.88253</v>
      </c>
      <c r="K101" s="3">
        <v>0.02067239016242297</v>
      </c>
      <c r="L101" s="3">
        <v>0.043814</v>
      </c>
      <c r="M101" s="3">
        <v>0.004661787329262039</v>
      </c>
      <c r="N101" s="3">
        <v>0.8563843452941681</v>
      </c>
      <c r="O101" s="3">
        <v>0.3898635477582846</v>
      </c>
      <c r="P101" s="3">
        <v>1.749873134197771</v>
      </c>
      <c r="Q101" s="3">
        <v>0.7133685261806249</v>
      </c>
      <c r="R101" s="3">
        <v>4.0721</v>
      </c>
      <c r="S101" s="3">
        <v>1.8740629685157424</v>
      </c>
      <c r="T101" s="3">
        <v>0.08777396448665398</v>
      </c>
      <c r="U101" s="3">
        <v>1.8392495861688432</v>
      </c>
      <c r="V101" s="3">
        <v>0.74827895839569</v>
      </c>
      <c r="W101" s="3">
        <v>5.390700000000001</v>
      </c>
      <c r="X101" s="3">
        <v>0.2175473709400222</v>
      </c>
      <c r="Y101" s="3">
        <v>0.15672433599816946</v>
      </c>
      <c r="Z101" s="3">
        <v>6.9025</v>
      </c>
      <c r="AA101" s="3">
        <v>0.4144390567367069</v>
      </c>
    </row>
    <row r="102" spans="1:27">
      <c r="A102" t="s">
        <v>282</v>
      </c>
      <c r="B102" s="3">
        <v>1.879451951810852</v>
      </c>
      <c r="C102" s="3">
        <v>4.8415</v>
      </c>
      <c r="D102" s="3">
        <v>5.0494</v>
      </c>
      <c r="E102" s="3">
        <v>8.8414</v>
      </c>
      <c r="F102" s="3">
        <v>1</v>
      </c>
      <c r="G102" s="3">
        <v>1.0725010725010726</v>
      </c>
      <c r="H102" s="3">
        <v>8.013200000000001</v>
      </c>
      <c r="I102" s="3">
        <v>9.2198</v>
      </c>
      <c r="J102" s="3">
        <v>0.88253</v>
      </c>
      <c r="K102" s="3">
        <v>0.02067239016242297</v>
      </c>
      <c r="L102" s="3">
        <v>0.043814</v>
      </c>
      <c r="M102" s="3">
        <v>0.004661787329262039</v>
      </c>
      <c r="N102" s="3">
        <v>0.8563843452941681</v>
      </c>
      <c r="O102" s="3">
        <v>0.3898635477582846</v>
      </c>
      <c r="P102" s="3">
        <v>1.749873134197771</v>
      </c>
      <c r="Q102" s="3">
        <v>0.7133685261806249</v>
      </c>
      <c r="R102" s="3">
        <v>4.0721</v>
      </c>
      <c r="S102" s="3">
        <v>1.8740629685157424</v>
      </c>
      <c r="T102" s="3">
        <v>0.08777396448665398</v>
      </c>
      <c r="U102" s="3">
        <v>1.8392495861688432</v>
      </c>
      <c r="V102" s="3">
        <v>0.74827895839569</v>
      </c>
      <c r="W102" s="3">
        <v>5.390700000000001</v>
      </c>
      <c r="X102" s="3">
        <v>0.2175473709400222</v>
      </c>
      <c r="Y102" s="3">
        <v>0.15672433599816946</v>
      </c>
      <c r="Z102" s="3">
        <v>6.9025</v>
      </c>
      <c r="AA102" s="3">
        <v>0.4144390567367069</v>
      </c>
    </row>
    <row r="103" spans="1:27">
      <c r="A103" t="s">
        <v>283</v>
      </c>
      <c r="B103" s="3">
        <v>1.879451951810852</v>
      </c>
      <c r="C103" s="3">
        <v>4.8415</v>
      </c>
      <c r="D103" s="3">
        <v>5.0494</v>
      </c>
      <c r="E103" s="3">
        <v>8.8414</v>
      </c>
      <c r="F103" s="3">
        <v>1</v>
      </c>
      <c r="G103" s="3">
        <v>1.0725010725010726</v>
      </c>
      <c r="H103" s="3">
        <v>8.013200000000001</v>
      </c>
      <c r="I103" s="3">
        <v>9.2198</v>
      </c>
      <c r="J103" s="3">
        <v>0.88253</v>
      </c>
      <c r="K103" s="3">
        <v>0.02067239016242297</v>
      </c>
      <c r="L103" s="3">
        <v>0.043814</v>
      </c>
      <c r="M103" s="3">
        <v>0.004661787329262039</v>
      </c>
      <c r="N103" s="3">
        <v>0.8563843452941681</v>
      </c>
      <c r="O103" s="3">
        <v>0.3898635477582846</v>
      </c>
      <c r="P103" s="3">
        <v>1.749873134197771</v>
      </c>
      <c r="Q103" s="3">
        <v>0.7133685261806249</v>
      </c>
      <c r="R103" s="3">
        <v>4.0721</v>
      </c>
      <c r="S103" s="3">
        <v>1.8740629685157424</v>
      </c>
      <c r="T103" s="3">
        <v>0.08777396448665398</v>
      </c>
      <c r="U103" s="3">
        <v>1.8392495861688432</v>
      </c>
      <c r="V103" s="3">
        <v>0.74827895839569</v>
      </c>
      <c r="W103" s="3">
        <v>5.390700000000001</v>
      </c>
      <c r="X103" s="3">
        <v>0.2175473709400222</v>
      </c>
      <c r="Y103" s="3">
        <v>0.15672433599816946</v>
      </c>
      <c r="Z103" s="3">
        <v>6.9025</v>
      </c>
      <c r="AA103" s="3">
        <v>0.4144390567367069</v>
      </c>
    </row>
    <row r="104" spans="1:27">
      <c r="A104" t="s">
        <v>284</v>
      </c>
      <c r="B104" s="3">
        <v>1.8816445573431175</v>
      </c>
      <c r="C104" s="3">
        <v>4.8208</v>
      </c>
      <c r="D104" s="3">
        <v>5.0827</v>
      </c>
      <c r="E104" s="3">
        <v>8.8527</v>
      </c>
      <c r="F104" s="3">
        <v>1</v>
      </c>
      <c r="G104" s="3">
        <v>1.0668942707777658</v>
      </c>
      <c r="H104" s="3">
        <v>7.967899999999999</v>
      </c>
      <c r="I104" s="3">
        <v>9.203</v>
      </c>
      <c r="J104" s="3">
        <v>0.88505</v>
      </c>
      <c r="K104" s="3">
        <v>0.02016372948340525</v>
      </c>
      <c r="L104" s="3">
        <v>0.043653</v>
      </c>
      <c r="M104" s="3">
        <v>0.004635638791025403</v>
      </c>
      <c r="N104" s="3">
        <v>0.8588114050154586</v>
      </c>
      <c r="O104" s="3">
        <v>0.38396559668253727</v>
      </c>
      <c r="P104" s="3">
        <v>1.7439528435151113</v>
      </c>
      <c r="Q104" s="3">
        <v>0.7175660160734787</v>
      </c>
      <c r="R104" s="3">
        <v>4.0499</v>
      </c>
      <c r="S104" s="3">
        <v>1.8534307002261183</v>
      </c>
      <c r="T104" s="3">
        <v>0.08759098513580982</v>
      </c>
      <c r="U104" s="3">
        <v>1.8412815319462343</v>
      </c>
      <c r="V104" s="3">
        <v>0.7461016190405133</v>
      </c>
      <c r="W104" s="3">
        <v>5.3849</v>
      </c>
      <c r="X104" s="3">
        <v>0.21589412552084455</v>
      </c>
      <c r="Y104" s="3">
        <v>0.15676512038777418</v>
      </c>
      <c r="Z104" s="3">
        <v>6.915800000000001</v>
      </c>
      <c r="AA104" s="3">
        <v>0.4111334950458414</v>
      </c>
    </row>
    <row r="105" spans="1:27">
      <c r="A105" t="s">
        <v>114</v>
      </c>
      <c r="B105" s="3">
        <v>1.8777226979119723</v>
      </c>
      <c r="C105" s="3">
        <v>4.8765</v>
      </c>
      <c r="D105" s="3">
        <v>5.0785</v>
      </c>
      <c r="E105" s="3">
        <v>8.8726</v>
      </c>
      <c r="F105" s="3">
        <v>1</v>
      </c>
      <c r="G105" s="3">
        <v>1.07284626113078</v>
      </c>
      <c r="H105" s="3">
        <v>8.0198</v>
      </c>
      <c r="I105" s="3">
        <v>9.2658</v>
      </c>
      <c r="J105" s="3">
        <v>0.88196</v>
      </c>
      <c r="K105" s="3">
        <v>0.020692966046981308</v>
      </c>
      <c r="L105" s="3">
        <v>0.043717</v>
      </c>
      <c r="M105" s="3">
        <v>0.004692852785208128</v>
      </c>
      <c r="N105" s="3">
        <v>0.8558712769599452</v>
      </c>
      <c r="O105" s="3">
        <v>0.39045722541095623</v>
      </c>
      <c r="P105" s="3">
        <v>1.7435575548348852</v>
      </c>
      <c r="Q105" s="3">
        <v>0.7187005893344833</v>
      </c>
      <c r="R105" s="3">
        <v>4.0869</v>
      </c>
      <c r="S105" s="3">
        <v>1.887433467970254</v>
      </c>
      <c r="T105" s="3">
        <v>0.08809486054583575</v>
      </c>
      <c r="U105" s="3">
        <v>1.8369521290275177</v>
      </c>
      <c r="V105" s="3">
        <v>0.7545461404964914</v>
      </c>
      <c r="W105" s="3">
        <v>5.4137</v>
      </c>
      <c r="X105" s="3">
        <v>0.21748586341887777</v>
      </c>
      <c r="Y105" s="3">
        <v>0.15643013908203665</v>
      </c>
      <c r="Z105" s="3">
        <v>6.8982</v>
      </c>
      <c r="AA105" s="3">
        <v>0.4224757076468103</v>
      </c>
    </row>
    <row r="106" spans="1:27">
      <c r="A106" t="s">
        <v>285</v>
      </c>
      <c r="B106" s="3">
        <v>1.8755392175250385</v>
      </c>
      <c r="C106" s="3">
        <v>4.9036</v>
      </c>
      <c r="D106" s="3">
        <v>5.0684</v>
      </c>
      <c r="E106" s="3">
        <v>8.8476</v>
      </c>
      <c r="F106" s="3">
        <v>1</v>
      </c>
      <c r="G106" s="3">
        <v>1.070090957731407</v>
      </c>
      <c r="H106" s="3">
        <v>7.9986</v>
      </c>
      <c r="I106" s="3">
        <v>9.2432</v>
      </c>
      <c r="J106" s="3">
        <v>0.88075</v>
      </c>
      <c r="K106" s="3">
        <v>0.02068945541215464</v>
      </c>
      <c r="L106" s="3">
        <v>0.043575</v>
      </c>
      <c r="M106" s="3">
        <v>0.004688892014816899</v>
      </c>
      <c r="N106" s="3">
        <v>0.854481756814492</v>
      </c>
      <c r="O106" s="3">
        <v>0.3917267314321529</v>
      </c>
      <c r="P106" s="3">
        <v>1.7570060616709129</v>
      </c>
      <c r="Q106" s="3">
        <v>0.7144388083160678</v>
      </c>
      <c r="R106" s="3">
        <v>4.0789</v>
      </c>
      <c r="S106" s="3">
        <v>1.8767712028226635</v>
      </c>
      <c r="T106" s="3">
        <v>0.08712243315531316</v>
      </c>
      <c r="U106" s="3">
        <v>1.835502285200345</v>
      </c>
      <c r="V106" s="3">
        <v>0.7507507507507508</v>
      </c>
      <c r="W106" s="3">
        <v>5.4091</v>
      </c>
      <c r="X106" s="3">
        <v>0.2178506851404048</v>
      </c>
      <c r="Y106" s="3">
        <v>0.15626660332660344</v>
      </c>
      <c r="Z106" s="3">
        <v>6.891699999999999</v>
      </c>
      <c r="AA106" s="3">
        <v>0.42288662409607986</v>
      </c>
    </row>
    <row r="107" spans="1:27">
      <c r="A107" t="s">
        <v>286</v>
      </c>
      <c r="B107" s="3">
        <v>1.8758206715438004</v>
      </c>
      <c r="C107" s="3">
        <v>4.9158</v>
      </c>
      <c r="D107" s="3">
        <v>5.0655</v>
      </c>
      <c r="E107" s="3">
        <v>8.8163</v>
      </c>
      <c r="F107" s="3">
        <v>1</v>
      </c>
      <c r="G107" s="3">
        <v>1.064962726304579</v>
      </c>
      <c r="H107" s="3">
        <v>7.956799999999999</v>
      </c>
      <c r="I107" s="3">
        <v>9.2225</v>
      </c>
      <c r="J107" s="3">
        <v>0.88128</v>
      </c>
      <c r="K107" s="3">
        <v>0.02052372439921928</v>
      </c>
      <c r="L107" s="3">
        <v>0.043339</v>
      </c>
      <c r="M107" s="3">
        <v>0.004659180915994968</v>
      </c>
      <c r="N107" s="3">
        <v>0.8552125203112974</v>
      </c>
      <c r="O107" s="3">
        <v>0.38860607002681385</v>
      </c>
      <c r="P107" s="3">
        <v>1.7571295531619546</v>
      </c>
      <c r="Q107" s="3">
        <v>0.7134194192765928</v>
      </c>
      <c r="R107" s="3">
        <v>4.0663</v>
      </c>
      <c r="S107" s="3">
        <v>1.8726942452105844</v>
      </c>
      <c r="T107" s="3">
        <v>0.08695349726966019</v>
      </c>
      <c r="U107" s="3">
        <v>1.836007784673007</v>
      </c>
      <c r="V107" s="3">
        <v>0.7452120128176466</v>
      </c>
      <c r="W107" s="3">
        <v>5.402100000000001</v>
      </c>
      <c r="X107" s="3">
        <v>0.215633423180593</v>
      </c>
      <c r="Y107" s="3">
        <v>0.15626025457920678</v>
      </c>
      <c r="Z107" s="3">
        <v>6.8959</v>
      </c>
      <c r="AA107" s="3">
        <v>0.4163890739506995</v>
      </c>
    </row>
    <row r="108" spans="1:27">
      <c r="A108" t="s">
        <v>287</v>
      </c>
      <c r="B108" s="3">
        <v>1.8765598904089025</v>
      </c>
      <c r="C108" s="3">
        <v>4.8788</v>
      </c>
      <c r="D108" s="3">
        <v>5.0544</v>
      </c>
      <c r="E108" s="3">
        <v>8.7736</v>
      </c>
      <c r="F108" s="3">
        <v>1</v>
      </c>
      <c r="G108" s="3">
        <v>1.0625863351397302</v>
      </c>
      <c r="H108" s="3">
        <v>7.9402</v>
      </c>
      <c r="I108" s="3">
        <v>9.2022</v>
      </c>
      <c r="J108" s="3">
        <v>0.8816299999999999</v>
      </c>
      <c r="K108" s="3">
        <v>0.02027028396640809</v>
      </c>
      <c r="L108" s="3">
        <v>0.043284</v>
      </c>
      <c r="M108" s="3">
        <v>0.004628343978524484</v>
      </c>
      <c r="N108" s="3">
        <v>0.8559445347941453</v>
      </c>
      <c r="O108" s="3">
        <v>0.3866228494104002</v>
      </c>
      <c r="P108" s="3">
        <v>1.755032555853911</v>
      </c>
      <c r="Q108" s="3">
        <v>0.7107320540156362</v>
      </c>
      <c r="R108" s="3">
        <v>4.0327</v>
      </c>
      <c r="S108" s="3">
        <v>1.8598076958842455</v>
      </c>
      <c r="T108" s="3">
        <v>0.08657558914688415</v>
      </c>
      <c r="U108" s="3">
        <v>1.836715951878042</v>
      </c>
      <c r="V108" s="3">
        <v>0.7371369600471768</v>
      </c>
      <c r="W108" s="3">
        <v>5.3901</v>
      </c>
      <c r="X108" s="3">
        <v>0.2142382758103563</v>
      </c>
      <c r="Y108" s="3">
        <v>0.15598774560270545</v>
      </c>
      <c r="Z108" s="3">
        <v>6.9007000000000005</v>
      </c>
      <c r="AA108" s="3">
        <v>0.41123493852037674</v>
      </c>
    </row>
    <row r="109" spans="1:27">
      <c r="A109" t="s">
        <v>288</v>
      </c>
      <c r="B109" s="3">
        <v>1.8765598904089025</v>
      </c>
      <c r="C109" s="3">
        <v>4.8788</v>
      </c>
      <c r="D109" s="3">
        <v>5.0544</v>
      </c>
      <c r="E109" s="3">
        <v>8.7736</v>
      </c>
      <c r="F109" s="3">
        <v>1</v>
      </c>
      <c r="G109" s="3">
        <v>1.0625863351397302</v>
      </c>
      <c r="H109" s="3">
        <v>7.9402</v>
      </c>
      <c r="I109" s="3">
        <v>9.2022</v>
      </c>
      <c r="J109" s="3">
        <v>0.8816299999999999</v>
      </c>
      <c r="K109" s="3">
        <v>0.02027028396640809</v>
      </c>
      <c r="L109" s="3">
        <v>0.043284</v>
      </c>
      <c r="M109" s="3">
        <v>0.004628343978524484</v>
      </c>
      <c r="N109" s="3">
        <v>0.8559445347941453</v>
      </c>
      <c r="O109" s="3">
        <v>0.3866228494104002</v>
      </c>
      <c r="P109" s="3">
        <v>1.755032555853911</v>
      </c>
      <c r="Q109" s="3">
        <v>0.7107320540156362</v>
      </c>
      <c r="R109" s="3">
        <v>4.0327</v>
      </c>
      <c r="S109" s="3">
        <v>1.8598076958842455</v>
      </c>
      <c r="T109" s="3">
        <v>0.08657558914688415</v>
      </c>
      <c r="U109" s="3">
        <v>1.836715951878042</v>
      </c>
      <c r="V109" s="3">
        <v>0.7371369600471768</v>
      </c>
      <c r="W109" s="3">
        <v>5.3901</v>
      </c>
      <c r="X109" s="3">
        <v>0.2142382758103563</v>
      </c>
      <c r="Y109" s="3">
        <v>0.15598774560270545</v>
      </c>
      <c r="Z109" s="3">
        <v>6.9007000000000005</v>
      </c>
      <c r="AA109" s="3">
        <v>0.41123493852037674</v>
      </c>
    </row>
    <row r="110" spans="1:27">
      <c r="A110" t="s">
        <v>112</v>
      </c>
      <c r="B110" s="3">
        <v>1.8765598904089025</v>
      </c>
      <c r="C110" s="3">
        <v>4.8788</v>
      </c>
      <c r="D110" s="3">
        <v>5.0544</v>
      </c>
      <c r="E110" s="3">
        <v>8.7736</v>
      </c>
      <c r="F110" s="3">
        <v>1</v>
      </c>
      <c r="G110" s="3">
        <v>1.0625863351397302</v>
      </c>
      <c r="H110" s="3">
        <v>7.9402</v>
      </c>
      <c r="I110" s="3">
        <v>9.2022</v>
      </c>
      <c r="J110" s="3">
        <v>0.8816299999999999</v>
      </c>
      <c r="K110" s="3">
        <v>0.02027028396640809</v>
      </c>
      <c r="L110" s="3">
        <v>0.043284</v>
      </c>
      <c r="M110" s="3">
        <v>0.004628343978524484</v>
      </c>
      <c r="N110" s="3">
        <v>0.8559445347941453</v>
      </c>
      <c r="O110" s="3">
        <v>0.3866228494104002</v>
      </c>
      <c r="P110" s="3">
        <v>1.755032555853911</v>
      </c>
      <c r="Q110" s="3">
        <v>0.7107320540156362</v>
      </c>
      <c r="R110" s="3">
        <v>4.0327</v>
      </c>
      <c r="S110" s="3">
        <v>1.8598076958842455</v>
      </c>
      <c r="T110" s="3">
        <v>0.08657558914688415</v>
      </c>
      <c r="U110" s="3">
        <v>1.836715951878042</v>
      </c>
      <c r="V110" s="3">
        <v>0.7371369600471768</v>
      </c>
      <c r="W110" s="3">
        <v>5.3901</v>
      </c>
      <c r="X110" s="3">
        <v>0.2142382758103563</v>
      </c>
      <c r="Y110" s="3">
        <v>0.15598774560270545</v>
      </c>
      <c r="Z110" s="3">
        <v>6.9007000000000005</v>
      </c>
      <c r="AA110" s="3">
        <v>0.41123493852037674</v>
      </c>
    </row>
    <row r="111" spans="1:27">
      <c r="A111" t="s">
        <v>289</v>
      </c>
      <c r="B111" s="3">
        <v>1.8798052521758744</v>
      </c>
      <c r="C111" s="3">
        <v>4.8337</v>
      </c>
      <c r="D111" s="3">
        <v>5.0356</v>
      </c>
      <c r="E111" s="3">
        <v>8.737400000000001</v>
      </c>
      <c r="F111" s="3">
        <v>1</v>
      </c>
      <c r="G111" s="3">
        <v>1.056412423410099</v>
      </c>
      <c r="H111" s="3">
        <v>7.896</v>
      </c>
      <c r="I111" s="3">
        <v>9.1449</v>
      </c>
      <c r="J111" s="3">
        <v>0.88217</v>
      </c>
      <c r="K111" s="3">
        <v>0.020095493786473323</v>
      </c>
      <c r="L111" s="3">
        <v>0.043276</v>
      </c>
      <c r="M111" s="3">
        <v>0.004613184481247405</v>
      </c>
      <c r="N111" s="3">
        <v>0.8560910880917729</v>
      </c>
      <c r="O111" s="3">
        <v>0.3862196817549822</v>
      </c>
      <c r="P111" s="3">
        <v>1.753862882999807</v>
      </c>
      <c r="Q111" s="3">
        <v>0.7066139061616732</v>
      </c>
      <c r="R111" s="3">
        <v>4.0001999999999995</v>
      </c>
      <c r="S111" s="3">
        <v>1.8475067895874515</v>
      </c>
      <c r="T111" s="3">
        <v>0.08614451604010889</v>
      </c>
      <c r="U111" s="3">
        <v>1.8398586988519283</v>
      </c>
      <c r="V111" s="3">
        <v>0.7305669199298656</v>
      </c>
      <c r="W111" s="3">
        <v>5.3826</v>
      </c>
      <c r="X111" s="3">
        <v>0.21277501170262564</v>
      </c>
      <c r="Y111" s="3">
        <v>0.15623266793840057</v>
      </c>
      <c r="Z111" s="3">
        <v>6.9057</v>
      </c>
      <c r="AA111" s="3">
        <v>0.4088140304975266</v>
      </c>
    </row>
    <row r="112" spans="1:27">
      <c r="A112" t="s">
        <v>290</v>
      </c>
      <c r="B112" s="3">
        <v>1.8764542520453351</v>
      </c>
      <c r="C112" s="3">
        <v>4.8668000000000005</v>
      </c>
      <c r="D112" s="3">
        <v>5.0339</v>
      </c>
      <c r="E112" s="3">
        <v>8.7431</v>
      </c>
      <c r="F112" s="3">
        <v>1</v>
      </c>
      <c r="G112" s="3">
        <v>1.0599957600169598</v>
      </c>
      <c r="H112" s="3">
        <v>7.9238</v>
      </c>
      <c r="I112" s="3">
        <v>9.1725</v>
      </c>
      <c r="J112" s="3">
        <v>0.8807299999999999</v>
      </c>
      <c r="K112" s="3">
        <v>0.02028578615535666</v>
      </c>
      <c r="L112" s="3">
        <v>0.043293</v>
      </c>
      <c r="M112" s="3">
        <v>0.004619364375461937</v>
      </c>
      <c r="N112" s="3">
        <v>0.854627809588924</v>
      </c>
      <c r="O112" s="3">
        <v>0.3894080996884735</v>
      </c>
      <c r="P112" s="3">
        <v>1.7561112672098904</v>
      </c>
      <c r="Q112" s="3">
        <v>0.7118451025056948</v>
      </c>
      <c r="R112" s="3">
        <v>4.0299000000000005</v>
      </c>
      <c r="S112" s="3">
        <v>1.857527630723507</v>
      </c>
      <c r="T112" s="3">
        <v>0.08473211940450266</v>
      </c>
      <c r="U112" s="3">
        <v>1.83651356265266</v>
      </c>
      <c r="V112" s="3">
        <v>0.7371369600471768</v>
      </c>
      <c r="W112" s="3">
        <v>5.3922</v>
      </c>
      <c r="X112" s="3">
        <v>0.2126121529106604</v>
      </c>
      <c r="Y112" s="3">
        <v>0.15599017885833907</v>
      </c>
      <c r="Z112" s="3">
        <v>6.896100000000001</v>
      </c>
      <c r="AA112" s="3">
        <v>0.4127285484336952</v>
      </c>
    </row>
    <row r="113" spans="1:27">
      <c r="A113" t="s">
        <v>116</v>
      </c>
      <c r="B113" s="3">
        <v>1.8742737189339131</v>
      </c>
      <c r="C113" s="3">
        <v>4.8918</v>
      </c>
      <c r="D113" s="3">
        <v>5.0266</v>
      </c>
      <c r="E113" s="3">
        <v>8.7707</v>
      </c>
      <c r="F113" s="3">
        <v>1</v>
      </c>
      <c r="G113" s="3">
        <v>1.0629251700680271</v>
      </c>
      <c r="H113" s="3">
        <v>7.9425</v>
      </c>
      <c r="I113" s="3">
        <v>9.1943</v>
      </c>
      <c r="J113" s="3">
        <v>0.8791800000000001</v>
      </c>
      <c r="K113" s="3">
        <v>0.02044947956074518</v>
      </c>
      <c r="L113" s="3">
        <v>0.043316</v>
      </c>
      <c r="M113" s="3">
        <v>0.004629843974258067</v>
      </c>
      <c r="N113" s="3">
        <v>0.8531695247845748</v>
      </c>
      <c r="O113" s="3">
        <v>0.3899547652472313</v>
      </c>
      <c r="P113" s="3">
        <v>1.7590458935073616</v>
      </c>
      <c r="Q113" s="3">
        <v>0.7180297264306742</v>
      </c>
      <c r="R113" s="3">
        <v>4.0313</v>
      </c>
      <c r="S113" s="3">
        <v>1.865254047601283</v>
      </c>
      <c r="T113" s="3">
        <v>0.08359037373256097</v>
      </c>
      <c r="U113" s="3">
        <v>1.8335166850018336</v>
      </c>
      <c r="V113" s="3">
        <v>0.7418947993174568</v>
      </c>
      <c r="W113" s="3">
        <v>5.394299999999999</v>
      </c>
      <c r="X113" s="3">
        <v>0.2128701279349469</v>
      </c>
      <c r="Y113" s="3">
        <v>0.15573946656117915</v>
      </c>
      <c r="Z113" s="3">
        <v>6.8909</v>
      </c>
      <c r="AA113" s="3">
        <v>0.4126433935792688</v>
      </c>
    </row>
    <row r="114" spans="1:27">
      <c r="A114" t="s">
        <v>291</v>
      </c>
      <c r="B114" s="3">
        <v>1.8777579569993428</v>
      </c>
      <c r="C114" s="3">
        <v>4.8485000000000005</v>
      </c>
      <c r="D114" s="3">
        <v>5.022</v>
      </c>
      <c r="E114" s="3">
        <v>8.7027</v>
      </c>
      <c r="F114" s="3">
        <v>1</v>
      </c>
      <c r="G114" s="3">
        <v>1.0580890911014706</v>
      </c>
      <c r="H114" s="3">
        <v>7.9083</v>
      </c>
      <c r="I114" s="3">
        <v>9.1504</v>
      </c>
      <c r="J114" s="3">
        <v>0.88006</v>
      </c>
      <c r="K114" s="3">
        <v>0.02009545340366742</v>
      </c>
      <c r="L114" s="3">
        <v>0.043169000000000006</v>
      </c>
      <c r="M114" s="3">
        <v>0.004591579044033243</v>
      </c>
      <c r="N114" s="3">
        <v>0.8540438978563498</v>
      </c>
      <c r="O114" s="3">
        <v>0.386234598895369</v>
      </c>
      <c r="P114" s="3">
        <v>1.7583654235023125</v>
      </c>
      <c r="Q114" s="3">
        <v>0.718132854578097</v>
      </c>
      <c r="R114" s="3">
        <v>4.0004</v>
      </c>
      <c r="S114" s="3">
        <v>1.850172991174675</v>
      </c>
      <c r="T114" s="3">
        <v>0.08234180081518383</v>
      </c>
      <c r="U114" s="3">
        <v>1.8370871146709775</v>
      </c>
      <c r="V114" s="3">
        <v>0.7334604664808566</v>
      </c>
      <c r="W114" s="3">
        <v>5.3734</v>
      </c>
      <c r="X114" s="3">
        <v>0.21014142517914555</v>
      </c>
      <c r="Y114" s="3">
        <v>0.15564105437475875</v>
      </c>
      <c r="Z114" s="3">
        <v>6.8975</v>
      </c>
      <c r="AA114" s="3">
        <v>0.40599244854045713</v>
      </c>
    </row>
    <row r="115" spans="1:27">
      <c r="A115" t="s">
        <v>109</v>
      </c>
      <c r="B115" s="3">
        <v>1.8735714018061227</v>
      </c>
      <c r="C115" s="3">
        <v>4.8729000000000005</v>
      </c>
      <c r="D115" s="3">
        <v>5.0105</v>
      </c>
      <c r="E115" s="3">
        <v>8.7243</v>
      </c>
      <c r="F115" s="3">
        <v>1</v>
      </c>
      <c r="G115" s="3">
        <v>1.0663254425250586</v>
      </c>
      <c r="H115" s="3">
        <v>7.9675</v>
      </c>
      <c r="I115" s="3">
        <v>9.2395</v>
      </c>
      <c r="J115" s="3">
        <v>0.8791500000000001</v>
      </c>
      <c r="K115" s="3">
        <v>0.020401085337739967</v>
      </c>
      <c r="L115" s="3">
        <v>0.043570000000000005</v>
      </c>
      <c r="M115" s="3">
        <v>0.00461723150798781</v>
      </c>
      <c r="N115" s="3">
        <v>0.8530239699735562</v>
      </c>
      <c r="O115" s="3">
        <v>0.38777726074143015</v>
      </c>
      <c r="P115" s="3">
        <v>1.7482823126278433</v>
      </c>
      <c r="Q115" s="3">
        <v>0.7243227582210633</v>
      </c>
      <c r="R115" s="3">
        <v>4.0382</v>
      </c>
      <c r="S115" s="3">
        <v>1.8668558413919276</v>
      </c>
      <c r="T115" s="3">
        <v>0.07992838416778567</v>
      </c>
      <c r="U115" s="3">
        <v>1.83307975730024</v>
      </c>
      <c r="V115" s="3">
        <v>0.7402472425790214</v>
      </c>
      <c r="W115" s="3">
        <v>5.386900000000001</v>
      </c>
      <c r="X115" s="3">
        <v>0.21161781822029416</v>
      </c>
      <c r="Y115" s="3">
        <v>0.15530988982316415</v>
      </c>
      <c r="Z115" s="3">
        <v>6.8898</v>
      </c>
      <c r="AA115" s="3">
        <v>0.4111842105263158</v>
      </c>
    </row>
    <row r="116" spans="1:27">
      <c r="A116" t="s">
        <v>292</v>
      </c>
      <c r="B116" s="3">
        <v>1.8735714018061227</v>
      </c>
      <c r="C116" s="3">
        <v>4.8729000000000005</v>
      </c>
      <c r="D116" s="3">
        <v>5.0105</v>
      </c>
      <c r="E116" s="3">
        <v>8.7243</v>
      </c>
      <c r="F116" s="3">
        <v>1</v>
      </c>
      <c r="G116" s="3">
        <v>1.0663254425250586</v>
      </c>
      <c r="H116" s="3">
        <v>7.9675</v>
      </c>
      <c r="I116" s="3">
        <v>9.2395</v>
      </c>
      <c r="J116" s="3">
        <v>0.8791500000000001</v>
      </c>
      <c r="K116" s="3">
        <v>0.020401085337739967</v>
      </c>
      <c r="L116" s="3">
        <v>0.043570000000000005</v>
      </c>
      <c r="M116" s="3">
        <v>0.00461723150798781</v>
      </c>
      <c r="N116" s="3">
        <v>0.8530239699735562</v>
      </c>
      <c r="O116" s="3">
        <v>0.38777726074143015</v>
      </c>
      <c r="P116" s="3">
        <v>1.7482823126278433</v>
      </c>
      <c r="Q116" s="3">
        <v>0.7243227582210633</v>
      </c>
      <c r="R116" s="3">
        <v>4.0382</v>
      </c>
      <c r="S116" s="3">
        <v>1.8668558413919276</v>
      </c>
      <c r="T116" s="3">
        <v>0.07992838416778567</v>
      </c>
      <c r="U116" s="3">
        <v>1.83307975730024</v>
      </c>
      <c r="V116" s="3">
        <v>0.7402472425790214</v>
      </c>
      <c r="W116" s="3">
        <v>5.386900000000001</v>
      </c>
      <c r="X116" s="3">
        <v>0.21161781822029416</v>
      </c>
      <c r="Y116" s="3">
        <v>0.15530988982316415</v>
      </c>
      <c r="Z116" s="3">
        <v>6.8898</v>
      </c>
      <c r="AA116" s="3">
        <v>0.4111842105263158</v>
      </c>
    </row>
    <row r="117" spans="1:27">
      <c r="A117" t="s">
        <v>119</v>
      </c>
      <c r="B117" s="3">
        <v>1.8735714018061227</v>
      </c>
      <c r="C117" s="3">
        <v>4.8729000000000005</v>
      </c>
      <c r="D117" s="3">
        <v>5.0105</v>
      </c>
      <c r="E117" s="3">
        <v>8.7243</v>
      </c>
      <c r="F117" s="3">
        <v>1</v>
      </c>
      <c r="G117" s="3">
        <v>1.0663254425250586</v>
      </c>
      <c r="H117" s="3">
        <v>7.9675</v>
      </c>
      <c r="I117" s="3">
        <v>9.2395</v>
      </c>
      <c r="J117" s="3">
        <v>0.8791500000000001</v>
      </c>
      <c r="K117" s="3">
        <v>0.020401085337739967</v>
      </c>
      <c r="L117" s="3">
        <v>0.043570000000000005</v>
      </c>
      <c r="M117" s="3">
        <v>0.00461723150798781</v>
      </c>
      <c r="N117" s="3">
        <v>0.8530239699735562</v>
      </c>
      <c r="O117" s="3">
        <v>0.38777726074143015</v>
      </c>
      <c r="P117" s="3">
        <v>1.7482823126278433</v>
      </c>
      <c r="Q117" s="3">
        <v>0.7243227582210633</v>
      </c>
      <c r="R117" s="3">
        <v>4.0382</v>
      </c>
      <c r="S117" s="3">
        <v>1.8668558413919276</v>
      </c>
      <c r="T117" s="3">
        <v>0.07992838416778567</v>
      </c>
      <c r="U117" s="3">
        <v>1.83307975730024</v>
      </c>
      <c r="V117" s="3">
        <v>0.7402472425790214</v>
      </c>
      <c r="W117" s="3">
        <v>5.386900000000001</v>
      </c>
      <c r="X117" s="3">
        <v>0.21161781822029416</v>
      </c>
      <c r="Y117" s="3">
        <v>0.15530988982316415</v>
      </c>
      <c r="Z117" s="3">
        <v>6.8898</v>
      </c>
      <c r="AA117" s="3">
        <v>0.4111842105263158</v>
      </c>
    </row>
    <row r="118" spans="1:27">
      <c r="A118" t="s">
        <v>293</v>
      </c>
      <c r="B118" s="3">
        <v>1.8766655406673425</v>
      </c>
      <c r="C118" s="3">
        <v>4.8326</v>
      </c>
      <c r="D118" s="3">
        <v>5.0275</v>
      </c>
      <c r="E118" s="3">
        <v>8.753400000000001</v>
      </c>
      <c r="F118" s="3">
        <v>1</v>
      </c>
      <c r="G118" s="3">
        <v>1.0667804565820356</v>
      </c>
      <c r="H118" s="3">
        <v>7.9676</v>
      </c>
      <c r="I118" s="3">
        <v>9.1909</v>
      </c>
      <c r="J118" s="3">
        <v>0.88114</v>
      </c>
      <c r="K118" s="3">
        <v>0.02028278255437307</v>
      </c>
      <c r="L118" s="3">
        <v>0.04332</v>
      </c>
      <c r="M118" s="3">
        <v>0.004580432392817882</v>
      </c>
      <c r="N118" s="3">
        <v>0.8550662676357418</v>
      </c>
      <c r="O118" s="3">
        <v>0.3843936190659235</v>
      </c>
      <c r="P118" s="3">
        <v>1.7526640493550196</v>
      </c>
      <c r="Q118" s="3">
        <v>0.7201497911565605</v>
      </c>
      <c r="R118" s="3">
        <v>4.0207999999999995</v>
      </c>
      <c r="S118" s="3">
        <v>1.8652192565236043</v>
      </c>
      <c r="T118" s="3">
        <v>0.08288437629506838</v>
      </c>
      <c r="U118" s="3">
        <v>1.8359066625052785</v>
      </c>
      <c r="V118" s="3">
        <v>0.7380073800738007</v>
      </c>
      <c r="W118" s="3">
        <v>5.3776</v>
      </c>
      <c r="X118" s="3">
        <v>0.2093188763762716</v>
      </c>
      <c r="Y118" s="3">
        <v>0.15555292843943078</v>
      </c>
      <c r="Z118" s="3">
        <v>6.9041</v>
      </c>
      <c r="AA118" s="3">
        <v>0.4038772213247173</v>
      </c>
    </row>
    <row r="119" spans="1:27">
      <c r="A119" t="s">
        <v>294</v>
      </c>
      <c r="B119" s="3">
        <v>1.8752930145335207</v>
      </c>
      <c r="C119" s="3">
        <v>4.8255</v>
      </c>
      <c r="D119" s="3">
        <v>5.0183</v>
      </c>
      <c r="E119" s="3">
        <v>8.7578</v>
      </c>
      <c r="F119" s="3">
        <v>1</v>
      </c>
      <c r="G119" s="3">
        <v>1.0702054794520548</v>
      </c>
      <c r="H119" s="3">
        <v>7.9941</v>
      </c>
      <c r="I119" s="3">
        <v>9.2471</v>
      </c>
      <c r="J119" s="3">
        <v>0.88015</v>
      </c>
      <c r="K119" s="3">
        <v>0.02061485877790994</v>
      </c>
      <c r="L119" s="3">
        <v>0.043476</v>
      </c>
      <c r="M119" s="3">
        <v>0.00461723150798781</v>
      </c>
      <c r="N119" s="3">
        <v>0.8541168431841476</v>
      </c>
      <c r="O119" s="3">
        <v>0.38726667183022223</v>
      </c>
      <c r="P119" s="3">
        <v>1.7529405577856856</v>
      </c>
      <c r="Q119" s="3">
        <v>0.7073136228603764</v>
      </c>
      <c r="R119" s="3">
        <v>4.0301</v>
      </c>
      <c r="S119" s="3">
        <v>1.8772996921228504</v>
      </c>
      <c r="T119" s="3">
        <v>0.08406964329250351</v>
      </c>
      <c r="U119" s="3">
        <v>1.8348287187391057</v>
      </c>
      <c r="V119" s="3">
        <v>0.7381163271331562</v>
      </c>
      <c r="W119" s="3">
        <v>5.4036</v>
      </c>
      <c r="X119" s="3">
        <v>0.212300702715326</v>
      </c>
      <c r="Y119" s="3">
        <v>0.15534656264660832</v>
      </c>
      <c r="Z119" s="3">
        <v>6.894299999999999</v>
      </c>
      <c r="AA119" s="3">
        <v>0.4091820450918614</v>
      </c>
    </row>
    <row r="120" spans="1:27">
      <c r="A120" t="s">
        <v>295</v>
      </c>
      <c r="B120" s="3">
        <v>1.8744142455482664</v>
      </c>
      <c r="C120" s="3">
        <v>4.8187</v>
      </c>
      <c r="D120" s="3">
        <v>5.0045</v>
      </c>
      <c r="E120" s="3">
        <v>8.7418</v>
      </c>
      <c r="F120" s="3">
        <v>1</v>
      </c>
      <c r="G120" s="3">
        <v>1.070663811563169</v>
      </c>
      <c r="H120" s="3">
        <v>8.0008</v>
      </c>
      <c r="I120" s="3">
        <v>9.2426</v>
      </c>
      <c r="J120" s="3">
        <v>0.88092</v>
      </c>
      <c r="K120" s="3">
        <v>0.02048042992518499</v>
      </c>
      <c r="L120" s="3">
        <v>0.043394</v>
      </c>
      <c r="M120" s="3">
        <v>0.004605535854096624</v>
      </c>
      <c r="N120" s="3">
        <v>0.8549200649739249</v>
      </c>
      <c r="O120" s="3">
        <v>0.38842493688094776</v>
      </c>
      <c r="P120" s="3">
        <v>1.7438920182062323</v>
      </c>
      <c r="Q120" s="3">
        <v>0.710277718587968</v>
      </c>
      <c r="R120" s="3">
        <v>4.0192000000000005</v>
      </c>
      <c r="S120" s="3">
        <v>1.873711823121604</v>
      </c>
      <c r="T120" s="3">
        <v>0.08557394444539528</v>
      </c>
      <c r="U120" s="3">
        <v>1.834189288334556</v>
      </c>
      <c r="V120" s="3">
        <v>0.7400281210686006</v>
      </c>
      <c r="W120" s="3">
        <v>5.3908000000000005</v>
      </c>
      <c r="X120" s="3">
        <v>0.2120800814387513</v>
      </c>
      <c r="Y120" s="3">
        <v>0.15529373032622554</v>
      </c>
      <c r="Z120" s="3">
        <v>6.8911</v>
      </c>
      <c r="AA120" s="3">
        <v>0.4072490327835471</v>
      </c>
    </row>
    <row r="121" spans="1:27">
      <c r="A121" t="s">
        <v>296</v>
      </c>
      <c r="B121" s="3">
        <v>1.880300095895305</v>
      </c>
      <c r="C121" s="3">
        <v>4.7958</v>
      </c>
      <c r="D121" s="3">
        <v>5.0009</v>
      </c>
      <c r="E121" s="3">
        <v>8.7262</v>
      </c>
      <c r="F121" s="3">
        <v>1</v>
      </c>
      <c r="G121" s="3">
        <v>1.068604402650139</v>
      </c>
      <c r="H121" s="3">
        <v>7.9798</v>
      </c>
      <c r="I121" s="3">
        <v>9.2285</v>
      </c>
      <c r="J121" s="3">
        <v>0.88357</v>
      </c>
      <c r="K121" s="3">
        <v>0.020614731286977675</v>
      </c>
      <c r="L121" s="3">
        <v>0.043337</v>
      </c>
      <c r="M121" s="3">
        <v>0.004589261128958238</v>
      </c>
      <c r="N121" s="3">
        <v>0.8574123295892996</v>
      </c>
      <c r="O121" s="3">
        <v>0.3882138281765597</v>
      </c>
      <c r="P121" s="3">
        <v>1.7418264792461375</v>
      </c>
      <c r="Q121" s="3">
        <v>0.7130124777183601</v>
      </c>
      <c r="R121" s="3">
        <v>4.010400000000001</v>
      </c>
      <c r="S121" s="3">
        <v>1.8673787604339789</v>
      </c>
      <c r="T121" s="3">
        <v>0.08526094111026798</v>
      </c>
      <c r="U121" s="3">
        <v>1.8408070097930933</v>
      </c>
      <c r="V121" s="3">
        <v>0.7383343177790904</v>
      </c>
      <c r="W121" s="3">
        <v>5.3876</v>
      </c>
      <c r="X121" s="3">
        <v>0.21089482674989984</v>
      </c>
      <c r="Y121" s="3">
        <v>0.15568709385129392</v>
      </c>
      <c r="Z121" s="3">
        <v>6.9056</v>
      </c>
      <c r="AA121" s="3">
        <v>0.40661976985321024</v>
      </c>
    </row>
    <row r="122" spans="1:27">
      <c r="A122" t="s">
        <v>297</v>
      </c>
      <c r="B122" s="3">
        <v>1.8810428501561265</v>
      </c>
      <c r="C122" s="3">
        <v>4.7607</v>
      </c>
      <c r="D122" s="3">
        <v>4.9877</v>
      </c>
      <c r="E122" s="3">
        <v>8.6953</v>
      </c>
      <c r="F122" s="3">
        <v>1</v>
      </c>
      <c r="G122" s="3">
        <v>1.0665529010238908</v>
      </c>
      <c r="H122" s="3">
        <v>7.968500000000001</v>
      </c>
      <c r="I122" s="3">
        <v>9.213</v>
      </c>
      <c r="J122" s="3">
        <v>0.88361</v>
      </c>
      <c r="K122" s="3">
        <v>0.020552365371730632</v>
      </c>
      <c r="L122" s="3">
        <v>0.043271</v>
      </c>
      <c r="M122" s="3">
        <v>0.004577706569008927</v>
      </c>
      <c r="N122" s="3">
        <v>0.8574858514834505</v>
      </c>
      <c r="O122" s="3">
        <v>0.3855644663787785</v>
      </c>
      <c r="P122" s="3">
        <v>1.728339584161496</v>
      </c>
      <c r="Q122" s="3">
        <v>0.7125552230297848</v>
      </c>
      <c r="R122" s="3">
        <v>3.981</v>
      </c>
      <c r="S122" s="3">
        <v>1.8637939389421103</v>
      </c>
      <c r="T122" s="3">
        <v>0.08490838385382173</v>
      </c>
      <c r="U122" s="3">
        <v>1.8414849734826164</v>
      </c>
      <c r="V122" s="3">
        <v>0.7330840847445202</v>
      </c>
      <c r="W122" s="3">
        <v>5.374199999999999</v>
      </c>
      <c r="X122" s="3">
        <v>0.2096392109180101</v>
      </c>
      <c r="Y122" s="3">
        <v>0.15539097924287298</v>
      </c>
      <c r="Z122" s="3">
        <v>6.9140999999999995</v>
      </c>
      <c r="AA122" s="3">
        <v>0.4046617028164454</v>
      </c>
    </row>
    <row r="123" spans="1:27">
      <c r="A123" t="s">
        <v>298</v>
      </c>
      <c r="B123" s="3">
        <v>1.8810428501561265</v>
      </c>
      <c r="C123" s="3">
        <v>4.7607</v>
      </c>
      <c r="D123" s="3">
        <v>4.9877</v>
      </c>
      <c r="E123" s="3">
        <v>8.6953</v>
      </c>
      <c r="F123" s="3">
        <v>1</v>
      </c>
      <c r="G123" s="3">
        <v>1.0665529010238908</v>
      </c>
      <c r="H123" s="3">
        <v>7.968500000000001</v>
      </c>
      <c r="I123" s="3">
        <v>9.213</v>
      </c>
      <c r="J123" s="3">
        <v>0.88361</v>
      </c>
      <c r="K123" s="3">
        <v>0.020552365371730632</v>
      </c>
      <c r="L123" s="3">
        <v>0.043271</v>
      </c>
      <c r="M123" s="3">
        <v>0.004577706569008927</v>
      </c>
      <c r="N123" s="3">
        <v>0.8574858514834505</v>
      </c>
      <c r="O123" s="3">
        <v>0.3855644663787785</v>
      </c>
      <c r="P123" s="3">
        <v>1.728339584161496</v>
      </c>
      <c r="Q123" s="3">
        <v>0.7125552230297848</v>
      </c>
      <c r="R123" s="3">
        <v>3.981</v>
      </c>
      <c r="S123" s="3">
        <v>1.8637939389421103</v>
      </c>
      <c r="T123" s="3">
        <v>0.08490838385382173</v>
      </c>
      <c r="U123" s="3">
        <v>1.8414849734826164</v>
      </c>
      <c r="V123" s="3">
        <v>0.7330840847445202</v>
      </c>
      <c r="W123" s="3">
        <v>5.374199999999999</v>
      </c>
      <c r="X123" s="3">
        <v>0.2096392109180101</v>
      </c>
      <c r="Y123" s="3">
        <v>0.15539097924287298</v>
      </c>
      <c r="Z123" s="3">
        <v>6.9140999999999995</v>
      </c>
      <c r="AA123" s="3">
        <v>0.4046617028164454</v>
      </c>
    </row>
    <row r="124" spans="1:27">
      <c r="A124" t="s">
        <v>299</v>
      </c>
      <c r="B124" s="3">
        <v>1.8810428501561265</v>
      </c>
      <c r="C124" s="3">
        <v>4.7607</v>
      </c>
      <c r="D124" s="3">
        <v>4.9877</v>
      </c>
      <c r="E124" s="3">
        <v>8.6953</v>
      </c>
      <c r="F124" s="3">
        <v>1</v>
      </c>
      <c r="G124" s="3">
        <v>1.0665529010238908</v>
      </c>
      <c r="H124" s="3">
        <v>7.968500000000001</v>
      </c>
      <c r="I124" s="3">
        <v>9.213</v>
      </c>
      <c r="J124" s="3">
        <v>0.88361</v>
      </c>
      <c r="K124" s="3">
        <v>0.020552365371730632</v>
      </c>
      <c r="L124" s="3">
        <v>0.043271</v>
      </c>
      <c r="M124" s="3">
        <v>0.004577706569008927</v>
      </c>
      <c r="N124" s="3">
        <v>0.8574858514834505</v>
      </c>
      <c r="O124" s="3">
        <v>0.3855644663787785</v>
      </c>
      <c r="P124" s="3">
        <v>1.728339584161496</v>
      </c>
      <c r="Q124" s="3">
        <v>0.7125552230297848</v>
      </c>
      <c r="R124" s="3">
        <v>3.981</v>
      </c>
      <c r="S124" s="3">
        <v>1.8637939389421103</v>
      </c>
      <c r="T124" s="3">
        <v>0.08490838385382173</v>
      </c>
      <c r="U124" s="3">
        <v>1.8414849734826164</v>
      </c>
      <c r="V124" s="3">
        <v>0.7330840847445202</v>
      </c>
      <c r="W124" s="3">
        <v>5.374199999999999</v>
      </c>
      <c r="X124" s="3">
        <v>0.2096392109180101</v>
      </c>
      <c r="Y124" s="3">
        <v>0.15539097924287298</v>
      </c>
      <c r="Z124" s="3">
        <v>6.9140999999999995</v>
      </c>
      <c r="AA124" s="3">
        <v>0.4046617028164454</v>
      </c>
    </row>
    <row r="125" spans="1:27">
      <c r="A125" t="s">
        <v>300</v>
      </c>
      <c r="B125" s="3">
        <v>1.8839487565938209</v>
      </c>
      <c r="C125" s="3">
        <v>4.7419</v>
      </c>
      <c r="D125" s="3">
        <v>4.9795</v>
      </c>
      <c r="E125" s="3">
        <v>8.6526</v>
      </c>
      <c r="F125" s="3">
        <v>1</v>
      </c>
      <c r="G125" s="3">
        <v>1.0645092612305729</v>
      </c>
      <c r="H125" s="3">
        <v>7.9551</v>
      </c>
      <c r="I125" s="3">
        <v>9.1666</v>
      </c>
      <c r="J125" s="3">
        <v>0.88384</v>
      </c>
      <c r="K125" s="3">
        <v>0.020424377720271808</v>
      </c>
      <c r="L125" s="3">
        <v>0.043171</v>
      </c>
      <c r="M125" s="3">
        <v>0.004578335317278638</v>
      </c>
      <c r="N125" s="3">
        <v>0.858074480864939</v>
      </c>
      <c r="O125" s="3">
        <v>0.3814609956131986</v>
      </c>
      <c r="P125" s="3">
        <v>1.724821912137572</v>
      </c>
      <c r="Q125" s="3">
        <v>0.7100759781296598</v>
      </c>
      <c r="R125" s="3">
        <v>3.9672</v>
      </c>
      <c r="S125" s="3">
        <v>1.85649308456326</v>
      </c>
      <c r="T125" s="3">
        <v>0.0849033375501991</v>
      </c>
      <c r="U125" s="3">
        <v>1.8440657962676108</v>
      </c>
      <c r="V125" s="3">
        <v>0.7303534910896875</v>
      </c>
      <c r="W125" s="3">
        <v>5.3655</v>
      </c>
      <c r="X125" s="3">
        <v>0.2100354959988238</v>
      </c>
      <c r="Y125" s="3">
        <v>0.15567497555902882</v>
      </c>
      <c r="Z125" s="3">
        <v>6.9223</v>
      </c>
      <c r="AA125" s="3">
        <v>0.4033396523212197</v>
      </c>
    </row>
    <row r="126" spans="1:27">
      <c r="A126" t="s">
        <v>70</v>
      </c>
      <c r="B126" s="3">
        <v>1.8840552404996516</v>
      </c>
      <c r="C126" s="3">
        <v>4.7382</v>
      </c>
      <c r="D126" s="3">
        <v>4.9684</v>
      </c>
      <c r="E126" s="3">
        <v>8.6524</v>
      </c>
      <c r="F126" s="3">
        <v>1</v>
      </c>
      <c r="G126" s="3">
        <v>1.0612331529236974</v>
      </c>
      <c r="H126" s="3">
        <v>7.9302</v>
      </c>
      <c r="I126" s="3">
        <v>9.1169</v>
      </c>
      <c r="J126" s="3">
        <v>0.88295</v>
      </c>
      <c r="K126" s="3">
        <v>0.02041337075784639</v>
      </c>
      <c r="L126" s="3">
        <v>0.043296</v>
      </c>
      <c r="M126" s="3">
        <v>0.0045466945530599255</v>
      </c>
      <c r="N126" s="3">
        <v>0.8567511994516792</v>
      </c>
      <c r="O126" s="3">
        <v>0.3814318953350879</v>
      </c>
      <c r="P126" s="3">
        <v>1.715648429323863</v>
      </c>
      <c r="Q126" s="3">
        <v>0.7106815436003127</v>
      </c>
      <c r="R126" s="3">
        <v>3.9558</v>
      </c>
      <c r="S126" s="3">
        <v>1.8479164741753673</v>
      </c>
      <c r="T126" s="3">
        <v>0.08510421010527391</v>
      </c>
      <c r="U126" s="3">
        <v>1.8440998026813211</v>
      </c>
      <c r="V126" s="3">
        <v>0.7242702976750924</v>
      </c>
      <c r="W126" s="3">
        <v>5.3575</v>
      </c>
      <c r="X126" s="3">
        <v>0.21069487168682313</v>
      </c>
      <c r="Y126" s="3">
        <v>0.1555962526198519</v>
      </c>
      <c r="Z126" s="3">
        <v>6.9194</v>
      </c>
      <c r="AA126" s="3">
        <v>0.4022849786788961</v>
      </c>
    </row>
    <row r="127" spans="1:27">
      <c r="A127" t="s">
        <v>301</v>
      </c>
      <c r="B127" s="3">
        <v>1.877440672874737</v>
      </c>
      <c r="C127" s="3">
        <v>4.7649</v>
      </c>
      <c r="D127" s="3">
        <v>4.9582</v>
      </c>
      <c r="E127" s="3">
        <v>8.639</v>
      </c>
      <c r="F127" s="3">
        <v>1</v>
      </c>
      <c r="G127" s="3">
        <v>1.0672358591248663</v>
      </c>
      <c r="H127" s="3">
        <v>7.980599999999999</v>
      </c>
      <c r="I127" s="3">
        <v>9.133</v>
      </c>
      <c r="J127" s="3">
        <v>0.8806499999999999</v>
      </c>
      <c r="K127" s="3">
        <v>0.02075485404148895</v>
      </c>
      <c r="L127" s="3">
        <v>0.04346</v>
      </c>
      <c r="M127" s="3">
        <v>0.0045764495904077615</v>
      </c>
      <c r="N127" s="3">
        <v>0.8549931600547196</v>
      </c>
      <c r="O127" s="3">
        <v>0.385297064036372</v>
      </c>
      <c r="P127" s="3">
        <v>1.706979840568083</v>
      </c>
      <c r="Q127" s="3">
        <v>0.7123014459719353</v>
      </c>
      <c r="R127" s="3">
        <v>3.9624</v>
      </c>
      <c r="S127" s="3">
        <v>1.860949828792616</v>
      </c>
      <c r="T127" s="3">
        <v>0.0847860001356576</v>
      </c>
      <c r="U127" s="3">
        <v>1.8373571454819384</v>
      </c>
      <c r="V127" s="3">
        <v>0.7290755322251385</v>
      </c>
      <c r="W127" s="3">
        <v>5.3726</v>
      </c>
      <c r="X127" s="3">
        <v>0.21178812715759152</v>
      </c>
      <c r="Y127" s="3">
        <v>0.1551356894307606</v>
      </c>
      <c r="Z127" s="3">
        <v>6.9025</v>
      </c>
      <c r="AA127" s="3">
        <v>0.40841331427404537</v>
      </c>
    </row>
    <row r="128" spans="1:27">
      <c r="A128" t="s">
        <v>302</v>
      </c>
      <c r="B128" s="3">
        <v>1.8745899334520577</v>
      </c>
      <c r="C128" s="3">
        <v>4.7653</v>
      </c>
      <c r="D128" s="3">
        <v>4.9592</v>
      </c>
      <c r="E128" s="3">
        <v>8.6724</v>
      </c>
      <c r="F128" s="3">
        <v>1</v>
      </c>
      <c r="G128" s="3">
        <v>1.0673497705197994</v>
      </c>
      <c r="H128" s="3">
        <v>7.98</v>
      </c>
      <c r="I128" s="3">
        <v>9.1584</v>
      </c>
      <c r="J128" s="3">
        <v>0.8787600000000001</v>
      </c>
      <c r="K128" s="3">
        <v>0.020834201425059377</v>
      </c>
      <c r="L128" s="3">
        <v>0.04338</v>
      </c>
      <c r="M128" s="3">
        <v>0.004551661356395084</v>
      </c>
      <c r="N128" s="3">
        <v>0.8531695247845748</v>
      </c>
      <c r="O128" s="3">
        <v>0.3866826495495147</v>
      </c>
      <c r="P128" s="3">
        <v>1.712094233666621</v>
      </c>
      <c r="Q128" s="3">
        <v>0.7082654578936185</v>
      </c>
      <c r="R128" s="3">
        <v>3.9563</v>
      </c>
      <c r="S128" s="3">
        <v>1.8641413764819923</v>
      </c>
      <c r="T128" s="3">
        <v>0.08559518612673224</v>
      </c>
      <c r="U128" s="3">
        <v>1.834222931455089</v>
      </c>
      <c r="V128" s="3">
        <v>0.7313683902581731</v>
      </c>
      <c r="W128" s="3">
        <v>5.367000000000001</v>
      </c>
      <c r="X128" s="3">
        <v>0.2110506099362627</v>
      </c>
      <c r="Y128" s="3">
        <v>0.1547848645168081</v>
      </c>
      <c r="Z128" s="3">
        <v>6.888</v>
      </c>
      <c r="AA128" s="3">
        <v>0.4093830597289884</v>
      </c>
    </row>
    <row r="129" spans="1:27">
      <c r="A129" t="s">
        <v>303</v>
      </c>
      <c r="B129" s="3">
        <v>1.875082034839024</v>
      </c>
      <c r="C129" s="3">
        <v>4.7619</v>
      </c>
      <c r="D129" s="3">
        <v>4.9497</v>
      </c>
      <c r="E129" s="3">
        <v>8.6276</v>
      </c>
      <c r="F129" s="3">
        <v>1</v>
      </c>
      <c r="G129" s="3">
        <v>1.0639429726566656</v>
      </c>
      <c r="H129" s="3">
        <v>7.9518</v>
      </c>
      <c r="I129" s="3">
        <v>9.1153</v>
      </c>
      <c r="J129" s="3">
        <v>0.87945</v>
      </c>
      <c r="K129" s="3">
        <v>0.0206914674595637</v>
      </c>
      <c r="L129" s="3">
        <v>0.043187</v>
      </c>
      <c r="M129" s="3">
        <v>0.004564334291843534</v>
      </c>
      <c r="N129" s="3">
        <v>0.8538251366120219</v>
      </c>
      <c r="O129" s="3">
        <v>0.3857578212398256</v>
      </c>
      <c r="P129" s="3">
        <v>1.7063099341364365</v>
      </c>
      <c r="Q129" s="3">
        <v>0.7081651441116068</v>
      </c>
      <c r="R129" s="3">
        <v>3.9397</v>
      </c>
      <c r="S129" s="3">
        <v>1.8585633305454885</v>
      </c>
      <c r="T129" s="3">
        <v>0.08566631257924134</v>
      </c>
      <c r="U129" s="3">
        <v>1.8346267451886915</v>
      </c>
      <c r="V129" s="3">
        <v>0.7309407207075506</v>
      </c>
      <c r="W129" s="3">
        <v>5.3603</v>
      </c>
      <c r="X129" s="3">
        <v>0.21120216271014616</v>
      </c>
      <c r="Y129" s="3">
        <v>0.15455496670113242</v>
      </c>
      <c r="Z129" s="3">
        <v>6.8929</v>
      </c>
      <c r="AA129" s="3">
        <v>0.40648754115686353</v>
      </c>
    </row>
    <row r="130" spans="1:27">
      <c r="A130" t="s">
        <v>304</v>
      </c>
      <c r="B130" s="3">
        <v>1.875082034839024</v>
      </c>
      <c r="C130" s="3">
        <v>4.7619</v>
      </c>
      <c r="D130" s="3">
        <v>4.9497</v>
      </c>
      <c r="E130" s="3">
        <v>8.6276</v>
      </c>
      <c r="F130" s="3">
        <v>1</v>
      </c>
      <c r="G130" s="3">
        <v>1.0639429726566656</v>
      </c>
      <c r="H130" s="3">
        <v>7.9518</v>
      </c>
      <c r="I130" s="3">
        <v>9.1153</v>
      </c>
      <c r="J130" s="3">
        <v>0.87945</v>
      </c>
      <c r="K130" s="3">
        <v>0.0206914674595637</v>
      </c>
      <c r="L130" s="3">
        <v>0.043187</v>
      </c>
      <c r="M130" s="3">
        <v>0.004564334291843534</v>
      </c>
      <c r="N130" s="3">
        <v>0.8538251366120219</v>
      </c>
      <c r="O130" s="3">
        <v>0.3857578212398256</v>
      </c>
      <c r="P130" s="3">
        <v>1.7063099341364365</v>
      </c>
      <c r="Q130" s="3">
        <v>0.7081651441116068</v>
      </c>
      <c r="R130" s="3">
        <v>3.9397</v>
      </c>
      <c r="S130" s="3">
        <v>1.8585633305454885</v>
      </c>
      <c r="T130" s="3">
        <v>0.08566631257924134</v>
      </c>
      <c r="U130" s="3">
        <v>1.8346267451886915</v>
      </c>
      <c r="V130" s="3">
        <v>0.7309407207075506</v>
      </c>
      <c r="W130" s="3">
        <v>5.3603</v>
      </c>
      <c r="X130" s="3">
        <v>0.21120216271014616</v>
      </c>
      <c r="Y130" s="3">
        <v>0.15455496670113242</v>
      </c>
      <c r="Z130" s="3">
        <v>6.8929</v>
      </c>
      <c r="AA130" s="3">
        <v>0.40648754115686353</v>
      </c>
    </row>
    <row r="131" spans="1:27">
      <c r="A131" t="s">
        <v>305</v>
      </c>
      <c r="B131" s="3">
        <v>1.875082034839024</v>
      </c>
      <c r="C131" s="3">
        <v>4.7619</v>
      </c>
      <c r="D131" s="3">
        <v>4.9497</v>
      </c>
      <c r="E131" s="3">
        <v>8.6276</v>
      </c>
      <c r="F131" s="3">
        <v>1</v>
      </c>
      <c r="G131" s="3">
        <v>1.0639429726566656</v>
      </c>
      <c r="H131" s="3">
        <v>7.9518</v>
      </c>
      <c r="I131" s="3">
        <v>9.1153</v>
      </c>
      <c r="J131" s="3">
        <v>0.87945</v>
      </c>
      <c r="K131" s="3">
        <v>0.0206914674595637</v>
      </c>
      <c r="L131" s="3">
        <v>0.043187</v>
      </c>
      <c r="M131" s="3">
        <v>0.004564334291843534</v>
      </c>
      <c r="N131" s="3">
        <v>0.8538251366120219</v>
      </c>
      <c r="O131" s="3">
        <v>0.3857578212398256</v>
      </c>
      <c r="P131" s="3">
        <v>1.7063099341364365</v>
      </c>
      <c r="Q131" s="3">
        <v>0.7081651441116068</v>
      </c>
      <c r="R131" s="3">
        <v>3.9397</v>
      </c>
      <c r="S131" s="3">
        <v>1.8585633305454885</v>
      </c>
      <c r="T131" s="3">
        <v>0.08566631257924134</v>
      </c>
      <c r="U131" s="3">
        <v>1.8346267451886915</v>
      </c>
      <c r="V131" s="3">
        <v>0.7309407207075506</v>
      </c>
      <c r="W131" s="3">
        <v>5.3603</v>
      </c>
      <c r="X131" s="3">
        <v>0.21120216271014616</v>
      </c>
      <c r="Y131" s="3">
        <v>0.15455496670113242</v>
      </c>
      <c r="Z131" s="3">
        <v>6.8929</v>
      </c>
      <c r="AA131" s="3">
        <v>0.40648754115686353</v>
      </c>
    </row>
    <row r="132" spans="1:27">
      <c r="A132" t="s">
        <v>306</v>
      </c>
      <c r="B132" s="3">
        <v>1.875082034839024</v>
      </c>
      <c r="C132" s="3">
        <v>4.7619</v>
      </c>
      <c r="D132" s="3">
        <v>4.9497</v>
      </c>
      <c r="E132" s="3">
        <v>8.6276</v>
      </c>
      <c r="F132" s="3">
        <v>1</v>
      </c>
      <c r="G132" s="3">
        <v>1.0639429726566656</v>
      </c>
      <c r="H132" s="3">
        <v>7.9518</v>
      </c>
      <c r="I132" s="3">
        <v>9.1153</v>
      </c>
      <c r="J132" s="3">
        <v>0.87945</v>
      </c>
      <c r="K132" s="3">
        <v>0.0206914674595637</v>
      </c>
      <c r="L132" s="3">
        <v>0.043187</v>
      </c>
      <c r="M132" s="3">
        <v>0.004564334291843534</v>
      </c>
      <c r="N132" s="3">
        <v>0.8538251366120219</v>
      </c>
      <c r="O132" s="3">
        <v>0.3857578212398256</v>
      </c>
      <c r="P132" s="3">
        <v>1.7063099341364365</v>
      </c>
      <c r="Q132" s="3">
        <v>0.7081651441116068</v>
      </c>
      <c r="R132" s="3">
        <v>3.9397</v>
      </c>
      <c r="S132" s="3">
        <v>1.8585633305454885</v>
      </c>
      <c r="T132" s="3">
        <v>0.08566631257924134</v>
      </c>
      <c r="U132" s="3">
        <v>1.8346267451886915</v>
      </c>
      <c r="V132" s="3">
        <v>0.7309407207075506</v>
      </c>
      <c r="W132" s="3">
        <v>5.3603</v>
      </c>
      <c r="X132" s="3">
        <v>0.21120216271014616</v>
      </c>
      <c r="Y132" s="3">
        <v>0.15455496670113242</v>
      </c>
      <c r="Z132" s="3">
        <v>6.8929</v>
      </c>
      <c r="AA132" s="3">
        <v>0.40648754115686353</v>
      </c>
    </row>
    <row r="133" spans="1:27">
      <c r="A133" t="s">
        <v>307</v>
      </c>
      <c r="B133" s="3">
        <v>1.873606505161786</v>
      </c>
      <c r="C133" s="3">
        <v>4.7584</v>
      </c>
      <c r="D133" s="3">
        <v>4.9454</v>
      </c>
      <c r="E133" s="3">
        <v>8.6204</v>
      </c>
      <c r="F133" s="3">
        <v>1</v>
      </c>
      <c r="G133" s="3">
        <v>1.0625863351397302</v>
      </c>
      <c r="H133" s="3">
        <v>7.9398</v>
      </c>
      <c r="I133" s="3">
        <v>9.1034</v>
      </c>
      <c r="J133" s="3">
        <v>0.87858</v>
      </c>
      <c r="K133" s="3">
        <v>0.020809748951188655</v>
      </c>
      <c r="L133" s="3">
        <v>0.043119</v>
      </c>
      <c r="M133" s="3">
        <v>0.004562876437306078</v>
      </c>
      <c r="N133" s="3">
        <v>0.8525876033762468</v>
      </c>
      <c r="O133" s="3">
        <v>0.3875968992248062</v>
      </c>
      <c r="P133" s="3">
        <v>1.7090511348099535</v>
      </c>
      <c r="Q133" s="3">
        <v>0.7087172218284905</v>
      </c>
      <c r="R133" s="3">
        <v>3.9287</v>
      </c>
      <c r="S133" s="3">
        <v>1.8624054829217416</v>
      </c>
      <c r="T133" s="3">
        <v>0.087070091423596</v>
      </c>
      <c r="U133" s="3">
        <v>1.832878168588134</v>
      </c>
      <c r="V133" s="3">
        <v>0.7279609812914027</v>
      </c>
      <c r="W133" s="3">
        <v>5.355499999999999</v>
      </c>
      <c r="X133" s="3">
        <v>0.21126016689553184</v>
      </c>
      <c r="Y133" s="3">
        <v>0.15433718353160517</v>
      </c>
      <c r="Z133" s="3">
        <v>6.8854</v>
      </c>
      <c r="AA133" s="3">
        <v>0.4081132922499286</v>
      </c>
    </row>
    <row r="134" spans="1:27">
      <c r="A134" t="s">
        <v>308</v>
      </c>
      <c r="B134" s="3">
        <v>1.865636835133673</v>
      </c>
      <c r="C134" s="3">
        <v>4.8349</v>
      </c>
      <c r="D134" s="3">
        <v>4.9456</v>
      </c>
      <c r="E134" s="3">
        <v>8.6551</v>
      </c>
      <c r="F134" s="3">
        <v>1</v>
      </c>
      <c r="G134" s="3">
        <v>1.0702054794520548</v>
      </c>
      <c r="H134" s="3">
        <v>7.999</v>
      </c>
      <c r="I134" s="3">
        <v>9.1704</v>
      </c>
      <c r="J134" s="3">
        <v>0.87652</v>
      </c>
      <c r="K134" s="3">
        <v>0.021248926929190077</v>
      </c>
      <c r="L134" s="3">
        <v>0.043169000000000006</v>
      </c>
      <c r="M134" s="3">
        <v>0.004604899613188432</v>
      </c>
      <c r="N134" s="3">
        <v>0.8506294658046955</v>
      </c>
      <c r="O134" s="3">
        <v>0.3910680067263697</v>
      </c>
      <c r="P134" s="3">
        <v>1.708934308565179</v>
      </c>
      <c r="Q134" s="3">
        <v>0.7135212272565109</v>
      </c>
      <c r="R134" s="3">
        <v>3.9681</v>
      </c>
      <c r="S134" s="3">
        <v>1.8797345814770956</v>
      </c>
      <c r="T134" s="3">
        <v>0.08728288382648162</v>
      </c>
      <c r="U134" s="3">
        <v>1.8249840313897252</v>
      </c>
      <c r="V134" s="3">
        <v>0.733998825601879</v>
      </c>
      <c r="W134" s="3">
        <v>5.367100000000001</v>
      </c>
      <c r="X134" s="3">
        <v>0.21313327223512865</v>
      </c>
      <c r="Y134" s="3">
        <v>0.15381657373582003</v>
      </c>
      <c r="Z134" s="3">
        <v>6.867999999999999</v>
      </c>
      <c r="AA134" s="3">
        <v>0.41517894212405543</v>
      </c>
    </row>
    <row r="135" spans="1:27">
      <c r="A135" t="s">
        <v>309</v>
      </c>
      <c r="B135" s="3">
        <v>1.8637939389421103</v>
      </c>
      <c r="C135" s="3">
        <v>4.8178</v>
      </c>
      <c r="D135" s="3">
        <v>4.9402</v>
      </c>
      <c r="E135" s="3">
        <v>8.6467</v>
      </c>
      <c r="F135" s="3">
        <v>1</v>
      </c>
      <c r="G135" s="3">
        <v>1.0675776662752214</v>
      </c>
      <c r="H135" s="3">
        <v>7.9754</v>
      </c>
      <c r="I135" s="3">
        <v>9.1633</v>
      </c>
      <c r="J135" s="3">
        <v>0.87651</v>
      </c>
      <c r="K135" s="3">
        <v>0.02121282187805597</v>
      </c>
      <c r="L135" s="3">
        <v>0.043158</v>
      </c>
      <c r="M135" s="3">
        <v>0.004621712806766188</v>
      </c>
      <c r="N135" s="3">
        <v>0.8505571149102663</v>
      </c>
      <c r="O135" s="3">
        <v>0.3928346951602765</v>
      </c>
      <c r="P135" s="3">
        <v>1.7224155155189638</v>
      </c>
      <c r="Q135" s="3">
        <v>0.714694110920526</v>
      </c>
      <c r="R135" s="3">
        <v>3.9842</v>
      </c>
      <c r="S135" s="3">
        <v>1.87863986473793</v>
      </c>
      <c r="T135" s="3">
        <v>0.08706175290133292</v>
      </c>
      <c r="U135" s="3">
        <v>1.8241850453309985</v>
      </c>
      <c r="V135" s="3">
        <v>0.7342683016374183</v>
      </c>
      <c r="W135" s="3">
        <v>5.3689</v>
      </c>
      <c r="X135" s="3">
        <v>0.21326508850501175</v>
      </c>
      <c r="Y135" s="3">
        <v>0.15391979854976767</v>
      </c>
      <c r="Z135" s="3">
        <v>6.8649</v>
      </c>
      <c r="AA135" s="3">
        <v>0.4165972337943677</v>
      </c>
    </row>
    <row r="136" spans="1:27">
      <c r="A136" t="s">
        <v>128</v>
      </c>
      <c r="B136" s="3">
        <v>1.8629953238817372</v>
      </c>
      <c r="C136" s="3">
        <v>4.841600000000001</v>
      </c>
      <c r="D136" s="3">
        <v>4.9507</v>
      </c>
      <c r="E136" s="3">
        <v>8.656799999999999</v>
      </c>
      <c r="F136" s="3">
        <v>1</v>
      </c>
      <c r="G136" s="3">
        <v>1.0707784559374665</v>
      </c>
      <c r="H136" s="3">
        <v>8.003</v>
      </c>
      <c r="I136" s="3">
        <v>9.1912</v>
      </c>
      <c r="J136" s="3">
        <v>0.87641</v>
      </c>
      <c r="K136" s="3">
        <v>0.021262028992902735</v>
      </c>
      <c r="L136" s="3">
        <v>0.043056</v>
      </c>
      <c r="M136" s="3">
        <v>0.004633490872022982</v>
      </c>
      <c r="N136" s="3">
        <v>0.8504847763225039</v>
      </c>
      <c r="O136" s="3">
        <v>0.39441508243275225</v>
      </c>
      <c r="P136" s="3">
        <v>1.7216445148405757</v>
      </c>
      <c r="Q136" s="3">
        <v>0.7202016564638098</v>
      </c>
      <c r="R136" s="3">
        <v>4.0039</v>
      </c>
      <c r="S136" s="3">
        <v>1.885902876001886</v>
      </c>
      <c r="T136" s="3">
        <v>0.08806848205164336</v>
      </c>
      <c r="U136" s="3">
        <v>1.823486506199854</v>
      </c>
      <c r="V136" s="3">
        <v>0.7367567965814485</v>
      </c>
      <c r="W136" s="3">
        <v>5.3773</v>
      </c>
      <c r="X136" s="3">
        <v>0.21321052407146815</v>
      </c>
      <c r="Y136" s="3">
        <v>0.15335071308081585</v>
      </c>
      <c r="Z136" s="3">
        <v>6.865399999999999</v>
      </c>
      <c r="AA136" s="3">
        <v>0.41785057663379577</v>
      </c>
    </row>
    <row r="137" spans="1:27">
      <c r="A137" t="s">
        <v>310</v>
      </c>
      <c r="B137" s="3">
        <v>1.8629953238817372</v>
      </c>
      <c r="C137" s="3">
        <v>4.841600000000001</v>
      </c>
      <c r="D137" s="3">
        <v>4.9507</v>
      </c>
      <c r="E137" s="3">
        <v>8.656799999999999</v>
      </c>
      <c r="F137" s="3">
        <v>1</v>
      </c>
      <c r="G137" s="3">
        <v>1.0707784559374665</v>
      </c>
      <c r="H137" s="3">
        <v>8.003</v>
      </c>
      <c r="I137" s="3">
        <v>9.1912</v>
      </c>
      <c r="J137" s="3">
        <v>0.87641</v>
      </c>
      <c r="K137" s="3">
        <v>0.021262028992902735</v>
      </c>
      <c r="L137" s="3">
        <v>0.043056</v>
      </c>
      <c r="M137" s="3">
        <v>0.004633490872022982</v>
      </c>
      <c r="N137" s="3">
        <v>0.8504847763225039</v>
      </c>
      <c r="O137" s="3">
        <v>0.39441508243275225</v>
      </c>
      <c r="P137" s="3">
        <v>1.7216445148405757</v>
      </c>
      <c r="Q137" s="3">
        <v>0.7202016564638098</v>
      </c>
      <c r="R137" s="3">
        <v>4.0039</v>
      </c>
      <c r="S137" s="3">
        <v>1.885902876001886</v>
      </c>
      <c r="T137" s="3">
        <v>0.08806848205164336</v>
      </c>
      <c r="U137" s="3">
        <v>1.823486506199854</v>
      </c>
      <c r="V137" s="3">
        <v>0.7367567965814485</v>
      </c>
      <c r="W137" s="3">
        <v>5.3773</v>
      </c>
      <c r="X137" s="3">
        <v>0.21321052407146815</v>
      </c>
      <c r="Y137" s="3">
        <v>0.15335071308081585</v>
      </c>
      <c r="Z137" s="3">
        <v>6.865399999999999</v>
      </c>
      <c r="AA137" s="3">
        <v>0.41785057663379577</v>
      </c>
    </row>
    <row r="138" spans="1:27">
      <c r="A138" t="s">
        <v>311</v>
      </c>
      <c r="B138" s="3">
        <v>1.8629953238817372</v>
      </c>
      <c r="C138" s="3">
        <v>4.841600000000001</v>
      </c>
      <c r="D138" s="3">
        <v>4.9507</v>
      </c>
      <c r="E138" s="3">
        <v>8.656799999999999</v>
      </c>
      <c r="F138" s="3">
        <v>1</v>
      </c>
      <c r="G138" s="3">
        <v>1.0707784559374665</v>
      </c>
      <c r="H138" s="3">
        <v>8.003</v>
      </c>
      <c r="I138" s="3">
        <v>9.1912</v>
      </c>
      <c r="J138" s="3">
        <v>0.87641</v>
      </c>
      <c r="K138" s="3">
        <v>0.021262028992902735</v>
      </c>
      <c r="L138" s="3">
        <v>0.043056</v>
      </c>
      <c r="M138" s="3">
        <v>0.004633490872022982</v>
      </c>
      <c r="N138" s="3">
        <v>0.8504847763225039</v>
      </c>
      <c r="O138" s="3">
        <v>0.39441508243275225</v>
      </c>
      <c r="P138" s="3">
        <v>1.7216445148405757</v>
      </c>
      <c r="Q138" s="3">
        <v>0.7202016564638098</v>
      </c>
      <c r="R138" s="3">
        <v>4.0039</v>
      </c>
      <c r="S138" s="3">
        <v>1.885902876001886</v>
      </c>
      <c r="T138" s="3">
        <v>0.08806848205164336</v>
      </c>
      <c r="U138" s="3">
        <v>1.823486506199854</v>
      </c>
      <c r="V138" s="3">
        <v>0.7367567965814485</v>
      </c>
      <c r="W138" s="3">
        <v>5.3773</v>
      </c>
      <c r="X138" s="3">
        <v>0.21321052407146815</v>
      </c>
      <c r="Y138" s="3">
        <v>0.15335071308081585</v>
      </c>
      <c r="Z138" s="3">
        <v>6.865399999999999</v>
      </c>
      <c r="AA138" s="3">
        <v>0.41785057663379577</v>
      </c>
    </row>
    <row r="139" spans="1:27">
      <c r="A139" t="s">
        <v>312</v>
      </c>
      <c r="B139" s="3">
        <v>1.8653236336504384</v>
      </c>
      <c r="C139" s="3">
        <v>4.8105</v>
      </c>
      <c r="D139" s="3">
        <v>4.9384</v>
      </c>
      <c r="E139" s="3">
        <v>8.6464</v>
      </c>
      <c r="F139" s="3">
        <v>1</v>
      </c>
      <c r="G139" s="3">
        <v>1.0707784559374665</v>
      </c>
      <c r="H139" s="3">
        <v>8.0014</v>
      </c>
      <c r="I139" s="3">
        <v>9.1764</v>
      </c>
      <c r="J139" s="3">
        <v>0.87646</v>
      </c>
      <c r="K139" s="3">
        <v>0.021722555180720797</v>
      </c>
      <c r="L139" s="3">
        <v>0.042939</v>
      </c>
      <c r="M139" s="3">
        <v>0.004602356406480118</v>
      </c>
      <c r="N139" s="3">
        <v>0.8504847763225039</v>
      </c>
      <c r="O139" s="3">
        <v>0.3931281204544561</v>
      </c>
      <c r="P139" s="3">
        <v>1.7265193370165746</v>
      </c>
      <c r="Q139" s="3">
        <v>0.7182876023559833</v>
      </c>
      <c r="R139" s="3">
        <v>3.9774</v>
      </c>
      <c r="S139" s="3">
        <v>1.879840589518009</v>
      </c>
      <c r="T139" s="3">
        <v>0.08881862348897317</v>
      </c>
      <c r="U139" s="3">
        <v>1.8256503879507076</v>
      </c>
      <c r="V139" s="3">
        <v>0.7334066740007334</v>
      </c>
      <c r="W139" s="3">
        <v>5.3609</v>
      </c>
      <c r="X139" s="3">
        <v>0.21146566854871113</v>
      </c>
      <c r="Y139" s="3">
        <v>0.15334459904987688</v>
      </c>
      <c r="Z139" s="3">
        <v>6.8657</v>
      </c>
      <c r="AA139" s="3">
        <v>0.412847824291966</v>
      </c>
    </row>
    <row r="140" spans="1:27">
      <c r="A140" t="s">
        <v>313</v>
      </c>
      <c r="B140" s="3">
        <v>1.860949828792616</v>
      </c>
      <c r="C140" s="3">
        <v>4.8501</v>
      </c>
      <c r="D140" s="3">
        <v>4.9572</v>
      </c>
      <c r="E140" s="3">
        <v>8.7284</v>
      </c>
      <c r="F140" s="3">
        <v>1</v>
      </c>
      <c r="G140" s="3">
        <v>1.0763104079216446</v>
      </c>
      <c r="H140" s="3">
        <v>8.0456</v>
      </c>
      <c r="I140" s="3">
        <v>9.238</v>
      </c>
      <c r="J140" s="3">
        <v>0.87579</v>
      </c>
      <c r="K140" s="3">
        <v>0.02217466987460224</v>
      </c>
      <c r="L140" s="3">
        <v>0.042969999999999994</v>
      </c>
      <c r="M140" s="3">
        <v>0.004618937644341801</v>
      </c>
      <c r="N140" s="3">
        <v>0.8498342823149486</v>
      </c>
      <c r="O140" s="3">
        <v>0.39583580730712903</v>
      </c>
      <c r="P140" s="3">
        <v>1.724554202738592</v>
      </c>
      <c r="Q140" s="3">
        <v>0.7236937328122738</v>
      </c>
      <c r="R140" s="3">
        <v>4.0095</v>
      </c>
      <c r="S140" s="3">
        <v>1.8961299986727091</v>
      </c>
      <c r="T140" s="3">
        <v>0.08968448996430557</v>
      </c>
      <c r="U140" s="3">
        <v>1.821294576184752</v>
      </c>
      <c r="V140" s="3">
        <v>0.7442691277165823</v>
      </c>
      <c r="W140" s="3">
        <v>5.375</v>
      </c>
      <c r="X140" s="3">
        <v>0.2132787339774351</v>
      </c>
      <c r="Y140" s="3">
        <v>0.1529924559419975</v>
      </c>
      <c r="Z140" s="3">
        <v>6.859299999999999</v>
      </c>
      <c r="AA140" s="3">
        <v>0.4173971116119876</v>
      </c>
    </row>
    <row r="141" spans="1:27">
      <c r="A141" t="s">
        <v>126</v>
      </c>
      <c r="B141" s="3">
        <v>1.8592890078833857</v>
      </c>
      <c r="C141" s="3">
        <v>4.8693</v>
      </c>
      <c r="D141" s="3">
        <v>4.9603</v>
      </c>
      <c r="E141" s="3">
        <v>8.752</v>
      </c>
      <c r="F141" s="3">
        <v>1</v>
      </c>
      <c r="G141" s="3">
        <v>1.078515962036238</v>
      </c>
      <c r="H141" s="3">
        <v>8.059800000000001</v>
      </c>
      <c r="I141" s="3">
        <v>9.2729</v>
      </c>
      <c r="J141" s="3">
        <v>0.8754000000000001</v>
      </c>
      <c r="K141" s="3">
        <v>0.022187215726298504</v>
      </c>
      <c r="L141" s="3">
        <v>0.043031</v>
      </c>
      <c r="M141" s="3">
        <v>0.004634349800722959</v>
      </c>
      <c r="N141" s="3">
        <v>0.8499065102838688</v>
      </c>
      <c r="O141" s="3">
        <v>0.396463545177021</v>
      </c>
      <c r="P141" s="3">
        <v>1.7317216776919613</v>
      </c>
      <c r="Q141" s="3">
        <v>0.7230657989877078</v>
      </c>
      <c r="R141" s="3">
        <v>4.0309</v>
      </c>
      <c r="S141" s="3">
        <v>1.9035653779529056</v>
      </c>
      <c r="T141" s="3">
        <v>0.0902910079185214</v>
      </c>
      <c r="U141" s="3">
        <v>1.8197699810743924</v>
      </c>
      <c r="V141" s="3">
        <v>0.7438262421898245</v>
      </c>
      <c r="W141" s="3">
        <v>5.3763</v>
      </c>
      <c r="X141" s="3">
        <v>0.21330603016147268</v>
      </c>
      <c r="Y141" s="3">
        <v>0.1527557130636686</v>
      </c>
      <c r="Z141" s="3">
        <v>6.8582</v>
      </c>
      <c r="AA141" s="3">
        <v>0.41842754926984393</v>
      </c>
    </row>
    <row r="142" spans="1:27">
      <c r="A142" t="s">
        <v>314</v>
      </c>
      <c r="B142" s="3">
        <v>1.8612269207861825</v>
      </c>
      <c r="C142" s="3">
        <v>4.904100000000001</v>
      </c>
      <c r="D142" s="3">
        <v>4.9773000000000005</v>
      </c>
      <c r="E142" s="3">
        <v>8.7553</v>
      </c>
      <c r="F142" s="3">
        <v>1</v>
      </c>
      <c r="G142" s="3">
        <v>1.080263584314573</v>
      </c>
      <c r="H142" s="3">
        <v>8.0724</v>
      </c>
      <c r="I142" s="3">
        <v>9.2799</v>
      </c>
      <c r="J142" s="3">
        <v>0.87629</v>
      </c>
      <c r="K142" s="3">
        <v>0.022232350292911218</v>
      </c>
      <c r="L142" s="3">
        <v>0.043047</v>
      </c>
      <c r="M142" s="3">
        <v>0.004627915586819697</v>
      </c>
      <c r="N142" s="3">
        <v>0.8503401360544218</v>
      </c>
      <c r="O142" s="3">
        <v>0.3967939052456154</v>
      </c>
      <c r="P142" s="3">
        <v>1.731092146034933</v>
      </c>
      <c r="Q142" s="3">
        <v>0.72811999417504</v>
      </c>
      <c r="R142" s="3">
        <v>4.0431</v>
      </c>
      <c r="S142" s="3">
        <v>1.9085426368425071</v>
      </c>
      <c r="T142" s="3">
        <v>0.09029589966319627</v>
      </c>
      <c r="U142" s="3">
        <v>1.8222570475791315</v>
      </c>
      <c r="V142" s="3">
        <v>0.7461016190405133</v>
      </c>
      <c r="W142" s="3">
        <v>5.380800000000001</v>
      </c>
      <c r="X142" s="3">
        <v>0.21313327223512865</v>
      </c>
      <c r="Y142" s="3">
        <v>0.15291642200039146</v>
      </c>
      <c r="Z142" s="3">
        <v>6.861599999999999</v>
      </c>
      <c r="AA142" s="3">
        <v>0.4178331174528893</v>
      </c>
    </row>
    <row r="143" spans="1:27">
      <c r="A143" t="s">
        <v>315</v>
      </c>
      <c r="B143" s="3">
        <v>1.8620240201098597</v>
      </c>
      <c r="C143" s="3">
        <v>4.9005</v>
      </c>
      <c r="D143" s="3">
        <v>4.9923</v>
      </c>
      <c r="E143" s="3">
        <v>8.7415</v>
      </c>
      <c r="F143" s="3">
        <v>1</v>
      </c>
      <c r="G143" s="3">
        <v>1.0787486515641855</v>
      </c>
      <c r="H143" s="3">
        <v>8.0618</v>
      </c>
      <c r="I143" s="3">
        <v>9.2573</v>
      </c>
      <c r="J143" s="3">
        <v>0.87697</v>
      </c>
      <c r="K143" s="3">
        <v>0.02211469565755836</v>
      </c>
      <c r="L143" s="3">
        <v>0.043011999999999995</v>
      </c>
      <c r="M143" s="3">
        <v>0.004617657923900997</v>
      </c>
      <c r="N143" s="3">
        <v>0.851063829787234</v>
      </c>
      <c r="O143" s="3">
        <v>0.3972352427107333</v>
      </c>
      <c r="P143" s="3">
        <v>1.7307026652821045</v>
      </c>
      <c r="Q143" s="3">
        <v>0.7307270734380709</v>
      </c>
      <c r="R143" s="3">
        <v>4.03</v>
      </c>
      <c r="S143" s="3">
        <v>1.9032030908018196</v>
      </c>
      <c r="T143" s="3">
        <v>0.08950067573010177</v>
      </c>
      <c r="U143" s="3">
        <v>1.8231540565177755</v>
      </c>
      <c r="V143" s="3">
        <v>0.7442691277165823</v>
      </c>
      <c r="W143" s="3">
        <v>5.3751</v>
      </c>
      <c r="X143" s="3">
        <v>0.21336974843706655</v>
      </c>
      <c r="Y143" s="3">
        <v>0.15259254737998595</v>
      </c>
      <c r="Z143" s="3">
        <v>6.8622000000000005</v>
      </c>
      <c r="AA143" s="3">
        <v>0.4174668113884946</v>
      </c>
    </row>
    <row r="144" spans="1:27">
      <c r="A144" t="s">
        <v>130</v>
      </c>
      <c r="B144" s="3">
        <v>1.8620240201098597</v>
      </c>
      <c r="C144" s="3">
        <v>4.9005</v>
      </c>
      <c r="D144" s="3">
        <v>4.9923</v>
      </c>
      <c r="E144" s="3">
        <v>8.7415</v>
      </c>
      <c r="F144" s="3">
        <v>1</v>
      </c>
      <c r="G144" s="3">
        <v>1.0787486515641855</v>
      </c>
      <c r="H144" s="3">
        <v>8.0618</v>
      </c>
      <c r="I144" s="3">
        <v>9.2573</v>
      </c>
      <c r="J144" s="3">
        <v>0.87697</v>
      </c>
      <c r="K144" s="3">
        <v>0.02211469565755836</v>
      </c>
      <c r="L144" s="3">
        <v>0.043011999999999995</v>
      </c>
      <c r="M144" s="3">
        <v>0.004617657923900997</v>
      </c>
      <c r="N144" s="3">
        <v>0.851063829787234</v>
      </c>
      <c r="O144" s="3">
        <v>0.3972352427107333</v>
      </c>
      <c r="P144" s="3">
        <v>1.7307026652821045</v>
      </c>
      <c r="Q144" s="3">
        <v>0.7307270734380709</v>
      </c>
      <c r="R144" s="3">
        <v>4.03</v>
      </c>
      <c r="S144" s="3">
        <v>1.9032030908018196</v>
      </c>
      <c r="T144" s="3">
        <v>0.08950067573010177</v>
      </c>
      <c r="U144" s="3">
        <v>1.8231540565177755</v>
      </c>
      <c r="V144" s="3">
        <v>0.7442691277165823</v>
      </c>
      <c r="W144" s="3">
        <v>5.3751</v>
      </c>
      <c r="X144" s="3">
        <v>0.21336974843706655</v>
      </c>
      <c r="Y144" s="3">
        <v>0.15259254737998595</v>
      </c>
      <c r="Z144" s="3">
        <v>6.8622000000000005</v>
      </c>
      <c r="AA144" s="3">
        <v>0.4174668113884946</v>
      </c>
    </row>
    <row r="145" spans="1:27">
      <c r="A145" t="s">
        <v>316</v>
      </c>
      <c r="B145" s="3">
        <v>1.8620240201098597</v>
      </c>
      <c r="C145" s="3">
        <v>4.9005</v>
      </c>
      <c r="D145" s="3">
        <v>4.9923</v>
      </c>
      <c r="E145" s="3">
        <v>8.7415</v>
      </c>
      <c r="F145" s="3">
        <v>1</v>
      </c>
      <c r="G145" s="3">
        <v>1.0787486515641855</v>
      </c>
      <c r="H145" s="3">
        <v>8.0618</v>
      </c>
      <c r="I145" s="3">
        <v>9.2573</v>
      </c>
      <c r="J145" s="3">
        <v>0.87697</v>
      </c>
      <c r="K145" s="3">
        <v>0.02211469565755836</v>
      </c>
      <c r="L145" s="3">
        <v>0.043011999999999995</v>
      </c>
      <c r="M145" s="3">
        <v>0.004617657923900997</v>
      </c>
      <c r="N145" s="3">
        <v>0.851063829787234</v>
      </c>
      <c r="O145" s="3">
        <v>0.3972352427107333</v>
      </c>
      <c r="P145" s="3">
        <v>1.7307026652821045</v>
      </c>
      <c r="Q145" s="3">
        <v>0.7307270734380709</v>
      </c>
      <c r="R145" s="3">
        <v>4.03</v>
      </c>
      <c r="S145" s="3">
        <v>1.9032030908018196</v>
      </c>
      <c r="T145" s="3">
        <v>0.08950067573010177</v>
      </c>
      <c r="U145" s="3">
        <v>1.8231540565177755</v>
      </c>
      <c r="V145" s="3">
        <v>0.7442691277165823</v>
      </c>
      <c r="W145" s="3">
        <v>5.3751</v>
      </c>
      <c r="X145" s="3">
        <v>0.21336974843706655</v>
      </c>
      <c r="Y145" s="3">
        <v>0.15259254737998595</v>
      </c>
      <c r="Z145" s="3">
        <v>6.8622000000000005</v>
      </c>
      <c r="AA145" s="3">
        <v>0.4174668113884946</v>
      </c>
    </row>
    <row r="146" spans="1:27">
      <c r="A146" t="s">
        <v>123</v>
      </c>
      <c r="B146" s="3">
        <v>1.8629606170125568</v>
      </c>
      <c r="C146" s="3">
        <v>4.8891</v>
      </c>
      <c r="D146" s="3">
        <v>4.9931</v>
      </c>
      <c r="E146" s="3">
        <v>8.744</v>
      </c>
      <c r="F146" s="3">
        <v>1</v>
      </c>
      <c r="G146" s="3">
        <v>1.0759629868732516</v>
      </c>
      <c r="H146" s="3">
        <v>8.0402</v>
      </c>
      <c r="I146" s="3">
        <v>9.2332</v>
      </c>
      <c r="J146" s="3">
        <v>0.87663</v>
      </c>
      <c r="K146" s="3">
        <v>0.02221723568710134</v>
      </c>
      <c r="L146" s="3">
        <v>0.043049</v>
      </c>
      <c r="M146" s="3">
        <v>0.004655060050274649</v>
      </c>
      <c r="N146" s="3">
        <v>0.8507018290089324</v>
      </c>
      <c r="O146" s="3">
        <v>0.394570707070707</v>
      </c>
      <c r="P146" s="3">
        <v>1.733613022901028</v>
      </c>
      <c r="Q146" s="3">
        <v>0.7293946024799417</v>
      </c>
      <c r="R146" s="3">
        <v>4.0172</v>
      </c>
      <c r="S146" s="3">
        <v>1.9027323236167135</v>
      </c>
      <c r="T146" s="3">
        <v>0.08978433802007578</v>
      </c>
      <c r="U146" s="3">
        <v>1.8241850453309985</v>
      </c>
      <c r="V146" s="3">
        <v>0.7449344457687723</v>
      </c>
      <c r="W146" s="3">
        <v>5.3767</v>
      </c>
      <c r="X146" s="3">
        <v>0.21331058020477817</v>
      </c>
      <c r="Y146" s="3">
        <v>0.15265520836672666</v>
      </c>
      <c r="Z146" s="3">
        <v>6.8648</v>
      </c>
      <c r="AA146" s="3">
        <v>0.4169620147604553</v>
      </c>
    </row>
    <row r="147" spans="1:27">
      <c r="A147" t="s">
        <v>317</v>
      </c>
      <c r="B147" s="3">
        <v>1.8603612821609956</v>
      </c>
      <c r="C147" s="3">
        <v>4.9038</v>
      </c>
      <c r="D147" s="3">
        <v>5.0084</v>
      </c>
      <c r="E147" s="3">
        <v>8.7847</v>
      </c>
      <c r="F147" s="3">
        <v>1</v>
      </c>
      <c r="G147" s="3">
        <v>1.0780508840017249</v>
      </c>
      <c r="H147" s="3">
        <v>8.0565</v>
      </c>
      <c r="I147" s="3">
        <v>9.2489</v>
      </c>
      <c r="J147" s="3">
        <v>0.87588</v>
      </c>
      <c r="K147" s="3">
        <v>0.022293164024183625</v>
      </c>
      <c r="L147" s="3">
        <v>0.043065</v>
      </c>
      <c r="M147" s="3">
        <v>0.004642956634785031</v>
      </c>
      <c r="N147" s="3">
        <v>0.8499787505312367</v>
      </c>
      <c r="O147" s="3">
        <v>0.39566352773601327</v>
      </c>
      <c r="P147" s="3">
        <v>1.7321416198988429</v>
      </c>
      <c r="Q147" s="3">
        <v>0.7338910905621606</v>
      </c>
      <c r="R147" s="3">
        <v>4.0367</v>
      </c>
      <c r="S147" s="3">
        <v>1.9067594622938315</v>
      </c>
      <c r="T147" s="3">
        <v>0.09096366911055724</v>
      </c>
      <c r="U147" s="3">
        <v>1.8216263480034975</v>
      </c>
      <c r="V147" s="3">
        <v>0.7490075649764063</v>
      </c>
      <c r="W147" s="3">
        <v>5.3844</v>
      </c>
      <c r="X147" s="3">
        <v>0.21316961906589071</v>
      </c>
      <c r="Y147" s="3">
        <v>0.1523869898083581</v>
      </c>
      <c r="Z147" s="3">
        <v>6.859400000000001</v>
      </c>
      <c r="AA147" s="3">
        <v>0.4182700351346829</v>
      </c>
    </row>
    <row r="148" spans="1:27">
      <c r="A148" t="s">
        <v>318</v>
      </c>
      <c r="B148" s="3">
        <v>1.862370798025887</v>
      </c>
      <c r="C148" s="3">
        <v>4.8966</v>
      </c>
      <c r="D148" s="3">
        <v>5.0081999999999995</v>
      </c>
      <c r="E148" s="3">
        <v>8.7689</v>
      </c>
      <c r="F148" s="3">
        <v>1</v>
      </c>
      <c r="G148" s="3">
        <v>1.075268817204301</v>
      </c>
      <c r="H148" s="3">
        <v>8.036200000000001</v>
      </c>
      <c r="I148" s="3">
        <v>9.2446</v>
      </c>
      <c r="J148" s="3">
        <v>0.8764</v>
      </c>
      <c r="K148" s="3">
        <v>0.022105211966877553</v>
      </c>
      <c r="L148" s="3">
        <v>0.042976</v>
      </c>
      <c r="M148" s="3">
        <v>0.004616592031762153</v>
      </c>
      <c r="N148" s="3">
        <v>0.8504847763225039</v>
      </c>
      <c r="O148" s="3">
        <v>0.3954444795950649</v>
      </c>
      <c r="P148" s="3">
        <v>1.732892023498016</v>
      </c>
      <c r="Q148" s="3">
        <v>0.7325470661490001</v>
      </c>
      <c r="R148" s="3">
        <v>4.0360000000000005</v>
      </c>
      <c r="S148" s="3">
        <v>1.897065240073606</v>
      </c>
      <c r="T148" s="3">
        <v>0.09096449655699382</v>
      </c>
      <c r="U148" s="3">
        <v>1.823985408116735</v>
      </c>
      <c r="V148" s="3">
        <v>0.7449344457687723</v>
      </c>
      <c r="W148" s="3">
        <v>5.3738</v>
      </c>
      <c r="X148" s="3">
        <v>0.212300702715326</v>
      </c>
      <c r="Y148" s="3">
        <v>0.15236005728738153</v>
      </c>
      <c r="Z148" s="3">
        <v>6.8635</v>
      </c>
      <c r="AA148" s="3">
        <v>0.4155930512841825</v>
      </c>
    </row>
    <row r="149" spans="1:27">
      <c r="A149" t="s">
        <v>319</v>
      </c>
      <c r="B149" s="3">
        <v>1.8637244669748023</v>
      </c>
      <c r="C149" s="3">
        <v>4.9032</v>
      </c>
      <c r="D149" s="3">
        <v>5.0079</v>
      </c>
      <c r="E149" s="3">
        <v>8.7308</v>
      </c>
      <c r="F149" s="3">
        <v>1</v>
      </c>
      <c r="G149" s="3">
        <v>1.07284626113078</v>
      </c>
      <c r="H149" s="3">
        <v>8.0178</v>
      </c>
      <c r="I149" s="3">
        <v>9.2467</v>
      </c>
      <c r="J149" s="3">
        <v>0.8764799999999999</v>
      </c>
      <c r="K149" s="3">
        <v>0.02199658612983265</v>
      </c>
      <c r="L149" s="3">
        <v>0.042988</v>
      </c>
      <c r="M149" s="3">
        <v>0.0046219264189314106</v>
      </c>
      <c r="N149" s="3">
        <v>0.8505571149102663</v>
      </c>
      <c r="O149" s="3">
        <v>0.3953194180898166</v>
      </c>
      <c r="P149" s="3">
        <v>1.7332524482190832</v>
      </c>
      <c r="Q149" s="3">
        <v>0.7359434795407713</v>
      </c>
      <c r="R149" s="3">
        <v>4.0441</v>
      </c>
      <c r="S149" s="3">
        <v>1.8909310944709177</v>
      </c>
      <c r="T149" s="3">
        <v>0.09094629621208676</v>
      </c>
      <c r="U149" s="3">
        <v>1.8250839538618775</v>
      </c>
      <c r="V149" s="3">
        <v>0.743383883437407</v>
      </c>
      <c r="W149" s="3">
        <v>5.367999999999999</v>
      </c>
      <c r="X149" s="3">
        <v>0.21198566976872363</v>
      </c>
      <c r="Y149" s="3">
        <v>0.15245552491199504</v>
      </c>
      <c r="Z149" s="3">
        <v>6.865</v>
      </c>
      <c r="AA149" s="3">
        <v>0.4158522892668524</v>
      </c>
    </row>
    <row r="150" spans="1:27">
      <c r="A150" t="s">
        <v>320</v>
      </c>
      <c r="B150" s="3">
        <v>1.8656020297750084</v>
      </c>
      <c r="C150" s="3">
        <v>4.8884</v>
      </c>
      <c r="D150" s="3">
        <v>5.0028</v>
      </c>
      <c r="E150" s="3">
        <v>8.7201</v>
      </c>
      <c r="F150" s="3">
        <v>1</v>
      </c>
      <c r="G150" s="3">
        <v>1.0715816545220749</v>
      </c>
      <c r="H150" s="3">
        <v>8.0079</v>
      </c>
      <c r="I150" s="3">
        <v>9.2304</v>
      </c>
      <c r="J150" s="3">
        <v>0.87666</v>
      </c>
      <c r="K150" s="3">
        <v>0.02185768461546868</v>
      </c>
      <c r="L150" s="3">
        <v>0.042944</v>
      </c>
      <c r="M150" s="3">
        <v>0.004618937644341801</v>
      </c>
      <c r="N150" s="3">
        <v>0.8507742045261187</v>
      </c>
      <c r="O150" s="3">
        <v>0.3938558487593541</v>
      </c>
      <c r="P150" s="3">
        <v>1.7289970088351747</v>
      </c>
      <c r="Q150" s="3">
        <v>0.7345919341805627</v>
      </c>
      <c r="R150" s="3">
        <v>4.0126</v>
      </c>
      <c r="S150" s="3">
        <v>1.8887168058021384</v>
      </c>
      <c r="T150" s="3">
        <v>0.09031220930757627</v>
      </c>
      <c r="U150" s="3">
        <v>1.8268844312908763</v>
      </c>
      <c r="V150" s="3">
        <v>0.7402472425790214</v>
      </c>
      <c r="W150" s="3">
        <v>5.3637</v>
      </c>
      <c r="X150" s="3">
        <v>0.21081035500463785</v>
      </c>
      <c r="Y150" s="3">
        <v>0.15242345675060626</v>
      </c>
      <c r="Z150" s="3">
        <v>6.8674</v>
      </c>
      <c r="AA150" s="3">
        <v>0.4122351389232418</v>
      </c>
    </row>
    <row r="151" spans="1:27">
      <c r="A151" t="s">
        <v>321</v>
      </c>
      <c r="B151" s="3">
        <v>1.8656020297750084</v>
      </c>
      <c r="C151" s="3">
        <v>4.8884</v>
      </c>
      <c r="D151" s="3">
        <v>5.0028</v>
      </c>
      <c r="E151" s="3">
        <v>8.7201</v>
      </c>
      <c r="F151" s="3">
        <v>1</v>
      </c>
      <c r="G151" s="3">
        <v>1.0715816545220749</v>
      </c>
      <c r="H151" s="3">
        <v>8.0079</v>
      </c>
      <c r="I151" s="3">
        <v>9.2304</v>
      </c>
      <c r="J151" s="3">
        <v>0.87666</v>
      </c>
      <c r="K151" s="3">
        <v>0.02185768461546868</v>
      </c>
      <c r="L151" s="3">
        <v>0.042944</v>
      </c>
      <c r="M151" s="3">
        <v>0.004618937644341801</v>
      </c>
      <c r="N151" s="3">
        <v>0.8507742045261187</v>
      </c>
      <c r="O151" s="3">
        <v>0.3938558487593541</v>
      </c>
      <c r="P151" s="3">
        <v>1.7289970088351747</v>
      </c>
      <c r="Q151" s="3">
        <v>0.7345919341805627</v>
      </c>
      <c r="R151" s="3">
        <v>4.0126</v>
      </c>
      <c r="S151" s="3">
        <v>1.8887168058021384</v>
      </c>
      <c r="T151" s="3">
        <v>0.09031220930757627</v>
      </c>
      <c r="U151" s="3">
        <v>1.8268844312908763</v>
      </c>
      <c r="V151" s="3">
        <v>0.7402472425790214</v>
      </c>
      <c r="W151" s="3">
        <v>5.3637</v>
      </c>
      <c r="X151" s="3">
        <v>0.21081035500463785</v>
      </c>
      <c r="Y151" s="3">
        <v>0.15242345675060626</v>
      </c>
      <c r="Z151" s="3">
        <v>6.8674</v>
      </c>
      <c r="AA151" s="3">
        <v>0.4122351389232418</v>
      </c>
    </row>
    <row r="152" spans="1:27">
      <c r="A152" t="s">
        <v>322</v>
      </c>
      <c r="B152" s="3">
        <v>1.8656020297750084</v>
      </c>
      <c r="C152" s="3">
        <v>4.8884</v>
      </c>
      <c r="D152" s="3">
        <v>5.0028</v>
      </c>
      <c r="E152" s="3">
        <v>8.7201</v>
      </c>
      <c r="F152" s="3">
        <v>1</v>
      </c>
      <c r="G152" s="3">
        <v>1.0715816545220749</v>
      </c>
      <c r="H152" s="3">
        <v>8.0079</v>
      </c>
      <c r="I152" s="3">
        <v>9.2304</v>
      </c>
      <c r="J152" s="3">
        <v>0.87666</v>
      </c>
      <c r="K152" s="3">
        <v>0.02185768461546868</v>
      </c>
      <c r="L152" s="3">
        <v>0.042944</v>
      </c>
      <c r="M152" s="3">
        <v>0.004618937644341801</v>
      </c>
      <c r="N152" s="3">
        <v>0.8507742045261187</v>
      </c>
      <c r="O152" s="3">
        <v>0.3938558487593541</v>
      </c>
      <c r="P152" s="3">
        <v>1.7289970088351747</v>
      </c>
      <c r="Q152" s="3">
        <v>0.7345919341805627</v>
      </c>
      <c r="R152" s="3">
        <v>4.0126</v>
      </c>
      <c r="S152" s="3">
        <v>1.8887168058021384</v>
      </c>
      <c r="T152" s="3">
        <v>0.09031220930757627</v>
      </c>
      <c r="U152" s="3">
        <v>1.8268844312908763</v>
      </c>
      <c r="V152" s="3">
        <v>0.7402472425790214</v>
      </c>
      <c r="W152" s="3">
        <v>5.3637</v>
      </c>
      <c r="X152" s="3">
        <v>0.21081035500463785</v>
      </c>
      <c r="Y152" s="3">
        <v>0.15242345675060626</v>
      </c>
      <c r="Z152" s="3">
        <v>6.8674</v>
      </c>
      <c r="AA152" s="3">
        <v>0.4122351389232418</v>
      </c>
    </row>
    <row r="153" spans="1:27">
      <c r="A153" t="s">
        <v>323</v>
      </c>
      <c r="B153" s="3">
        <v>1.8632730253964112</v>
      </c>
      <c r="C153" s="3">
        <v>4.890899999999999</v>
      </c>
      <c r="D153" s="3">
        <v>5.0036000000000005</v>
      </c>
      <c r="E153" s="3">
        <v>8.7096</v>
      </c>
      <c r="F153" s="3">
        <v>1</v>
      </c>
      <c r="G153" s="3">
        <v>1.0726161106939829</v>
      </c>
      <c r="H153" s="3">
        <v>8.0173</v>
      </c>
      <c r="I153" s="3">
        <v>9.2526</v>
      </c>
      <c r="J153" s="3">
        <v>0.87536</v>
      </c>
      <c r="K153" s="3">
        <v>0.02198188692517366</v>
      </c>
      <c r="L153" s="3">
        <v>0.042952</v>
      </c>
      <c r="M153" s="3">
        <v>0.004634349800722959</v>
      </c>
      <c r="N153" s="3">
        <v>0.8491847826086956</v>
      </c>
      <c r="O153" s="3">
        <v>0.3937317899047169</v>
      </c>
      <c r="P153" s="3">
        <v>1.729266099467386</v>
      </c>
      <c r="Q153" s="3">
        <v>0.7341604874825637</v>
      </c>
      <c r="R153" s="3">
        <v>4.0192000000000005</v>
      </c>
      <c r="S153" s="3">
        <v>1.8912529550827424</v>
      </c>
      <c r="T153" s="3">
        <v>0.090802604218689</v>
      </c>
      <c r="U153" s="3">
        <v>1.8246177425829289</v>
      </c>
      <c r="V153" s="3">
        <v>0.7405761682589054</v>
      </c>
      <c r="W153" s="3">
        <v>5.3639</v>
      </c>
      <c r="X153" s="3">
        <v>0.21098381754119455</v>
      </c>
      <c r="Y153" s="3">
        <v>0.15212410893303194</v>
      </c>
      <c r="Z153" s="3">
        <v>6.8579</v>
      </c>
      <c r="AA153" s="3">
        <v>0.41315485043794414</v>
      </c>
    </row>
    <row r="154" spans="1:27">
      <c r="A154" t="s">
        <v>324</v>
      </c>
      <c r="B154" s="3">
        <v>1.8625789267820223</v>
      </c>
      <c r="C154" s="3">
        <v>4.9177</v>
      </c>
      <c r="D154" s="3">
        <v>5.0215</v>
      </c>
      <c r="E154" s="3">
        <v>8.7147</v>
      </c>
      <c r="F154" s="3">
        <v>1</v>
      </c>
      <c r="G154" s="3">
        <v>1.07342206955775</v>
      </c>
      <c r="H154" s="3">
        <v>8.0207</v>
      </c>
      <c r="I154" s="3">
        <v>9.2611</v>
      </c>
      <c r="J154" s="3">
        <v>0.8751399999999999</v>
      </c>
      <c r="K154" s="3">
        <v>0.022039393211426103</v>
      </c>
      <c r="L154" s="3">
        <v>0.042954</v>
      </c>
      <c r="M154" s="3">
        <v>0.00463628355510223</v>
      </c>
      <c r="N154" s="3">
        <v>0.8492569002123143</v>
      </c>
      <c r="O154" s="3">
        <v>0.39405761122276073</v>
      </c>
      <c r="P154" s="3">
        <v>1.7338234274221511</v>
      </c>
      <c r="Q154" s="3">
        <v>0.7368110816386678</v>
      </c>
      <c r="R154" s="3">
        <v>4.0438</v>
      </c>
      <c r="S154" s="3">
        <v>1.8908953389429897</v>
      </c>
      <c r="T154" s="3">
        <v>0.0911917854439672</v>
      </c>
      <c r="U154" s="3">
        <v>1.823885605894798</v>
      </c>
      <c r="V154" s="3">
        <v>0.7421150278293135</v>
      </c>
      <c r="W154" s="3">
        <v>5.372000000000001</v>
      </c>
      <c r="X154" s="3">
        <v>0.21121554546414617</v>
      </c>
      <c r="Y154" s="3">
        <v>0.1519692171153811</v>
      </c>
      <c r="Z154" s="3">
        <v>6.8589</v>
      </c>
      <c r="AA154" s="3">
        <v>0.4139929621196439</v>
      </c>
    </row>
    <row r="155" spans="1:27">
      <c r="A155" t="s">
        <v>325</v>
      </c>
      <c r="B155" s="3">
        <v>1.8641066268990585</v>
      </c>
      <c r="C155" s="3">
        <v>4.9191</v>
      </c>
      <c r="D155" s="3">
        <v>5.0038</v>
      </c>
      <c r="E155" s="3">
        <v>8.6806</v>
      </c>
      <c r="F155" s="3">
        <v>1</v>
      </c>
      <c r="G155" s="3">
        <v>1.07342206955775</v>
      </c>
      <c r="H155" s="3">
        <v>8.0226</v>
      </c>
      <c r="I155" s="3">
        <v>9.2603</v>
      </c>
      <c r="J155" s="3">
        <v>0.87563</v>
      </c>
      <c r="K155" s="3">
        <v>0.022076370997829897</v>
      </c>
      <c r="L155" s="3">
        <v>0.042944</v>
      </c>
      <c r="M155" s="3">
        <v>0.0046433878157503715</v>
      </c>
      <c r="N155" s="3">
        <v>0.849689863199932</v>
      </c>
      <c r="O155" s="3">
        <v>0.3941818755173637</v>
      </c>
      <c r="P155" s="3">
        <v>1.734124093920161</v>
      </c>
      <c r="Q155" s="3">
        <v>0.7344300822561692</v>
      </c>
      <c r="R155" s="3">
        <v>4.0312</v>
      </c>
      <c r="S155" s="3">
        <v>1.889573334341106</v>
      </c>
      <c r="T155" s="3">
        <v>0.0909446419964168</v>
      </c>
      <c r="U155" s="3">
        <v>1.8253837869412044</v>
      </c>
      <c r="V155" s="3">
        <v>0.7390983000739098</v>
      </c>
      <c r="W155" s="3">
        <v>5.3660000000000005</v>
      </c>
      <c r="X155" s="3">
        <v>0.21041999831664</v>
      </c>
      <c r="Y155" s="3">
        <v>0.1519752219598117</v>
      </c>
      <c r="Z155" s="3">
        <v>6.8608</v>
      </c>
      <c r="AA155" s="3">
        <v>0.4142502071251036</v>
      </c>
    </row>
    <row r="156" spans="1:27">
      <c r="A156" t="s">
        <v>71</v>
      </c>
      <c r="B156" s="3">
        <v>1.8656020297750084</v>
      </c>
      <c r="C156" s="3">
        <v>4.8824000000000005</v>
      </c>
      <c r="D156" s="3">
        <v>5.008500000000001</v>
      </c>
      <c r="E156" s="3">
        <v>8.6659</v>
      </c>
      <c r="F156" s="3">
        <v>1</v>
      </c>
      <c r="G156" s="3">
        <v>1.0714668381013608</v>
      </c>
      <c r="H156" s="3">
        <v>8.005700000000001</v>
      </c>
      <c r="I156" s="3">
        <v>9.2416</v>
      </c>
      <c r="J156" s="3">
        <v>0.87581</v>
      </c>
      <c r="K156" s="3">
        <v>0.02191905730518342</v>
      </c>
      <c r="L156" s="3">
        <v>0.042812</v>
      </c>
      <c r="M156" s="3">
        <v>0.004606384448846101</v>
      </c>
      <c r="N156" s="3">
        <v>0.8499065102838688</v>
      </c>
      <c r="O156" s="3">
        <v>0.3910833007430583</v>
      </c>
      <c r="P156" s="3">
        <v>1.7326518236160442</v>
      </c>
      <c r="Q156" s="3">
        <v>0.7348078477478139</v>
      </c>
      <c r="R156" s="3">
        <v>4</v>
      </c>
      <c r="S156" s="3">
        <v>1.8801940360245175</v>
      </c>
      <c r="T156" s="3">
        <v>0.09143525926467765</v>
      </c>
      <c r="U156" s="3">
        <v>1.8269178069678644</v>
      </c>
      <c r="V156" s="3">
        <v>0.7359976448075366</v>
      </c>
      <c r="W156" s="3">
        <v>5.3518</v>
      </c>
      <c r="X156" s="3">
        <v>0.20891219420477572</v>
      </c>
      <c r="Y156" s="3">
        <v>0.15173355587588197</v>
      </c>
      <c r="Z156" s="3">
        <v>6.8628</v>
      </c>
      <c r="AA156" s="3">
        <v>0.4073817574449016</v>
      </c>
    </row>
    <row r="157" spans="1:27">
      <c r="A157" t="s">
        <v>326</v>
      </c>
      <c r="B157" s="3">
        <v>1.8656020297750084</v>
      </c>
      <c r="C157" s="3">
        <v>4.8824000000000005</v>
      </c>
      <c r="D157" s="3">
        <v>5.008500000000001</v>
      </c>
      <c r="E157" s="3">
        <v>8.6659</v>
      </c>
      <c r="F157" s="3">
        <v>1</v>
      </c>
      <c r="G157" s="3">
        <v>1.0714668381013608</v>
      </c>
      <c r="H157" s="3">
        <v>8.005700000000001</v>
      </c>
      <c r="I157" s="3">
        <v>9.2416</v>
      </c>
      <c r="J157" s="3">
        <v>0.87581</v>
      </c>
      <c r="K157" s="3">
        <v>0.02191905730518342</v>
      </c>
      <c r="L157" s="3">
        <v>0.042812</v>
      </c>
      <c r="M157" s="3">
        <v>0.004606384448846101</v>
      </c>
      <c r="N157" s="3">
        <v>0.8499065102838688</v>
      </c>
      <c r="O157" s="3">
        <v>0.3910833007430583</v>
      </c>
      <c r="P157" s="3">
        <v>1.7326518236160442</v>
      </c>
      <c r="Q157" s="3">
        <v>0.7348078477478139</v>
      </c>
      <c r="R157" s="3">
        <v>4</v>
      </c>
      <c r="S157" s="3">
        <v>1.8801940360245175</v>
      </c>
      <c r="T157" s="3">
        <v>0.09143525926467765</v>
      </c>
      <c r="U157" s="3">
        <v>1.8269178069678644</v>
      </c>
      <c r="V157" s="3">
        <v>0.7359976448075366</v>
      </c>
      <c r="W157" s="3">
        <v>5.3518</v>
      </c>
      <c r="X157" s="3">
        <v>0.20891219420477572</v>
      </c>
      <c r="Y157" s="3">
        <v>0.15173355587588197</v>
      </c>
      <c r="Z157" s="3">
        <v>6.8628</v>
      </c>
      <c r="AA157" s="3">
        <v>0.4073817574449016</v>
      </c>
    </row>
    <row r="158" spans="1:27">
      <c r="A158" t="s">
        <v>327</v>
      </c>
      <c r="B158" s="3">
        <v>1.8656020297750084</v>
      </c>
      <c r="C158" s="3">
        <v>4.8824000000000005</v>
      </c>
      <c r="D158" s="3">
        <v>5.008500000000001</v>
      </c>
      <c r="E158" s="3">
        <v>8.6659</v>
      </c>
      <c r="F158" s="3">
        <v>1</v>
      </c>
      <c r="G158" s="3">
        <v>1.0714668381013608</v>
      </c>
      <c r="H158" s="3">
        <v>8.005700000000001</v>
      </c>
      <c r="I158" s="3">
        <v>9.2416</v>
      </c>
      <c r="J158" s="3">
        <v>0.87581</v>
      </c>
      <c r="K158" s="3">
        <v>0.02191905730518342</v>
      </c>
      <c r="L158" s="3">
        <v>0.042812</v>
      </c>
      <c r="M158" s="3">
        <v>0.004606384448846101</v>
      </c>
      <c r="N158" s="3">
        <v>0.8499065102838688</v>
      </c>
      <c r="O158" s="3">
        <v>0.3910833007430583</v>
      </c>
      <c r="P158" s="3">
        <v>1.7326518236160442</v>
      </c>
      <c r="Q158" s="3">
        <v>0.7348078477478139</v>
      </c>
      <c r="R158" s="3">
        <v>4</v>
      </c>
      <c r="S158" s="3">
        <v>1.8801940360245175</v>
      </c>
      <c r="T158" s="3">
        <v>0.09143525926467765</v>
      </c>
      <c r="U158" s="3">
        <v>1.8269178069678644</v>
      </c>
      <c r="V158" s="3">
        <v>0.7359976448075366</v>
      </c>
      <c r="W158" s="3">
        <v>5.3518</v>
      </c>
      <c r="X158" s="3">
        <v>0.20891219420477572</v>
      </c>
      <c r="Y158" s="3">
        <v>0.15173355587588197</v>
      </c>
      <c r="Z158" s="3">
        <v>6.8628</v>
      </c>
      <c r="AA158" s="3">
        <v>0.4073817574449016</v>
      </c>
    </row>
    <row r="159" spans="1:27">
      <c r="A159" t="s">
        <v>328</v>
      </c>
      <c r="B159" s="3">
        <v>1.8656020297750084</v>
      </c>
      <c r="C159" s="3">
        <v>4.8824000000000005</v>
      </c>
      <c r="D159" s="3">
        <v>5.008500000000001</v>
      </c>
      <c r="E159" s="3">
        <v>8.6659</v>
      </c>
      <c r="F159" s="3">
        <v>1</v>
      </c>
      <c r="G159" s="3">
        <v>1.0714668381013608</v>
      </c>
      <c r="H159" s="3">
        <v>8.005700000000001</v>
      </c>
      <c r="I159" s="3">
        <v>9.2416</v>
      </c>
      <c r="J159" s="3">
        <v>0.87581</v>
      </c>
      <c r="K159" s="3">
        <v>0.02191905730518342</v>
      </c>
      <c r="L159" s="3">
        <v>0.042812</v>
      </c>
      <c r="M159" s="3">
        <v>0.004606384448846101</v>
      </c>
      <c r="N159" s="3">
        <v>0.8499065102838688</v>
      </c>
      <c r="O159" s="3">
        <v>0.3910833007430583</v>
      </c>
      <c r="P159" s="3">
        <v>1.7326518236160442</v>
      </c>
      <c r="Q159" s="3">
        <v>0.7348078477478139</v>
      </c>
      <c r="R159" s="3">
        <v>4</v>
      </c>
      <c r="S159" s="3">
        <v>1.8801940360245175</v>
      </c>
      <c r="T159" s="3">
        <v>0.09143525926467765</v>
      </c>
      <c r="U159" s="3">
        <v>1.8269178069678644</v>
      </c>
      <c r="V159" s="3">
        <v>0.7359976448075366</v>
      </c>
      <c r="W159" s="3">
        <v>5.3518</v>
      </c>
      <c r="X159" s="3">
        <v>0.20891219420477572</v>
      </c>
      <c r="Y159" s="3">
        <v>0.15173355587588197</v>
      </c>
      <c r="Z159" s="3">
        <v>6.8628</v>
      </c>
      <c r="AA159" s="3">
        <v>0.4073817574449016</v>
      </c>
    </row>
    <row r="160" spans="1:27">
      <c r="A160" t="s">
        <v>329</v>
      </c>
      <c r="B160" s="3">
        <v>1.8656020297750084</v>
      </c>
      <c r="C160" s="3">
        <v>4.8824000000000005</v>
      </c>
      <c r="D160" s="3">
        <v>5.008500000000001</v>
      </c>
      <c r="E160" s="3">
        <v>8.6659</v>
      </c>
      <c r="F160" s="3">
        <v>1</v>
      </c>
      <c r="G160" s="3">
        <v>1.0714668381013608</v>
      </c>
      <c r="H160" s="3">
        <v>8.005700000000001</v>
      </c>
      <c r="I160" s="3">
        <v>9.2416</v>
      </c>
      <c r="J160" s="3">
        <v>0.87581</v>
      </c>
      <c r="K160" s="3">
        <v>0.02191905730518342</v>
      </c>
      <c r="L160" s="3">
        <v>0.042812</v>
      </c>
      <c r="M160" s="3">
        <v>0.004606384448846101</v>
      </c>
      <c r="N160" s="3">
        <v>0.8499065102838688</v>
      </c>
      <c r="O160" s="3">
        <v>0.3910833007430583</v>
      </c>
      <c r="P160" s="3">
        <v>1.7326518236160442</v>
      </c>
      <c r="Q160" s="3">
        <v>0.7348078477478139</v>
      </c>
      <c r="R160" s="3">
        <v>4</v>
      </c>
      <c r="S160" s="3">
        <v>1.8801940360245175</v>
      </c>
      <c r="T160" s="3">
        <v>0.09143525926467765</v>
      </c>
      <c r="U160" s="3">
        <v>1.8269178069678644</v>
      </c>
      <c r="V160" s="3">
        <v>0.7359976448075366</v>
      </c>
      <c r="W160" s="3">
        <v>5.3518</v>
      </c>
      <c r="X160" s="3">
        <v>0.20891219420477572</v>
      </c>
      <c r="Y160" s="3">
        <v>0.15173355587588197</v>
      </c>
      <c r="Z160" s="3">
        <v>6.8628</v>
      </c>
      <c r="AA160" s="3">
        <v>0.4073817574449016</v>
      </c>
    </row>
    <row r="161" spans="1:27">
      <c r="A161" t="s">
        <v>330</v>
      </c>
      <c r="B161" s="3">
        <v>1.8656020297750084</v>
      </c>
      <c r="C161" s="3">
        <v>4.8824000000000005</v>
      </c>
      <c r="D161" s="3">
        <v>5.008500000000001</v>
      </c>
      <c r="E161" s="3">
        <v>8.6659</v>
      </c>
      <c r="F161" s="3">
        <v>1</v>
      </c>
      <c r="G161" s="3">
        <v>1.0714668381013608</v>
      </c>
      <c r="H161" s="3">
        <v>8.005700000000001</v>
      </c>
      <c r="I161" s="3">
        <v>9.2416</v>
      </c>
      <c r="J161" s="3">
        <v>0.87581</v>
      </c>
      <c r="K161" s="3">
        <v>0.02191905730518342</v>
      </c>
      <c r="L161" s="3">
        <v>0.042812</v>
      </c>
      <c r="M161" s="3">
        <v>0.004606384448846101</v>
      </c>
      <c r="N161" s="3">
        <v>0.8499065102838688</v>
      </c>
      <c r="O161" s="3">
        <v>0.3910833007430583</v>
      </c>
      <c r="P161" s="3">
        <v>1.7326518236160442</v>
      </c>
      <c r="Q161" s="3">
        <v>0.7348078477478139</v>
      </c>
      <c r="R161" s="3">
        <v>4</v>
      </c>
      <c r="S161" s="3">
        <v>1.8801940360245175</v>
      </c>
      <c r="T161" s="3">
        <v>0.09143525926467765</v>
      </c>
      <c r="U161" s="3">
        <v>1.8269178069678644</v>
      </c>
      <c r="V161" s="3">
        <v>0.7359976448075366</v>
      </c>
      <c r="W161" s="3">
        <v>5.3518</v>
      </c>
      <c r="X161" s="3">
        <v>0.20891219420477572</v>
      </c>
      <c r="Y161" s="3">
        <v>0.15173355587588197</v>
      </c>
      <c r="Z161" s="3">
        <v>6.8628</v>
      </c>
      <c r="AA161" s="3">
        <v>0.4073817574449016</v>
      </c>
    </row>
    <row r="162" spans="1:27">
      <c r="A162" t="s">
        <v>331</v>
      </c>
      <c r="B162" s="3">
        <v>1.8602228546979929</v>
      </c>
      <c r="C162" s="3">
        <v>4.9245</v>
      </c>
      <c r="D162" s="3">
        <v>5.0224</v>
      </c>
      <c r="E162" s="3">
        <v>8.747300000000001</v>
      </c>
      <c r="F162" s="3">
        <v>1</v>
      </c>
      <c r="G162" s="3">
        <v>1.0719262514738983</v>
      </c>
      <c r="H162" s="3">
        <v>8.009400000000001</v>
      </c>
      <c r="I162" s="3">
        <v>9.2712</v>
      </c>
      <c r="J162" s="3">
        <v>0.87504</v>
      </c>
      <c r="K162" s="3">
        <v>0.022195291934674816</v>
      </c>
      <c r="L162" s="3">
        <v>0.043338</v>
      </c>
      <c r="M162" s="3">
        <v>0.004654843364520784</v>
      </c>
      <c r="N162" s="3">
        <v>0.8491847826086956</v>
      </c>
      <c r="O162" s="3">
        <v>0.39471087428458657</v>
      </c>
      <c r="P162" s="3">
        <v>1.728429203539823</v>
      </c>
      <c r="Q162" s="3">
        <v>0.7390983000739098</v>
      </c>
      <c r="R162" s="3">
        <v>4.0362</v>
      </c>
      <c r="S162" s="3">
        <v>1.8887168058021384</v>
      </c>
      <c r="T162" s="3">
        <v>0.09041346075603736</v>
      </c>
      <c r="U162" s="3">
        <v>1.8207971449900768</v>
      </c>
      <c r="V162" s="3">
        <v>0.7396449704142013</v>
      </c>
      <c r="W162" s="3">
        <v>5.3677</v>
      </c>
      <c r="X162" s="3">
        <v>0.21039343572480537</v>
      </c>
      <c r="Y162" s="3">
        <v>0.15112428914912493</v>
      </c>
      <c r="Z162" s="3">
        <v>6.8562</v>
      </c>
      <c r="AA162" s="3">
        <v>0.4123201253453181</v>
      </c>
    </row>
    <row r="163" spans="1:27">
      <c r="A163" t="s">
        <v>332</v>
      </c>
      <c r="B163" s="3">
        <v>1.8585287886109356</v>
      </c>
      <c r="C163" s="3">
        <v>4.9401</v>
      </c>
      <c r="D163" s="3">
        <v>5.007</v>
      </c>
      <c r="E163" s="3">
        <v>8.7721</v>
      </c>
      <c r="F163" s="3">
        <v>1</v>
      </c>
      <c r="G163" s="3">
        <v>1.073767851390529</v>
      </c>
      <c r="H163" s="3">
        <v>8.0251</v>
      </c>
      <c r="I163" s="3">
        <v>9.2826</v>
      </c>
      <c r="J163" s="3">
        <v>0.8741500000000001</v>
      </c>
      <c r="K163" s="3">
        <v>0.022406001223367663</v>
      </c>
      <c r="L163" s="3">
        <v>0.043661000000000005</v>
      </c>
      <c r="M163" s="3">
        <v>0.004708541293907148</v>
      </c>
      <c r="N163" s="3">
        <v>0.8483203257550052</v>
      </c>
      <c r="O163" s="3">
        <v>0.396432111000991</v>
      </c>
      <c r="P163" s="3">
        <v>1.7429801474561206</v>
      </c>
      <c r="Q163" s="3">
        <v>0.734322220590395</v>
      </c>
      <c r="R163" s="3">
        <v>4.063</v>
      </c>
      <c r="S163" s="3">
        <v>1.898289641033429</v>
      </c>
      <c r="T163" s="3">
        <v>0.09106804604400408</v>
      </c>
      <c r="U163" s="3">
        <v>1.81967063961423</v>
      </c>
      <c r="V163" s="3">
        <v>0.7391529307413705</v>
      </c>
      <c r="W163" s="3">
        <v>5.388400000000001</v>
      </c>
      <c r="X163" s="3">
        <v>0.21153724113130115</v>
      </c>
      <c r="Y163" s="3">
        <v>0.15102295397877524</v>
      </c>
      <c r="Z163" s="3">
        <v>6.8487</v>
      </c>
      <c r="AA163" s="3">
        <v>0.4166666666666667</v>
      </c>
    </row>
    <row r="164" spans="1:27">
      <c r="A164" t="s">
        <v>333</v>
      </c>
      <c r="B164" s="3">
        <v>1.859565605474561</v>
      </c>
      <c r="C164" s="3">
        <v>4.9232</v>
      </c>
      <c r="D164" s="3">
        <v>4.9985</v>
      </c>
      <c r="E164" s="3">
        <v>8.7569</v>
      </c>
      <c r="F164" s="3">
        <v>1</v>
      </c>
      <c r="G164" s="3">
        <v>1.072271070126528</v>
      </c>
      <c r="H164" s="3">
        <v>8.0139</v>
      </c>
      <c r="I164" s="3">
        <v>9.2599</v>
      </c>
      <c r="J164" s="3">
        <v>0.8746299999999999</v>
      </c>
      <c r="K164" s="3">
        <v>0.02249359494883832</v>
      </c>
      <c r="L164" s="3">
        <v>0.043559</v>
      </c>
      <c r="M164" s="3">
        <v>0.004675737597606022</v>
      </c>
      <c r="N164" s="3">
        <v>0.8487523340689187</v>
      </c>
      <c r="O164" s="3">
        <v>0.39556962025316456</v>
      </c>
      <c r="P164" s="3">
        <v>1.748710326134476</v>
      </c>
      <c r="Q164" s="3">
        <v>0.7338372349012988</v>
      </c>
      <c r="R164" s="3">
        <v>4.0561</v>
      </c>
      <c r="S164" s="3">
        <v>1.895662723688201</v>
      </c>
      <c r="T164" s="3">
        <v>0.09131586156515388</v>
      </c>
      <c r="U164" s="3">
        <v>1.8209629251948432</v>
      </c>
      <c r="V164" s="3">
        <v>0.7361059992638941</v>
      </c>
      <c r="W164" s="3">
        <v>5.3839</v>
      </c>
      <c r="X164" s="3">
        <v>0.21138967572823744</v>
      </c>
      <c r="Y164" s="3">
        <v>0.15087530307076505</v>
      </c>
      <c r="Z164" s="3">
        <v>6.8502</v>
      </c>
      <c r="AA164" s="3">
        <v>0.41500664010624166</v>
      </c>
    </row>
    <row r="165" spans="1:27">
      <c r="A165" t="s">
        <v>334</v>
      </c>
      <c r="B165" s="3">
        <v>1.859565605474561</v>
      </c>
      <c r="C165" s="3">
        <v>4.9232</v>
      </c>
      <c r="D165" s="3">
        <v>4.9985</v>
      </c>
      <c r="E165" s="3">
        <v>8.7569</v>
      </c>
      <c r="F165" s="3">
        <v>1</v>
      </c>
      <c r="G165" s="3">
        <v>1.072271070126528</v>
      </c>
      <c r="H165" s="3">
        <v>8.0139</v>
      </c>
      <c r="I165" s="3">
        <v>9.2599</v>
      </c>
      <c r="J165" s="3">
        <v>0.8746299999999999</v>
      </c>
      <c r="K165" s="3">
        <v>0.02249359494883832</v>
      </c>
      <c r="L165" s="3">
        <v>0.043559</v>
      </c>
      <c r="M165" s="3">
        <v>0.004675737597606022</v>
      </c>
      <c r="N165" s="3">
        <v>0.8487523340689187</v>
      </c>
      <c r="O165" s="3">
        <v>0.39556962025316456</v>
      </c>
      <c r="P165" s="3">
        <v>1.748710326134476</v>
      </c>
      <c r="Q165" s="3">
        <v>0.7338372349012988</v>
      </c>
      <c r="R165" s="3">
        <v>4.0561</v>
      </c>
      <c r="S165" s="3">
        <v>1.895662723688201</v>
      </c>
      <c r="T165" s="3">
        <v>0.09131586156515388</v>
      </c>
      <c r="U165" s="3">
        <v>1.8209629251948432</v>
      </c>
      <c r="V165" s="3">
        <v>0.7361059992638941</v>
      </c>
      <c r="W165" s="3">
        <v>5.3839</v>
      </c>
      <c r="X165" s="3">
        <v>0.21138967572823744</v>
      </c>
      <c r="Y165" s="3">
        <v>0.15087530307076505</v>
      </c>
      <c r="Z165" s="3">
        <v>6.8502</v>
      </c>
      <c r="AA165" s="3">
        <v>0.41500664010624166</v>
      </c>
    </row>
    <row r="166" spans="1:27">
      <c r="A166" t="s">
        <v>140</v>
      </c>
      <c r="B166" s="3">
        <v>1.859565605474561</v>
      </c>
      <c r="C166" s="3">
        <v>4.9232</v>
      </c>
      <c r="D166" s="3">
        <v>4.9985</v>
      </c>
      <c r="E166" s="3">
        <v>8.7569</v>
      </c>
      <c r="F166" s="3">
        <v>1</v>
      </c>
      <c r="G166" s="3">
        <v>1.072271070126528</v>
      </c>
      <c r="H166" s="3">
        <v>8.0139</v>
      </c>
      <c r="I166" s="3">
        <v>9.2599</v>
      </c>
      <c r="J166" s="3">
        <v>0.8746299999999999</v>
      </c>
      <c r="K166" s="3">
        <v>0.02249359494883832</v>
      </c>
      <c r="L166" s="3">
        <v>0.043559</v>
      </c>
      <c r="M166" s="3">
        <v>0.004675737597606022</v>
      </c>
      <c r="N166" s="3">
        <v>0.8487523340689187</v>
      </c>
      <c r="O166" s="3">
        <v>0.39556962025316456</v>
      </c>
      <c r="P166" s="3">
        <v>1.748710326134476</v>
      </c>
      <c r="Q166" s="3">
        <v>0.7338372349012988</v>
      </c>
      <c r="R166" s="3">
        <v>4.0561</v>
      </c>
      <c r="S166" s="3">
        <v>1.895662723688201</v>
      </c>
      <c r="T166" s="3">
        <v>0.09131586156515388</v>
      </c>
      <c r="U166" s="3">
        <v>1.8209629251948432</v>
      </c>
      <c r="V166" s="3">
        <v>0.7361059992638941</v>
      </c>
      <c r="W166" s="3">
        <v>5.3839</v>
      </c>
      <c r="X166" s="3">
        <v>0.21138967572823744</v>
      </c>
      <c r="Y166" s="3">
        <v>0.15087530307076505</v>
      </c>
      <c r="Z166" s="3">
        <v>6.8502</v>
      </c>
      <c r="AA166" s="3">
        <v>0.41500664010624166</v>
      </c>
    </row>
    <row r="167" spans="1:27">
      <c r="A167" t="s">
        <v>335</v>
      </c>
      <c r="B167" s="3">
        <v>1.8567343755802297</v>
      </c>
      <c r="C167" s="3">
        <v>4.937</v>
      </c>
      <c r="D167" s="3">
        <v>4.9843</v>
      </c>
      <c r="E167" s="3">
        <v>8.777899999999999</v>
      </c>
      <c r="F167" s="3">
        <v>1</v>
      </c>
      <c r="G167" s="3">
        <v>1.074575542660649</v>
      </c>
      <c r="H167" s="3">
        <v>8.025599999999999</v>
      </c>
      <c r="I167" s="3">
        <v>9.277</v>
      </c>
      <c r="J167" s="3">
        <v>0.87468</v>
      </c>
      <c r="K167" s="3">
        <v>0.02264964621252616</v>
      </c>
      <c r="L167" s="3">
        <v>0.043533</v>
      </c>
      <c r="M167" s="3">
        <v>0.004653110604439068</v>
      </c>
      <c r="N167" s="3">
        <v>0.8488243782361429</v>
      </c>
      <c r="O167" s="3">
        <v>0.3971563604591128</v>
      </c>
      <c r="P167" s="3">
        <v>1.7422209833095228</v>
      </c>
      <c r="Q167" s="3">
        <v>0.7403020432336392</v>
      </c>
      <c r="R167" s="3">
        <v>4.0593</v>
      </c>
      <c r="S167" s="3">
        <v>1.8968493332574592</v>
      </c>
      <c r="T167" s="3">
        <v>0.09162879343204808</v>
      </c>
      <c r="U167" s="3">
        <v>1.8179504426709328</v>
      </c>
      <c r="V167" s="3">
        <v>0.7384433613941811</v>
      </c>
      <c r="W167" s="3">
        <v>5.3815</v>
      </c>
      <c r="X167" s="3">
        <v>0.21110407430863415</v>
      </c>
      <c r="Y167" s="3">
        <v>0.15050970110278458</v>
      </c>
      <c r="Z167" s="3">
        <v>6.846699999999999</v>
      </c>
      <c r="AA167" s="3">
        <v>0.4155067104333735</v>
      </c>
    </row>
    <row r="168" spans="1:27">
      <c r="A168" t="s">
        <v>336</v>
      </c>
      <c r="B168" s="3">
        <v>1.856114039646596</v>
      </c>
      <c r="C168" s="3">
        <v>4.9413</v>
      </c>
      <c r="D168" s="3">
        <v>4.9838</v>
      </c>
      <c r="E168" s="3">
        <v>8.7705</v>
      </c>
      <c r="F168" s="3">
        <v>1</v>
      </c>
      <c r="G168" s="3">
        <v>1.0753844499408538</v>
      </c>
      <c r="H168" s="3">
        <v>8.0329</v>
      </c>
      <c r="I168" s="3">
        <v>9.2806</v>
      </c>
      <c r="J168" s="3">
        <v>0.87393</v>
      </c>
      <c r="K168" s="3">
        <v>0.022614201718679332</v>
      </c>
      <c r="L168" s="3">
        <v>0.043434999999999994</v>
      </c>
      <c r="M168" s="3">
        <v>0.004608294930875576</v>
      </c>
      <c r="N168" s="3">
        <v>0.8480325644504749</v>
      </c>
      <c r="O168" s="3">
        <v>0.397377309755613</v>
      </c>
      <c r="P168" s="3">
        <v>1.7402199638034248</v>
      </c>
      <c r="Q168" s="3">
        <v>0.7422251911229868</v>
      </c>
      <c r="R168" s="3">
        <v>4.0674</v>
      </c>
      <c r="S168" s="3">
        <v>1.8980374292981057</v>
      </c>
      <c r="T168" s="3">
        <v>0.09221774453840408</v>
      </c>
      <c r="U168" s="3">
        <v>1.8169925139908425</v>
      </c>
      <c r="V168" s="3">
        <v>0.7392622163081244</v>
      </c>
      <c r="W168" s="3">
        <v>5.3761</v>
      </c>
      <c r="X168" s="3">
        <v>0.21078813684365844</v>
      </c>
      <c r="Y168" s="3">
        <v>0.15038792565422507</v>
      </c>
      <c r="Z168" s="3">
        <v>6.8426</v>
      </c>
      <c r="AA168" s="3">
        <v>0.41517894212405543</v>
      </c>
    </row>
    <row r="169" spans="1:27">
      <c r="A169" t="s">
        <v>337</v>
      </c>
      <c r="B169" s="3">
        <v>1.8557351494794665</v>
      </c>
      <c r="C169" s="3">
        <v>4.9366</v>
      </c>
      <c r="D169" s="3">
        <v>4.9773000000000005</v>
      </c>
      <c r="E169" s="3">
        <v>8.743500000000001</v>
      </c>
      <c r="F169" s="3">
        <v>1</v>
      </c>
      <c r="G169" s="3">
        <v>1.0712372790573113</v>
      </c>
      <c r="H169" s="3">
        <v>8.0039</v>
      </c>
      <c r="I169" s="3">
        <v>9.2335</v>
      </c>
      <c r="J169" s="3">
        <v>0.87408</v>
      </c>
      <c r="K169" s="3">
        <v>0.022406001223367663</v>
      </c>
      <c r="L169" s="3">
        <v>0.043327</v>
      </c>
      <c r="M169" s="3">
        <v>0.00456141951375268</v>
      </c>
      <c r="N169" s="3">
        <v>0.8482483671218933</v>
      </c>
      <c r="O169" s="3">
        <v>0.3965736040609137</v>
      </c>
      <c r="P169" s="3">
        <v>1.7355386244120865</v>
      </c>
      <c r="Q169" s="3">
        <v>0.7420048972323217</v>
      </c>
      <c r="R169" s="3">
        <v>4.0594</v>
      </c>
      <c r="S169" s="3">
        <v>1.8843392564397292</v>
      </c>
      <c r="T169" s="3">
        <v>0.09203780913199142</v>
      </c>
      <c r="U169" s="3">
        <v>1.816497429656137</v>
      </c>
      <c r="V169" s="3">
        <v>0.7335680751173709</v>
      </c>
      <c r="W169" s="3">
        <v>5.3635</v>
      </c>
      <c r="X169" s="3">
        <v>0.21026072329688816</v>
      </c>
      <c r="Y169" s="3">
        <v>0.1502293250647113</v>
      </c>
      <c r="Z169" s="3">
        <v>6.8431</v>
      </c>
      <c r="AA169" s="3">
        <v>0.4132743728561392</v>
      </c>
    </row>
    <row r="170" spans="1:27">
      <c r="A170" t="s">
        <v>338</v>
      </c>
      <c r="B170" s="3">
        <v>1.854805801832548</v>
      </c>
      <c r="C170" s="3">
        <v>4.9458</v>
      </c>
      <c r="D170" s="3">
        <v>4.971</v>
      </c>
      <c r="E170" s="3">
        <v>8.7265</v>
      </c>
      <c r="F170" s="3">
        <v>1</v>
      </c>
      <c r="G170" s="3">
        <v>1.0687186063909373</v>
      </c>
      <c r="H170" s="3">
        <v>7.986000000000001</v>
      </c>
      <c r="I170" s="3">
        <v>9.2221</v>
      </c>
      <c r="J170" s="3">
        <v>0.87363</v>
      </c>
      <c r="K170" s="3">
        <v>0.02233035074281912</v>
      </c>
      <c r="L170" s="3">
        <v>0.04325999999999999</v>
      </c>
      <c r="M170" s="3">
        <v>0.004567670031516923</v>
      </c>
      <c r="N170" s="3">
        <v>0.847673137238281</v>
      </c>
      <c r="O170" s="3">
        <v>0.3977408320738207</v>
      </c>
      <c r="P170" s="3">
        <v>1.7369554644618912</v>
      </c>
      <c r="Q170" s="3">
        <v>0.7430524595036408</v>
      </c>
      <c r="R170" s="3">
        <v>4.0442</v>
      </c>
      <c r="S170" s="3">
        <v>1.8833810456531568</v>
      </c>
      <c r="T170" s="3">
        <v>0.09204712812960236</v>
      </c>
      <c r="U170" s="3">
        <v>1.815771793800955</v>
      </c>
      <c r="V170" s="3">
        <v>0.7308338814587444</v>
      </c>
      <c r="W170" s="3">
        <v>5.3585</v>
      </c>
      <c r="X170" s="3">
        <v>0.21043328212790136</v>
      </c>
      <c r="Y170" s="3">
        <v>0.15007240993779497</v>
      </c>
      <c r="Z170" s="3">
        <v>6.8401</v>
      </c>
      <c r="AA170" s="3">
        <v>0.4159733777038269</v>
      </c>
    </row>
    <row r="171" spans="1:27">
      <c r="A171" t="s">
        <v>138</v>
      </c>
      <c r="B171" s="3">
        <v>1.856045139017781</v>
      </c>
      <c r="C171" s="3">
        <v>4.9244</v>
      </c>
      <c r="D171" s="3">
        <v>4.9687</v>
      </c>
      <c r="E171" s="3">
        <v>8.7042</v>
      </c>
      <c r="F171" s="3">
        <v>1</v>
      </c>
      <c r="G171" s="3">
        <v>1.064282673478076</v>
      </c>
      <c r="H171" s="3">
        <v>7.9534</v>
      </c>
      <c r="I171" s="3">
        <v>9.1349</v>
      </c>
      <c r="J171" s="3">
        <v>0.87343</v>
      </c>
      <c r="K171" s="3">
        <v>0.02226021298571785</v>
      </c>
      <c r="L171" s="3">
        <v>0.043126</v>
      </c>
      <c r="M171" s="3">
        <v>0.004553526706434133</v>
      </c>
      <c r="N171" s="3">
        <v>0.8476012883539583</v>
      </c>
      <c r="O171" s="3">
        <v>0.3965421524308034</v>
      </c>
      <c r="P171" s="3">
        <v>1.7358398861289035</v>
      </c>
      <c r="Q171" s="3">
        <v>0.7346998751010212</v>
      </c>
      <c r="R171" s="3">
        <v>4.0275</v>
      </c>
      <c r="S171" s="3">
        <v>1.877158732542424</v>
      </c>
      <c r="T171" s="3">
        <v>0.09274975189441367</v>
      </c>
      <c r="U171" s="3">
        <v>1.8167614410551751</v>
      </c>
      <c r="V171" s="3">
        <v>0.7257947452460444</v>
      </c>
      <c r="W171" s="3">
        <v>5.344600000000001</v>
      </c>
      <c r="X171" s="3">
        <v>0.20998257144656993</v>
      </c>
      <c r="Y171" s="3">
        <v>0.14987807418664917</v>
      </c>
      <c r="Z171" s="3">
        <v>6.8415</v>
      </c>
      <c r="AA171" s="3">
        <v>0.413890153553247</v>
      </c>
    </row>
    <row r="172" spans="1:27">
      <c r="A172" t="s">
        <v>339</v>
      </c>
      <c r="B172" s="3">
        <v>1.856045139017781</v>
      </c>
      <c r="C172" s="3">
        <v>4.9244</v>
      </c>
      <c r="D172" s="3">
        <v>4.9687</v>
      </c>
      <c r="E172" s="3">
        <v>8.7042</v>
      </c>
      <c r="F172" s="3">
        <v>1</v>
      </c>
      <c r="G172" s="3">
        <v>1.064282673478076</v>
      </c>
      <c r="H172" s="3">
        <v>7.9534</v>
      </c>
      <c r="I172" s="3">
        <v>9.1349</v>
      </c>
      <c r="J172" s="3">
        <v>0.87343</v>
      </c>
      <c r="K172" s="3">
        <v>0.02226021298571785</v>
      </c>
      <c r="L172" s="3">
        <v>0.043126</v>
      </c>
      <c r="M172" s="3">
        <v>0.004553526706434133</v>
      </c>
      <c r="N172" s="3">
        <v>0.8476012883539583</v>
      </c>
      <c r="O172" s="3">
        <v>0.3965421524308034</v>
      </c>
      <c r="P172" s="3">
        <v>1.7358398861289035</v>
      </c>
      <c r="Q172" s="3">
        <v>0.7346998751010212</v>
      </c>
      <c r="R172" s="3">
        <v>4.0275</v>
      </c>
      <c r="S172" s="3">
        <v>1.877158732542424</v>
      </c>
      <c r="T172" s="3">
        <v>0.09274975189441367</v>
      </c>
      <c r="U172" s="3">
        <v>1.8167614410551751</v>
      </c>
      <c r="V172" s="3">
        <v>0.7257947452460444</v>
      </c>
      <c r="W172" s="3">
        <v>5.344600000000001</v>
      </c>
      <c r="X172" s="3">
        <v>0.20998257144656993</v>
      </c>
      <c r="Y172" s="3">
        <v>0.14987807418664917</v>
      </c>
      <c r="Z172" s="3">
        <v>6.8415</v>
      </c>
      <c r="AA172" s="3">
        <v>0.413890153553247</v>
      </c>
    </row>
    <row r="173" spans="1:27">
      <c r="A173" t="s">
        <v>340</v>
      </c>
      <c r="B173" s="3">
        <v>1.856045139017781</v>
      </c>
      <c r="C173" s="3">
        <v>4.9244</v>
      </c>
      <c r="D173" s="3">
        <v>4.9687</v>
      </c>
      <c r="E173" s="3">
        <v>8.7042</v>
      </c>
      <c r="F173" s="3">
        <v>1</v>
      </c>
      <c r="G173" s="3">
        <v>1.064282673478076</v>
      </c>
      <c r="H173" s="3">
        <v>7.9534</v>
      </c>
      <c r="I173" s="3">
        <v>9.1349</v>
      </c>
      <c r="J173" s="3">
        <v>0.87343</v>
      </c>
      <c r="K173" s="3">
        <v>0.02226021298571785</v>
      </c>
      <c r="L173" s="3">
        <v>0.043126</v>
      </c>
      <c r="M173" s="3">
        <v>0.004553526706434133</v>
      </c>
      <c r="N173" s="3">
        <v>0.8476012883539583</v>
      </c>
      <c r="O173" s="3">
        <v>0.3965421524308034</v>
      </c>
      <c r="P173" s="3">
        <v>1.7358398861289035</v>
      </c>
      <c r="Q173" s="3">
        <v>0.7346998751010212</v>
      </c>
      <c r="R173" s="3">
        <v>4.0275</v>
      </c>
      <c r="S173" s="3">
        <v>1.877158732542424</v>
      </c>
      <c r="T173" s="3">
        <v>0.09274975189441367</v>
      </c>
      <c r="U173" s="3">
        <v>1.8167614410551751</v>
      </c>
      <c r="V173" s="3">
        <v>0.7257947452460444</v>
      </c>
      <c r="W173" s="3">
        <v>5.344600000000001</v>
      </c>
      <c r="X173" s="3">
        <v>0.20998257144656993</v>
      </c>
      <c r="Y173" s="3">
        <v>0.14987807418664917</v>
      </c>
      <c r="Z173" s="3">
        <v>6.8415</v>
      </c>
      <c r="AA173" s="3">
        <v>0.413890153553247</v>
      </c>
    </row>
    <row r="174" spans="1:27">
      <c r="A174" t="s">
        <v>142</v>
      </c>
      <c r="B174" s="3">
        <v>1.8579072532699168</v>
      </c>
      <c r="C174" s="3">
        <v>4.8721</v>
      </c>
      <c r="D174" s="3">
        <v>4.9608</v>
      </c>
      <c r="E174" s="3">
        <v>8.677200000000001</v>
      </c>
      <c r="F174" s="3">
        <v>1</v>
      </c>
      <c r="G174" s="3">
        <v>1.0610079575596818</v>
      </c>
      <c r="H174" s="3">
        <v>7.929500000000001</v>
      </c>
      <c r="I174" s="3">
        <v>9.0891</v>
      </c>
      <c r="J174" s="3">
        <v>0.87408</v>
      </c>
      <c r="K174" s="3">
        <v>0.02196103234420843</v>
      </c>
      <c r="L174" s="3">
        <v>0.04303</v>
      </c>
      <c r="M174" s="3">
        <v>0.0045466945530599255</v>
      </c>
      <c r="N174" s="3">
        <v>0.8482483671218933</v>
      </c>
      <c r="O174" s="3">
        <v>0.39394894421682947</v>
      </c>
      <c r="P174" s="3">
        <v>1.7232465965879715</v>
      </c>
      <c r="Q174" s="3">
        <v>0.7323324789454412</v>
      </c>
      <c r="R174" s="3">
        <v>3.9825</v>
      </c>
      <c r="S174" s="3">
        <v>1.8681113394358304</v>
      </c>
      <c r="T174" s="3">
        <v>0.09345095693779903</v>
      </c>
      <c r="U174" s="3">
        <v>1.8183471224656789</v>
      </c>
      <c r="V174" s="3">
        <v>0.7226477814713109</v>
      </c>
      <c r="W174" s="3">
        <v>5.329199999999999</v>
      </c>
      <c r="X174" s="3">
        <v>0.20842017507294705</v>
      </c>
      <c r="Y174" s="3">
        <v>0.14987650176254766</v>
      </c>
      <c r="Z174" s="3">
        <v>6.843500000000001</v>
      </c>
      <c r="AA174" s="3">
        <v>0.40863027133050017</v>
      </c>
    </row>
    <row r="175" spans="1:27">
      <c r="A175" t="s">
        <v>341</v>
      </c>
      <c r="B175" s="3">
        <v>1.854874610476332</v>
      </c>
      <c r="C175" s="3">
        <v>4.8864</v>
      </c>
      <c r="D175" s="3">
        <v>4.959</v>
      </c>
      <c r="E175" s="3">
        <v>8.693999999999999</v>
      </c>
      <c r="F175" s="3">
        <v>1</v>
      </c>
      <c r="G175" s="3">
        <v>1.06315118009781</v>
      </c>
      <c r="H175" s="3">
        <v>7.9437</v>
      </c>
      <c r="I175" s="3">
        <v>9.1562</v>
      </c>
      <c r="J175" s="3">
        <v>0.87318</v>
      </c>
      <c r="K175" s="3">
        <v>0.022073154849803215</v>
      </c>
      <c r="L175" s="3">
        <v>0.042979</v>
      </c>
      <c r="M175" s="3">
        <v>0.00455622380171314</v>
      </c>
      <c r="N175" s="3">
        <v>0.8473140145738011</v>
      </c>
      <c r="O175" s="3">
        <v>0.3953037909633554</v>
      </c>
      <c r="P175" s="3">
        <v>1.7172983462416924</v>
      </c>
      <c r="Q175" s="3">
        <v>0.7357268981753974</v>
      </c>
      <c r="R175" s="3">
        <v>4.0020999999999995</v>
      </c>
      <c r="S175" s="3">
        <v>1.875574394658364</v>
      </c>
      <c r="T175" s="3">
        <v>0.09373125374925012</v>
      </c>
      <c r="U175" s="3">
        <v>1.8153762367250612</v>
      </c>
      <c r="V175" s="3">
        <v>0.7265329845975008</v>
      </c>
      <c r="W175" s="3">
        <v>5.333200000000001</v>
      </c>
      <c r="X175" s="3">
        <v>0.20913501756734143</v>
      </c>
      <c r="Y175" s="3">
        <v>0.14959534459287627</v>
      </c>
      <c r="Z175" s="3">
        <v>6.8375</v>
      </c>
      <c r="AA175" s="3">
        <v>0.41148876635667847</v>
      </c>
    </row>
    <row r="176" spans="1:27">
      <c r="A176" t="s">
        <v>135</v>
      </c>
      <c r="B176" s="3">
        <v>1.857113673927981</v>
      </c>
      <c r="C176" s="3">
        <v>4.8498</v>
      </c>
      <c r="D176" s="3">
        <v>4.9629</v>
      </c>
      <c r="E176" s="3">
        <v>8.656</v>
      </c>
      <c r="F176" s="3">
        <v>1</v>
      </c>
      <c r="G176" s="3">
        <v>1.060108131029365</v>
      </c>
      <c r="H176" s="3">
        <v>7.9207</v>
      </c>
      <c r="I176" s="3">
        <v>9.1442</v>
      </c>
      <c r="J176" s="3">
        <v>0.87306</v>
      </c>
      <c r="K176" s="3">
        <v>0.021923574419573367</v>
      </c>
      <c r="L176" s="3">
        <v>0.042961</v>
      </c>
      <c r="M176" s="3">
        <v>0.004515895953757226</v>
      </c>
      <c r="N176" s="3">
        <v>0.8472422265525714</v>
      </c>
      <c r="O176" s="3">
        <v>0.3925725277745063</v>
      </c>
      <c r="P176" s="3">
        <v>1.7166497862771015</v>
      </c>
      <c r="Q176" s="3">
        <v>0.7357810315650063</v>
      </c>
      <c r="R176" s="3">
        <v>3.9812</v>
      </c>
      <c r="S176" s="3">
        <v>1.8654976214905328</v>
      </c>
      <c r="T176" s="3">
        <v>0.09573958831977022</v>
      </c>
      <c r="U176" s="3">
        <v>1.817851299763679</v>
      </c>
      <c r="V176" s="3">
        <v>0.7258474268708717</v>
      </c>
      <c r="W176" s="3">
        <v>5.3263</v>
      </c>
      <c r="X176" s="3">
        <v>0.2085027418110548</v>
      </c>
      <c r="Y176" s="3">
        <v>0.14970396041827286</v>
      </c>
      <c r="Z176" s="3">
        <v>6.839700000000001</v>
      </c>
      <c r="AA176" s="3">
        <v>0.4087638979725311</v>
      </c>
    </row>
    <row r="177" spans="1:27">
      <c r="A177" t="s">
        <v>342</v>
      </c>
      <c r="B177" s="3">
        <v>1.8546338025556857</v>
      </c>
      <c r="C177" s="3">
        <v>4.8712</v>
      </c>
      <c r="D177" s="3">
        <v>4.9544999999999995</v>
      </c>
      <c r="E177" s="3">
        <v>8.6608</v>
      </c>
      <c r="F177" s="3">
        <v>1</v>
      </c>
      <c r="G177" s="3">
        <v>1.0599957600169598</v>
      </c>
      <c r="H177" s="3">
        <v>7.9236</v>
      </c>
      <c r="I177" s="3">
        <v>9.1554</v>
      </c>
      <c r="J177" s="3">
        <v>0.87267</v>
      </c>
      <c r="K177" s="3">
        <v>0.02205319672113071</v>
      </c>
      <c r="L177" s="3">
        <v>0.042957</v>
      </c>
      <c r="M177" s="3">
        <v>0.004547108039287013</v>
      </c>
      <c r="N177" s="3">
        <v>0.846811753747142</v>
      </c>
      <c r="O177" s="3">
        <v>0.39408866995073893</v>
      </c>
      <c r="P177" s="3">
        <v>1.7204301075268815</v>
      </c>
      <c r="Q177" s="3">
        <v>0.7355645457888931</v>
      </c>
      <c r="R177" s="3">
        <v>3.9963</v>
      </c>
      <c r="S177" s="3">
        <v>1.868146238487549</v>
      </c>
      <c r="T177" s="3">
        <v>0.0954225788906171</v>
      </c>
      <c r="U177" s="3">
        <v>1.8153432814145156</v>
      </c>
      <c r="V177" s="3">
        <v>0.7291286912139993</v>
      </c>
      <c r="W177" s="3">
        <v>5.3361</v>
      </c>
      <c r="X177" s="3">
        <v>0.20889910173386256</v>
      </c>
      <c r="Y177" s="3">
        <v>0.1494931434969735</v>
      </c>
      <c r="Z177" s="3">
        <v>6.8349</v>
      </c>
      <c r="AA177" s="3">
        <v>0.4141472707694856</v>
      </c>
    </row>
    <row r="178" spans="1:27">
      <c r="A178" t="s">
        <v>343</v>
      </c>
      <c r="B178" s="3">
        <v>1.8554941180836455</v>
      </c>
      <c r="C178" s="3">
        <v>4.8735</v>
      </c>
      <c r="D178" s="3">
        <v>4.9468</v>
      </c>
      <c r="E178" s="3">
        <v>8.6709</v>
      </c>
      <c r="F178" s="3">
        <v>1</v>
      </c>
      <c r="G178" s="3">
        <v>1.0598834128245893</v>
      </c>
      <c r="H178" s="3">
        <v>7.9193</v>
      </c>
      <c r="I178" s="3">
        <v>9.1571</v>
      </c>
      <c r="J178" s="3">
        <v>0.87261</v>
      </c>
      <c r="K178" s="3">
        <v>0.022084317925840855</v>
      </c>
      <c r="L178" s="3">
        <v>0.042933000000000006</v>
      </c>
      <c r="M178" s="3">
        <v>0.004518548642176133</v>
      </c>
      <c r="N178" s="3">
        <v>0.8467400508044031</v>
      </c>
      <c r="O178" s="3">
        <v>0.39464856545246463</v>
      </c>
      <c r="P178" s="3">
        <v>1.7241973861167628</v>
      </c>
      <c r="Q178" s="3">
        <v>0.7378984651711924</v>
      </c>
      <c r="R178" s="3">
        <v>4.0057</v>
      </c>
      <c r="S178" s="3">
        <v>1.8694384206984225</v>
      </c>
      <c r="T178" s="3">
        <v>0.09572584119082946</v>
      </c>
      <c r="U178" s="3">
        <v>1.8159696369876697</v>
      </c>
      <c r="V178" s="3">
        <v>0.7297139521307647</v>
      </c>
      <c r="W178" s="3">
        <v>5.3355</v>
      </c>
      <c r="X178" s="3">
        <v>0.2087595507494468</v>
      </c>
      <c r="Y178" s="3">
        <v>0.1492677669691329</v>
      </c>
      <c r="Z178" s="3">
        <v>6.8373</v>
      </c>
      <c r="AA178" s="3">
        <v>0.4146624647536905</v>
      </c>
    </row>
    <row r="179" spans="1:27">
      <c r="A179" t="s">
        <v>344</v>
      </c>
      <c r="B179" s="3">
        <v>1.8554941180836455</v>
      </c>
      <c r="C179" s="3">
        <v>4.8735</v>
      </c>
      <c r="D179" s="3">
        <v>4.9468</v>
      </c>
      <c r="E179" s="3">
        <v>8.6709</v>
      </c>
      <c r="F179" s="3">
        <v>1</v>
      </c>
      <c r="G179" s="3">
        <v>1.0598834128245893</v>
      </c>
      <c r="H179" s="3">
        <v>7.9193</v>
      </c>
      <c r="I179" s="3">
        <v>9.1571</v>
      </c>
      <c r="J179" s="3">
        <v>0.87261</v>
      </c>
      <c r="K179" s="3">
        <v>0.022084317925840855</v>
      </c>
      <c r="L179" s="3">
        <v>0.042933000000000006</v>
      </c>
      <c r="M179" s="3">
        <v>0.004518548642176133</v>
      </c>
      <c r="N179" s="3">
        <v>0.8467400508044031</v>
      </c>
      <c r="O179" s="3">
        <v>0.39464856545246463</v>
      </c>
      <c r="P179" s="3">
        <v>1.7241973861167628</v>
      </c>
      <c r="Q179" s="3">
        <v>0.7378984651711924</v>
      </c>
      <c r="R179" s="3">
        <v>4.0057</v>
      </c>
      <c r="S179" s="3">
        <v>1.8694384206984225</v>
      </c>
      <c r="T179" s="3">
        <v>0.09572584119082946</v>
      </c>
      <c r="U179" s="3">
        <v>1.8159696369876697</v>
      </c>
      <c r="V179" s="3">
        <v>0.7297139521307647</v>
      </c>
      <c r="W179" s="3">
        <v>5.3355</v>
      </c>
      <c r="X179" s="3">
        <v>0.2087595507494468</v>
      </c>
      <c r="Y179" s="3">
        <v>0.1492677669691329</v>
      </c>
      <c r="Z179" s="3">
        <v>6.8373</v>
      </c>
      <c r="AA179" s="3">
        <v>0.4146624647536905</v>
      </c>
    </row>
    <row r="180" spans="1:27">
      <c r="A180" t="s">
        <v>345</v>
      </c>
      <c r="B180" s="3">
        <v>1.8554941180836455</v>
      </c>
      <c r="C180" s="3">
        <v>4.8735</v>
      </c>
      <c r="D180" s="3">
        <v>4.9468</v>
      </c>
      <c r="E180" s="3">
        <v>8.6709</v>
      </c>
      <c r="F180" s="3">
        <v>1</v>
      </c>
      <c r="G180" s="3">
        <v>1.0598834128245893</v>
      </c>
      <c r="H180" s="3">
        <v>7.9193</v>
      </c>
      <c r="I180" s="3">
        <v>9.1571</v>
      </c>
      <c r="J180" s="3">
        <v>0.87261</v>
      </c>
      <c r="K180" s="3">
        <v>0.022084317925840855</v>
      </c>
      <c r="L180" s="3">
        <v>0.042933000000000006</v>
      </c>
      <c r="M180" s="3">
        <v>0.004518548642176133</v>
      </c>
      <c r="N180" s="3">
        <v>0.8467400508044031</v>
      </c>
      <c r="O180" s="3">
        <v>0.39464856545246463</v>
      </c>
      <c r="P180" s="3">
        <v>1.7241973861167628</v>
      </c>
      <c r="Q180" s="3">
        <v>0.7378984651711924</v>
      </c>
      <c r="R180" s="3">
        <v>4.0057</v>
      </c>
      <c r="S180" s="3">
        <v>1.8694384206984225</v>
      </c>
      <c r="T180" s="3">
        <v>0.09572584119082946</v>
      </c>
      <c r="U180" s="3">
        <v>1.8159696369876697</v>
      </c>
      <c r="V180" s="3">
        <v>0.7297139521307647</v>
      </c>
      <c r="W180" s="3">
        <v>5.3355</v>
      </c>
      <c r="X180" s="3">
        <v>0.2087595507494468</v>
      </c>
      <c r="Y180" s="3">
        <v>0.1492677669691329</v>
      </c>
      <c r="Z180" s="3">
        <v>6.8373</v>
      </c>
      <c r="AA180" s="3">
        <v>0.4146624647536905</v>
      </c>
    </row>
    <row r="181" spans="1:27">
      <c r="A181" t="s">
        <v>346</v>
      </c>
      <c r="B181" s="3">
        <v>1.8533276497952071</v>
      </c>
      <c r="C181" s="3">
        <v>4.875</v>
      </c>
      <c r="D181" s="3">
        <v>4.9322</v>
      </c>
      <c r="E181" s="3">
        <v>8.7125</v>
      </c>
      <c r="F181" s="3">
        <v>1</v>
      </c>
      <c r="G181" s="3">
        <v>1.0611205432937183</v>
      </c>
      <c r="H181" s="3">
        <v>7.9297</v>
      </c>
      <c r="I181" s="3">
        <v>9.1828</v>
      </c>
      <c r="J181" s="3">
        <v>0.87208</v>
      </c>
      <c r="K181" s="3">
        <v>0.022183327454751555</v>
      </c>
      <c r="L181" s="3">
        <v>0.042905</v>
      </c>
      <c r="M181" s="3">
        <v>0.0044919593926870905</v>
      </c>
      <c r="N181" s="3">
        <v>0.8462384700008462</v>
      </c>
      <c r="O181" s="3">
        <v>0.3952725404166173</v>
      </c>
      <c r="P181" s="3">
        <v>1.7243163085836466</v>
      </c>
      <c r="Q181" s="3">
        <v>0.7351319561861354</v>
      </c>
      <c r="R181" s="3">
        <v>4.0006</v>
      </c>
      <c r="S181" s="3">
        <v>1.8733608092918697</v>
      </c>
      <c r="T181" s="3">
        <v>0.09513480602013052</v>
      </c>
      <c r="U181" s="3">
        <v>1.813993143105919</v>
      </c>
      <c r="V181" s="3">
        <v>0.7313149041977475</v>
      </c>
      <c r="W181" s="3">
        <v>5.3348</v>
      </c>
      <c r="X181" s="3">
        <v>0.20920064433798455</v>
      </c>
      <c r="Y181" s="3">
        <v>0.1490184156958117</v>
      </c>
      <c r="Z181" s="3">
        <v>6.831799999999999</v>
      </c>
      <c r="AA181" s="3">
        <v>0.4168403501458941</v>
      </c>
    </row>
    <row r="182" spans="1:27">
      <c r="A182" t="s">
        <v>347</v>
      </c>
      <c r="B182" s="3">
        <v>1.8523320860963952</v>
      </c>
      <c r="C182" s="3">
        <v>4.8811</v>
      </c>
      <c r="D182" s="3">
        <v>4.9288</v>
      </c>
      <c r="E182" s="3">
        <v>8.6984</v>
      </c>
      <c r="F182" s="3">
        <v>1</v>
      </c>
      <c r="G182" s="3">
        <v>1.0604453870625663</v>
      </c>
      <c r="H182" s="3">
        <v>7.9233</v>
      </c>
      <c r="I182" s="3">
        <v>9.1891</v>
      </c>
      <c r="J182" s="3">
        <v>0.87155</v>
      </c>
      <c r="K182" s="3">
        <v>0.022232597434358257</v>
      </c>
      <c r="L182" s="3">
        <v>0.042878999999999994</v>
      </c>
      <c r="M182" s="3">
        <v>0.0044913541432741975</v>
      </c>
      <c r="N182" s="3">
        <v>0.845522955948254</v>
      </c>
      <c r="O182" s="3">
        <v>0.39449287940352673</v>
      </c>
      <c r="P182" s="3">
        <v>1.7238110013618106</v>
      </c>
      <c r="Q182" s="3">
        <v>0.736865374696043</v>
      </c>
      <c r="R182" s="3">
        <v>3.9911</v>
      </c>
      <c r="S182" s="3">
        <v>1.874871102611695</v>
      </c>
      <c r="T182" s="3">
        <v>0.0949839002289112</v>
      </c>
      <c r="U182" s="3">
        <v>1.81310512383508</v>
      </c>
      <c r="V182" s="3">
        <v>0.7322252324815114</v>
      </c>
      <c r="W182" s="3">
        <v>5.3317</v>
      </c>
      <c r="X182" s="3">
        <v>0.20912627044209292</v>
      </c>
      <c r="Y182" s="3">
        <v>0.14832899965439342</v>
      </c>
      <c r="Z182" s="3">
        <v>6.8288</v>
      </c>
      <c r="AA182" s="3">
        <v>0.4177109440267335</v>
      </c>
    </row>
    <row r="183" spans="1:27">
      <c r="A183" t="s">
        <v>348</v>
      </c>
      <c r="B183" s="3">
        <v>1.8531902670447176</v>
      </c>
      <c r="C183" s="3">
        <v>4.8825</v>
      </c>
      <c r="D183" s="3">
        <v>4.9293000000000005</v>
      </c>
      <c r="E183" s="3">
        <v>8.6768</v>
      </c>
      <c r="F183" s="3">
        <v>1</v>
      </c>
      <c r="G183" s="3">
        <v>1.060332944544587</v>
      </c>
      <c r="H183" s="3">
        <v>7.9234</v>
      </c>
      <c r="I183" s="3">
        <v>9.1614</v>
      </c>
      <c r="J183" s="3">
        <v>0.87151</v>
      </c>
      <c r="K183" s="3">
        <v>0.02228834431034291</v>
      </c>
      <c r="L183" s="3">
        <v>0.042804</v>
      </c>
      <c r="M183" s="3">
        <v>0.004510803374080924</v>
      </c>
      <c r="N183" s="3">
        <v>0.8457374830852504</v>
      </c>
      <c r="O183" s="3">
        <v>0.39421295383766314</v>
      </c>
      <c r="P183" s="3">
        <v>1.7150011147507247</v>
      </c>
      <c r="Q183" s="3">
        <v>0.7345379756133393</v>
      </c>
      <c r="R183" s="3">
        <v>3.9768</v>
      </c>
      <c r="S183" s="3">
        <v>1.872729315704708</v>
      </c>
      <c r="T183" s="3">
        <v>0.09452868000151245</v>
      </c>
      <c r="U183" s="3">
        <v>1.8138286294710877</v>
      </c>
      <c r="V183" s="3">
        <v>0.7323861139592793</v>
      </c>
      <c r="W183" s="3">
        <v>5.3315</v>
      </c>
      <c r="X183" s="3">
        <v>0.20823789096664028</v>
      </c>
      <c r="Y183" s="3">
        <v>0.14839569415053852</v>
      </c>
      <c r="Z183" s="3">
        <v>6.8290999999999995</v>
      </c>
      <c r="AA183" s="3">
        <v>0.41626774341256295</v>
      </c>
    </row>
    <row r="184" spans="1:27">
      <c r="A184" t="s">
        <v>349</v>
      </c>
      <c r="B184" s="3">
        <v>1.8526409396594847</v>
      </c>
      <c r="C184" s="3">
        <v>4.8584</v>
      </c>
      <c r="D184" s="3">
        <v>4.916</v>
      </c>
      <c r="E184" s="3">
        <v>8.6489</v>
      </c>
      <c r="F184" s="3">
        <v>1</v>
      </c>
      <c r="G184" s="3">
        <v>1.058761249338274</v>
      </c>
      <c r="H184" s="3">
        <v>7.912100000000001</v>
      </c>
      <c r="I184" s="3">
        <v>9.1377</v>
      </c>
      <c r="J184" s="3">
        <v>0.87115</v>
      </c>
      <c r="K184" s="3">
        <v>0.022334789561612754</v>
      </c>
      <c r="L184" s="3">
        <v>0.042732</v>
      </c>
      <c r="M184" s="3">
        <v>0.004521204448865178</v>
      </c>
      <c r="N184" s="3">
        <v>0.8453799983092399</v>
      </c>
      <c r="O184" s="3">
        <v>0.3923414940364093</v>
      </c>
      <c r="P184" s="3">
        <v>1.716414067729699</v>
      </c>
      <c r="Q184" s="3">
        <v>0.7333528894103842</v>
      </c>
      <c r="R184" s="3">
        <v>4.0139</v>
      </c>
      <c r="S184" s="3">
        <v>1.8706274084327883</v>
      </c>
      <c r="T184" s="3">
        <v>0.0956516748608268</v>
      </c>
      <c r="U184" s="3">
        <v>1.8133352675576189</v>
      </c>
      <c r="V184" s="3">
        <v>0.7316894709885126</v>
      </c>
      <c r="W184" s="3">
        <v>5.3290999999999995</v>
      </c>
      <c r="X184" s="3">
        <v>0.20819887156211617</v>
      </c>
      <c r="Y184" s="3">
        <v>0.14836751226257489</v>
      </c>
      <c r="Z184" s="3">
        <v>6.824</v>
      </c>
      <c r="AA184" s="3">
        <v>0.4160772239327619</v>
      </c>
    </row>
    <row r="185" spans="1:27">
      <c r="A185" t="s">
        <v>350</v>
      </c>
      <c r="B185" s="3">
        <v>1.8486680346810125</v>
      </c>
      <c r="C185" s="3">
        <v>4.8641000000000005</v>
      </c>
      <c r="D185" s="3">
        <v>4.9257</v>
      </c>
      <c r="E185" s="3">
        <v>8.6715</v>
      </c>
      <c r="F185" s="3">
        <v>1</v>
      </c>
      <c r="G185" s="3">
        <v>1.058985491898761</v>
      </c>
      <c r="H185" s="3">
        <v>7.916</v>
      </c>
      <c r="I185" s="3">
        <v>9.1335</v>
      </c>
      <c r="J185" s="3">
        <v>0.87029</v>
      </c>
      <c r="K185" s="3">
        <v>0.022355610699395283</v>
      </c>
      <c r="L185" s="3">
        <v>0.042718</v>
      </c>
      <c r="M185" s="3">
        <v>0.004533091568449683</v>
      </c>
      <c r="N185" s="3">
        <v>0.8445232666159953</v>
      </c>
      <c r="O185" s="3">
        <v>0.3931281204544561</v>
      </c>
      <c r="P185" s="3">
        <v>1.7115667682196285</v>
      </c>
      <c r="Q185" s="3">
        <v>0.7338910905621606</v>
      </c>
      <c r="R185" s="3">
        <v>4.0354</v>
      </c>
      <c r="S185" s="3">
        <v>1.8751523561289352</v>
      </c>
      <c r="T185" s="3">
        <v>0.09550642280693378</v>
      </c>
      <c r="U185" s="3">
        <v>1.8092343320306847</v>
      </c>
      <c r="V185" s="3">
        <v>0.7337295472888694</v>
      </c>
      <c r="W185" s="3">
        <v>5.327100000000001</v>
      </c>
      <c r="X185" s="3">
        <v>0.20825523761922612</v>
      </c>
      <c r="Y185" s="3">
        <v>0.148057997278694</v>
      </c>
      <c r="Z185" s="3">
        <v>6.8176</v>
      </c>
      <c r="AA185" s="3">
        <v>0.41890080428954424</v>
      </c>
    </row>
    <row r="186" spans="1:27">
      <c r="A186" t="s">
        <v>351</v>
      </c>
      <c r="B186" s="3">
        <v>1.8486680346810125</v>
      </c>
      <c r="C186" s="3">
        <v>4.8641000000000005</v>
      </c>
      <c r="D186" s="3">
        <v>4.9257</v>
      </c>
      <c r="E186" s="3">
        <v>8.6715</v>
      </c>
      <c r="F186" s="3">
        <v>1</v>
      </c>
      <c r="G186" s="3">
        <v>1.058985491898761</v>
      </c>
      <c r="H186" s="3">
        <v>7.916</v>
      </c>
      <c r="I186" s="3">
        <v>9.1335</v>
      </c>
      <c r="J186" s="3">
        <v>0.87029</v>
      </c>
      <c r="K186" s="3">
        <v>0.022355610699395283</v>
      </c>
      <c r="L186" s="3">
        <v>0.042718</v>
      </c>
      <c r="M186" s="3">
        <v>0.004533091568449683</v>
      </c>
      <c r="N186" s="3">
        <v>0.8445232666159953</v>
      </c>
      <c r="O186" s="3">
        <v>0.3931281204544561</v>
      </c>
      <c r="P186" s="3">
        <v>1.7115667682196285</v>
      </c>
      <c r="Q186" s="3">
        <v>0.7338910905621606</v>
      </c>
      <c r="R186" s="3">
        <v>4.0354</v>
      </c>
      <c r="S186" s="3">
        <v>1.8751523561289352</v>
      </c>
      <c r="T186" s="3">
        <v>0.09550642280693378</v>
      </c>
      <c r="U186" s="3">
        <v>1.8092343320306847</v>
      </c>
      <c r="V186" s="3">
        <v>0.7337295472888694</v>
      </c>
      <c r="W186" s="3">
        <v>5.327100000000001</v>
      </c>
      <c r="X186" s="3">
        <v>0.20825523761922612</v>
      </c>
      <c r="Y186" s="3">
        <v>0.148057997278694</v>
      </c>
      <c r="Z186" s="3">
        <v>6.8176</v>
      </c>
      <c r="AA186" s="3">
        <v>0.41890080428954424</v>
      </c>
    </row>
    <row r="187" spans="1:27">
      <c r="A187" t="s">
        <v>72</v>
      </c>
      <c r="B187" s="3">
        <v>1.8486680346810125</v>
      </c>
      <c r="C187" s="3">
        <v>4.8641000000000005</v>
      </c>
      <c r="D187" s="3">
        <v>4.9257</v>
      </c>
      <c r="E187" s="3">
        <v>8.6715</v>
      </c>
      <c r="F187" s="3">
        <v>1</v>
      </c>
      <c r="G187" s="3">
        <v>1.058985491898761</v>
      </c>
      <c r="H187" s="3">
        <v>7.916</v>
      </c>
      <c r="I187" s="3">
        <v>9.1335</v>
      </c>
      <c r="J187" s="3">
        <v>0.87029</v>
      </c>
      <c r="K187" s="3">
        <v>0.022355610699395283</v>
      </c>
      <c r="L187" s="3">
        <v>0.042718</v>
      </c>
      <c r="M187" s="3">
        <v>0.004533091568449683</v>
      </c>
      <c r="N187" s="3">
        <v>0.8445232666159953</v>
      </c>
      <c r="O187" s="3">
        <v>0.3931281204544561</v>
      </c>
      <c r="P187" s="3">
        <v>1.7115667682196285</v>
      </c>
      <c r="Q187" s="3">
        <v>0.7338910905621606</v>
      </c>
      <c r="R187" s="3">
        <v>4.0354</v>
      </c>
      <c r="S187" s="3">
        <v>1.8751523561289352</v>
      </c>
      <c r="T187" s="3">
        <v>0.09550642280693378</v>
      </c>
      <c r="U187" s="3">
        <v>1.8092343320306847</v>
      </c>
      <c r="V187" s="3">
        <v>0.7337295472888694</v>
      </c>
      <c r="W187" s="3">
        <v>5.327100000000001</v>
      </c>
      <c r="X187" s="3">
        <v>0.20825523761922612</v>
      </c>
      <c r="Y187" s="3">
        <v>0.148057997278694</v>
      </c>
      <c r="Z187" s="3">
        <v>6.8176</v>
      </c>
      <c r="AA187" s="3">
        <v>0.41890080428954424</v>
      </c>
    </row>
    <row r="188" spans="1:27">
      <c r="A188" t="s">
        <v>352</v>
      </c>
      <c r="B188" s="3">
        <v>1.8475750577367205</v>
      </c>
      <c r="C188" s="3">
        <v>4.8759</v>
      </c>
      <c r="D188" s="3">
        <v>4.9188</v>
      </c>
      <c r="E188" s="3">
        <v>8.6922</v>
      </c>
      <c r="F188" s="3">
        <v>1</v>
      </c>
      <c r="G188" s="3">
        <v>1.0586491636671609</v>
      </c>
      <c r="H188" s="3">
        <v>7.9122</v>
      </c>
      <c r="I188" s="3">
        <v>9.1339</v>
      </c>
      <c r="J188" s="3">
        <v>0.8698600000000001</v>
      </c>
      <c r="K188" s="3">
        <v>0.02238313207167079</v>
      </c>
      <c r="L188" s="3">
        <v>0.042656</v>
      </c>
      <c r="M188" s="3">
        <v>0.004496200710399712</v>
      </c>
      <c r="N188" s="3">
        <v>0.844095551616443</v>
      </c>
      <c r="O188" s="3">
        <v>0.3921261077562544</v>
      </c>
      <c r="P188" s="3">
        <v>1.7150011147507247</v>
      </c>
      <c r="Q188" s="3">
        <v>0.733998825601879</v>
      </c>
      <c r="R188" s="3">
        <v>4.0588999999999995</v>
      </c>
      <c r="S188" s="3">
        <v>1.8726241081627684</v>
      </c>
      <c r="T188" s="3">
        <v>0.09533979101517807</v>
      </c>
      <c r="U188" s="3">
        <v>1.8083182640144664</v>
      </c>
      <c r="V188" s="3">
        <v>0.7339449541284404</v>
      </c>
      <c r="W188" s="3">
        <v>5.3197</v>
      </c>
      <c r="X188" s="3">
        <v>0.2082856012163879</v>
      </c>
      <c r="Y188" s="3">
        <v>0.14796007445350948</v>
      </c>
      <c r="Z188" s="3">
        <v>6.8167</v>
      </c>
      <c r="AA188" s="3">
        <v>0.4182700351346829</v>
      </c>
    </row>
    <row r="189" spans="1:27">
      <c r="A189" t="s">
        <v>353</v>
      </c>
      <c r="B189" s="3">
        <v>1.8495912403358856</v>
      </c>
      <c r="C189" s="3">
        <v>4.8681</v>
      </c>
      <c r="D189" s="3">
        <v>4.9081</v>
      </c>
      <c r="E189" s="3">
        <v>8.6485</v>
      </c>
      <c r="F189" s="3">
        <v>1</v>
      </c>
      <c r="G189" s="3">
        <v>1.058201058201058</v>
      </c>
      <c r="H189" s="3">
        <v>7.9068</v>
      </c>
      <c r="I189" s="3">
        <v>9.1472</v>
      </c>
      <c r="J189" s="3">
        <v>0.8699800000000001</v>
      </c>
      <c r="K189" s="3">
        <v>0.022261749194681223</v>
      </c>
      <c r="L189" s="3">
        <v>0.042621</v>
      </c>
      <c r="M189" s="3">
        <v>0.004484506031660613</v>
      </c>
      <c r="N189" s="3">
        <v>0.8442380751371886</v>
      </c>
      <c r="O189" s="3">
        <v>0.392156862745098</v>
      </c>
      <c r="P189" s="3">
        <v>1.7162078670968628</v>
      </c>
      <c r="Q189" s="3">
        <v>0.7323324789454412</v>
      </c>
      <c r="R189" s="3">
        <v>4.0327</v>
      </c>
      <c r="S189" s="3">
        <v>1.869333582577811</v>
      </c>
      <c r="T189" s="3">
        <v>0.09401677259223044</v>
      </c>
      <c r="U189" s="3">
        <v>1.8101840957225348</v>
      </c>
      <c r="V189" s="3">
        <v>0.7297672042618405</v>
      </c>
      <c r="W189" s="3">
        <v>5.3167</v>
      </c>
      <c r="X189" s="3">
        <v>0.20805592543275633</v>
      </c>
      <c r="Y189" s="3">
        <v>0.14805624360582098</v>
      </c>
      <c r="Z189" s="3">
        <v>6.8187</v>
      </c>
      <c r="AA189" s="3">
        <v>0.4169967891247237</v>
      </c>
    </row>
    <row r="190" spans="1:27">
      <c r="A190" t="s">
        <v>354</v>
      </c>
      <c r="B190" s="3">
        <v>1.8490782345001016</v>
      </c>
      <c r="C190" s="3">
        <v>4.875</v>
      </c>
      <c r="D190" s="3">
        <v>4.906499999999999</v>
      </c>
      <c r="E190" s="3">
        <v>8.6301</v>
      </c>
      <c r="F190" s="3">
        <v>1</v>
      </c>
      <c r="G190" s="3">
        <v>1.0570824524312896</v>
      </c>
      <c r="H190" s="3">
        <v>7.899</v>
      </c>
      <c r="I190" s="3">
        <v>9.1449</v>
      </c>
      <c r="J190" s="3">
        <v>0.8700100000000001</v>
      </c>
      <c r="K190" s="3">
        <v>0.022290629687998057</v>
      </c>
      <c r="L190" s="3">
        <v>0.042552000000000006</v>
      </c>
      <c r="M190" s="3">
        <v>0.004470872267179326</v>
      </c>
      <c r="N190" s="3">
        <v>0.8442380751371886</v>
      </c>
      <c r="O190" s="3">
        <v>0.3930972129407603</v>
      </c>
      <c r="P190" s="3">
        <v>1.71294472327378</v>
      </c>
      <c r="Q190" s="3">
        <v>0.7311544929443591</v>
      </c>
      <c r="R190" s="3">
        <v>4.025</v>
      </c>
      <c r="S190" s="3">
        <v>1.867727535907062</v>
      </c>
      <c r="T190" s="3">
        <v>0.09260716964707408</v>
      </c>
      <c r="U190" s="3">
        <v>1.8095289796066083</v>
      </c>
      <c r="V190" s="3">
        <v>0.7285443683520327</v>
      </c>
      <c r="W190" s="3">
        <v>5.3064</v>
      </c>
      <c r="X190" s="3">
        <v>0.20750332005312083</v>
      </c>
      <c r="Y190" s="3">
        <v>0.14795963661113248</v>
      </c>
      <c r="Z190" s="3">
        <v>6.8184000000000005</v>
      </c>
      <c r="AA190" s="3">
        <v>0.4181825785137791</v>
      </c>
    </row>
    <row r="191" spans="1:27">
      <c r="A191" t="s">
        <v>355</v>
      </c>
      <c r="B191" s="3">
        <v>1.8504468829222256</v>
      </c>
      <c r="C191" s="3">
        <v>4.847300000000001</v>
      </c>
      <c r="D191" s="3">
        <v>4.8918</v>
      </c>
      <c r="E191" s="3">
        <v>8.598700000000001</v>
      </c>
      <c r="F191" s="3">
        <v>1</v>
      </c>
      <c r="G191" s="3">
        <v>1.056077727320731</v>
      </c>
      <c r="H191" s="3">
        <v>7.892</v>
      </c>
      <c r="I191" s="3">
        <v>9.1298</v>
      </c>
      <c r="J191" s="3">
        <v>0.87033</v>
      </c>
      <c r="K191" s="3">
        <v>0.022202289500093248</v>
      </c>
      <c r="L191" s="3">
        <v>0.042539999999999994</v>
      </c>
      <c r="M191" s="3">
        <v>0.0044458275908060285</v>
      </c>
      <c r="N191" s="3">
        <v>0.8445945945945945</v>
      </c>
      <c r="O191" s="3">
        <v>0.3927267014884342</v>
      </c>
      <c r="P191" s="3">
        <v>1.702736297229648</v>
      </c>
      <c r="Q191" s="3">
        <v>0.7291286912139993</v>
      </c>
      <c r="R191" s="3">
        <v>3.9892</v>
      </c>
      <c r="S191" s="3">
        <v>1.862925911436502</v>
      </c>
      <c r="T191" s="3">
        <v>0.09186701331153024</v>
      </c>
      <c r="U191" s="3">
        <v>1.810347948875774</v>
      </c>
      <c r="V191" s="3">
        <v>0.7236413633403286</v>
      </c>
      <c r="W191" s="3">
        <v>5.2994</v>
      </c>
      <c r="X191" s="3">
        <v>0.20756361824899333</v>
      </c>
      <c r="Y191" s="3">
        <v>0.14799905280606204</v>
      </c>
      <c r="Z191" s="3">
        <v>6.8203</v>
      </c>
      <c r="AA191" s="3">
        <v>0.4161291664932795</v>
      </c>
    </row>
    <row r="192" spans="1:27">
      <c r="A192" t="s">
        <v>356</v>
      </c>
      <c r="B192" s="3">
        <v>1.8491466188354075</v>
      </c>
      <c r="C192" s="3">
        <v>4.8457</v>
      </c>
      <c r="D192" s="3">
        <v>4.8843</v>
      </c>
      <c r="E192" s="3">
        <v>8.6152</v>
      </c>
      <c r="F192" s="3">
        <v>1</v>
      </c>
      <c r="G192" s="3">
        <v>1.0558547143912995</v>
      </c>
      <c r="H192" s="3">
        <v>7.891900000000001</v>
      </c>
      <c r="I192" s="3">
        <v>9.1231</v>
      </c>
      <c r="J192" s="3">
        <v>0.87005</v>
      </c>
      <c r="K192" s="3">
        <v>0.022325166043422447</v>
      </c>
      <c r="L192" s="3">
        <v>0.042510000000000006</v>
      </c>
      <c r="M192" s="3">
        <v>0.0044185224460940265</v>
      </c>
      <c r="N192" s="3">
        <v>0.8443093549476528</v>
      </c>
      <c r="O192" s="3">
        <v>0.3935303608673409</v>
      </c>
      <c r="P192" s="3">
        <v>1.6937669376693767</v>
      </c>
      <c r="Q192" s="3">
        <v>0.7271140841998109</v>
      </c>
      <c r="R192" s="3">
        <v>3.9885</v>
      </c>
      <c r="S192" s="3">
        <v>1.8647670905903853</v>
      </c>
      <c r="T192" s="3">
        <v>0.09233610341643585</v>
      </c>
      <c r="U192" s="3">
        <v>1.8089070583553415</v>
      </c>
      <c r="V192" s="3">
        <v>0.7244277021153289</v>
      </c>
      <c r="W192" s="3">
        <v>5.2916</v>
      </c>
      <c r="X192" s="3">
        <v>0.20761533031599053</v>
      </c>
      <c r="Y192" s="3">
        <v>0.14757729729889274</v>
      </c>
      <c r="Z192" s="3">
        <v>6.8157000000000005</v>
      </c>
      <c r="AA192" s="3">
        <v>0.4167882299003876</v>
      </c>
    </row>
    <row r="193" spans="1:27">
      <c r="A193" t="s">
        <v>357</v>
      </c>
      <c r="B193" s="3">
        <v>1.8491466188354075</v>
      </c>
      <c r="C193" s="3">
        <v>4.8457</v>
      </c>
      <c r="D193" s="3">
        <v>4.8843</v>
      </c>
      <c r="E193" s="3">
        <v>8.6152</v>
      </c>
      <c r="F193" s="3">
        <v>1</v>
      </c>
      <c r="G193" s="3">
        <v>1.0558547143912995</v>
      </c>
      <c r="H193" s="3">
        <v>7.891900000000001</v>
      </c>
      <c r="I193" s="3">
        <v>9.1231</v>
      </c>
      <c r="J193" s="3">
        <v>0.87005</v>
      </c>
      <c r="K193" s="3">
        <v>0.022325166043422447</v>
      </c>
      <c r="L193" s="3">
        <v>0.042510000000000006</v>
      </c>
      <c r="M193" s="3">
        <v>0.0044185224460940265</v>
      </c>
      <c r="N193" s="3">
        <v>0.8443093549476528</v>
      </c>
      <c r="O193" s="3">
        <v>0.3935303608673409</v>
      </c>
      <c r="P193" s="3">
        <v>1.6937669376693767</v>
      </c>
      <c r="Q193" s="3">
        <v>0.7271140841998109</v>
      </c>
      <c r="R193" s="3">
        <v>3.9885</v>
      </c>
      <c r="S193" s="3">
        <v>1.8647670905903853</v>
      </c>
      <c r="T193" s="3">
        <v>0.09233610341643585</v>
      </c>
      <c r="U193" s="3">
        <v>1.8089070583553415</v>
      </c>
      <c r="V193" s="3">
        <v>0.7244277021153289</v>
      </c>
      <c r="W193" s="3">
        <v>5.2916</v>
      </c>
      <c r="X193" s="3">
        <v>0.20761533031599053</v>
      </c>
      <c r="Y193" s="3">
        <v>0.14757729729889274</v>
      </c>
      <c r="Z193" s="3">
        <v>6.8157000000000005</v>
      </c>
      <c r="AA193" s="3">
        <v>0.4167882299003876</v>
      </c>
    </row>
    <row r="194" spans="1:27">
      <c r="A194" t="s">
        <v>358</v>
      </c>
      <c r="B194" s="3">
        <v>1.8491466188354075</v>
      </c>
      <c r="C194" s="3">
        <v>4.8457</v>
      </c>
      <c r="D194" s="3">
        <v>4.8843</v>
      </c>
      <c r="E194" s="3">
        <v>8.6152</v>
      </c>
      <c r="F194" s="3">
        <v>1</v>
      </c>
      <c r="G194" s="3">
        <v>1.0558547143912995</v>
      </c>
      <c r="H194" s="3">
        <v>7.891900000000001</v>
      </c>
      <c r="I194" s="3">
        <v>9.1231</v>
      </c>
      <c r="J194" s="3">
        <v>0.87005</v>
      </c>
      <c r="K194" s="3">
        <v>0.022325166043422447</v>
      </c>
      <c r="L194" s="3">
        <v>0.042510000000000006</v>
      </c>
      <c r="M194" s="3">
        <v>0.0044185224460940265</v>
      </c>
      <c r="N194" s="3">
        <v>0.8443093549476528</v>
      </c>
      <c r="O194" s="3">
        <v>0.3935303608673409</v>
      </c>
      <c r="P194" s="3">
        <v>1.6937669376693767</v>
      </c>
      <c r="Q194" s="3">
        <v>0.7271140841998109</v>
      </c>
      <c r="R194" s="3">
        <v>3.9885</v>
      </c>
      <c r="S194" s="3">
        <v>1.8647670905903853</v>
      </c>
      <c r="T194" s="3">
        <v>0.09233610341643585</v>
      </c>
      <c r="U194" s="3">
        <v>1.8089070583553415</v>
      </c>
      <c r="V194" s="3">
        <v>0.7244277021153289</v>
      </c>
      <c r="W194" s="3">
        <v>5.2916</v>
      </c>
      <c r="X194" s="3">
        <v>0.20761533031599053</v>
      </c>
      <c r="Y194" s="3">
        <v>0.14757729729889274</v>
      </c>
      <c r="Z194" s="3">
        <v>6.8157000000000005</v>
      </c>
      <c r="AA194" s="3">
        <v>0.4167882299003876</v>
      </c>
    </row>
    <row r="195" spans="1:27">
      <c r="A195" t="s">
        <v>359</v>
      </c>
      <c r="B195" s="3">
        <v>1.8531559245394904</v>
      </c>
      <c r="C195" s="3">
        <v>4.7970999999999995</v>
      </c>
      <c r="D195" s="3">
        <v>4.880199999999999</v>
      </c>
      <c r="E195" s="3">
        <v>8.5508</v>
      </c>
      <c r="F195" s="3">
        <v>1</v>
      </c>
      <c r="G195" s="3">
        <v>1.050199537912203</v>
      </c>
      <c r="H195" s="3">
        <v>7.8476</v>
      </c>
      <c r="I195" s="3">
        <v>9.0812</v>
      </c>
      <c r="J195" s="3">
        <v>0.87048</v>
      </c>
      <c r="K195" s="3">
        <v>0.022075298844358108</v>
      </c>
      <c r="L195" s="3">
        <v>0.042495000000000005</v>
      </c>
      <c r="M195" s="3">
        <v>0.004373496610540126</v>
      </c>
      <c r="N195" s="3">
        <v>0.8447372867038352</v>
      </c>
      <c r="O195" s="3">
        <v>0.3900612396146194</v>
      </c>
      <c r="P195" s="3">
        <v>1.6845226062933765</v>
      </c>
      <c r="Q195" s="3">
        <v>0.7198387561186295</v>
      </c>
      <c r="R195" s="3">
        <v>3.9486</v>
      </c>
      <c r="S195" s="3">
        <v>1.8481213846125413</v>
      </c>
      <c r="T195" s="3">
        <v>0.09220754073268111</v>
      </c>
      <c r="U195" s="3">
        <v>1.812776448408382</v>
      </c>
      <c r="V195" s="3">
        <v>0.7189072609633358</v>
      </c>
      <c r="W195" s="3">
        <v>5.275399999999999</v>
      </c>
      <c r="X195" s="3">
        <v>0.2071208135705557</v>
      </c>
      <c r="Y195" s="3">
        <v>0.14775413711583926</v>
      </c>
      <c r="Z195" s="3">
        <v>6.8198</v>
      </c>
      <c r="AA195" s="3">
        <v>0.41099831490690886</v>
      </c>
    </row>
    <row r="196" spans="1:27">
      <c r="A196" t="s">
        <v>360</v>
      </c>
      <c r="B196" s="3">
        <v>1.8505153685301357</v>
      </c>
      <c r="C196" s="3">
        <v>4.7863</v>
      </c>
      <c r="D196" s="3">
        <v>4.8701</v>
      </c>
      <c r="E196" s="3">
        <v>8.5223</v>
      </c>
      <c r="F196" s="3">
        <v>1</v>
      </c>
      <c r="G196" s="3">
        <v>1.0488777008600796</v>
      </c>
      <c r="H196" s="3">
        <v>7.84</v>
      </c>
      <c r="I196" s="3">
        <v>9.067</v>
      </c>
      <c r="J196" s="3">
        <v>0.86957</v>
      </c>
      <c r="K196" s="3">
        <v>0.022046390013867177</v>
      </c>
      <c r="L196" s="3">
        <v>0.042475</v>
      </c>
      <c r="M196" s="3">
        <v>0.004451765124872012</v>
      </c>
      <c r="N196" s="3">
        <v>0.8438106488903889</v>
      </c>
      <c r="O196" s="3">
        <v>0.3898027598035394</v>
      </c>
      <c r="P196" s="3">
        <v>1.670732114812711</v>
      </c>
      <c r="Q196" s="3">
        <v>0.7173601147776183</v>
      </c>
      <c r="R196" s="3">
        <v>3.9453</v>
      </c>
      <c r="S196" s="3">
        <v>1.8500360757034764</v>
      </c>
      <c r="T196" s="3">
        <v>0.09290226681531027</v>
      </c>
      <c r="U196" s="3">
        <v>1.810216863980305</v>
      </c>
      <c r="V196" s="3">
        <v>0.7200979333189313</v>
      </c>
      <c r="W196" s="3">
        <v>5.2785</v>
      </c>
      <c r="X196" s="3">
        <v>0.2066756226103131</v>
      </c>
      <c r="Y196" s="3">
        <v>0.14748131411750132</v>
      </c>
      <c r="Z196" s="3">
        <v>6.8147</v>
      </c>
      <c r="AA196" s="3">
        <v>0.4117768169652049</v>
      </c>
    </row>
    <row r="197" spans="1:27">
      <c r="A197" t="s">
        <v>152</v>
      </c>
      <c r="B197" s="3">
        <v>1.8493860038467227</v>
      </c>
      <c r="C197" s="3">
        <v>4.7685</v>
      </c>
      <c r="D197" s="3">
        <v>4.8669</v>
      </c>
      <c r="E197" s="3">
        <v>8.5059</v>
      </c>
      <c r="F197" s="3">
        <v>1</v>
      </c>
      <c r="G197" s="3">
        <v>1.048767697954903</v>
      </c>
      <c r="H197" s="3">
        <v>7.8392</v>
      </c>
      <c r="I197" s="3">
        <v>9.0847</v>
      </c>
      <c r="J197" s="3">
        <v>0.8693500000000001</v>
      </c>
      <c r="K197" s="3">
        <v>0.022048528811915023</v>
      </c>
      <c r="L197" s="3">
        <v>0.042416</v>
      </c>
      <c r="M197" s="3">
        <v>0.004455533772945999</v>
      </c>
      <c r="N197" s="3">
        <v>0.8435970980259827</v>
      </c>
      <c r="O197" s="3">
        <v>0.3897723729342064</v>
      </c>
      <c r="P197" s="3">
        <v>1.6746491610007703</v>
      </c>
      <c r="Q197" s="3">
        <v>0.7138268256121065</v>
      </c>
      <c r="R197" s="3">
        <v>3.9455</v>
      </c>
      <c r="S197" s="3">
        <v>1.8498307404872456</v>
      </c>
      <c r="T197" s="3">
        <v>0.09428447511832702</v>
      </c>
      <c r="U197" s="3">
        <v>1.8090379536162668</v>
      </c>
      <c r="V197" s="3">
        <v>0.7163323782234957</v>
      </c>
      <c r="W197" s="3">
        <v>5.2796</v>
      </c>
      <c r="X197" s="3">
        <v>0.20620257340811615</v>
      </c>
      <c r="Y197" s="3">
        <v>0.14737220619140112</v>
      </c>
      <c r="Z197" s="3">
        <v>6.813</v>
      </c>
      <c r="AA197" s="3">
        <v>0.4110152075626798</v>
      </c>
    </row>
    <row r="198" spans="1:27">
      <c r="A198" t="s">
        <v>361</v>
      </c>
      <c r="B198" s="3">
        <v>1.8501387604070303</v>
      </c>
      <c r="C198" s="3">
        <v>4.7556</v>
      </c>
      <c r="D198" s="3">
        <v>4.8726</v>
      </c>
      <c r="E198" s="3">
        <v>8.501</v>
      </c>
      <c r="F198" s="3">
        <v>1</v>
      </c>
      <c r="G198" s="3">
        <v>1.0492078480747036</v>
      </c>
      <c r="H198" s="3">
        <v>7.8425</v>
      </c>
      <c r="I198" s="3">
        <v>9.0834</v>
      </c>
      <c r="J198" s="3">
        <v>0.8697499999999999</v>
      </c>
      <c r="K198" s="3">
        <v>0.022003168456257705</v>
      </c>
      <c r="L198" s="3">
        <v>0.042385</v>
      </c>
      <c r="M198" s="3">
        <v>0.0044589111339011014</v>
      </c>
      <c r="N198" s="3">
        <v>0.8440243079000674</v>
      </c>
      <c r="O198" s="3">
        <v>0.390625</v>
      </c>
      <c r="P198" s="3">
        <v>1.6705088369917476</v>
      </c>
      <c r="Q198" s="3">
        <v>0.7176690110521028</v>
      </c>
      <c r="R198" s="3">
        <v>3.9391</v>
      </c>
      <c r="S198" s="3">
        <v>1.845427031815162</v>
      </c>
      <c r="T198" s="3">
        <v>0.0939911460340436</v>
      </c>
      <c r="U198" s="3">
        <v>1.8101185627658611</v>
      </c>
      <c r="V198" s="3">
        <v>0.7140307033202428</v>
      </c>
      <c r="W198" s="3">
        <v>5.2798</v>
      </c>
      <c r="X198" s="3">
        <v>0.20596898107145065</v>
      </c>
      <c r="Y198" s="3">
        <v>0.14731098527479392</v>
      </c>
      <c r="Z198" s="3">
        <v>6.815</v>
      </c>
      <c r="AA198" s="3">
        <v>0.4102059233735335</v>
      </c>
    </row>
    <row r="199" spans="1:27">
      <c r="A199" t="s">
        <v>362</v>
      </c>
      <c r="B199" s="3">
        <v>1.8470972866140856</v>
      </c>
      <c r="C199" s="3">
        <v>4.7806999999999995</v>
      </c>
      <c r="D199" s="3">
        <v>4.8559</v>
      </c>
      <c r="E199" s="3">
        <v>8.5399</v>
      </c>
      <c r="F199" s="3">
        <v>1</v>
      </c>
      <c r="G199" s="3">
        <v>1.0511931041732367</v>
      </c>
      <c r="H199" s="3">
        <v>7.8576</v>
      </c>
      <c r="I199" s="3">
        <v>9.1053</v>
      </c>
      <c r="J199" s="3">
        <v>0.86926</v>
      </c>
      <c r="K199" s="3">
        <v>0.022204162836448577</v>
      </c>
      <c r="L199" s="3">
        <v>0.042419000000000005</v>
      </c>
      <c r="M199" s="3">
        <v>0.004459109961651654</v>
      </c>
      <c r="N199" s="3">
        <v>0.8432414200185513</v>
      </c>
      <c r="O199" s="3">
        <v>0.39415080209688225</v>
      </c>
      <c r="P199" s="3">
        <v>1.6729122055674517</v>
      </c>
      <c r="Q199" s="3">
        <v>0.714694110920526</v>
      </c>
      <c r="R199" s="3">
        <v>3.9546</v>
      </c>
      <c r="S199" s="3">
        <v>1.8510634359439495</v>
      </c>
      <c r="T199" s="3">
        <v>0.09410701850143983</v>
      </c>
      <c r="U199" s="3">
        <v>1.8072071420826257</v>
      </c>
      <c r="V199" s="3">
        <v>0.7183391997701314</v>
      </c>
      <c r="W199" s="3">
        <v>5.2890999999999995</v>
      </c>
      <c r="X199" s="3">
        <v>0.20678674083417772</v>
      </c>
      <c r="Y199" s="3">
        <v>0.14681549843127642</v>
      </c>
      <c r="Z199" s="3">
        <v>6.8109</v>
      </c>
      <c r="AA199" s="3">
        <v>0.417240372178412</v>
      </c>
    </row>
    <row r="200" spans="1:27">
      <c r="A200" t="s">
        <v>363</v>
      </c>
      <c r="B200" s="3">
        <v>1.8470972866140856</v>
      </c>
      <c r="C200" s="3">
        <v>4.7806999999999995</v>
      </c>
      <c r="D200" s="3">
        <v>4.8559</v>
      </c>
      <c r="E200" s="3">
        <v>8.5399</v>
      </c>
      <c r="F200" s="3">
        <v>1</v>
      </c>
      <c r="G200" s="3">
        <v>1.0511931041732367</v>
      </c>
      <c r="H200" s="3">
        <v>7.8576</v>
      </c>
      <c r="I200" s="3">
        <v>9.1053</v>
      </c>
      <c r="J200" s="3">
        <v>0.86926</v>
      </c>
      <c r="K200" s="3">
        <v>0.022204162836448577</v>
      </c>
      <c r="L200" s="3">
        <v>0.042419000000000005</v>
      </c>
      <c r="M200" s="3">
        <v>0.004459109961651654</v>
      </c>
      <c r="N200" s="3">
        <v>0.8432414200185513</v>
      </c>
      <c r="O200" s="3">
        <v>0.39415080209688225</v>
      </c>
      <c r="P200" s="3">
        <v>1.6729122055674517</v>
      </c>
      <c r="Q200" s="3">
        <v>0.714694110920526</v>
      </c>
      <c r="R200" s="3">
        <v>3.9546</v>
      </c>
      <c r="S200" s="3">
        <v>1.8510634359439495</v>
      </c>
      <c r="T200" s="3">
        <v>0.09410701850143983</v>
      </c>
      <c r="U200" s="3">
        <v>1.8072071420826257</v>
      </c>
      <c r="V200" s="3">
        <v>0.7183391997701314</v>
      </c>
      <c r="W200" s="3">
        <v>5.2890999999999995</v>
      </c>
      <c r="X200" s="3">
        <v>0.20678674083417772</v>
      </c>
      <c r="Y200" s="3">
        <v>0.14681549843127642</v>
      </c>
      <c r="Z200" s="3">
        <v>6.8109</v>
      </c>
      <c r="AA200" s="3">
        <v>0.417240372178412</v>
      </c>
    </row>
    <row r="201" spans="1:27">
      <c r="A201" t="s">
        <v>364</v>
      </c>
      <c r="B201" s="3">
        <v>1.8470972866140856</v>
      </c>
      <c r="C201" s="3">
        <v>4.7806999999999995</v>
      </c>
      <c r="D201" s="3">
        <v>4.8559</v>
      </c>
      <c r="E201" s="3">
        <v>8.5399</v>
      </c>
      <c r="F201" s="3">
        <v>1</v>
      </c>
      <c r="G201" s="3">
        <v>1.0511931041732367</v>
      </c>
      <c r="H201" s="3">
        <v>7.8576</v>
      </c>
      <c r="I201" s="3">
        <v>9.1053</v>
      </c>
      <c r="J201" s="3">
        <v>0.86926</v>
      </c>
      <c r="K201" s="3">
        <v>0.022204162836448577</v>
      </c>
      <c r="L201" s="3">
        <v>0.042419000000000005</v>
      </c>
      <c r="M201" s="3">
        <v>0.004459109961651654</v>
      </c>
      <c r="N201" s="3">
        <v>0.8432414200185513</v>
      </c>
      <c r="O201" s="3">
        <v>0.39415080209688225</v>
      </c>
      <c r="P201" s="3">
        <v>1.6729122055674517</v>
      </c>
      <c r="Q201" s="3">
        <v>0.714694110920526</v>
      </c>
      <c r="R201" s="3">
        <v>3.9546</v>
      </c>
      <c r="S201" s="3">
        <v>1.8510634359439495</v>
      </c>
      <c r="T201" s="3">
        <v>0.09410701850143983</v>
      </c>
      <c r="U201" s="3">
        <v>1.8072071420826257</v>
      </c>
      <c r="V201" s="3">
        <v>0.7183391997701314</v>
      </c>
      <c r="W201" s="3">
        <v>5.2890999999999995</v>
      </c>
      <c r="X201" s="3">
        <v>0.20678674083417772</v>
      </c>
      <c r="Y201" s="3">
        <v>0.14681549843127642</v>
      </c>
      <c r="Z201" s="3">
        <v>6.8109</v>
      </c>
      <c r="AA201" s="3">
        <v>0.417240372178412</v>
      </c>
    </row>
    <row r="202" spans="1:27">
      <c r="A202" t="s">
        <v>150</v>
      </c>
      <c r="B202" s="3">
        <v>1.84505249174339</v>
      </c>
      <c r="C202" s="3">
        <v>4.7949</v>
      </c>
      <c r="D202" s="3">
        <v>4.8525</v>
      </c>
      <c r="E202" s="3">
        <v>8.5442</v>
      </c>
      <c r="F202" s="3">
        <v>1</v>
      </c>
      <c r="G202" s="3">
        <v>1.0526315789473684</v>
      </c>
      <c r="H202" s="3">
        <v>7.8686</v>
      </c>
      <c r="I202" s="3">
        <v>9.1191</v>
      </c>
      <c r="J202" s="3">
        <v>0.86897</v>
      </c>
      <c r="K202" s="3">
        <v>0.022425094577836382</v>
      </c>
      <c r="L202" s="3">
        <v>0.042424</v>
      </c>
      <c r="M202" s="3">
        <v>0.0044804874770375015</v>
      </c>
      <c r="N202" s="3">
        <v>0.8432414200185513</v>
      </c>
      <c r="O202" s="3">
        <v>0.3957418180379121</v>
      </c>
      <c r="P202" s="3">
        <v>1.675406704977633</v>
      </c>
      <c r="Q202" s="3">
        <v>0.7133685261806249</v>
      </c>
      <c r="R202" s="3">
        <v>3.9662</v>
      </c>
      <c r="S202" s="3">
        <v>1.8573551263001484</v>
      </c>
      <c r="T202" s="3">
        <v>0.09335934947205286</v>
      </c>
      <c r="U202" s="3">
        <v>1.8058038535854235</v>
      </c>
      <c r="V202" s="3">
        <v>0.7221259387637204</v>
      </c>
      <c r="W202" s="3">
        <v>5.2944</v>
      </c>
      <c r="X202" s="3">
        <v>0.2075980900975711</v>
      </c>
      <c r="Y202" s="3">
        <v>0.1465757701457403</v>
      </c>
      <c r="Z202" s="3">
        <v>6.8088</v>
      </c>
      <c r="AA202" s="3">
        <v>0.41893590280687054</v>
      </c>
    </row>
    <row r="203" spans="1:27">
      <c r="A203" t="s">
        <v>365</v>
      </c>
      <c r="B203" s="3">
        <v>1.846244738202496</v>
      </c>
      <c r="C203" s="3">
        <v>4.7961</v>
      </c>
      <c r="D203" s="3">
        <v>4.8465</v>
      </c>
      <c r="E203" s="3">
        <v>8.5453</v>
      </c>
      <c r="F203" s="3">
        <v>1</v>
      </c>
      <c r="G203" s="3">
        <v>1.0520778537611783</v>
      </c>
      <c r="H203" s="3">
        <v>7.8636</v>
      </c>
      <c r="I203" s="3">
        <v>9.1015</v>
      </c>
      <c r="J203" s="3">
        <v>0.86932</v>
      </c>
      <c r="K203" s="3">
        <v>0.02247115265777558</v>
      </c>
      <c r="L203" s="3">
        <v>0.042394999999999995</v>
      </c>
      <c r="M203" s="3">
        <v>0.004469873055605221</v>
      </c>
      <c r="N203" s="3">
        <v>0.8435970980259827</v>
      </c>
      <c r="O203" s="3">
        <v>0.3947264545669851</v>
      </c>
      <c r="P203" s="3">
        <v>1.677345768056627</v>
      </c>
      <c r="Q203" s="3">
        <v>0.7110858280594468</v>
      </c>
      <c r="R203" s="3">
        <v>3.9522</v>
      </c>
      <c r="S203" s="3">
        <v>1.8521948508983144</v>
      </c>
      <c r="T203" s="3">
        <v>0.09327140112298768</v>
      </c>
      <c r="U203" s="3">
        <v>1.807076511619502</v>
      </c>
      <c r="V203" s="3">
        <v>0.7215007215007215</v>
      </c>
      <c r="W203" s="3">
        <v>5.2901</v>
      </c>
      <c r="X203" s="3">
        <v>0.20808190103624788</v>
      </c>
      <c r="Y203" s="3">
        <v>0.14661015333955937</v>
      </c>
      <c r="Z203" s="3">
        <v>6.8108</v>
      </c>
      <c r="AA203" s="3">
        <v>0.41930479265378</v>
      </c>
    </row>
    <row r="204" spans="1:27">
      <c r="A204" t="s">
        <v>366</v>
      </c>
      <c r="B204" s="3">
        <v>1.845835794447726</v>
      </c>
      <c r="C204" s="3">
        <v>4.7944</v>
      </c>
      <c r="D204" s="3">
        <v>4.845</v>
      </c>
      <c r="E204" s="3">
        <v>8.5616</v>
      </c>
      <c r="F204" s="3">
        <v>1</v>
      </c>
      <c r="G204" s="3">
        <v>1.053962900505902</v>
      </c>
      <c r="H204" s="3">
        <v>7.8776</v>
      </c>
      <c r="I204" s="3">
        <v>9.1099</v>
      </c>
      <c r="J204" s="3">
        <v>0.86945</v>
      </c>
      <c r="K204" s="3">
        <v>0.022576370216349357</v>
      </c>
      <c r="L204" s="3">
        <v>0.042346</v>
      </c>
      <c r="M204" s="3">
        <v>0.004479483963447411</v>
      </c>
      <c r="N204" s="3">
        <v>0.8437394532568343</v>
      </c>
      <c r="O204" s="3">
        <v>0.3949759064697053</v>
      </c>
      <c r="P204" s="3">
        <v>1.6696163221691656</v>
      </c>
      <c r="Q204" s="3">
        <v>0.71571714858288</v>
      </c>
      <c r="R204" s="3">
        <v>3.9557</v>
      </c>
      <c r="S204" s="3">
        <v>1.861434793939168</v>
      </c>
      <c r="T204" s="3">
        <v>0.09319230231582872</v>
      </c>
      <c r="U204" s="3">
        <v>1.80658681552942</v>
      </c>
      <c r="V204" s="3">
        <v>0.7242702976750924</v>
      </c>
      <c r="W204" s="3">
        <v>5.2925</v>
      </c>
      <c r="X204" s="3">
        <v>0.2081641999208976</v>
      </c>
      <c r="Y204" s="3">
        <v>0.14651928779904586</v>
      </c>
      <c r="Z204" s="3">
        <v>6.8096000000000005</v>
      </c>
      <c r="AA204" s="3">
        <v>0.4193927193423922</v>
      </c>
    </row>
    <row r="205" spans="1:27">
      <c r="A205" t="s">
        <v>154</v>
      </c>
      <c r="B205" s="3">
        <v>1.849249204822842</v>
      </c>
      <c r="C205" s="3">
        <v>4.7702</v>
      </c>
      <c r="D205" s="3">
        <v>4.8168</v>
      </c>
      <c r="E205" s="3">
        <v>8.5038</v>
      </c>
      <c r="F205" s="3">
        <v>1</v>
      </c>
      <c r="G205" s="3">
        <v>1.0462439840970914</v>
      </c>
      <c r="H205" s="3">
        <v>7.8174</v>
      </c>
      <c r="I205" s="3">
        <v>9.0392</v>
      </c>
      <c r="J205" s="3">
        <v>0.8694799999999999</v>
      </c>
      <c r="K205" s="3">
        <v>0.02228198746415385</v>
      </c>
      <c r="L205" s="3">
        <v>0.042336</v>
      </c>
      <c r="M205" s="3">
        <v>0.004447013830213012</v>
      </c>
      <c r="N205" s="3">
        <v>0.8438106488903889</v>
      </c>
      <c r="O205" s="3">
        <v>0.3932672644329086</v>
      </c>
      <c r="P205" s="3">
        <v>1.667722891164404</v>
      </c>
      <c r="Q205" s="3">
        <v>0.7065140596297866</v>
      </c>
      <c r="R205" s="3">
        <v>3.9259</v>
      </c>
      <c r="S205" s="3">
        <v>1.8435558505244916</v>
      </c>
      <c r="T205" s="3">
        <v>0.0928962256263528</v>
      </c>
      <c r="U205" s="3">
        <v>1.809758216302302</v>
      </c>
      <c r="V205" s="3">
        <v>0.7144388083160678</v>
      </c>
      <c r="W205" s="3">
        <v>5.2764</v>
      </c>
      <c r="X205" s="3">
        <v>0.20748179347262277</v>
      </c>
      <c r="Y205" s="3">
        <v>0.14634346225216735</v>
      </c>
      <c r="Z205" s="3">
        <v>6.813</v>
      </c>
      <c r="AA205" s="3">
        <v>0.4151961801951422</v>
      </c>
    </row>
    <row r="206" spans="1:27">
      <c r="A206" t="s">
        <v>367</v>
      </c>
      <c r="B206" s="3">
        <v>1.849249204822842</v>
      </c>
      <c r="C206" s="3">
        <v>4.7702</v>
      </c>
      <c r="D206" s="3">
        <v>4.8168</v>
      </c>
      <c r="E206" s="3">
        <v>8.5038</v>
      </c>
      <c r="F206" s="3">
        <v>1</v>
      </c>
      <c r="G206" s="3">
        <v>1.0462439840970914</v>
      </c>
      <c r="H206" s="3">
        <v>7.8174</v>
      </c>
      <c r="I206" s="3">
        <v>9.0392</v>
      </c>
      <c r="J206" s="3">
        <v>0.8694799999999999</v>
      </c>
      <c r="K206" s="3">
        <v>0.02228198746415385</v>
      </c>
      <c r="L206" s="3">
        <v>0.042336</v>
      </c>
      <c r="M206" s="3">
        <v>0.004447013830213012</v>
      </c>
      <c r="N206" s="3">
        <v>0.8438106488903889</v>
      </c>
      <c r="O206" s="3">
        <v>0.3932672644329086</v>
      </c>
      <c r="P206" s="3">
        <v>1.667722891164404</v>
      </c>
      <c r="Q206" s="3">
        <v>0.7065140596297866</v>
      </c>
      <c r="R206" s="3">
        <v>3.9259</v>
      </c>
      <c r="S206" s="3">
        <v>1.8435558505244916</v>
      </c>
      <c r="T206" s="3">
        <v>0.0928962256263528</v>
      </c>
      <c r="U206" s="3">
        <v>1.809758216302302</v>
      </c>
      <c r="V206" s="3">
        <v>0.7144388083160678</v>
      </c>
      <c r="W206" s="3">
        <v>5.2764</v>
      </c>
      <c r="X206" s="3">
        <v>0.20748179347262277</v>
      </c>
      <c r="Y206" s="3">
        <v>0.14634346225216735</v>
      </c>
      <c r="Z206" s="3">
        <v>6.813</v>
      </c>
      <c r="AA206" s="3">
        <v>0.4151961801951422</v>
      </c>
    </row>
    <row r="207" spans="1:27">
      <c r="A207" t="s">
        <v>147</v>
      </c>
      <c r="B207" s="3">
        <v>1.849249204822842</v>
      </c>
      <c r="C207" s="3">
        <v>4.7702</v>
      </c>
      <c r="D207" s="3">
        <v>4.8168</v>
      </c>
      <c r="E207" s="3">
        <v>8.5038</v>
      </c>
      <c r="F207" s="3">
        <v>1</v>
      </c>
      <c r="G207" s="3">
        <v>1.0462439840970914</v>
      </c>
      <c r="H207" s="3">
        <v>7.8174</v>
      </c>
      <c r="I207" s="3">
        <v>9.0392</v>
      </c>
      <c r="J207" s="3">
        <v>0.8694799999999999</v>
      </c>
      <c r="K207" s="3">
        <v>0.02228198746415385</v>
      </c>
      <c r="L207" s="3">
        <v>0.042336</v>
      </c>
      <c r="M207" s="3">
        <v>0.004447013830213012</v>
      </c>
      <c r="N207" s="3">
        <v>0.8438106488903889</v>
      </c>
      <c r="O207" s="3">
        <v>0.3932672644329086</v>
      </c>
      <c r="P207" s="3">
        <v>1.667722891164404</v>
      </c>
      <c r="Q207" s="3">
        <v>0.7065140596297866</v>
      </c>
      <c r="R207" s="3">
        <v>3.9259</v>
      </c>
      <c r="S207" s="3">
        <v>1.8435558505244916</v>
      </c>
      <c r="T207" s="3">
        <v>0.0928962256263528</v>
      </c>
      <c r="U207" s="3">
        <v>1.809758216302302</v>
      </c>
      <c r="V207" s="3">
        <v>0.7144388083160678</v>
      </c>
      <c r="W207" s="3">
        <v>5.2764</v>
      </c>
      <c r="X207" s="3">
        <v>0.20748179347262277</v>
      </c>
      <c r="Y207" s="3">
        <v>0.14634346225216735</v>
      </c>
      <c r="Z207" s="3">
        <v>6.813</v>
      </c>
      <c r="AA207" s="3">
        <v>0.4151961801951422</v>
      </c>
    </row>
    <row r="208" spans="1:27">
      <c r="A208" t="s">
        <v>368</v>
      </c>
      <c r="B208" s="3">
        <v>1.849249204822842</v>
      </c>
      <c r="C208" s="3">
        <v>4.7702</v>
      </c>
      <c r="D208" s="3">
        <v>4.8168</v>
      </c>
      <c r="E208" s="3">
        <v>8.5038</v>
      </c>
      <c r="F208" s="3">
        <v>1</v>
      </c>
      <c r="G208" s="3">
        <v>1.0462439840970914</v>
      </c>
      <c r="H208" s="3">
        <v>7.8174</v>
      </c>
      <c r="I208" s="3">
        <v>9.0392</v>
      </c>
      <c r="J208" s="3">
        <v>0.8694799999999999</v>
      </c>
      <c r="K208" s="3">
        <v>0.02228198746415385</v>
      </c>
      <c r="L208" s="3">
        <v>0.042336</v>
      </c>
      <c r="M208" s="3">
        <v>0.004447013830213012</v>
      </c>
      <c r="N208" s="3">
        <v>0.8438106488903889</v>
      </c>
      <c r="O208" s="3">
        <v>0.3932672644329086</v>
      </c>
      <c r="P208" s="3">
        <v>1.667722891164404</v>
      </c>
      <c r="Q208" s="3">
        <v>0.7065140596297866</v>
      </c>
      <c r="R208" s="3">
        <v>3.9259</v>
      </c>
      <c r="S208" s="3">
        <v>1.8435558505244916</v>
      </c>
      <c r="T208" s="3">
        <v>0.0928962256263528</v>
      </c>
      <c r="U208" s="3">
        <v>1.809758216302302</v>
      </c>
      <c r="V208" s="3">
        <v>0.7144388083160678</v>
      </c>
      <c r="W208" s="3">
        <v>5.2764</v>
      </c>
      <c r="X208" s="3">
        <v>0.20748179347262277</v>
      </c>
      <c r="Y208" s="3">
        <v>0.14634346225216735</v>
      </c>
      <c r="Z208" s="3">
        <v>6.813</v>
      </c>
      <c r="AA208" s="3">
        <v>0.4151961801951422</v>
      </c>
    </row>
    <row r="209" spans="1:27">
      <c r="A209" t="s">
        <v>369</v>
      </c>
      <c r="B209" s="3">
        <v>1.849317601804934</v>
      </c>
      <c r="C209" s="3">
        <v>4.7589999999999995</v>
      </c>
      <c r="D209" s="3">
        <v>4.7915</v>
      </c>
      <c r="E209" s="3">
        <v>8.4161</v>
      </c>
      <c r="F209" s="3">
        <v>1</v>
      </c>
      <c r="G209" s="3">
        <v>1.0419922892570594</v>
      </c>
      <c r="H209" s="3">
        <v>7.7886</v>
      </c>
      <c r="I209" s="3">
        <v>8.9774</v>
      </c>
      <c r="J209" s="3">
        <v>0.8695499999999999</v>
      </c>
      <c r="K209" s="3">
        <v>0.022131238242779683</v>
      </c>
      <c r="L209" s="3">
        <v>0.042158</v>
      </c>
      <c r="M209" s="3">
        <v>0.004430660168365086</v>
      </c>
      <c r="N209" s="3">
        <v>0.8437394532568343</v>
      </c>
      <c r="O209" s="3">
        <v>0.3922645432079394</v>
      </c>
      <c r="P209" s="3">
        <v>1.6441689548017957</v>
      </c>
      <c r="Q209" s="3">
        <v>0.6999860002799944</v>
      </c>
      <c r="R209" s="3">
        <v>3.8958</v>
      </c>
      <c r="S209" s="3">
        <v>1.8310323360310543</v>
      </c>
      <c r="T209" s="3">
        <v>0.0927643784786642</v>
      </c>
      <c r="U209" s="3">
        <v>1.8095617241504107</v>
      </c>
      <c r="V209" s="3">
        <v>0.7083658000991713</v>
      </c>
      <c r="W209" s="3">
        <v>5.2586</v>
      </c>
      <c r="X209" s="3">
        <v>0.20609208194221176</v>
      </c>
      <c r="Y209" s="3">
        <v>0.1463081337080772</v>
      </c>
      <c r="Z209" s="3">
        <v>6.815</v>
      </c>
      <c r="AA209" s="3">
        <v>0.41324021653787346</v>
      </c>
    </row>
    <row r="210" spans="1:27">
      <c r="A210" t="s">
        <v>370</v>
      </c>
      <c r="B210" s="3">
        <v>1.8498307404872456</v>
      </c>
      <c r="C210" s="3">
        <v>4.7541</v>
      </c>
      <c r="D210" s="3">
        <v>4.7989999999999995</v>
      </c>
      <c r="E210" s="3">
        <v>8.4077</v>
      </c>
      <c r="F210" s="3">
        <v>1</v>
      </c>
      <c r="G210" s="3">
        <v>1.0389610389610389</v>
      </c>
      <c r="H210" s="3">
        <v>7.7654</v>
      </c>
      <c r="I210" s="3">
        <v>9.004299999999999</v>
      </c>
      <c r="J210" s="3">
        <v>0.86953</v>
      </c>
      <c r="K210" s="3">
        <v>0.02206847848875059</v>
      </c>
      <c r="L210" s="3">
        <v>0.042121000000000006</v>
      </c>
      <c r="M210" s="3">
        <v>0.004412089124200309</v>
      </c>
      <c r="N210" s="3">
        <v>0.8438106488903889</v>
      </c>
      <c r="O210" s="3">
        <v>0.39192631785224374</v>
      </c>
      <c r="P210" s="3">
        <v>1.640904466541958</v>
      </c>
      <c r="Q210" s="3">
        <v>0.7005253940455342</v>
      </c>
      <c r="R210" s="3">
        <v>3.8806</v>
      </c>
      <c r="S210" s="3">
        <v>1.8196044179995268</v>
      </c>
      <c r="T210" s="3">
        <v>0.09135173157207194</v>
      </c>
      <c r="U210" s="3">
        <v>1.8095617241504107</v>
      </c>
      <c r="V210" s="3">
        <v>0.7062645667066884</v>
      </c>
      <c r="W210" s="3">
        <v>5.2553</v>
      </c>
      <c r="X210" s="3">
        <v>0.20581637063412023</v>
      </c>
      <c r="Y210" s="3">
        <v>0.14628673076951207</v>
      </c>
      <c r="Z210" s="3">
        <v>6.8171</v>
      </c>
      <c r="AA210" s="3">
        <v>0.4146280786134837</v>
      </c>
    </row>
    <row r="211" spans="1:27">
      <c r="A211" t="s">
        <v>158</v>
      </c>
      <c r="B211" s="3">
        <v>1.852229157791402</v>
      </c>
      <c r="C211" s="3">
        <v>4.7046</v>
      </c>
      <c r="D211" s="3">
        <v>4.787</v>
      </c>
      <c r="E211" s="3">
        <v>8.4083</v>
      </c>
      <c r="F211" s="3">
        <v>1</v>
      </c>
      <c r="G211" s="3">
        <v>1.035840066293764</v>
      </c>
      <c r="H211" s="3">
        <v>7.7434</v>
      </c>
      <c r="I211" s="3">
        <v>8.9818</v>
      </c>
      <c r="J211" s="3">
        <v>0.8697499999999999</v>
      </c>
      <c r="K211" s="3">
        <v>0.021810678944624868</v>
      </c>
      <c r="L211" s="3">
        <v>0.042144</v>
      </c>
      <c r="M211" s="3">
        <v>0.004432820603750166</v>
      </c>
      <c r="N211" s="3">
        <v>0.8440243079000674</v>
      </c>
      <c r="O211" s="3">
        <v>0.38792769027853213</v>
      </c>
      <c r="P211" s="3">
        <v>1.643898670085976</v>
      </c>
      <c r="Q211" s="3">
        <v>0.6943962224845497</v>
      </c>
      <c r="R211" s="3">
        <v>3.8542</v>
      </c>
      <c r="S211" s="3">
        <v>1.8101513286510753</v>
      </c>
      <c r="T211" s="3">
        <v>0.0911244760342628</v>
      </c>
      <c r="U211" s="3">
        <v>1.812152293278727</v>
      </c>
      <c r="V211" s="3">
        <v>0.6985679357317499</v>
      </c>
      <c r="W211" s="3">
        <v>5.2477</v>
      </c>
      <c r="X211" s="3">
        <v>0.20423585156138307</v>
      </c>
      <c r="Y211" s="3">
        <v>0.14644311636809354</v>
      </c>
      <c r="Z211" s="3">
        <v>6.819500000000001</v>
      </c>
      <c r="AA211" s="3">
        <v>0.41160732661041366</v>
      </c>
    </row>
    <row r="212" spans="1:27">
      <c r="A212" t="s">
        <v>371</v>
      </c>
      <c r="B212" s="3">
        <v>1.85459940652819</v>
      </c>
      <c r="C212" s="3">
        <v>4.6992</v>
      </c>
      <c r="D212" s="3">
        <v>4.785299999999999</v>
      </c>
      <c r="E212" s="3">
        <v>8.3874</v>
      </c>
      <c r="F212" s="3">
        <v>1</v>
      </c>
      <c r="G212" s="3">
        <v>1.0347682119205297</v>
      </c>
      <c r="H212" s="3">
        <v>7.7349</v>
      </c>
      <c r="I212" s="3">
        <v>8.968200000000001</v>
      </c>
      <c r="J212" s="3">
        <v>0.87012</v>
      </c>
      <c r="K212" s="3">
        <v>0.021750715054757425</v>
      </c>
      <c r="L212" s="3">
        <v>0.042123999999999995</v>
      </c>
      <c r="M212" s="3">
        <v>0.004412089124200309</v>
      </c>
      <c r="N212" s="3">
        <v>0.8443806467955755</v>
      </c>
      <c r="O212" s="3">
        <v>0.3867574257425742</v>
      </c>
      <c r="P212" s="3">
        <v>1.648315421639085</v>
      </c>
      <c r="Q212" s="3">
        <v>0.6912760956726116</v>
      </c>
      <c r="R212" s="3">
        <v>3.845</v>
      </c>
      <c r="S212" s="3">
        <v>1.8053474391146576</v>
      </c>
      <c r="T212" s="3">
        <v>0.09099429465772496</v>
      </c>
      <c r="U212" s="3">
        <v>1.8142893428644</v>
      </c>
      <c r="V212" s="3">
        <v>0.6982265046781175</v>
      </c>
      <c r="W212" s="3">
        <v>5.2507</v>
      </c>
      <c r="X212" s="3">
        <v>0.2036701358479806</v>
      </c>
      <c r="Y212" s="3">
        <v>0.1464860201066711</v>
      </c>
      <c r="Z212" s="3">
        <v>6.8209</v>
      </c>
      <c r="AA212" s="3">
        <v>0.41135335252982314</v>
      </c>
    </row>
    <row r="213" spans="1:27">
      <c r="A213" t="s">
        <v>372</v>
      </c>
      <c r="B213" s="3">
        <v>1.854393057152394</v>
      </c>
      <c r="C213" s="3">
        <v>4.7021</v>
      </c>
      <c r="D213" s="3">
        <v>4.7954</v>
      </c>
      <c r="E213" s="3">
        <v>8.4046</v>
      </c>
      <c r="F213" s="3">
        <v>1</v>
      </c>
      <c r="G213" s="3">
        <v>1.0354110581901017</v>
      </c>
      <c r="H213" s="3">
        <v>7.7405</v>
      </c>
      <c r="I213" s="3">
        <v>8.9832</v>
      </c>
      <c r="J213" s="3">
        <v>0.86942</v>
      </c>
      <c r="K213" s="3">
        <v>0.0218651879968864</v>
      </c>
      <c r="L213" s="3">
        <v>0.042107</v>
      </c>
      <c r="M213" s="3">
        <v>0.004404316229905308</v>
      </c>
      <c r="N213" s="3">
        <v>0.8437394532568343</v>
      </c>
      <c r="O213" s="3">
        <v>0.38934745366765305</v>
      </c>
      <c r="P213" s="3">
        <v>1.6542870849807276</v>
      </c>
      <c r="Q213" s="3">
        <v>0.6903693476009666</v>
      </c>
      <c r="R213" s="3">
        <v>3.8435</v>
      </c>
      <c r="S213" s="3">
        <v>1.808187472877188</v>
      </c>
      <c r="T213" s="3">
        <v>0.09007142664132657</v>
      </c>
      <c r="U213" s="3">
        <v>1.813762832372039</v>
      </c>
      <c r="V213" s="3">
        <v>0.6992029086841001</v>
      </c>
      <c r="W213" s="3">
        <v>5.2526</v>
      </c>
      <c r="X213" s="3">
        <v>0.20388606846494176</v>
      </c>
      <c r="Y213" s="3">
        <v>0.14623303696771173</v>
      </c>
      <c r="Z213" s="3">
        <v>6.816599999999999</v>
      </c>
      <c r="AA213" s="3">
        <v>0.4129842240026431</v>
      </c>
    </row>
    <row r="214" spans="1:27">
      <c r="A214" t="s">
        <v>373</v>
      </c>
      <c r="B214" s="3">
        <v>1.854393057152394</v>
      </c>
      <c r="C214" s="3">
        <v>4.7021</v>
      </c>
      <c r="D214" s="3">
        <v>4.7954</v>
      </c>
      <c r="E214" s="3">
        <v>8.4046</v>
      </c>
      <c r="F214" s="3">
        <v>1</v>
      </c>
      <c r="G214" s="3">
        <v>1.0354110581901017</v>
      </c>
      <c r="H214" s="3">
        <v>7.7405</v>
      </c>
      <c r="I214" s="3">
        <v>8.9832</v>
      </c>
      <c r="J214" s="3">
        <v>0.86942</v>
      </c>
      <c r="K214" s="3">
        <v>0.0218651879968864</v>
      </c>
      <c r="L214" s="3">
        <v>0.042107</v>
      </c>
      <c r="M214" s="3">
        <v>0.004404316229905308</v>
      </c>
      <c r="N214" s="3">
        <v>0.8437394532568343</v>
      </c>
      <c r="O214" s="3">
        <v>0.38934745366765305</v>
      </c>
      <c r="P214" s="3">
        <v>1.6542870849807276</v>
      </c>
      <c r="Q214" s="3">
        <v>0.6903693476009666</v>
      </c>
      <c r="R214" s="3">
        <v>3.8435</v>
      </c>
      <c r="S214" s="3">
        <v>1.808187472877188</v>
      </c>
      <c r="T214" s="3">
        <v>0.09007142664132657</v>
      </c>
      <c r="U214" s="3">
        <v>1.813762832372039</v>
      </c>
      <c r="V214" s="3">
        <v>0.6992029086841001</v>
      </c>
      <c r="W214" s="3">
        <v>5.2526</v>
      </c>
      <c r="X214" s="3">
        <v>0.20388606846494176</v>
      </c>
      <c r="Y214" s="3">
        <v>0.14623303696771173</v>
      </c>
      <c r="Z214" s="3">
        <v>6.816599999999999</v>
      </c>
      <c r="AA214" s="3">
        <v>0.4129842240026431</v>
      </c>
    </row>
    <row r="215" spans="1:27">
      <c r="A215" t="s">
        <v>374</v>
      </c>
      <c r="B215" s="3">
        <v>1.854393057152394</v>
      </c>
      <c r="C215" s="3">
        <v>4.7021</v>
      </c>
      <c r="D215" s="3">
        <v>4.7954</v>
      </c>
      <c r="E215" s="3">
        <v>8.4046</v>
      </c>
      <c r="F215" s="3">
        <v>1</v>
      </c>
      <c r="G215" s="3">
        <v>1.0354110581901017</v>
      </c>
      <c r="H215" s="3">
        <v>7.7405</v>
      </c>
      <c r="I215" s="3">
        <v>8.9832</v>
      </c>
      <c r="J215" s="3">
        <v>0.86942</v>
      </c>
      <c r="K215" s="3">
        <v>0.0218651879968864</v>
      </c>
      <c r="L215" s="3">
        <v>0.042107</v>
      </c>
      <c r="M215" s="3">
        <v>0.004404316229905308</v>
      </c>
      <c r="N215" s="3">
        <v>0.8437394532568343</v>
      </c>
      <c r="O215" s="3">
        <v>0.38934745366765305</v>
      </c>
      <c r="P215" s="3">
        <v>1.6542870849807276</v>
      </c>
      <c r="Q215" s="3">
        <v>0.6903693476009666</v>
      </c>
      <c r="R215" s="3">
        <v>3.8435</v>
      </c>
      <c r="S215" s="3">
        <v>1.808187472877188</v>
      </c>
      <c r="T215" s="3">
        <v>0.09007142664132657</v>
      </c>
      <c r="U215" s="3">
        <v>1.813762832372039</v>
      </c>
      <c r="V215" s="3">
        <v>0.6992029086841001</v>
      </c>
      <c r="W215" s="3">
        <v>5.2526</v>
      </c>
      <c r="X215" s="3">
        <v>0.20388606846494176</v>
      </c>
      <c r="Y215" s="3">
        <v>0.14623303696771173</v>
      </c>
      <c r="Z215" s="3">
        <v>6.816599999999999</v>
      </c>
      <c r="AA215" s="3">
        <v>0.4129842240026431</v>
      </c>
    </row>
    <row r="216" spans="1:27">
      <c r="A216" t="s">
        <v>375</v>
      </c>
      <c r="B216" s="3">
        <v>1.854530618300508</v>
      </c>
      <c r="C216" s="3">
        <v>4.6955</v>
      </c>
      <c r="D216" s="3">
        <v>4.8004</v>
      </c>
      <c r="E216" s="3">
        <v>8.4108</v>
      </c>
      <c r="F216" s="3">
        <v>1</v>
      </c>
      <c r="G216" s="3">
        <v>1.0376673238559715</v>
      </c>
      <c r="H216" s="3">
        <v>7.7564</v>
      </c>
      <c r="I216" s="3">
        <v>8.9902</v>
      </c>
      <c r="J216" s="3">
        <v>0.86919</v>
      </c>
      <c r="K216" s="3">
        <v>0.021918048416968955</v>
      </c>
      <c r="L216" s="3">
        <v>0.04211</v>
      </c>
      <c r="M216" s="3">
        <v>0.004432624113475178</v>
      </c>
      <c r="N216" s="3">
        <v>0.8438818565400844</v>
      </c>
      <c r="O216" s="3">
        <v>0.38924136857265185</v>
      </c>
      <c r="P216" s="3">
        <v>1.666611112962901</v>
      </c>
      <c r="Q216" s="3">
        <v>0.6853539853334247</v>
      </c>
      <c r="R216" s="3">
        <v>3.8404</v>
      </c>
      <c r="S216" s="3">
        <v>1.8092998009770216</v>
      </c>
      <c r="T216" s="3">
        <v>0.08651192566895347</v>
      </c>
      <c r="U216" s="3">
        <v>1.8138944313440957</v>
      </c>
      <c r="V216" s="3">
        <v>0.6995452955578875</v>
      </c>
      <c r="W216" s="3">
        <v>5.2623</v>
      </c>
      <c r="X216" s="3">
        <v>0.20381957890874997</v>
      </c>
      <c r="Y216" s="3">
        <v>0.1461926321837232</v>
      </c>
      <c r="Z216" s="3">
        <v>6.8175</v>
      </c>
      <c r="AA216" s="3">
        <v>0.4139072847682119</v>
      </c>
    </row>
    <row r="217" spans="1:27">
      <c r="A217" t="s">
        <v>30</v>
      </c>
      <c r="B217" s="3">
        <v>1.8510634359439495</v>
      </c>
      <c r="C217" s="3">
        <v>4.680400000000001</v>
      </c>
      <c r="D217" s="3">
        <v>4.7847</v>
      </c>
      <c r="E217" s="3">
        <v>8.4228</v>
      </c>
      <c r="F217" s="3">
        <v>1</v>
      </c>
      <c r="G217" s="3">
        <v>1.039176971838304</v>
      </c>
      <c r="H217" s="3">
        <v>7.7671</v>
      </c>
      <c r="I217" s="3">
        <v>9.0145</v>
      </c>
      <c r="J217" s="3">
        <v>0.86855</v>
      </c>
      <c r="K217" s="3">
        <v>0.02196117703124417</v>
      </c>
      <c r="L217" s="3">
        <v>0.042045000000000006</v>
      </c>
      <c r="M217" s="3">
        <v>0.004402958788305741</v>
      </c>
      <c r="N217" s="3">
        <v>0.8432414200185513</v>
      </c>
      <c r="O217" s="3">
        <v>0.38968124074507055</v>
      </c>
      <c r="P217" s="3">
        <v>1.673416111650323</v>
      </c>
      <c r="Q217" s="3">
        <v>0.684931506849315</v>
      </c>
      <c r="R217" s="3">
        <v>3.8414</v>
      </c>
      <c r="S217" s="3">
        <v>1.812119454914468</v>
      </c>
      <c r="T217" s="3">
        <v>0.08826670668090703</v>
      </c>
      <c r="U217" s="3">
        <v>1.810380723066061</v>
      </c>
      <c r="V217" s="3">
        <v>0.7003291547027103</v>
      </c>
      <c r="W217" s="3">
        <v>5.2604999999999995</v>
      </c>
      <c r="X217" s="3">
        <v>0.20424419435877533</v>
      </c>
      <c r="Y217" s="3">
        <v>0.1458078777080168</v>
      </c>
      <c r="Z217" s="3">
        <v>6.8109</v>
      </c>
      <c r="AA217" s="3">
        <v>0.4144047076374788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审计结论</vt:lpstr>
      <vt:lpstr>未实现月度测算</vt:lpstr>
      <vt:lpstr>客户与审计汇率比较</vt:lpstr>
      <vt:lpstr>汇率表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2026-10-07T11:48:06Z</dcterms:created>
  <dcterms:modified xsi:type="dcterms:W3CDTF">2026-10-07T11:48:06Z</dcterms:modified>
</cp:coreProperties>
</file>