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审计结论" sheetId="1" r:id="rId1"/>
    <sheet name="汇兑损益测算明细" sheetId="2" r:id="rId2"/>
    <sheet name="客户与审计汇率比较" sheetId="3" r:id="rId3"/>
    <sheet name="使用说明" sheetId="4" state="hidden" r:id="rId4"/>
    <sheet name="执行摘要" sheetId="5" state="hidden" r:id="rId5"/>
    <sheet name="参数与口径" sheetId="6" state="hidden" r:id="rId6"/>
    <sheet name="JE字段映射" sheetId="7" state="hidden" r:id="rId7"/>
    <sheet name="TB字段映射" sheetId="8" state="hidden" r:id="rId8"/>
    <sheet name="数据质量" sheetId="9" state="hidden" r:id="rId9"/>
    <sheet name="待复核项目" sheetId="10" state="hidden" r:id="rId10"/>
    <sheet name="科目角色" sheetId="11" state="hidden" r:id="rId11"/>
    <sheet name="央行汇率" sheetId="12" state="hidden" r:id="rId12"/>
    <sheet name="汇率表" sheetId="13" state="hidden" r:id="rId13"/>
    <sheet name="异常与限制" sheetId="14" state="hidden" r:id="rId14"/>
    <sheet name="_rate_snapshot" sheetId="15" state="hidden" r:id="rId15"/>
    <sheet name="_source_trace" sheetId="16" state="hidden" r:id="rId16"/>
    <sheet name="JE完整明细" sheetId="17" state="hidden" r:id="rId17"/>
    <sheet name="事件分类" sheetId="18" state="hidden" r:id="rId18"/>
    <sheet name="已实现测算" sheetId="19" state="hidden" r:id="rId19"/>
    <sheet name="已实现汇总" sheetId="20" state="hidden" r:id="rId20"/>
    <sheet name="未实现凭证识别" sheetId="21" state="hidden" r:id="rId21"/>
    <sheet name="未实现汇兑损益测算" sheetId="22" r:id="rId22"/>
    <sheet name="客户未实现损益比较" sheetId="23" state="hidden" r:id="rId23"/>
    <sheet name="月度测算" sheetId="24" state="hidden" r:id="rId24"/>
    <sheet name="全年汇总" sheetId="25" state="hidden" r:id="rId25"/>
    <sheet name="TB勾稽" sheetId="26" state="hidden" r:id="rId26"/>
    <sheet name="汇兑事项复核" sheetId="27" r:id="rId27"/>
  </sheets>
  <definedNames>
    <definedName name="_xlnm._FilterDatabase" localSheetId="2" hidden="1">客户与审计汇率比较!$A$1:$P$63</definedName>
    <definedName name="_xlnm._FilterDatabase" localSheetId="26" hidden="1">汇兑事项复核!$A$1:$L$3</definedName>
  </definedNames>
  <calcPr calcId="124519" fullCalcOnLoad="1"/>
</workbook>
</file>

<file path=xl/sharedStrings.xml><?xml version="1.0" encoding="utf-8"?>
<sst xmlns="http://schemas.openxmlformats.org/spreadsheetml/2006/main" count="24767" uniqueCount="1123">
  <si>
    <t>项目</t>
  </si>
  <si>
    <t>结果</t>
  </si>
  <si>
    <t>公司/核算主体</t>
  </si>
  <si>
    <t>默认主体</t>
  </si>
  <si>
    <t>报告期间</t>
  </si>
  <si>
    <t>2026-01-01 至 2026-06-30</t>
  </si>
  <si>
    <t>测算范围</t>
  </si>
  <si>
    <t>已实现＋未实现</t>
  </si>
  <si>
    <t>已实现汇兑损益测算</t>
  </si>
  <si>
    <t>未实现汇兑损益测算</t>
  </si>
  <si>
    <t>审计测算合计</t>
  </si>
  <si>
    <t>客户账面汇兑损益净额（未区分已实现/未实现）</t>
  </si>
  <si>
    <t>测算与客户账面差异</t>
  </si>
  <si>
    <t>待复核项目（账面金额）</t>
  </si>
  <si>
    <t>差异率</t>
  </si>
  <si>
    <t>审计结论</t>
  </si>
  <si>
    <t>限制与提示</t>
  </si>
  <si>
    <t>尚有2张凭证需披露，其中不构成汇兑事项 2 张、账面汇差 2400.00（结构上不含外币货币性项目，详见「汇兑事项复核」页，属科目使用问题，建议重分类复核）；账面金额见B10；详见“汇兑事项复核”。</t>
  </si>
  <si>
    <t>日期</t>
  </si>
  <si>
    <t>凭证匹配ID</t>
  </si>
  <si>
    <t>测算类型</t>
  </si>
  <si>
    <t>待复核分路</t>
  </si>
  <si>
    <t>摘要</t>
  </si>
  <si>
    <t>科目代码</t>
  </si>
  <si>
    <t>原始科目名称</t>
  </si>
  <si>
    <t>币种</t>
  </si>
  <si>
    <t>JE原币金额</t>
  </si>
  <si>
    <t>JE本位币金额</t>
  </si>
  <si>
    <t>是否测算行</t>
  </si>
  <si>
    <t>测算原币金额</t>
  </si>
  <si>
    <t>测算采用汇率</t>
  </si>
  <si>
    <t>测算前账面金额</t>
  </si>
  <si>
    <t>审计测算金额</t>
  </si>
  <si>
    <t>测算/待复核金额</t>
  </si>
  <si>
    <t>计算逻辑</t>
  </si>
  <si>
    <t>测算方法与数据来源</t>
  </si>
  <si>
    <t>JE源文件行号</t>
  </si>
  <si>
    <t>余额</t>
  </si>
  <si>
    <t>余额方向</t>
  </si>
  <si>
    <t>借方原币</t>
  </si>
  <si>
    <t>借方本位币</t>
  </si>
  <si>
    <t>凭证字号</t>
  </si>
  <si>
    <t>汇率</t>
  </si>
  <si>
    <t>科目名称</t>
  </si>
  <si>
    <t>科目编码</t>
  </si>
  <si>
    <t>贷方原币</t>
  </si>
  <si>
    <t>贷方本位币</t>
  </si>
  <si>
    <t>2026-01-12</t>
  </si>
  <si>
    <t>默认主体-2026-01-12-记-0004</t>
  </si>
  <si>
    <t>已实现</t>
  </si>
  <si>
    <t>收到美国客户A货款</t>
  </si>
  <si>
    <t>1002.02</t>
  </si>
  <si>
    <t>美元户</t>
  </si>
  <si>
    <t>美元</t>
  </si>
  <si>
    <t>是</t>
  </si>
  <si>
    <t>账面金额－审计金额</t>
  </si>
  <si>
    <t>已实现：滚动审计本位币基础与本次结算价值比较；汇率来源：国家外汇管理局人民币汇率中间价查询（数据由中国外汇交易中心公布）；央行交易日中间价：7.010800</t>
  </si>
  <si>
    <t>912000</t>
  </si>
  <si>
    <t>借</t>
  </si>
  <si>
    <t>100000</t>
  </si>
  <si>
    <t>712000</t>
  </si>
  <si>
    <t>记-0004</t>
  </si>
  <si>
    <t>7.12</t>
  </si>
  <si>
    <t>1122.02</t>
  </si>
  <si>
    <t>应收账款-美元客户</t>
  </si>
  <si>
    <t>否</t>
  </si>
  <si>
    <t>1032000</t>
  </si>
  <si>
    <t>2026-01-22</t>
  </si>
  <si>
    <t>默认主体-2026-01-22-记-0010</t>
  </si>
  <si>
    <t>支付美元供应商货款</t>
  </si>
  <si>
    <t>2202.02</t>
  </si>
  <si>
    <t>应付账款-美元供应商</t>
  </si>
  <si>
    <t>审计金额－账面金额</t>
  </si>
  <si>
    <t>已实现：滚动审计本位币基础与本次结算价值比较；汇率来源：国家外汇管理局人民币汇率中间价查询（数据由中国外汇交易中心公布）；央行交易日中间价：7.001900</t>
  </si>
  <si>
    <t>251200</t>
  </si>
  <si>
    <t>贷</t>
  </si>
  <si>
    <t>50000</t>
  </si>
  <si>
    <t>356000</t>
  </si>
  <si>
    <t>记-0010</t>
  </si>
  <si>
    <t>556000</t>
  </si>
  <si>
    <t>2026-01-24</t>
  </si>
  <si>
    <t>默认主体-2026-01-24-记-0012</t>
  </si>
  <si>
    <t>支付香港货代运费</t>
  </si>
  <si>
    <t>2202.03</t>
  </si>
  <si>
    <t>应付账款-港币供应商</t>
  </si>
  <si>
    <t>港币</t>
  </si>
  <si>
    <t>已实现：滚动审计本位币基础与本次结算价值比较；汇率来源：国家外汇管理局人民币汇率中间价查询（数据由中国外汇交易中心公布）；央行交易日中间价：0.896760</t>
  </si>
  <si>
    <t>300000</t>
  </si>
  <si>
    <t>40000</t>
  </si>
  <si>
    <t>36400</t>
  </si>
  <si>
    <t>记-0012</t>
  </si>
  <si>
    <t>0.91</t>
  </si>
  <si>
    <t>1002.03</t>
  </si>
  <si>
    <t>港币户</t>
  </si>
  <si>
    <t>463600</t>
  </si>
  <si>
    <t>2026-01-25</t>
  </si>
  <si>
    <t>默认主体-2026-01-25-记-0013</t>
  </si>
  <si>
    <t>美元结汇</t>
  </si>
  <si>
    <t>1002.01</t>
  </si>
  <si>
    <t>人民币户</t>
  </si>
  <si>
    <t>人民币</t>
  </si>
  <si>
    <t>已实现：滚动审计本位币基础与本次结算价值比较；汇率来源：国家外汇管理局人民币汇率中间价查询（数据由中国外汇交易中心公布）；央行交易日中间价：6.992900</t>
  </si>
  <si>
    <t>3844800</t>
  </si>
  <si>
    <t>429000</t>
  </si>
  <si>
    <t>记-0013</t>
  </si>
  <si>
    <t>128800</t>
  </si>
  <si>
    <t>60000</t>
  </si>
  <si>
    <t>427200</t>
  </si>
  <si>
    <t>6603.02</t>
  </si>
  <si>
    <t>财务费用-汇兑损益</t>
  </si>
  <si>
    <t>1800</t>
  </si>
  <si>
    <t>2026-01-26</t>
  </si>
  <si>
    <t>默认主体-2026-01-26-记-0014</t>
  </si>
  <si>
    <t>购汇美元</t>
  </si>
  <si>
    <t>购汇：实际支付本位币减去交易日官方牌价折算额；汇率来源：国家外汇管理局人民币汇率中间价查询（数据由中国外汇交易中心公布）；央行交易日中间价：6.984300</t>
  </si>
  <si>
    <t>342400</t>
  </si>
  <si>
    <t>30000</t>
  </si>
  <si>
    <t>213600</t>
  </si>
  <si>
    <t>记-0014</t>
  </si>
  <si>
    <t>3630600</t>
  </si>
  <si>
    <t>214200</t>
  </si>
  <si>
    <t>1200</t>
  </si>
  <si>
    <t>600</t>
  </si>
  <si>
    <t>2026-02-12</t>
  </si>
  <si>
    <t>默认主体-2026-02-12-记-0022</t>
  </si>
  <si>
    <t>usd</t>
  </si>
  <si>
    <t>已实现：滚动审计本位币基础与本次结算价值比较；汇率来源：国家外汇管理局人民币汇率中间价查询（数据由中国外汇交易中心公布）；央行交易日中间价：6.945700</t>
  </si>
  <si>
    <t>1125600</t>
  </si>
  <si>
    <t>记-0022</t>
  </si>
  <si>
    <t>889600</t>
  </si>
  <si>
    <t>2026-02-17</t>
  </si>
  <si>
    <t>默认主体-2026-02-17-记-0026</t>
  </si>
  <si>
    <t>收到欧元客户货款并结汇</t>
  </si>
  <si>
    <t>已实现：滚动审计本位币基础与本次结算价值比较；汇率来源：国家外汇管理局人民币汇率中间价查询（数据由中国外汇交易中心公布）；央行交易日中间价：8.219500</t>
  </si>
  <si>
    <t>3603950</t>
  </si>
  <si>
    <t>196250</t>
  </si>
  <si>
    <t>记-0026</t>
  </si>
  <si>
    <t>1122.03</t>
  </si>
  <si>
    <t>应收账款-欧元客户</t>
  </si>
  <si>
    <t>欧元</t>
  </si>
  <si>
    <t>45750</t>
  </si>
  <si>
    <t>7.83</t>
  </si>
  <si>
    <t>25000</t>
  </si>
  <si>
    <t>195750</t>
  </si>
  <si>
    <t>500</t>
  </si>
  <si>
    <t>2026-02-22</t>
  </si>
  <si>
    <t>默认主体-2026-02-22-记-0029</t>
  </si>
  <si>
    <t>已实现：滚动审计本位币基础与本次结算价值比较；汇率来源：国家外汇管理局人民币汇率中间价查询（数据由中国外汇交易中心公布）；央行交易日中间价：6.939800</t>
  </si>
  <si>
    <t>322400</t>
  </si>
  <si>
    <t>记-0029</t>
  </si>
  <si>
    <t>2026-02-24</t>
  </si>
  <si>
    <t>默认主体-2026-02-24-记-0031</t>
  </si>
  <si>
    <t>已实现：滚动审计本位币基础与本次结算价值比较；汇率来源：国家外汇管理局人民币汇率中间价查询（数据由中国外汇交易中心公布）；央行交易日中间价：0.887730</t>
  </si>
  <si>
    <t>27300</t>
  </si>
  <si>
    <t>记-0031</t>
  </si>
  <si>
    <t>436300</t>
  </si>
  <si>
    <t>2026-02-25</t>
  </si>
  <si>
    <t>默认主体-2026-02-25-记-0032</t>
  </si>
  <si>
    <t>已实现：滚动审计本位币基础与本次结算价值比较；汇率来源：国家外汇管理局人民币汇率中间价查询（数据由中国外汇交易中心公布）；央行交易日中间价：6.932100</t>
  </si>
  <si>
    <t>3889550</t>
  </si>
  <si>
    <t>285600</t>
  </si>
  <si>
    <t>记-0032</t>
  </si>
  <si>
    <t>627200</t>
  </si>
  <si>
    <t>284800</t>
  </si>
  <si>
    <t>1300</t>
  </si>
  <si>
    <t>800</t>
  </si>
  <si>
    <t>2026-03-12</t>
  </si>
  <si>
    <t>默认主体-2026-03-12-记-0040</t>
  </si>
  <si>
    <t>已实现：滚动审计本位币基础与本次结算价值比较；汇率来源：国家外汇管理局人民币汇率中间价查询（数据由中国外汇交易中心公布）；央行交易日中间价：6.895900</t>
  </si>
  <si>
    <t>1481600</t>
  </si>
  <si>
    <t>120000</t>
  </si>
  <si>
    <t>854400</t>
  </si>
  <si>
    <t>记-0040</t>
  </si>
  <si>
    <t>1459200</t>
  </si>
  <si>
    <t>2026-03-13</t>
  </si>
  <si>
    <t>默认主体-2026-03-13-记-0041</t>
  </si>
  <si>
    <t>待复核</t>
  </si>
  <si>
    <t>非货币性项目/异常复核</t>
  </si>
  <si>
    <t>购汇日元预付日本供应商货款</t>
  </si>
  <si>
    <t>1123.02</t>
  </si>
  <si>
    <t>预付款项-日元</t>
  </si>
  <si>
    <t>日元</t>
  </si>
  <si>
    <t>账面金额仅供参考，不纳入审计测算</t>
  </si>
  <si>
    <t>对方科目为预付款、存货、固定资产等非货币性项目，不产生外币汇兑损益；账面汇差建议重分类复核</t>
  </si>
  <si>
    <t>5096400</t>
  </si>
  <si>
    <t>2000000</t>
  </si>
  <si>
    <t>96400</t>
  </si>
  <si>
    <t>记-0041</t>
  </si>
  <si>
    <t>0.0482</t>
  </si>
  <si>
    <t>3492150</t>
  </si>
  <si>
    <t>97600</t>
  </si>
  <si>
    <t>2026-03-22</t>
  </si>
  <si>
    <t>默认主体-2026-03-22-记-0048</t>
  </si>
  <si>
    <t>已实现：滚动审计本位币基础与本次结算价值比较；汇率来源：国家外汇管理局人民币汇率中间价查询（数据由中国外汇交易中心公布）；央行交易日中间价：6.889800</t>
  </si>
  <si>
    <t>393600</t>
  </si>
  <si>
    <t>记-0048</t>
  </si>
  <si>
    <t>2026-03-24</t>
  </si>
  <si>
    <t>默认主体-2026-03-24-记-0050</t>
  </si>
  <si>
    <t>已实现：滚动审计本位币基础与本次结算价值比较；汇率来源：国家外汇管理局人民币汇率中间价查询（数据由中国外汇交易中心公布）；央行交易日中间价：0.880150</t>
  </si>
  <si>
    <t>记-0050</t>
  </si>
  <si>
    <t>399900</t>
  </si>
  <si>
    <t>2026-03-25</t>
  </si>
  <si>
    <t>默认主体-2026-03-25-记-0051</t>
  </si>
  <si>
    <t>已实现：滚动审计本位币基础与本次结算价值比较；汇率来源：国家外汇管理局人民币汇率中间价查询（数据由中国外汇交易中心公布）；央行交易日中间价：6.891100</t>
  </si>
  <si>
    <t>3836950</t>
  </si>
  <si>
    <t>记-0051</t>
  </si>
  <si>
    <t>698400</t>
  </si>
  <si>
    <t>2026-03-26</t>
  </si>
  <si>
    <t>默认主体-2026-03-26-记-0052</t>
  </si>
  <si>
    <t>购汇：实际支付本位币减去交易日官方牌价折算额；汇率来源：国家外汇管理局人民币汇率中间价查询（数据由中国外汇交易中心公布）；央行交易日中间价：6.905600</t>
  </si>
  <si>
    <t>记-0052</t>
  </si>
  <si>
    <t>3622750</t>
  </si>
  <si>
    <t>0</t>
  </si>
  <si>
    <t>平</t>
  </si>
  <si>
    <t>2026-04-12</t>
  </si>
  <si>
    <t>默认主体-2026-04-12-记-0060</t>
  </si>
  <si>
    <t>已实现：滚动审计本位币基础与本次结算价值比较；汇率来源：国家外汇管理局人民币汇率中间价查询（数据由中国外汇交易中心公布）；央行交易日中间价：6.865400</t>
  </si>
  <si>
    <t>2051200</t>
  </si>
  <si>
    <t>160000</t>
  </si>
  <si>
    <t>1139200</t>
  </si>
  <si>
    <t>记-0060</t>
  </si>
  <si>
    <t>1886400</t>
  </si>
  <si>
    <t>2026-04-17</t>
  </si>
  <si>
    <t>默认主体-2026-04-17-记-0064</t>
  </si>
  <si>
    <t>已实现：滚动审计本位币基础与本次结算价值比较；汇率来源：国家外汇管理局人民币汇率中间价查询（数据由中国外汇交易中心公布）；央行交易日中间价：8.061800</t>
  </si>
  <si>
    <t>3596000</t>
  </si>
  <si>
    <t>196750</t>
  </si>
  <si>
    <t>记-0064</t>
  </si>
  <si>
    <t>241500</t>
  </si>
  <si>
    <t>1000</t>
  </si>
  <si>
    <t>2026-04-22</t>
  </si>
  <si>
    <t>默认主体-2026-04-22-记-0067</t>
  </si>
  <si>
    <t>已实现：滚动审计本位币基础与本次结算价值比较；汇率来源：国家外汇管理局人民币汇率中间价查询（数据由中国外汇交易中心公布）；央行交易日中间价：6.863500</t>
  </si>
  <si>
    <t>464800</t>
  </si>
  <si>
    <t>记-0067</t>
  </si>
  <si>
    <t>1695200</t>
  </si>
  <si>
    <t>2026-04-24</t>
  </si>
  <si>
    <t>默认主体-2026-04-24-记-0069</t>
  </si>
  <si>
    <t>已实现：滚动审计本位币基础与本次结算价值比较；汇率来源：国家外汇管理局人民币汇率中间价查询（数据由中国外汇交易中心公布）；央行交易日中间价：0.876660</t>
  </si>
  <si>
    <t>记-0069</t>
  </si>
  <si>
    <t>363500</t>
  </si>
  <si>
    <t>2026-04-25</t>
  </si>
  <si>
    <t>默认主体-2026-04-25-记-0070</t>
  </si>
  <si>
    <t>已实现：滚动审计本位币基础与本次结算价值比较；汇率来源：国家外汇管理局人民币汇率中间价查询（数据由中国外汇交易中心公布）；央行交易日中间价：6.867400</t>
  </si>
  <si>
    <t>4025600</t>
  </si>
  <si>
    <t>429600</t>
  </si>
  <si>
    <t>记-0070</t>
  </si>
  <si>
    <t>Usd</t>
  </si>
  <si>
    <t>1268000</t>
  </si>
  <si>
    <t>3400</t>
  </si>
  <si>
    <t>2400</t>
  </si>
  <si>
    <t>2026-04-26</t>
  </si>
  <si>
    <t>默认主体-2026-04-26-记-0071</t>
  </si>
  <si>
    <t>购汇：实际支付本位币减去交易日官方牌价折算额；汇率来源：国家外汇管理局人民币汇率中间价查询（数据由中国外汇交易中心公布）；央行交易日中间价：6.867400</t>
  </si>
  <si>
    <t>记-0071</t>
  </si>
  <si>
    <t>3811100</t>
  </si>
  <si>
    <t>214500</t>
  </si>
  <si>
    <t>2500</t>
  </si>
  <si>
    <t>900</t>
  </si>
  <si>
    <t>2026-05-12</t>
  </si>
  <si>
    <t>默认主体-2026-05-12-记-0077</t>
  </si>
  <si>
    <t>已实现：滚动审计本位币基础与本次结算价值比较；汇率来源：国家外汇管理局人民币汇率中间价查询（数据由中国外汇交易中心公布）；央行交易日中间价：6.842600</t>
  </si>
  <si>
    <t>2620800</t>
  </si>
  <si>
    <t>记-0077</t>
  </si>
  <si>
    <t>1815200</t>
  </si>
  <si>
    <t>2026-05-22</t>
  </si>
  <si>
    <t>默认主体-2026-05-22-记-0083</t>
  </si>
  <si>
    <t>已实现：滚动审计本位币基础与本次结算价值比较；汇率来源：国家外汇管理局人民币汇率中间价查询（数据由中国外汇交易中心公布）；央行交易日中间价：6.837300</t>
  </si>
  <si>
    <t>536000</t>
  </si>
  <si>
    <t>记-0083</t>
  </si>
  <si>
    <t>2193600</t>
  </si>
  <si>
    <t>2026-05-25</t>
  </si>
  <si>
    <t>默认主体-2026-05-25-记-0084</t>
  </si>
  <si>
    <t>已实现：滚动审计本位币基础与本次结算价值比较；汇率来源：国家外汇管理局人民币汇率中间价查询（数据由中国外汇交易中心公布）；央行交易日中间价：6.831800</t>
  </si>
  <si>
    <t>3865800</t>
  </si>
  <si>
    <t>500500</t>
  </si>
  <si>
    <t>记-0084</t>
  </si>
  <si>
    <t>70000</t>
  </si>
  <si>
    <t>498400</t>
  </si>
  <si>
    <t>2100</t>
  </si>
  <si>
    <t>2026-05-26</t>
  </si>
  <si>
    <t>默认主体-2026-05-26-记-0085</t>
  </si>
  <si>
    <t>购汇：实际支付本位币减去交易日官方牌价折算额；汇率来源：国家外汇管理局人民币汇率中间价查询（数据由中国外汇交易中心公布）；央行交易日中间价：6.828800</t>
  </si>
  <si>
    <t>1908800</t>
  </si>
  <si>
    <t>记-0085</t>
  </si>
  <si>
    <t>3651600</t>
  </si>
  <si>
    <t>1500</t>
  </si>
  <si>
    <t>默认主体-2026-05-26-记-0086</t>
  </si>
  <si>
    <t>购汇港币</t>
  </si>
  <si>
    <t>购汇：实际支付本位币减去交易日官方牌价折算额；汇率来源：国家外汇管理局人民币汇率中间价查询（数据由中国外汇交易中心公布）；央行交易日中间价：0.871550</t>
  </si>
  <si>
    <t>80000</t>
  </si>
  <si>
    <t>72800</t>
  </si>
  <si>
    <t>记-0086</t>
  </si>
  <si>
    <t>3578080</t>
  </si>
  <si>
    <t>73520</t>
  </si>
  <si>
    <t>780</t>
  </si>
  <si>
    <t>720</t>
  </si>
  <si>
    <t>2026-06-12</t>
  </si>
  <si>
    <t>默认主体-2026-06-12-记-0093</t>
  </si>
  <si>
    <t>已实现：滚动审计本位币基础与本次结算价值比较；汇率来源：国家外汇管理局人民币汇率中间价查询（数据由中国外汇交易中心公布）；央行交易日中间价：6.810900</t>
  </si>
  <si>
    <t>3190400</t>
  </si>
  <si>
    <t>180000</t>
  </si>
  <si>
    <t>1281600</t>
  </si>
  <si>
    <t>记-0093</t>
  </si>
  <si>
    <t>2384800</t>
  </si>
  <si>
    <t>2026-06-13</t>
  </si>
  <si>
    <t>默认主体-2026-06-13-记-0094</t>
  </si>
  <si>
    <t>5192800</t>
  </si>
  <si>
    <t>记-0094</t>
  </si>
  <si>
    <t>3090280</t>
  </si>
  <si>
    <t>2026-06-17</t>
  </si>
  <si>
    <t>默认主体-2026-06-17-记-0098</t>
  </si>
  <si>
    <t>已实现：滚动审计本位币基础与本次结算价值比较；汇率来源：国家外汇管理局人民币汇率中间价查询（数据由中国外汇交易中心公布）；央行交易日中间价：7.877600</t>
  </si>
  <si>
    <t>3202280</t>
  </si>
  <si>
    <t>196500</t>
  </si>
  <si>
    <t>记-0098</t>
  </si>
  <si>
    <t>437250</t>
  </si>
  <si>
    <t>450</t>
  </si>
  <si>
    <t>750</t>
  </si>
  <si>
    <t>2026-06-22</t>
  </si>
  <si>
    <t>默认主体-2026-06-22-记-0102</t>
  </si>
  <si>
    <t>已实现：滚动审计本位币基础与本次结算价值比较；汇率来源：国家外汇管理局人民币汇率中间价查询（数据由中国外汇交易中心公布）；央行交易日中间价：6.815000</t>
  </si>
  <si>
    <t>607200</t>
  </si>
  <si>
    <t>记-0102</t>
  </si>
  <si>
    <t>2763200</t>
  </si>
  <si>
    <t>2026-06-24</t>
  </si>
  <si>
    <t>默认主体-2026-06-24-记-0104</t>
  </si>
  <si>
    <t>已实现：滚动审计本位币基础与本次结算价值比较；汇率来源：国家外汇管理局人民币汇率中间价查询（数据由中国外汇交易中心公布）；央行交易日中间价：0.869750</t>
  </si>
  <si>
    <t>45000</t>
  </si>
  <si>
    <t>40950</t>
  </si>
  <si>
    <t>记-0104</t>
  </si>
  <si>
    <t>395350</t>
  </si>
  <si>
    <t>2026-06-25</t>
  </si>
  <si>
    <t>默认主体-2026-06-25-记-0105</t>
  </si>
  <si>
    <t>已实现：滚动审计本位币基础与本次结算价值比较；汇率来源：国家外汇管理局人民币汇率中间价查询（数据由中国外汇交易中心公布）；央行交易日中间价：6.820900</t>
  </si>
  <si>
    <t>3704180</t>
  </si>
  <si>
    <t>501900</t>
  </si>
  <si>
    <t>记-0105</t>
  </si>
  <si>
    <t>2264800</t>
  </si>
  <si>
    <t>3050</t>
  </si>
  <si>
    <t>3500</t>
  </si>
  <si>
    <t>2026-06-26</t>
  </si>
  <si>
    <t>默认主体-2026-06-26-记-0106</t>
  </si>
  <si>
    <t>购汇：实际支付本位币减去交易日官方牌价折算额；汇率来源：国家外汇管理局人民币汇率中间价查询（数据由中国外汇交易中心公布）；央行交易日中间价：6.816600</t>
  </si>
  <si>
    <t>2478400</t>
  </si>
  <si>
    <t>记-0106</t>
  </si>
  <si>
    <t>3489680</t>
  </si>
  <si>
    <t>2150</t>
  </si>
  <si>
    <t>类型</t>
  </si>
  <si>
    <t>日期/月末</t>
  </si>
  <si>
    <t>凭证号</t>
  </si>
  <si>
    <t>主体</t>
  </si>
  <si>
    <t>科目</t>
  </si>
  <si>
    <t>客户隐含汇率</t>
  </si>
  <si>
    <t>反推依据</t>
  </si>
  <si>
    <t>可靠性</t>
  </si>
  <si>
    <t>审计期初/月初汇率</t>
  </si>
  <si>
    <t>审计交易日/月末汇率</t>
  </si>
  <si>
    <t>客户与审计期初/月初汇率差</t>
  </si>
  <si>
    <t>客户与审计交易日/月末汇率差</t>
  </si>
  <si>
    <t>原币基础</t>
  </si>
  <si>
    <t>汇率基础影响</t>
  </si>
  <si>
    <t>说明</t>
  </si>
  <si>
    <t>1122.02 应收账款-美元客户</t>
  </si>
  <si>
    <t>USD</t>
  </si>
  <si>
    <t>JE本位币金额÷原币金额反推</t>
  </si>
  <si>
    <t>反推</t>
  </si>
  <si>
    <t>已实现项目的反推值只表示JE账面隐含汇率，不表示客户明确申明的政策汇率。</t>
  </si>
  <si>
    <t>2202.02 应付账款-美元供应商</t>
  </si>
  <si>
    <t>2202.03 应付账款-港币供应商</t>
  </si>
  <si>
    <t>HKD</t>
  </si>
  <si>
    <t>1002.02 美元户</t>
  </si>
  <si>
    <t>1122.03 应收账款-欧元客户</t>
  </si>
  <si>
    <t>EUR</t>
  </si>
  <si>
    <t>未实现</t>
  </si>
  <si>
    <t>2026-01-31</t>
  </si>
  <si>
    <t>TB期初本位币及JE滚动后账面余额÷月末原币余额反推</t>
  </si>
  <si>
    <t>客户隐含汇率仅作差异解释；审计未实现损益始终按官方月末汇率独立测算。</t>
  </si>
  <si>
    <t>1002.03 港币户</t>
  </si>
  <si>
    <t>2026-02-28</t>
  </si>
  <si>
    <t>2026-03-31</t>
  </si>
  <si>
    <t>2026-04-30</t>
  </si>
  <si>
    <t>2026-05-31</t>
  </si>
  <si>
    <t>2026-06-30</t>
  </si>
  <si>
    <t>内容</t>
  </si>
  <si>
    <t>底稿用途</t>
  </si>
  <si>
    <t>汇兑损益审计重算；结果需结合业务资料与审计判断复核。</t>
  </si>
  <si>
    <t>测算模式</t>
  </si>
  <si>
    <t>汇率口径</t>
  </si>
  <si>
    <t>程序内置牌价表（国家外汇管理局人民币汇率中间价，2022-11-28~2026-08-31，随程序打包；超期区间自动回落在线抓取）</t>
  </si>
  <si>
    <t>重要说明</t>
  </si>
  <si>
    <t>已实现仅按单张凭证内的资金结构识别：货币资金净额非零，且对方货币性项目净额非零；未实现按外币原币净额为零、本位币净额非零识别。汇兑损益科目、凭证类型和摘要不参与定性。</t>
  </si>
  <si>
    <t>是否启用科目名称翻译</t>
  </si>
  <si>
    <t>审计测算汇兑损益</t>
  </si>
  <si>
    <t>自动测算合计</t>
  </si>
  <si>
    <t>JE账面净额是否可区分</t>
  </si>
  <si>
    <t>账面汇兑损益取数来源</t>
  </si>
  <si>
    <t>JE剔除损益结转后的净额</t>
  </si>
  <si>
    <t>客户已入账未实现汇兑损益</t>
  </si>
  <si>
    <t>自动测算覆盖的账面汇兑损益</t>
  </si>
  <si>
    <t>已覆盖账面已实现汇兑损益</t>
  </si>
  <si>
    <t>已覆盖项目测算差异</t>
  </si>
  <si>
    <t>diagnosticMeasuredFxGainLoss</t>
  </si>
  <si>
    <t>是否可形成正式测算结果</t>
  </si>
  <si>
    <t>正式测算受限原因</t>
  </si>
  <si>
    <t>[]</t>
  </si>
  <si>
    <t>低置信度事件数</t>
  </si>
  <si>
    <t>自动测算金额差异</t>
  </si>
  <si>
    <t>零结果是否需要复核</t>
  </si>
  <si>
    <t>notFxEventAmount</t>
  </si>
  <si>
    <t>notFxEventCount</t>
  </si>
  <si>
    <t>待复核项目账面金额</t>
  </si>
  <si>
    <t>待复核项目数</t>
  </si>
  <si>
    <t>pendingUnclassifiedCount</t>
  </si>
  <si>
    <t>pendingUnmeasurableCount</t>
  </si>
  <si>
    <t>已实现测算事件数</t>
  </si>
  <si>
    <t>已实现汇兑损益</t>
  </si>
  <si>
    <t>已实现测算差异</t>
  </si>
  <si>
    <t>勾稽是否通过</t>
  </si>
  <si>
    <t>rollforwardIssueCount</t>
  </si>
  <si>
    <t>rollforwardPassed</t>
  </si>
  <si>
    <t>TB汇兑损益诊断金额（不作为净损益）</t>
  </si>
  <si>
    <t>tbFxGainAmount</t>
  </si>
  <si>
    <t>TB汇兑损益发生额</t>
  </si>
  <si>
    <t>tbFxGainLossPresentation</t>
  </si>
  <si>
    <t>tbFxLossAmount</t>
  </si>
  <si>
    <t>tbRealizedGainLoss</t>
  </si>
  <si>
    <t>tbUnrealizedGainLoss</t>
  </si>
  <si>
    <t>已翻译英文科目数</t>
  </si>
  <si>
    <t>未覆盖账面金额</t>
  </si>
  <si>
    <t>未实现汇兑损益</t>
  </si>
  <si>
    <t>unrealizedBalanceBasisComplete</t>
  </si>
  <si>
    <t>未实现测算差异</t>
  </si>
  <si>
    <t>unrealizedMissingBalanceKeys</t>
  </si>
  <si>
    <t>未实现测算行数</t>
  </si>
  <si>
    <t>报告期开始</t>
  </si>
  <si>
    <t>2026-01-01</t>
  </si>
  <si>
    <t>报告期结束</t>
  </si>
  <si>
    <t>字段角色</t>
  </si>
  <si>
    <t>最终映射</t>
  </si>
  <si>
    <t>校验结果</t>
  </si>
  <si>
    <t>识别方式</t>
  </si>
  <si>
    <t>__signConvention</t>
  </si>
  <si>
    <t>unsigned</t>
  </si>
  <si>
    <t>后端再次验证</t>
  </si>
  <si>
    <t>硬编码 + LLM复核 + 用户确认</t>
  </si>
  <si>
    <t>["科目名称"]</t>
  </si>
  <si>
    <t>direction</t>
  </si>
  <si>
    <t>foreignCredit</t>
  </si>
  <si>
    <t>foreignDebit</t>
  </si>
  <si>
    <t>functionalCredit</t>
  </si>
  <si>
    <t>functionalDebit</t>
  </si>
  <si>
    <t>凭证识别字段</t>
  </si>
  <si>
    <t>["凭证字号"]</t>
  </si>
  <si>
    <t>__balanceSelfSigned_closingForeign</t>
  </si>
  <si>
    <t>__balanceSelfSigned_closingFunctional</t>
  </si>
  <si>
    <t>__balanceSelfSigned_openingForeign</t>
  </si>
  <si>
    <t>__balanceSelfSigned_openingFunctional</t>
  </si>
  <si>
    <t>closingDirection</t>
  </si>
  <si>
    <t>方向</t>
  </si>
  <si>
    <t>closingForeignAmount</t>
  </si>
  <si>
    <t>期末余额(原币)</t>
  </si>
  <si>
    <t>closingFunctionalAmount</t>
  </si>
  <si>
    <t>期末余额(本位币)</t>
  </si>
  <si>
    <t>openingDirection</t>
  </si>
  <si>
    <t>openingForeignAmount</t>
  </si>
  <si>
    <t>期初余额(原币)</t>
  </si>
  <si>
    <t>openingFunctionalAmount</t>
  </si>
  <si>
    <t>期初余额(本位币)</t>
  </si>
  <si>
    <t>ytdFunctionalCredit</t>
  </si>
  <si>
    <t>本期发生贷方(本位币)</t>
  </si>
  <si>
    <t>ytdFunctionalDebit</t>
  </si>
  <si>
    <t>本期发生借方(本位币)</t>
  </si>
  <si>
    <t>accounts</t>
  </si>
  <si>
    <t>账面汇兑损益</t>
  </si>
  <si>
    <t>分类</t>
  </si>
  <si>
    <t>涉及币种</t>
  </si>
  <si>
    <t>识别证据</t>
  </si>
  <si>
    <t>汇兑损益科目</t>
  </si>
  <si>
    <t>待复核原因</t>
  </si>
  <si>
    <t>当前分类（结构判定）</t>
  </si>
  <si>
    <t>凭证类型</t>
  </si>
  <si>
    <t>["1002.01 人民币户","1123.02 预付款项-日元","6603.02 财务费用-汇兑损益"]</t>
  </si>
  <si>
    <t>不构成汇兑事项</t>
  </si>
  <si>
    <t>["CNY","JPY"]</t>
  </si>
  <si>
    <t>["6603.02 财务费用-汇兑损益"]</t>
  </si>
  <si>
    <t>1002.01 人民币户</t>
  </si>
  <si>
    <t>货币性资产—货币资金</t>
  </si>
  <si>
    <t>1122.01 应收账款-国内</t>
  </si>
  <si>
    <t>货币性资产—非货币资金</t>
  </si>
  <si>
    <t>1123.01 预付款项-国内</t>
  </si>
  <si>
    <t>非货币性项目</t>
  </si>
  <si>
    <t>1123.02 预付款项-日元</t>
  </si>
  <si>
    <t>1123.03 预付款项-美元</t>
  </si>
  <si>
    <t>1405 库存商品</t>
  </si>
  <si>
    <t>2202.01 应付账款-国内</t>
  </si>
  <si>
    <t>货币性负债</t>
  </si>
  <si>
    <t>2203.01 预收款项-人民币</t>
  </si>
  <si>
    <t>2203.02 预收款项-美元</t>
  </si>
  <si>
    <t>2221.01 应交增值税-进项税额</t>
  </si>
  <si>
    <t>2221.02 应交增值税-销项税额</t>
  </si>
  <si>
    <t>4001 实收资本</t>
  </si>
  <si>
    <t>4103 本年利润</t>
  </si>
  <si>
    <t>4104 利润分配-未分配利润</t>
  </si>
  <si>
    <t>6001.01 出口收入(美元)</t>
  </si>
  <si>
    <t>其他损益/成本科目</t>
  </si>
  <si>
    <t>6001.02 内销收入(人民币)</t>
  </si>
  <si>
    <t>6401 主营业务成本</t>
  </si>
  <si>
    <t>6601.01 运杂费(人民币)</t>
  </si>
  <si>
    <t>6601.02 运杂费(港币)</t>
  </si>
  <si>
    <t>6602.01 管理费用-办公费</t>
  </si>
  <si>
    <t>6602.02 管理费用-差旅费</t>
  </si>
  <si>
    <t>6602.03 管理费用-职工薪酬</t>
  </si>
  <si>
    <t>6603.01 财务费用-手续费</t>
  </si>
  <si>
    <t>6603.02 财务费用-汇兑损益</t>
  </si>
  <si>
    <t>汇兑损益</t>
  </si>
  <si>
    <t>每单位外币折合人民币</t>
  </si>
  <si>
    <t>汇率公布日期</t>
  </si>
  <si>
    <t>请求日期</t>
  </si>
  <si>
    <t>2025-11-27</t>
  </si>
  <si>
    <t>JPY</t>
  </si>
  <si>
    <t>GBP</t>
  </si>
  <si>
    <t>AUD</t>
  </si>
  <si>
    <t>NZD</t>
  </si>
  <si>
    <t>SGD</t>
  </si>
  <si>
    <t>CHF</t>
  </si>
  <si>
    <t>CAD</t>
  </si>
  <si>
    <t>MOP</t>
  </si>
  <si>
    <t>MYR</t>
  </si>
  <si>
    <t>RUB</t>
  </si>
  <si>
    <t>ZAR</t>
  </si>
  <si>
    <t>KRW</t>
  </si>
  <si>
    <t>AED</t>
  </si>
  <si>
    <t>SAR</t>
  </si>
  <si>
    <t>HUF</t>
  </si>
  <si>
    <t>PLN</t>
  </si>
  <si>
    <t>DKK</t>
  </si>
  <si>
    <t>SEK</t>
  </si>
  <si>
    <t>NOK</t>
  </si>
  <si>
    <t>TRY</t>
  </si>
  <si>
    <t>MXN</t>
  </si>
  <si>
    <t>THB</t>
  </si>
  <si>
    <t>CNY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</si>
  <si>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</si>
  <si>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</si>
  <si>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</si>
  <si>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</si>
  <si>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</si>
  <si>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</si>
  <si>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</si>
  <si>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</si>
  <si>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</si>
  <si>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</si>
  <si>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</si>
  <si>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</si>
  <si>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</si>
  <si>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</si>
  <si>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</si>
  <si>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</si>
  <si>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</si>
  <si>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</si>
  <si>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</si>
  <si>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</si>
  <si>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</si>
  <si>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</si>
  <si>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</si>
  <si>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</si>
  <si>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</si>
  <si>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</si>
  <si>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</si>
  <si>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</si>
  <si>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</si>
  <si>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</si>
  <si>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</si>
  <si>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</si>
  <si>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</si>
  <si>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</si>
  <si>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</si>
  <si>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</si>
  <si>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</si>
  <si>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</si>
  <si>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</si>
  <si>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</si>
  <si>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</si>
  <si>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</si>
  <si>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</si>
  <si>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</si>
  <si>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</si>
  <si>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</si>
  <si>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</si>
  <si>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</si>
  <si>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</si>
  <si>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</si>
  <si>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</si>
  <si>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</si>
  <si>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</si>
  <si>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2026-01-23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</si>
  <si>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</si>
  <si>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</si>
  <si>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</si>
  <si>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</si>
  <si>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</si>
  <si>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</si>
  <si>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</si>
  <si>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</si>
  <si>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</si>
  <si>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</si>
  <si>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</si>
  <si>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</si>
  <si>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</si>
  <si>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</si>
  <si>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</si>
  <si>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2026-02-13</t>
  </si>
  <si>
    <t>2026-02-14</t>
  </si>
  <si>
    <t>2026-02-15</t>
  </si>
  <si>
    <t>2026-02-16</t>
  </si>
  <si>
    <t>2026-02-18</t>
  </si>
  <si>
    <t>2026-02-19</t>
  </si>
  <si>
    <t>2026-02-20</t>
  </si>
  <si>
    <t>2026-02-21</t>
  </si>
  <si>
    <t>2026-02-23</t>
  </si>
  <si>
    <t>2026-02-26</t>
  </si>
  <si>
    <t>2026-02-27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</si>
  <si>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</si>
  <si>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</si>
  <si>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</si>
  <si>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</si>
  <si>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</si>
  <si>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</si>
  <si>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</si>
  <si>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</si>
  <si>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</si>
  <si>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</si>
  <si>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</si>
  <si>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</si>
  <si>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</si>
  <si>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</si>
  <si>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</si>
  <si>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</si>
  <si>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</si>
  <si>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</si>
  <si>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</si>
  <si>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2026-03-23</t>
  </si>
  <si>
    <t>2026-03-27</t>
  </si>
  <si>
    <t>2026-03-28</t>
  </si>
  <si>
    <t>2026-03-29</t>
  </si>
  <si>
    <t>2026-03-30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</si>
  <si>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</si>
  <si>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</si>
  <si>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</si>
  <si>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</si>
  <si>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</si>
  <si>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</si>
  <si>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</si>
  <si>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</si>
  <si>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</si>
  <si>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</si>
  <si>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</si>
  <si>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2026-04-13</t>
  </si>
  <si>
    <t>2026-04-14</t>
  </si>
  <si>
    <t>2026-04-15</t>
  </si>
  <si>
    <t>2026-04-16</t>
  </si>
  <si>
    <t>2026-04-18</t>
  </si>
  <si>
    <t>2026-04-19</t>
  </si>
  <si>
    <t>2026-04-20</t>
  </si>
  <si>
    <t>2026-04-21</t>
  </si>
  <si>
    <t>2026-04-23</t>
  </si>
  <si>
    <t>2026-04-27</t>
  </si>
  <si>
    <t>2026-04-28</t>
  </si>
  <si>
    <t>2026-04-29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</si>
  <si>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</si>
  <si>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</si>
  <si>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</si>
  <si>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</si>
  <si>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</si>
  <si>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</si>
  <si>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</si>
  <si>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</si>
  <si>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</si>
  <si>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</si>
  <si>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</si>
  <si>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</si>
  <si>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</si>
  <si>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</si>
  <si>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</si>
  <si>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</si>
  <si>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</si>
  <si>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</si>
  <si>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</si>
  <si>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</si>
  <si>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2026-05-23</t>
  </si>
  <si>
    <t>2026-05-24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</si>
  <si>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</si>
  <si>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</si>
  <si>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</si>
  <si>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</si>
  <si>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</si>
  <si>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</si>
  <si>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</si>
  <si>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</si>
  <si>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</si>
  <si>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</si>
  <si>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</si>
  <si>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</si>
  <si>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</si>
  <si>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</si>
  <si>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</si>
  <si>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2026-06-14</t>
  </si>
  <si>
    <t>2026-06-15</t>
  </si>
  <si>
    <t>2026-06-16</t>
  </si>
  <si>
    <t>2026-06-18</t>
  </si>
  <si>
    <t>2026-06-19</t>
  </si>
  <si>
    <t>2026-06-20</t>
  </si>
  <si>
    <t>2026-06-21</t>
  </si>
  <si>
    <t>2026-06-23</t>
  </si>
  <si>
    <t>2026-06-27</t>
  </si>
  <si>
    <t>2026-06-28</t>
  </si>
  <si>
    <t>2026-06-29</t>
  </si>
  <si>
    <t>汇率快照结束日</t>
  </si>
  <si>
    <t>汇率抓取时间</t>
  </si>
  <si>
    <t>2026-09-29T08:15:50.976302300+00:00</t>
  </si>
  <si>
    <t>缺失币种/日期</t>
  </si>
  <si>
    <t>汇率明细</t>
  </si>
  <si>
    <t>[{"币种":"USD","每单位外币折合人民币":7.0779,"汇率公布日期":"2025-11-27","请求日期":"2025-11-27"},{"币种":"EUR","每单位外币折合人民币":8.205599999999999,"汇率公布日期":"2025-11-27","请求日期":"2025-11-27"},{"币种":"JPY","每单位外币折合人民币":0.045267,"汇率公布日期":"2025-11-27","请求日期":"2025-11-27"},{"币种":"HKD","每单位外币折合人民币":0.90998,"汇率公布日期":"2025-11-27","请求日期":"2025-11-27"},{"币种":"GBP","每单位外币折合人民币":9.3671,"汇率公布日期":"2025-11-27","请求日期":"2025-11-27"},{"币种":"AUD","每单位外币折合人民币":4.6133999999999995,"汇率公布日期":"2025-11-27","请求日期":"2025-11-27"},{"币种":"NZD","每单位外币折合人民币":4.0339,"汇率公布日期":"2025-11-27","请求日期":"2025-11-27"},{"币种":"SGD","每单位外币折合人民币":5.4565,"汇率公布日期":"2025-11-27","请求日期":"2025-11-27"},{"币种":"CHF","每单位外币折合人民币":8.8005,"汇率公布日期":"2025-11-27","请求日期":"2025-11-27"},{"币种":"CAD","每单位外币折合人民币":5.0378,"汇率公布日期":"2025-11-27","请求日期":"2025-11-27"},{"币种":"MOP","每单位外币折合人民币":0.8828462964597864,"汇率公布日期":"2025-11-27","请求日期":"2025-11-27"},{"币种":"MYR","每单位外币折合人民币":1.710893257369673,"汇率公布日期":"2025-11-27","请求日期":"2025-11-27"},{"币种":"RUB","每单位外币折合人民币":0.09008846687447074,"汇率公布日期":"2025-11-27","请求日期":"2025-11-27"},{"币种":"ZAR","每单位外币折合人民币":0.4127285484336952,"汇率公布日期":"2025-11-27","请求日期":"2025-11-27"},{"币种":"KRW","每单位外币折合人民币":0.004814636494944632,"汇率公布日期":"2025-11-27","请求日期":"2025-11-27"},{"币种":"AED","每单位外币折合人民币":1.925669170036588,"汇率公布日期":"2025-11-27","请求日期":"2025-11-27"},{"币种":"SAR","每单位外币折合人民币":1.8857961831485253,"汇率公布日期":"2025-11-27","请求日期":"2025-11-27"},{"币种":"HUF","每单位外币折合人民币":0.02147789387772635,"汇率公布日期":"2025-11-27","请求日期":"2025-11-27"},{"币种":"PLN","每单位外币折合人民币":1.9385856079404464,"汇率公布日期":"2025-11-27","请求日期":"2025-11-27"},{"币种":"DKK","每单位外币折合人民币":1.098659635245001,"汇率公布日期":"2025-11-27","请求日期":"2025-11-27"},{"币种":"SEK","每单位外币折合人民币":0.7452675510508272,"汇率公布日期":"2025-11-27","请求日期":"2025-11-27"},{"币种":"NOK","每单位外币折合人民币":0.6935293709688606,"汇率公布日期":"2025-11-27","请求日期":"2025-11-27"},{"币种":"TRY","每单位外币折合人民币":0.16663861583300144,"汇率公布日期":"2025-11-27","请求日期":"2025-11-27"},{"币种":"MXN","每单位外币折合人民币":0.38563881068990785,"汇率公布日期":"2025-11-27","请求日期":"2025-11-27"},{"币种":"THB","每单位外币折合人民币":0.21959682023804297,"汇率公布日期":"2025-11-27","请求日期":"2025-11-27"},{"币种":"CNY","每单位外币折合人民币":1.0,"汇率公布日期":"2025-11-27","请求日期":"2025-11-27"},{"币种":"USD","每单位外币折合人民币":7.0789,"汇率公布日期":"2025-11-28","请求日期":"2025-11-28"},{"币种":"EUR","每单位外币折合人民币":8.207799999999999,"汇率公布日期":"2025-11-28","请求日期":"2025-11-28"},{"币种":"JPY","每单位外币折合人民币":0.045293,"汇率公布日期":"2025-11-28","请求日期":"2025-11-28"},{"币种":"HKD","每单位外币折合人民币":0.9099,"汇率公布日期":"2025-11-28","请求日期":"2025-11-28"},{"币种":"GBP","每单位外币折合人民币":9.3697,"汇率公布日期":"2025-11-28","请求日期":"2025-11-28"},{"币种":"AUD","每单位外币折合人民币":4.6243,"汇率公布日期":"2025-11-28","请求日期":"2025-11-28"},{"币种":"NZD","每单位外币折合人民币":4.0533,"汇率公布日期":"2025-11-28","请求日期":"2025-11-28"},{"币种":"SGD","每单位外币折合人民币":5.4589,"汇率公布日期":"2025-11-28","请求日期":"2025-11-28"},{"币种":"CHF","每单位外币折合人民币":8.7971,"汇率公布日期":"2025-11-28","请求日期":"2025-11-28"},{"币种":"CAD","每单位外币折合人民币":5.046,"汇率公布日期":"2025-11-28","请求日期":"2025-11-28"},{"币种":"MOP","每单位外币折合人民币":0.8826904404625298,"汇率公布日期":"2025-11-28","请求日期":"2025-11-28"},{"币种":"MYR","每单位外币折合人民币":1.7139723022075963,"汇率公布日期":"2025-11-28","请求日期":"2025-11-28"},{"币种":"RUB","每单位外币折合人民币":0.09079765742043856,"汇率公布日期":"2025-11-28","请求日期":"2025-11-28"},{"币种":"ZAR","每单位外币折合人民币":0.4126263668248401,"汇率公布日期":"2025-11-28","请求日期":"2025-11-28"},{"币种":"KRW","每单位外币折合人民币":0.004836057645807138,"汇率公布日期":"2025-11-28","请求日期":"2025-11-28"},{"币种":"AED","每单位外币折合人民币":1.926893654739195,"汇率公布日期":"2025-11-28","请求日期":"2025-11-28"},{"币种":"SAR","每单位外币折合人民币":1.8865076969514032,"汇率公布日期":"2025-11-28","请求日期":"2025-11-28"},{"币种":"HUF","每单位外币折合人民币":0.02152245545389782,"汇率公布日期":"2025-11-28","请求日期":"2025-11-28"},{"币种":"PLN","每单位外币折合人民币":1.941747572815534,"汇率公布日期":"2025-11-28","请求日期":"2025-11-28"},{"币种":"DKK","每单位外币折合人民币":1.0990218705352237,"汇率公布日期":"2025-11-28","请求日期":"2025-11-28"},{"币种":"SEK","每单位外币折合人民币":0.7471049682480388,"汇率公布日期":"2025-11-28","请求日期":"2025-11-28"},{"币种":"NOK","每单位外币折合人民币":0.6965728615213151,"汇率公布日期":"2025-11-28","请求日期":"2025-11-28"},{"币种":"TRY","每单位外币折合人民币":0.16657421797569016,"汇率公布日期":"2025-11-28","请求日期":"2025-11-28"},{"币种":"MXN","每单位外币折合人民币":0.38583224014198625,"汇率公布日期":"2025-11-28","请求日期":"2025-11-28"},{"币种":"THB","每单位外币折合人民币":0.2196547028071871,"汇率公布日期":"2025-11-28","请求日期":"2025-11-28"},{"币种":"CNY","每单位外币折合人民币":1.0,"汇率公布日期":"2025-11-28","请求日期":"2025-11-28"},{"币种":"USD","每单位外币折合人民币":7.0789,"汇率公布日期":"2025-11-28","请求日期":"2025-11-29"},{"币种":"EUR","每单位外币折合人民币":8.207799999999999,"汇率公布日期":"2025-11-28","请求日期":"2025-11-29"},{"币种":"JPY","每单位外币折合人民币":0.045293,"汇率公布日期":"2025-11-28","请求日期":"2025-11-29"},{"币种":"HKD","每单位外币折合人民币":0.9099,"汇率公布日期":"2025-11-28","请求日期":"2025-11-29"},{"币种":"GBP","每单位外币折合人民币":9.3697,"汇率公布日期":"2025-11-28","请求日期":"2025-11-29"},{"币种":"AUD","每单位外币折合人民币":4.6243,"汇率公布日期":"2025-11-28","请求日期":"2025-11-29"},{"币种":"NZD","每单位外币折合人民币":4.0533,"汇率公布日期":"2025-11-28","请求日期":"2025-11-29"},{"币种":"SGD","每单位外币折合人民币":5.4589,"汇率公布日期":"2025-11-28","请求日期":"2025-11-29"},{"币种":"CHF","每单位外币折合人民币":8.7971,"汇率公布日期":"2025-11-28","请求日期":"2025-11-29"},{"币种":"CAD","每单位外币折合人民币":5.046,"汇率公布日期":"2025-11-28","请求日期":"2025-11-29"},{"币种":"MOP","每单位外币折合人民币":0.8826904404625298,"汇率公布日期":"2025-11-28","请求日期":"2025-11-29"},{"币种":"MYR","每单位外币折合人民币":1.7139723022075963,"汇率公布日期":"2025-11-28","请求日期":"2025-11-29"},{"币种":"RUB","每单位外币折合人民币":0.09079765742043856,"汇率公布日期":"2025-11-28","请求日期":"2025-11-29"},{"币种":"ZAR","每单位外币折合人民币":0.4126263668248401,"汇率公布日期":"2025-11-28","请求日期":"2025-11-29"},{"币种":"KRW","每单位外币折合人民币":0.004836057645807138,"汇率公布日期":"2025-11-28","请求日期":"2025-11-29"},{"币种":"AED","每单位外币折合人民币":1.926893654739195,"汇率公布日期":"2025-11-28","请求日期":"2025-11-29"},{"币种":"SAR","每单位外币折合人民币":1.8865076969514032,"汇率公布日期":"2025-11-28","请求日期":"2025-11-29"},{"币种":"HUF","每单位外币折合人民币":0.02152245545389782,"汇率公布日期":"2025-11-28","请求日期":"2025-11-29"},{"币种":"PLN","每单位外币折合人民币":1.941747572815534,"汇率公布日期":"2025-11-28","请求日期":"2025-11-29"},{"币种":"DKK","每单位外币折合人民币":1.0990218705352237,"汇率公布日期":"2025-11-28","请求日期":"2025-11-29"},{"币种":"SEK","每单位外币折合人民币":0.7471049682480388,"汇率公布日期":"2025-11-28","请求日期":"2025-11-29"},{"币种":"NOK","每单位外币折合人民币":0.6965728615213151,"汇率公布日期":"2025-11-28","请求日期":"2025-11-29"},{"币种":"TRY","每单位外币折合人民币":0.16657421797569016,"汇率公布日期":"2025-11-28","请求日期":"2025-11-29"},{"币种":"MXN","每单位外币折合人民币":0.38583224014198625,"汇率公布日期":"2025-11-28","请求日期":"2025-11-29"},{"币种":"THB","每单位外币折合人民币":0.2196547028071871,"汇率公布日期":"2025-11-28","请求日期":"2025-11-29"},{"币种":"CNY","每单位外币折合人民币":1.0,"汇率公布日期":"2025-11-29","请求日期":"2025-11-29"},{"币种":"USD","每单位外币折合人民币":7.0789,"汇率公布日期":"2025-11-28","请求日期":"2025-11-30"},{"币种":"EUR","每单位外币折合人民币":8.207799999999999,"汇率公布日期":"2025-11-28","请求日期":"2025-11-30"},{"币种":"JPY","每单位外币折合人民币":0.045293,"汇率公布日期":"2025-11-28","请求日期":"2025-11-30"},{"币种":"HKD","每单位外币折合人民币":0.9099,"汇率公布日期":"2025-11-28","请求日期":"2025-11-30"},{"币种":"GBP","每单位外币折合人民币":9.3697,"汇率公布日期":"2025-11-28","请求日期":"2025-11-30"},{"币种":"AUD","每单位外币折合人民币":4.6243,"汇率公布日期":"2025-11-28","请求日期":"2025-11-30"},{"币种":"NZD","每单位外币折合人民币":4.0533,"汇率公布日期":"2025-11-28","请求日期":"2025-11-30"},{"币种":"SGD","每单位外币折合人民币":5.4589,"汇率公布日期":"2025-11-28","请求日期":"2025-11-30"},{"币种":"CHF","每单位外币折合人民币":8.7971,"汇率公布日期":"2025-11-28","请求日期":"2025-11-30"},{"币种":"CAD","每单位外币折合人民币":5.046,"汇率公布日期":"2025-11-28","请求日期":"2025-11-30"},{"币种":"MOP","每单位外币折合人民币":0.8826904404625298,"汇率公布日期":"2025-11-28","请求日期":"2025-11-30"},{"币种":"MYR","每单位外币折合人民币":1.7139723022075963,"汇率公布日期":"2025-11-28","请求日期":"2025-11-30"},{"币种":"RUB","每单位外币折合人民币":0.09079765742043856,"汇率公布日期":"2025-11-28","请求日期":"2025-11-30"},{"币种":"ZAR","每单位外币折合人民币":0.4126263668248401,"汇率公布日期":"2025-11-28","请求日期":"2025-11-30"},{"币种":"KRW","每单位外币折合人民币":0.004836057645807138,"汇率公布日期":"2025-11-28","请求日期":"2025-11-30"},{"币种":"AED","每单位外币折合人民币":1.926893654739195,"汇率公布日期":"2025-11-28","请求日期":"2025-11-30"},{"币种":"SAR","每单位外币折合人民币":1.8865076969514032,"汇率公布日期":"2025-11-28","请求日期":"2025-11-30"},{"币种":"HUF","每单位外币折合人民币":0.02152245545389782,"汇率公布日期":"2025-11-28","请求日期":"2025-11-30"},{"币种":"PLN","每单位外币折合人民币":1.941747572815534,"汇率公布日期":"2025-11-28","请求日期":"2025-11-30"},{"币种":"DKK","每单位外币折合人民币":1.0990218705352237,"汇率公布日期":"2025-11-28","请求日期":"2025-11-30"},{"币种":"SEK","每单位外币折合人民币":0.7471049682480388,"汇率公布日期":"2025-11-28","请求日期":"2025-11-30"},{"币种":"NOK","每单位外币折合人民币":0.6965728615213151,"汇率公布日期":"2025-11-28","请求日期":"2025-11-30"},{"币种":"TRY","每单位外币折合人民币":0.16657421797569016,"汇率公布日期":"2025-11-28","请求日期":"2025-11-30"},{"币种":"MXN","每单位外币折合人民币":0.38583224014198625,"汇率公布日期":"2025-11-28","请求日期":"2025-11-30"},{"币种":"THB","每单位外币折合人民币":0.2196547028071871,"汇率公布日期":"2025-11-28","请求日期":"2025-11-30"},{"币种":"CNY","每单位外币折合人民币":1.0,"汇率公布日期":"2025-11-30","请求日期":"2025-11-30"},{"币种":"USD","每单位外币折合人民币":7.075900000000001,"汇率公布日期":"2025-12-01","请求日期":"2025-12-01"},{"币种":"EUR","每单位外币折合人民币":8.2052,"汇率公布日期":"2025-12-01","请求日期":"2025-12-01"},{"币种":"JPY","每单位外币折合人民币":0.045331,"汇率公布日期":"2025-12-01","请求日期":"2025-12-01"},{"币种":"HKD","每单位外币折合人民币":0.90877,"汇率公布日期":"2025-12-01","请求日期":"2025-12-01"},{"币种":"GBP","每单位外币折合人民币":9.3616,"汇率公布日期":"2025-12-01","请求日期":"2025-12-01"},{"币种":"AUD","每单位外币折合人民币":4.630199999999999,"汇率公布日期":"2025-12-01","请求日期":"2025-12-01"},{"币种":"NZD","每单位外币折合人民币":4.0535000000000005,"汇率公布日期":"2025-12-01","请求日期":"2025-12-01"},{"币种":"SGD","每单位外币折合人民币":5.456900000000001,"汇率公布日期":"2025-12-01","请求日期":"2025-12-01"},{"币种":"CHF","每单位外币折合人民币":8.8013,"汇率公布日期":"2025-12-01","请求日期":"2025-12-01"},{"币种":"CAD","每单位外币折合人民币":5.0621,"汇率公布日期":"2025-12-01","请求日期":"2025-12-01"},{"币种":"MOP","每单位外币折合人民币":0.8816009873931058,"汇率公布日期":"2025-12-01","请求日期":"2025-12-01"},{"币种":"MYR","每单位外币折合人民币":1.712592694079567,"汇率公布日期":"2025-12-01","请求日期":"2025-12-01"},{"币种":"RUB","每单位外币折合人民币":0.09125669596006608,"汇率公布日期":"2025-12-01","请求日期":"2025-12-01"},{"币种":"ZAR","每单位外币折合人民币":0.41324021653787346,"汇率公布日期":"2025-12-01","请求日期":"2025-12-01"},{"币种":"KRW","每单位外币折合人民币":0.004819277108433735,"汇率公布日期":"2025-12-01","请求日期":"2025-12-01"},{"币种":"AED","每单位外币折合人民币":1.9255208533908423,"汇率公布日期":"2025-12-01","请求日期":"2025-12-01"},{"币种":"SAR","每单位外币折合人民币":1.8854050792812835,"汇率公布日期":"2025-12-01","请求日期":"2025-12-01"},{"币种":"HUF","每单位外币折合人民币":0.021500567614985037,"汇率公布日期":"2025-12-01","请求日期":"2025-12-01"},{"币种":"PLN","每单位外币折合人民币":1.937458828999884,"汇率公布日期":"2025-12-01","请求日期":"2025-12-01"},{"币种":"DKK","每单位外币折合人民币":1.0985389432055366,"汇率公布日期":"2025-12-01","请求日期":"2025-12-01"},{"币种":"SEK","每单位外币折合人民币":0.7485029940119761,"汇率公布日期":"2025-12-01","请求日期":"2025-12-01"},{"币种":"NOK","每单位外币折合人民币":0.6992029086841001,"汇率公布日期":"2025-12-01","请求日期":"2025-12-01"},{"币种":"TRY","每单位外币折合人民币":0.1664483419248419,"汇率公布日期":"2025-12-01","请求日期":"2025-12-01"},{"币种":"MXN","每单位外币折合人民币":0.38678734431809386,"汇率公布日期":"2025-12-01","请求日期":"2025-12-01"},{"币种":"THB","每单位外币折合人民币":0.2201091741503786,"汇率公布日期":"2025-12-01","请求日期":"2025-12-01"},{"币种":"CNY","每单位外币折合人民币":1.0,"汇率公布日期":"2025-12-01","请求日期":"2025-12-01"},{"币种":"USD","每单位外币折合人民币":7.079400000000001,"汇率公布日期":"2025-12-02","请求日期":"2025-12-02"},{"币种":"EUR","每单位外币折合人民币":8.2113,"汇率公布日期":"2025-12-02","请求日期":"2025-12-02"},{"币种":"JPY","每单位外币折合人民币":0.045495,"汇率公布日期":"2025-12-02","请求日期":"2025-12-02"},{"币种":"HKD","每单位外币折合人民币":0.9088,"汇率公布日期":"2025-12-02","请求日期":"2025-12-02"},{"币种":"GBP","每单位外币折合人民币":9.3451,"汇率公布日期":"2025-12-02","请求日期":"2025-12-02"},{"币种":"AUD","每单位外币折合人民币":4.6292,"汇率公布日期":"2025-12-02","请求日期":"2025-12-02"},{"币种":"NZD","每单位外币折合人民币":4.0512,"汇率公布日期":"2025-12-02","请求日期":"2025-12-02"},{"币种":"SGD","每单位外币折合人民币":5.4576,"汇率公布日期":"2025-12-02","请求日期":"2025-12-02"},{"币种":"CHF","每单位外币折合人民币":8.7915,"汇率公布日期":"2025-12-02","请求日期":"2025-12-02"},{"币种":"CAD","每单位外币折合人民币":5.0539,"汇率公布日期":"2025-12-02","请求日期":"2025-12-02"},{"币种":"MOP","每单位外币折合人民币":0.8819119851838787,"汇率公布日期":"2025-12-02","请求日期":"2025-12-02"},{"币种":"MYR","每单位外币折合人民币":1.7131207921470544,"汇率公布日期":"2025-12-02","请求日期":"2025-12-02"},{"币种":"RUB","每单位外币折合人民币":0.09102742656362364,"汇率公布日期":"2025-12-02","请求日期":"2025-12-02"},{"币种":"ZAR","每单位外币折合人民币":0.4139929621196439,"汇率公布日期":"2025-12-02","请求日期":"2025-12-02"},{"币种":"KRW","每单位外币折合人民币":0.004809542131589073,"汇率公布日期":"2025-12-02","请求日期":"2025-12-02"},{"币种":"AED","每单位外币折合人民币":1.926299770770327,"汇率公布日期":"2025-12-02","请求日期":"2025-12-02"},{"币种":"SAR","每单位外币折合人民币":1.8849786054928277,"汇率公布日期":"2025-12-02","请求日期":"2025-12-02"},{"币种":"HUF","每单位外币折合人民币":0.021563714306661895,"汇率公布日期":"2025-12-02","请求日期":"2025-12-02"},{"币种":"PLN","每单位外币折合人民币":1.942351021676637,"汇率公布日期":"2025-12-02","请求日期":"2025-12-02"},{"币种":"DKK","每单位外币折合人民币":1.0995052226498077,"汇率公布日期":"2025-12-02","请求日期":"2025-12-02"},{"币种":"SEK","每单位外币折合人民币":0.7483349547257353,"汇率公布日期":"2025-12-02","请求日期":"2025-12-02"},{"币种":"NOK","每单位外币折合人民币":0.6983727913960472,"汇率公布日期":"2025-12-02","请求日期":"2025-12-02"},{"币种":"TRY","每单位外币折合人民币":0.1666872247577201,"汇率公布日期":"2025-12-02","请求日期":"2025-12-02"},{"币种":"MXN","每单位外币折合人民币":0.3864734299516908,"汇率公布日期":"2025-12-02","请求日期":"2025-12-02"},{"币种":"THB","每单位外币折合人民币":0.22106287028030772,"汇率公布日期":"2025-12-02","请求日期":"2025-12-02"},{"币种":"CNY","每单位外币折合人民币":1.0,"汇率公布日期":"2025-12-02","请求日期":"2025-12-02"},{"币种":"USD","每单位外币折合人民币":7.075399999999999,"汇率公布日期":"2025-12-03","请求日期":"2025-12-03"},{"币种":"EUR","每单位外币折合人民币":8.221,"汇率公布日期":"2025-12-03","请求日期":"2025-12-03"},{"币种":"JPY","每单位外币折合人民币":0.04536,"汇率公布日期":"2025-12-03","请求日期":"2025-12-03"},{"币种":"HKD","每单位外币折合人民币":0.90897,"汇率公布日期":"2025-12-03","请求日期":"2025-12-03"},{"币种":"GBP","每单位外币折合人民币":9.3429,"汇率公布日期":"2025-12-03","请求日期":"2025-12-03"},{"币种":"AUD","每单位外币折合人民币":4.6437,"汇率公布日期":"2025-12-03","请求日期":"2025-12-03"},{"币种":"NZD","每单位外币折合人民币":4.0567,"汇率公布日期":"2025-12-03","请求日期":"2025-12-03"},{"币种":"SGD","每单位外币折合人民币":5.454400000000001,"汇率公布日期":"2025-12-03","请求日期":"2025-12-03"},{"币种":"CHF","每单位外币折合人民币":8.8047,"汇率公布日期":"2025-12-03","请求日期":"2025-12-03"},{"币种":"CAD","每单位外币折合人民币":5.0588999999999995,"汇率公布日期":"2025-12-03","请求日期":"2025-12-03"},{"币种":"MOP","每单位外币折合人民币":0.8821453775582216,"汇率公布日期":"2025-12-03","请求日期":"2025-12-03"},{"币种":"MYR","每单位外币折合人民币":1.7116546565564932,"汇率公布日期":"2025-12-03","请求日期":"2025-12-03"},{"币种":"RUB","每单位外币折合人民币":0.09126252578166354,"汇率公布日期":"2025-12-03","请求日期":"2025-12-03"},{"币种":"ZAR","每单位外币折合人民币":0.4131207138725936,"汇率公布日期":"2025-12-03","请求日期":"2025-12-03"},{"币种":"KRW","每单位外币折合人民币":0.004814404698858986,"汇率公布日期":"2025-12-03","请求日期":"2025-12-03"},{"币种":"AED","每单位外币折合人民币":1.9245943917319424,"汇率公布日期":"2025-12-03","请求日期":"2025-12-03"},{"币种":"SAR","每单位外币折合人民币":1.8830973184694184,"汇率公布日期":"2025-12-03","请求日期":"2025-12-03"},{"币种":"HUF","每单位外币折合人民币":0.021577254121794967,"汇率公布日期":"2025-12-03","请求日期":"2025-12-03"},{"币种":"PLN","每单位外币折合人民币":1.941747572815534,"汇率公布日期":"2025-12-03","请求日期":"2025-12-03"},{"币种":"DKK","每单位外币折合人民币":1.100473203477495,"汇率公布日期":"2025-12-03","请求日期":"2025-12-03"},{"币种":"SEK","每单位外币折合人民币":0.7498500299940011,"汇率公布日期":"2025-12-03","请求日期":"2025-12-03"},{"币种":"NOK","每单位外币折合人民币":0.6979341150195422,"汇率公布日期":"2025-12-03","请求日期":"2025-12-03"},{"币种":"TRY","每单位外币折合人民币":0.1664175949994841,"汇率公布日期":"2025-12-03","请求日期":"2025-12-03"},{"币种":"MXN","每单位外币折合人民币":0.3867723844517501,"汇率公布日期":"2025-12-03","请求日期":"2025-12-03"},{"币种":"THB","每单位外币折合人民币":0.2209212415773777,"汇率公布日期":"2025-12-03","请求日期":"2025-12-03"},{"币种":"CNY","每单位外币折合人民币":1.0,"汇率公布日期":"2025-12-03","请求日期":"2025-12-03"},{"币种":"USD","每单位外币折合人民币":7.073300000000001,"汇率公布日期":"2025-12-04","请求日期":"2025-12-04"},{"币种":"EUR","每单位外币折合人民币":8.2373,"汇率公布日期":"2025-12-04","请求日期":"2025-12-04"},{"币种":"JPY","每单位外币折合人民币":0.045468,"汇率公布日期":"2025-12-04","请求日期":"2025-12-04"},{"币种":"HKD","每单位外币折合人民币":0.90891,"汇率公布日期":"2025-12-04","请求日期":"2025-12-04"},{"币种":"GBP","每单位外币折合人民币":9.4207,"汇率公布日期":"2025-12-04","请求日期":"2025-12-04"},{"币种":"AUD","每单位外币折合人民币":4.6586,"汇率公布日期":"2025-12-04","请求日期":"2025-12-04"},{"币种":"NZD","每单位外币折合人民币":4.0714999999999995,"汇率公布日期":"2025-12-04","请求日期":"2025-12-04"},{"币种":"SGD","每单位外币折合人民币":5.4573,"汇率公布日期":"2025-12-04","请求日期":"2025-12-04"},{"币种":"CHF","每单位外币折合人民币":8.8252,"汇率公布日期":"2025-12-04","请求日期":"2025-12-04"},{"币种":"CAD","每单位外币折合人民币":5.0597,"汇率公布日期":"2025-12-04","请求日期":"2025-12-04"},{"币种":"MOP","每单位外币折合人民币":0.8819897689186805,"汇率公布日期":"2025-12-04","请求日期":"2025-12-04"},{"币种":"MYR","每单位外币折合人民币":1.714207350521119,"汇率公布日期":"2025-12-04","请求日期":"2025-12-04"},{"币种":"RUB","每单位外币折合人民币":0.09137760883073212,"汇率公布日期":"2025-12-04","请求日期":"2025-12-04"},{"币种":"ZAR","每单位外币折合人民币":0.4143016944939305,"汇率公布日期":"2025-12-04","请求日期":"2025-12-04"},{"币种":"KRW","每单位外币折合人民币":0.004813941173638858,"汇率公布日期":"2025-12-04","请求日期":"2025-12-04"},{"币种":"AED","每单位外币折合人民币":1.9215618454679968,"汇率公布日期":"2025-12-04","请求日期":"2025-12-04"},{"币种":"SAR","每单位外币折合人民币":1.8808305747818237,"汇率公布日期":"2025-12-04","请求日期":"2025-12-04"},{"币种":"HUF","每单位外币折合人民币":0.02163584280262053,"汇率公布日期":"2025-12-04","请求日期":"2025-12-04"},{"币种":"PLN","每单位外币折合人民币":1.94984986156066,"汇率公布日期":"2025-12-04","请求日期":"2025-12-04"},{"币种":"DKK","每单位外币折合人民币":1.102535832414553,"汇率公布日期":"2025-12-04","请求日期":"2025-12-04"},{"币种":"SEK","每单位外币折合人民币":0.7528419784687194,"汇率公布日期":"2025-12-04","请求日期":"2025-12-04"},{"币种":"NOK","每单位外币折合人民币":0.7012622720897616,"汇率公布日期":"2025-12-04","请求日期":"2025-12-04"},{"币种":"TRY","每单位外币折合人民币":0.16629914555499012,"汇率公布日期":"2025-12-04","请求日期":"2025-12-04"},{"币种":"MXN","每单位外币折合人民币":0.3860854793251226,"汇率公布日期":"2025-12-04","请求日期":"2025-12-04"},{"币种":"THB","每单位外币折合人民币":0.22134667315950243,"汇率公布日期":"2025-12-04","请求日期":"2025-12-04"},{"币种":"CNY","每单位外币折合人民币":1.0,"汇率公布日期":"2025-12-04","请求日期":"2025-12-04"},{"币种":"USD","每单位外币折合人民币":7.0749,"汇率公布日期":"2025-12-05","请求日期":"2025-12-05"},{"币种":"EUR","每单位外币折合人民币":8.2376,"汇率公布日期":"2025-12-05","请求日期":"2025-12-05"},{"币种":"JPY","每单位外币折合人民币":0.045597000000000006,"汇率公布日期":"2025-12-05","请求日期":"2025-12-05"},{"币种":"HKD","每单位外币折合人民币":0.90906,"汇率公布日期":"2025-12-05","请求日期":"2025-12-05"},{"币种":"GBP","每单位外币折合人民币":9.4269,"汇率公布日期":"2025-12-05","请求日期":"2025-12-05"},{"币种":"AUD","每单位外币折合人民币":4.6754,"汇率公布日期":"2025-12-05","请求日期":"2025-12-05"},{"币种":"NZD","每单位外币折合人民币":4.0767,"汇率公布日期":"2025-12-05","请求日期":"2025-12-05"},{"币种":"SGD","每单位外币折合人民币":5.4573,"汇率公布日期":"2025-12-05","请求日期":"2025-12-05"},{"币种":"CHF","每单位外币折合人民币":8.8016,"汇率公布日期":"2025-12-05","请求日期":"2025-12-05"},{"币种":"CAD","每单位外币折合人民币":5.0682,"汇率公布日期":"2025-12-05","请求日期":"2025-12-05"},{"币种":"MOP","每单位外币折合人民币":0.88261253309797,"汇率公布日期":"2025-12-05","请求日期":"2025-12-05"},{"币种":"MYR","每单位外币折合人民币":1.7198383351964914,"汇率公布日期":"2025-12-05","请求日期":"2025-12-05"},{"币种":"RUB","每单位外币折合人民币":0.09222369780138703,"汇率公布日期":"2025-12-05","请求日期":"2025-12-05"},{"币种":"ZAR","每单位外币折合人民币":0.4163717366865137,"汇率公布日期":"2025-12-05","请求日期":"2025-12-05"},{"币种":"KRW","每单位外币折合人民币":0.004799155348658636,"汇率公布日期":"2025-12-05","请求日期":"2025-12-05"},{"币种":"AED","每单位外币折合人民币":1.9258916878514751,"汇率公布日期":"2025-12-05","请求日期":"2025-12-05"},{"币种":"SAR","每单位外币折合人民币":1.8847654409408747,"汇率公布日期":"2025-12-05","请求日期":"2025-12-05"},{"币种":"HUF","每单位外币折合人民币":0.02150819784961038,"汇率公布日期":"2025-12-05","请求日期":"2025-12-05"},{"币种":"PLN","每单位外币折合人民币":1.9453360568038127,"汇率公布日期":"2025-12-05","请求日期":"2025-12-05"},{"币种":"DKK","每单位外币折合人民币":1.102779003087781,"汇率公布日期":"2025-12-05","请求日期":"2025-12-05"},{"币种":"SEK","每单位外币折合人民币":0.7505817008181341,"汇率公布日期":"2025-12-05","请求日期":"2025-12-05"},{"币种":"NOK","每单位外币折合人民币":0.6993006993006993,"汇率公布日期":"2025-12-05","请求日期":"2025-12-05"},{"币种":"TRY","每单位外币折合人民币":0.16645138953619987,"汇率公布日期":"2025-12-05","请求日期":"2025-12-05"},{"币种":"MXN","每单位外币折合人民币":0.38791264207300513,"汇率公布日期":"2025-12-05","请求日期":"2025-12-05"},{"币种":"THB","每单位外币折合人民币":0.22079441831710492,"汇率公布日期":"2025-12-05","请求日期":"2025-12-05"},{"币种":"CNY","每单位外币折合人民币":1.0,"汇率公布日期":"2025-12-05","请求日期":"2025-12-05"},{"币种":"USD","每单位外币折合人民币":7.0749,"汇率公布日期":"2025-12-05","请求日期":"2025-12-06"},{"币种":"EUR","每单位外币折合人民币":8.2376,"汇率公布日期":"2025-12-05","请求日期":"2025-12-06"},{"币种":"JPY","每单位外币折合人民币":0.045597000000000006,"汇率公布日期":"2025-12-05","请求日期":"2025-12-06"},{"币种":"HKD","每单位外币折合人民币":0.90906,"汇率公布日期":"2025-12-05","请求日期":"2025-12-06"},{"币种":"GBP","每单位外币折合人民币":9.4269,"汇率公布日期":"2025-12-05","请求日期":"2025-12-06"},{"币种":"AUD","每单位外币折合人民币":4.6754,"汇率公布日期":"2025-12-05","请求日期":"2025-12-06"},{"币种":"NZD","每单位外币折合人民币":4.0767,"汇率公布日期":"2025-12-05","请求日期":"2025-12-06"},{"币种":"SGD","每单位外币折合人民币":5.4573,"汇率公布日期":"2025-12-05","请求日期":"2025-12-06"},{"币种":"CHF","每单位外币折合人民币":8.8016,"汇率公布日期":"2025-12-05","请求日期":"2025-12-06"},{"币种":"CAD","每单位外币折合人民币":5.0682,"汇率公布日期":"2025-12-05","请求日期":"2025-12-06"},{"币种":"MOP","每单位外币折合人民币":0.88261253309797,"汇率公布日期":"2025-12-05","请求日期":"2025-12-06"},{"币种":"MYR","每单位外币折合人民币":1.7198383351964914,"汇率公布日期":"2025-12-05","请求日期":"2025-12-06"},{"币种":"RUB","每单位外币折合人民币":0.09222369780138703,"汇率公布日期":"2025-12-05","请求日期":"2025-12-06"},{"币种":"ZAR","每单位外币折合人民币":0.4163717366865137,"汇率公布日期":"2025-12-05","请求日期":"2025-12-06"},{"币种":"KRW","每单位外币折合人民币":0.004799155348658636,"汇率公布日期":"2025-12-05","请求日期":"2025-12-06"},{"币种":"AED","每单位外币折合人民币":1.9258916878514751,"汇率公布日期":"2025-12-05","请求日期":"2025-12-06"},{"币种":"SAR","每单位外币折合人民币":1.8847654409408747,"汇率公布日期":"2025-12-05","请求日期":"2025-12-06"},{"币种":"HUF","每单位外币折合人民币":0.02150819784961038,"汇率公布日期":"2025-12-05","请求日期":"2025-12-06"},{"币种":"PLN","每单位外币折合人民币":1.9453360568038127,"汇率公布日期":"2025-12-05","请求日期":"2025-12-06"},{"币种":"DKK","每单位外币折合人民币":1.102779003087781,"汇率公布日期":"2025-12-05","请求日期":"2025-12-06"},{"币种":"SEK","每单位外币折合人民币":0.7505817008181341,"汇率公布日期":"2025-12-05","请求日期":"2025-12-06"},{"币种":"NOK","每单位外币折合人民币":0.6993006993006993,"汇率公布日期":"2025-12-05","请求日期":"2025-12-06"},{"币种":"TRY","每单位外币折合人民币":0.16645138953619987,"汇率公布日期":"2025-12-05","请求日期":"2025-12-06"},{"币种":"MXN","每单位外币折合人民币":0.38791264207300513,"汇率公布日期":"2025-12-05","请求日期":"2025-12-06"},{"币种":"THB","每单位外币折合人民币":0.22079441831710492,"汇率公布日期":"2025-12-05","请求日期":"2025-12-06"},{"币种":"CNY","每单位外币折合人民币":1.0,"汇率公布日期":"2025-12-06","请求日期":"2025-12-06"},{"币种":"USD","每单位外币折合人民币":7.0749,"汇率公布日期":"2025-12-05","请求日期":"2025-12-07"},{"币种":"EUR","每单位外币折合人民币":8.2376,"汇率公布日期":"2025-12-05","请求日期":"2025-12-07"},{"币种":"JPY","每单位外币折合人民币":0.045597000000000006,"汇率公布日期":"2025-12-05","请求日期":"2025-12-07"},{"币种":"HKD","每单位外币折合人民币":0.90906,"汇率公布日期":"2025-12-05","请求日期":"2025-12-07"},{"币种":"GBP","每单位外币折合人民币":9.4269,"汇率公布日期":"2025-12-05","请求日期":"2025-12-07"},{"币种":"AUD","每单位外币折合人民币":4.6754,"汇率公布日期":"2025-12-05","请求日期":"2025-12-07"},{"币种":"NZD","每单位外币折合人民币":4.0767,"汇率公布日期":"2025-12-05","请求日期":"2025-12-07"},{"币种":"SGD","每单位外币折合人民币":5.4573,"汇率公布日期":"2025-12-05","请求日期":"2025-12-07"},{"币种":"CHF","每单位外币折合人民币":8.8016,"汇率公布日期":"2025-12-05","请求日期":"2025-12-07"},{"币种":"CAD","每单位外币折合人民币":5.0682,"汇率公布日期":"2025-12-05","请求日期":"2025-12-07"},{"币种":"MOP","每单位外币折合人民币":0.88261253309797,"汇率公布日期":"2025-12-05","请求日期":"2025-12-07"},{"币种":"MYR","每单位外币折合人民币":1.7198383351964914,"汇率公布日期":"2025-12-05","请求日期":"2025-12-07"},{"币种":"RUB","每单位外币折合人民币":0.09222369780138703,"汇率公布日期":"2025-12-05","请求日期":"2025-12-07"},{"币种":"ZAR","每单位外币折合人民币":0.4163717366865137,"汇率公布日期":"2025-12-05","请求日期":"2025-12-07"},{"币种":"KRW","每单位外币折合人民币":0.004799155348658636,"汇率公布日期":"2025-12-05","请求日期":"2025-12-07"},{"币种":"AED","每单位外币折合人民币":1.9258916878514751,"汇率公布日期":"2025-12-05","请求日期":"2025-12-07"},{"币种":"SAR","每单位外币折合人民币":1.8847654409408747,"汇率公布日期":"2025-12-05","请求日期":"2025-12-07"},{"币种":"HUF","每单位外币折合人民币":0.02150819784961038,"汇率公布日期":"2025-12-05","请求日期":"2025-12-07"},{"币种":"PLN","每单位外币折合人民币":1.9453360568038127,"汇率公布日期":"2025-12-05","请求日期":"2025-12-07"},{"币种":"DKK","每单位外币折合人民币":1.102779003087781,"汇率公布日期":"2025-12-05","请求日期":"2025-12-07"},{"币种":"SEK","每单位外币折合人民币":0.7505817008181341,"汇率公布日期":"2025-12-05","请求日期":"2025-12-07"},{"币种":"NOK","每单位外币折合人民币":0.6993006993006993,"汇率公布日期":"2025-12-05","请求日期":"2025-12-07"},{"币种":"TRY","每单位外币折合人民币":0.16645138953619987,"汇率公布日期":"2025-12-05","请求日期":"2025-12-07"},{"币种":"MXN","每单位外币折合人民币":0.38791264207300513,"汇率公布日期":"2025-12-05","请求日期":"2025-12-07"},{"币种":"THB","每单位外币折合人民币":0.22079441831710492,"汇率公布日期":"2025-12-05","请求日期":"2025-12-07"},{"币种":"CNY","每单位外币折合人民币":1.0,"汇率公布日期":"2025-12-07","请求日期":"2025-12-07"},{"币种":"USD","每单位外币折合人民币":7.0764,"汇率公布日期":"2025-12-08","请求日期":"2025-12-08"},{"币种":"EUR","每单位外币折合人民币":8.237400000000001,"汇率公布日期":"2025-12-08","请求日期":"2025-12-08"},{"币种":"JPY","每单位外币折合人民币":0.045563,"汇率公布日期":"2025-12-08","请求日期":"2025-12-08"},{"币种":"HKD","每单位外币折合人民币":0.90919,"汇率公布日期":"2025-12-08","请求日期":"2025-12-08"},{"币种":"GBP","每单位外币折合人民币":9.4271,"汇率公布日期":"2025-12-08","请求日期":"2025-12-08"},{"币种":"AUD","每单位外币折合人民币":4.6954,"汇率公布日期":"2025-12-08","请求日期":"2025-12-08"},{"币种":"NZD","每单位外币折合人民币":4.0861,"汇率公布日期":"2025-12-08","请求日期":"2025-12-08"},{"币种":"SGD","每单位外币折合人民币":5.4599,"汇率公布日期":"2025-12-08","请求日期":"2025-12-08"},{"币种":"CHF","每单位外币折合人民币":8.7914,"汇率公布日期":"2025-12-08","请求日期":"2025-12-08"},{"币种":"CAD","每单位外币折合人民币":5.1152999999999995,"汇率公布日期":"2025-12-08","请求日期":"2025-12-08"},{"币种":"MOP","每单位外币折合人民币":0.882223202470225,"汇率公布日期":"2025-12-08","请求日期":"2025-12-08"},{"币种":"MYR","每单位外币折合人民币":1.7200749952697938,"汇率公布日期":"2025-12-08","请求日期":"2025-12-08"},{"币种":"RUB","每单位外币折合人民币":0.09247015525739068,"汇率公布日期":"2025-12-08","请求日期":"2025-12-08"},{"币种":"ZAR","每单位外币折合人民币":0.4177109440267335,"汇率公布日期":"2025-12-08","请求日期":"2025-12-08"},{"币种":"KRW","每单位外币折合人民币":0.004805151122002787,"汇率公布日期":"2025-12-08","请求日期":"2025-12-08"},{"币种":"AED","每单位外币折合人民币":1.9258916878514751,"汇率公布日期":"2025-12-08","请求日期":"2025-12-08"},{"币种":"SAR","每单位外币折合人民币":1.8846233580218992,"汇率公布日期":"2025-12-08","请求日期":"2025-12-08"},{"币种":"HUF","每单位外币折合人民币":0.02158177117279661,"汇率公布日期":"2025-12-08","请求日期":"2025-12-08"},{"币种":"PLN","每单位外币折合人民币":1.947685176168124,"汇率公布日期":"2025-12-08","请求日期":"2025-12-08"},{"币种":"DKK","每单位外币折合人民币":1.102779003087781,"汇率公布日期":"2025-12-08","请求日期":"2025-12-08"},{"币种":"SEK","每单位外币折合人民币":0.7526153383005946,"汇率公布日期":"2025-12-08","请求日期":"2025-12-08"},{"币种":"NOK","每单位外币折合人民币":0.699741095794556,"汇率公布日期":"2025-12-08","请求日期":"2025-12-08"},{"币种":"TRY","每单位外币折合人民币":0.16623418073977533,"汇率公布日期":"2025-12-08","请求日期":"2025-12-08"},{"币种":"MXN","每单位外币折合人民币":0.3891959212267456,"汇率公布日期":"2025-12-08","请求日期":"2025-12-08"},{"币种":"THB","每单位外币折合人民币":0.22161647053609024,"汇率公布日期":"2025-12-08","请求日期":"2025-12-08"},{"币种":"CNY","每单位外币折合人民币":1.0,"汇率公布日期":"2025-12-08","请求日期":"2025-12-08"},{"币种":"USD","每单位外币折合人民币":7.0773,"汇率公布日期":"2025-12-09","请求日期":"2025-12-09"},{"币种":"EUR","每单位外币折合人民币":8.2372,"汇率公布日期":"2025-12-09","请求日期":"2025-12-09"},{"币种":"JPY","每单位外币折合人民币":0.045391,"汇率公布日期":"2025-12-09","请求日期":"2025-12-09"},{"币种":"HKD","每单位外币折合人民币":0.90981,"汇率公布日期":"2025-12-09","请求日期":"2025-12-09"},{"币种":"GBP","每单位外币折合人民币":9.4298,"汇率公布日期":"2025-12-09","请求日期":"2025-12-09"},{"币种":"AUD","每单位外币折合人民币":4.688,"汇率公布日期":"2025-12-09","请求日期":"2025-12-09"},{"币种":"NZD","每单位外币折合人民币":4.0869,"汇率公布日期":"2025-12-09","请求日期":"2025-12-09"},{"币种":"SGD","每单位外币折合人民币":5.453200000000001,"汇率公布日期":"2025-12-09","请求日期":"2025-12-09"},{"币种":"CHF","每单位外币折合人民币":8.7713,"汇率公布日期":"2025-12-09","请求日期":"2025-12-09"},{"币种":"CAD","每单位外币折合人民币":5.1092,"汇率公布日期":"2025-12-09","请求日期":"2025-12-09"},{"币种":"MOP","每单位外币折合人民币":0.8833141948591114,"汇率公布日期":"2025-12-09","请求日期":"2025-12-09"},{"币种":"MYR","每单位外币折合人民币":1.7194834671664634,"汇率公布日期":"2025-12-09","请求日期":"2025-12-09"},{"币种":"RUB","每单位外币折合人民币":0.0921871398939848,"汇率公布日期":"2025-12-09","请求日期":"2025-12-09"},{"币种":"ZAR","每单位外币折合人民币":0.4152651467962294,"汇率公布日期":"2025-12-09","请求日期":"2025-12-09"},{"币种":"KRW","每单位外币折合人民币":0.004812087964967999,"汇率公布日期":"2025-12-09","请求日期":"2025-12-09"},{"币种":"AED","每单位外币折合人民币":1.92648532018186,"汇率公布日期":"2025-12-09","请求日期":"2025-12-09"},{"币种":"SAR","每单位外币折合人民币":1.885333986915782,"汇率公布日期":"2025-12-09","请求日期":"2025-12-09"},{"币种":"HUF","每单位外币折合人民币":0.02141611948481383,"汇率公布日期":"2025-12-09","请求日期":"2025-12-09"},{"币种":"PLN","每单位外币折合人民币":1.94352127184032,"汇率公布日期":"2025-12-09","请求日期":"2025-12-09"},{"币种":"DKK","每单位外币折合人民币":1.102779003087781,"汇率公布日期":"2025-12-09","请求日期":"2025-12-09"},{"币种":"SEK","每单位外币折合人民币":0.7531821947729155,"汇率公布日期":"2025-12-09","请求日期":"2025-12-09"},{"币种":"NOK","每单位外币折合人民币":0.6989585517578808,"汇率公布日期":"2025-12-09","请求日期":"2025-12-09"},{"币种":"TRY","每单位外币折合人民币":0.166312144611736,"汇率公布日期":"2025-12-09","请求日期":"2025-12-09"},{"币种":"MXN","每单位外币折合人民币":0.3874016968194321,"汇率公布日期":"2025-12-09","请求日期":"2025-12-09"},{"币种":"THB","每单位外币折合人民币":0.22171965766484855,"汇率公布日期":"2025-12-09","请求日期":"2025-12-09"},{"币种":"CNY","每单位外币折合人民币":1.0,"汇率公布日期":"2025-12-09","请求日期":"2025-12-09"},{"币种":"USD","每单位外币折合人民币":7.0752999999999995,"汇率公布日期":"2025-12-10","请求日期":"2025-12-10"},{"币种":"EUR","每单位外币折合人民币":8.2258,"汇率公布日期":"2025-12-10","请求日期":"2025-12-10"},{"币种":"JPY","每单位外币折合人民币":0.045096,"汇率公布日期":"2025-12-10","请求日期":"2025-12-10"},{"币种":"HKD","每单位外币折合人民币":0.90928,"汇率公布日期":"2025-12-10","请求日期":"2025-12-10"},{"币种":"GBP","每单位外币折合人民币":9.4107,"汇率公布日期":"2025-12-10","请求日期":"2025-12-10"},{"币种":"AUD","每单位外币折合人民币":4.6973,"汇率公布日期":"2025-12-10","请求日期":"2025-12-10"},{"币种":"NZD","每单位外币折合人民币":4.0877,"汇率公布日期":"2025-12-10","请求日期":"2025-12-10"},{"币种":"SGD","每单位外币折合人民币":5.455,"汇率公布日期":"2025-12-10","请求日期":"2025-12-10"},{"币种":"CHF","每单位外币折合人民币":8.7759,"汇率公布日期":"2025-12-10","请求日期":"2025-12-10"},{"币种":"CAD","每单位外币折合人民币":5.1093,"汇率公布日期":"2025-12-10","请求日期":"2025-12-10"},{"币种":"MOP","每单位外币折合人民币":0.882223202470225,"汇率公布日期":"2025-12-10","请求日期":"2025-12-10"},{"币种":"MYR","每单位外币折合人民币":1.7188332559858368,"汇率公布日期":"2025-12-10","请求日期":"2025-12-10"},{"币种":"RUB","每单位外币折合人民币":0.09147791723078048,"汇率公布日期":"2025-12-10","请求日期":"2025-12-10"},{"币种":"ZAR","每单位外币折合人民币":0.4148861137617724,"汇率公布日期":"2025-12-10","请求日期":"2025-12-10"},{"币种":"KRW","每单位外币折合人民币":0.004810930433945925,"汇率公布日期":"2025-12-10","请求日期":"2025-12-10"},{"币种":"AED","每单位外币折合人民币":1.926114257097731,"汇率公布日期":"2025-12-10","请求日期":"2025-12-10"},{"币种":"SAR","每单位外币折合人民币":1.8850496710588325,"汇率公布日期":"2025-12-10","请求日期":"2025-12-10"},{"币种":"HUF","每单位外币折合人民币":0.021435997470552297,"汇率公布日期":"2025-12-10","请求日期":"2025-12-10"},{"币种":"PLN","每单位外币折合人民币":1.9453739008637456,"汇率公布日期":"2025-12-10","请求日期":"2025-12-10"},{"币种":"DKK","每单位外币折合人民币":1.1013215859030838,"汇率公布日期":"2025-12-10","请求日期":"2025-12-10"},{"币种":"SEK","每单位外币折合人民币":0.7558007709167863,"汇率公布日期":"2025-12-10","请求日期":"2025-12-10"},{"币种":"NOK","每单位外币折合人民币":0.6970584134950508,"汇率公布日期":"2025-12-10","请求日期":"2025-12-10"},{"币种":"TRY","每单位外币折合人民币":0.16623860226583215,"汇率公布日期":"2025-12-10","请求日期":"2025-12-10"},{"币种":"MXN","每单位外币折合人民币":0.3886664852889735,"汇率公布日期":"2025-12-10","请求日期":"2025-12-10"},{"币种":"THB","每单位外币折合人民币":0.22226173541963015,"汇率公布日期":"2025-12-10","请求日期":"2025-12-10"},{"币种":"CNY","每单位外币折合人民币":1.0,"汇率公布日期":"2025-12-10","请求日期":"2025-12-10"},{"币种":"USD","每单位外币折合人民币":7.0686,"汇率公布日期":"2025-12-11","请求日期":"2025-12-11"},{"币种":"EUR","每单位外币折合人民币":8.2593,"汇率公布日期":"2025-12-11","请求日期":"2025-12-11"},{"币种":"JPY","每单位外币折合人民币":0.045304,"汇率公布日期":"2025-12-11","请求日期":"2025-12-11"},{"币种":"HKD","每单位外币折合人民币":0.90862,"汇率公布日期":"2025-12-11","请求日期":"2025-12-11"},{"币种":"GBP","每单位外币折合人民币":9.4482,"汇率公布日期":"2025-12-11","请求日期":"2025-12-11"},{"币种":"AUD","每单位外币折合人民币":4.7084,"汇率公布日期":"2025-12-11","请求日期":"2025-12-11"},{"币种":"NZD","每单位外币折合人民币":4.1015,"汇率公布日期":"2025-12-11","请求日期":"2025-12-11"},{"币种":"SGD","每单位外币折合人民币":5.464600000000001,"汇率公布日期":"2025-12-11","请求日期":"2025-12-11"},{"币种":"CHF","每单位外币折合人民币":8.8282,"汇率公布日期":"2025-12-11","请求日期":"2025-12-11"},{"币种":"CAD","每单位外币折合人民币":5.1167,"汇率公布日期":"2025-12-11","请求日期":"2025-12-11"},{"币种":"MOP","每单位外币折合人民币":0.8820675663755844,"汇率公布日期":"2025-12-11","请求日期":"2025-12-11"},{"币种":"MYR","每单位外币折合人民币":1.7170034855170755,"汇率公布日期":"2025-12-11","请求日期":"2025-12-11"},{"币种":"RUB","每单位外币折合人民币":0.09008116312797831,"汇率公布日期":"2025-12-11","请求日期":"2025-12-11"},{"币种":"ZAR","每单位外币折合人民币":0.4169446297531688,"汇率公布日期":"2025-12-11","请求日期":"2025-12-11"},{"币种":"KRW","每单位外币折合人民币":0.004807230074031344,"汇率公布日期":"2025-12-11","请求日期":"2025-12-11"},{"币种":"AED","每单位外币折合人民币":1.921451079855507,"汇率公布日期":"2025-12-11","请求日期":"2025-12-11"},{"币种":"SAR","每单位外币折合人民币":1.880759826970096,"汇率公布日期":"2025-12-11","请求日期":"2025-12-11"},{"币种":"HUF","每单位外币折合人民币":0.02158885324329342,"汇率公布日期":"2025-12-11","请求日期":"2025-12-11"},{"币种":"PLN","每单位外币折合人民币":1.9550724354337328,"汇率公布日期":"2025-12-11","请求日期":"2025-12-11"},{"币种":"DKK","每单位外币折合人民币":1.105583195135434,"汇率公布日期":"2025-12-11","请求日期":"2025-12-11"},{"币种":"SEK","每单位外币折合人民币":0.7617306520414382,"汇率公布日期":"2025-12-11","请求日期":"2025-12-11"},{"币种":"NOK","每单位外币折合人民币":0.6995942353435007,"汇率公布日期":"2025-12-11","请求日期":"2025-12-11"},{"币种":"TRY","每单位外币折合人民币":0.1656375…[内容超出Excel单元格上限，完整明细见对应明细页]</t>
  </si>
  <si>
    <t>汇率响应哈希</t>
  </si>
  <si>
    <t>6223c76d77d301342e20128834dd1ca6abd0b7a3777ffe6d1531296ed166284e</t>
  </si>
  <si>
    <t>来源/识别方式</t>
  </si>
  <si>
    <t>汇率来源网址</t>
  </si>
  <si>
    <t>https://www.safe.gov.cn/AppStructured/hlw/RMBQuery.do</t>
  </si>
  <si>
    <t>汇率快照开始日</t>
  </si>
  <si>
    <t>JE来源</t>
  </si>
  <si>
    <t>C:\Users\lenovo\Downloads\审计工具箱\audit-toolbox-main\tauri-app\tests\fixtures\汇率损益测试集\用友\用友_序时账.xlsx</t>
  </si>
  <si>
    <t>TB来源</t>
  </si>
  <si>
    <t>C:\Users\lenovo\Downloads\审计工具箱\audit-toolbox-main\tauri-app\tests\fixtures\汇率损益测试集\用友\用友_科目余额表.xlsx</t>
  </si>
  <si>
    <t>源文件行号</t>
  </si>
  <si>
    <t>1174400</t>
  </si>
  <si>
    <t>记-0001</t>
  </si>
  <si>
    <t>出口销售-美国客户A</t>
  </si>
  <si>
    <t>出口收入(美元)</t>
  </si>
  <si>
    <t>6001.01</t>
  </si>
  <si>
    <t>1744000</t>
  </si>
  <si>
    <t>569600</t>
  </si>
  <si>
    <t>记-0002</t>
  </si>
  <si>
    <t>出口销售-美国客户B</t>
  </si>
  <si>
    <t>1424000</t>
  </si>
  <si>
    <t>1086000</t>
  </si>
  <si>
    <t>226000</t>
  </si>
  <si>
    <t>记-0003</t>
  </si>
  <si>
    <t>内销商品收入(含税226,000.00)</t>
  </si>
  <si>
    <t>应收账款-国内</t>
  </si>
  <si>
    <t>1122.01</t>
  </si>
  <si>
    <t>200000</t>
  </si>
  <si>
    <t>内销收入(人民币)</t>
  </si>
  <si>
    <t>6001.02</t>
  </si>
  <si>
    <t>26000</t>
  </si>
  <si>
    <t>应交增值税-销项税额</t>
  </si>
  <si>
    <t>2221.02</t>
  </si>
  <si>
    <t>记-0005</t>
  </si>
  <si>
    <t>发放本月职工薪酬</t>
  </si>
  <si>
    <t>管理费用-职工薪酬</t>
  </si>
  <si>
    <t>6602.03</t>
  </si>
  <si>
    <t>3440000</t>
  </si>
  <si>
    <t>8000</t>
  </si>
  <si>
    <t>记-0006</t>
  </si>
  <si>
    <t>报销办公费及差旅费</t>
  </si>
  <si>
    <t>管理费用-办公费</t>
  </si>
  <si>
    <t>6602.01</t>
  </si>
  <si>
    <t>15000</t>
  </si>
  <si>
    <t>管理费用-差旅费</t>
  </si>
  <si>
    <t>6602.02</t>
  </si>
  <si>
    <t>3417000</t>
  </si>
  <si>
    <t>23000</t>
  </si>
  <si>
    <t>记-0007</t>
  </si>
  <si>
    <t>支付银行手续费</t>
  </si>
  <si>
    <t>财务费用-手续费</t>
  </si>
  <si>
    <t>6603.01</t>
  </si>
  <si>
    <t>3415800</t>
  </si>
  <si>
    <t>3027200</t>
  </si>
  <si>
    <t>记-0008</t>
  </si>
  <si>
    <t>进口采购-美元供应商</t>
  </si>
  <si>
    <t>库存商品</t>
  </si>
  <si>
    <t>1405</t>
  </si>
  <si>
    <t>3327200</t>
  </si>
  <si>
    <t>记-0009</t>
  </si>
  <si>
    <t>国内采购商品入库</t>
  </si>
  <si>
    <t>39000</t>
  </si>
  <si>
    <t>应交增值税-进项税额</t>
  </si>
  <si>
    <t>2221.01</t>
  </si>
  <si>
    <t>979000</t>
  </si>
  <si>
    <t>应付账款-国内</t>
  </si>
  <si>
    <t>2202.01</t>
  </si>
  <si>
    <t>339000</t>
  </si>
  <si>
    <t>记-0011</t>
  </si>
  <si>
    <t>计提香港货代运费</t>
  </si>
  <si>
    <t>运杂费(港币)</t>
  </si>
  <si>
    <t>6601.02</t>
  </si>
  <si>
    <t>336400</t>
  </si>
  <si>
    <t>640000</t>
  </si>
  <si>
    <t>记-0015</t>
  </si>
  <si>
    <t>支付本月国内供应商货款</t>
  </si>
  <si>
    <t>3291600</t>
  </si>
  <si>
    <t>800000</t>
  </si>
  <si>
    <t>记-0016</t>
  </si>
  <si>
    <t>结转本月销售成本</t>
  </si>
  <si>
    <t>主营业务成本</t>
  </si>
  <si>
    <t>6401</t>
  </si>
  <si>
    <t>2527200</t>
  </si>
  <si>
    <t>记-0017</t>
  </si>
  <si>
    <t>月末损益结转</t>
  </si>
  <si>
    <t>704600</t>
  </si>
  <si>
    <t>本年利润</t>
  </si>
  <si>
    <t>4103</t>
  </si>
  <si>
    <t>1601600</t>
  </si>
  <si>
    <t>记-0018</t>
  </si>
  <si>
    <t>484800</t>
  </si>
  <si>
    <t>20000</t>
  </si>
  <si>
    <t>142400</t>
  </si>
  <si>
    <t>记-0019</t>
  </si>
  <si>
    <t>收到美国客户B预收货款</t>
  </si>
  <si>
    <t>182400</t>
  </si>
  <si>
    <t>预收款项-美元</t>
  </si>
  <si>
    <t>2203.02</t>
  </si>
  <si>
    <t>71200</t>
  </si>
  <si>
    <t>10000</t>
  </si>
  <si>
    <t>记-0020</t>
  </si>
  <si>
    <t>预付美元供应商货款</t>
  </si>
  <si>
    <t>预付款项-美元</t>
  </si>
  <si>
    <t>1123.03</t>
  </si>
  <si>
    <t>413600</t>
  </si>
  <si>
    <t>3491600</t>
  </si>
  <si>
    <t>记-0021</t>
  </si>
  <si>
    <t>收到内销客户货款</t>
  </si>
  <si>
    <t>886000</t>
  </si>
  <si>
    <t>记-0023</t>
  </si>
  <si>
    <t>3431600</t>
  </si>
  <si>
    <t>记-0024</t>
  </si>
  <si>
    <t>3408600</t>
  </si>
  <si>
    <t>记-0025</t>
  </si>
  <si>
    <t>3407700</t>
  </si>
  <si>
    <t>2812000</t>
  </si>
  <si>
    <t>记-0027</t>
  </si>
  <si>
    <t>3072000</t>
  </si>
  <si>
    <t>260000</t>
  </si>
  <si>
    <t>记-0028</t>
  </si>
  <si>
    <t>33800</t>
  </si>
  <si>
    <t>933800</t>
  </si>
  <si>
    <t>293800</t>
  </si>
  <si>
    <t>记-0030</t>
  </si>
  <si>
    <t>327300</t>
  </si>
  <si>
    <t>记-0033</t>
  </si>
  <si>
    <t>3595750</t>
  </si>
  <si>
    <t>700000</t>
  </si>
  <si>
    <t>记-0034</t>
  </si>
  <si>
    <t>2372000</t>
  </si>
  <si>
    <t>6000</t>
  </si>
  <si>
    <t>记-0035</t>
  </si>
  <si>
    <t>支付国内运杂费</t>
  </si>
  <si>
    <t>运杂费(人民币)</t>
  </si>
  <si>
    <t>6601.01</t>
  </si>
  <si>
    <t>3589750</t>
  </si>
  <si>
    <t>记-0036</t>
  </si>
  <si>
    <t>458300</t>
  </si>
  <si>
    <t>246300</t>
  </si>
  <si>
    <t>记-0037</t>
  </si>
  <si>
    <t>2313600</t>
  </si>
  <si>
    <t>记-0038</t>
  </si>
  <si>
    <t>1112000</t>
  </si>
  <si>
    <t>记-0039</t>
  </si>
  <si>
    <t>52000</t>
  </si>
  <si>
    <t>记-0042</t>
  </si>
  <si>
    <t>3432150</t>
  </si>
  <si>
    <t>记-0043</t>
  </si>
  <si>
    <t>3409150</t>
  </si>
  <si>
    <t>记-0044</t>
  </si>
  <si>
    <t>3407950</t>
  </si>
  <si>
    <t>2799200</t>
  </si>
  <si>
    <t>记-0045</t>
  </si>
  <si>
    <t>749600</t>
  </si>
  <si>
    <t>记-0046</t>
  </si>
  <si>
    <t>预收美元货款转出口收入</t>
  </si>
  <si>
    <t>1566400</t>
  </si>
  <si>
    <t>3099200</t>
  </si>
  <si>
    <t>记-0047</t>
  </si>
  <si>
    <t>111800</t>
  </si>
  <si>
    <t>记-0049</t>
  </si>
  <si>
    <t>记-0053</t>
  </si>
  <si>
    <t>3283750</t>
  </si>
  <si>
    <t>850000</t>
  </si>
  <si>
    <t>记-0054</t>
  </si>
  <si>
    <t>2249200</t>
  </si>
  <si>
    <t>220000</t>
  </si>
  <si>
    <t>记-0055</t>
  </si>
  <si>
    <t>1254100</t>
  </si>
  <si>
    <t>795800</t>
  </si>
  <si>
    <t>2456000</t>
  </si>
  <si>
    <t>140000</t>
  </si>
  <si>
    <t>996800</t>
  </si>
  <si>
    <t>记-0056</t>
  </si>
  <si>
    <t>3025600</t>
  </si>
  <si>
    <t>记-0057</t>
  </si>
  <si>
    <t>3483750</t>
  </si>
  <si>
    <t>记-0058</t>
  </si>
  <si>
    <t>2320400</t>
  </si>
  <si>
    <t>记-0059</t>
  </si>
  <si>
    <t>美元预付货款到货入库</t>
  </si>
  <si>
    <t>记-0061</t>
  </si>
  <si>
    <t>3423750</t>
  </si>
  <si>
    <t>记-0062</t>
  </si>
  <si>
    <t>3400750</t>
  </si>
  <si>
    <t>记-0063</t>
  </si>
  <si>
    <t>3399250</t>
  </si>
  <si>
    <t>2747600</t>
  </si>
  <si>
    <t>记-0065</t>
  </si>
  <si>
    <t>820800</t>
  </si>
  <si>
    <t>3067600</t>
  </si>
  <si>
    <t>320000</t>
  </si>
  <si>
    <t>记-0066</t>
  </si>
  <si>
    <t>153400</t>
  </si>
  <si>
    <t>41600</t>
  </si>
  <si>
    <t>1001600</t>
  </si>
  <si>
    <t>361600</t>
  </si>
  <si>
    <t>记-0068</t>
  </si>
  <si>
    <t>记-0072</t>
  </si>
  <si>
    <t>3449500</t>
  </si>
  <si>
    <t>记-0073</t>
  </si>
  <si>
    <t>2217600</t>
  </si>
  <si>
    <t>记-0074</t>
  </si>
  <si>
    <t>1852100</t>
  </si>
  <si>
    <t>598000</t>
  </si>
  <si>
    <t>2954400</t>
  </si>
  <si>
    <t>150000</t>
  </si>
  <si>
    <t>1068000</t>
  </si>
  <si>
    <t>记-0075</t>
  </si>
  <si>
    <t>1138000</t>
  </si>
  <si>
    <t>记-0076</t>
  </si>
  <si>
    <t>78000</t>
  </si>
  <si>
    <t>记-0078</t>
  </si>
  <si>
    <t>3389500</t>
  </si>
  <si>
    <t>记-0079</t>
  </si>
  <si>
    <t>3366500</t>
  </si>
  <si>
    <t>记-0080</t>
  </si>
  <si>
    <t>3365300</t>
  </si>
  <si>
    <t>2716000</t>
  </si>
  <si>
    <t>记-0081</t>
  </si>
  <si>
    <t>963200</t>
  </si>
  <si>
    <t>3056000</t>
  </si>
  <si>
    <t>340000</t>
  </si>
  <si>
    <t>记-0082</t>
  </si>
  <si>
    <t>197600</t>
  </si>
  <si>
    <t>44200</t>
  </si>
  <si>
    <t>1024200</t>
  </si>
  <si>
    <t>384200</t>
  </si>
  <si>
    <t>记-0087</t>
  </si>
  <si>
    <t>3193880</t>
  </si>
  <si>
    <t>900000</t>
  </si>
  <si>
    <t>记-0088</t>
  </si>
  <si>
    <t>2156000</t>
  </si>
  <si>
    <t>记-0089</t>
  </si>
  <si>
    <t>3187880</t>
  </si>
  <si>
    <t>记-0090</t>
  </si>
  <si>
    <t>2130680</t>
  </si>
  <si>
    <t>278580</t>
  </si>
  <si>
    <t>记-0091</t>
  </si>
  <si>
    <t>3666400</t>
  </si>
  <si>
    <t>记-0092</t>
  </si>
  <si>
    <t>1851200</t>
  </si>
  <si>
    <t>记-0095</t>
  </si>
  <si>
    <t>3030280</t>
  </si>
  <si>
    <t>记-0096</t>
  </si>
  <si>
    <t>3007280</t>
  </si>
  <si>
    <t>记-0097</t>
  </si>
  <si>
    <t>3005780</t>
  </si>
  <si>
    <t>2654400</t>
  </si>
  <si>
    <t>记-0099</t>
  </si>
  <si>
    <t>1034400</t>
  </si>
  <si>
    <t>102400</t>
  </si>
  <si>
    <t>记-0100</t>
  </si>
  <si>
    <t>1993600</t>
  </si>
  <si>
    <t>2994400</t>
  </si>
  <si>
    <t>记-0101</t>
  </si>
  <si>
    <t>241800</t>
  </si>
  <si>
    <t>记-0103</t>
  </si>
  <si>
    <t>340950</t>
  </si>
  <si>
    <t>记-0107</t>
  </si>
  <si>
    <t>3105480</t>
  </si>
  <si>
    <t>记-0108</t>
  </si>
  <si>
    <t>2094400</t>
  </si>
  <si>
    <t>280000</t>
  </si>
  <si>
    <t>记-0109</t>
  </si>
  <si>
    <t>3100980</t>
  </si>
  <si>
    <t>970300</t>
  </si>
  <si>
    <t>置信度</t>
  </si>
  <si>
    <t>反向证据</t>
  </si>
  <si>
    <t>事件类型</t>
  </si>
  <si>
    <t>命中规则</t>
  </si>
  <si>
    <t>已实现得分</t>
  </si>
  <si>
    <t>规则冲突</t>
  </si>
  <si>
    <t>未实现得分</t>
  </si>
  <si>
    <t>高（结构判定）</t>
  </si>
  <si>
    <t>初始确认</t>
  </si>
  <si>
    <t>["货币性资产或负债为增加方向，属于初始确认，不在确认日计算汇兑损益"]</t>
  </si>
  <si>
    <t>默认主体-2026-01-05-记-0001</t>
  </si>
  <si>
    <t>默认主体-2026-01-06-记-0002</t>
  </si>
  <si>
    <t>高</t>
  </si>
  <si>
    <t>结算或兑换</t>
  </si>
  <si>
    <t>["已有货币性项目结清，或外币与本位币货币资金方向相反"]</t>
  </si>
  <si>
    <t>默认主体-2026-01-18-记-0008</t>
  </si>
  <si>
    <t>默认主体-2026-01-23-记-0011</t>
  </si>
  <si>
    <t>期间损益结转</t>
  </si>
  <si>
    <t>["完整凭证含损益结转承接科目，属于期间结转而非汇兑事项"]</t>
  </si>
  <si>
    <t>默认主体-2026-01-31-记-0017</t>
  </si>
  <si>
    <t>默认主体-2026-02-05-记-0018</t>
  </si>
  <si>
    <t>默认主体-2026-02-08-记-0019</t>
  </si>
  <si>
    <t>非汇兑事项</t>
  </si>
  <si>
    <t>["货币性腿全为本位币或对手为非货币性项目：不构成外币汇兑事项"]</t>
  </si>
  <si>
    <t>默认主体-2026-02-09-记-0020</t>
  </si>
  <si>
    <t>默认主体-2026-02-18-记-0027</t>
  </si>
  <si>
    <t>默认主体-2026-02-23-记-0030</t>
  </si>
  <si>
    <t>默认主体-2026-02-28-记-0036</t>
  </si>
  <si>
    <t>默认主体-2026-03-05-记-0037</t>
  </si>
  <si>
    <t>默认主体-2026-03-06-记-0038</t>
  </si>
  <si>
    <t>默认主体-2026-03-18-记-0045</t>
  </si>
  <si>
    <t>默认主体-2026-03-19-记-0046</t>
  </si>
  <si>
    <t>默认主体-2026-03-23-记-0049</t>
  </si>
  <si>
    <t>默认主体-2026-03-31-记-0055</t>
  </si>
  <si>
    <t>默认主体-2026-04-05-记-0056</t>
  </si>
  <si>
    <t>默认主体-2026-04-06-记-0057</t>
  </si>
  <si>
    <t>默认主体-2026-04-11-记-0059</t>
  </si>
  <si>
    <t>默认主体-2026-04-18-记-0065</t>
  </si>
  <si>
    <t>默认主体-2026-04-23-记-0068</t>
  </si>
  <si>
    <t>默认主体-2026-04-30-记-0074</t>
  </si>
  <si>
    <t>默认主体-2026-05-05-记-0075</t>
  </si>
  <si>
    <t>默认主体-2026-05-18-记-0081</t>
  </si>
  <si>
    <t>默认主体-2026-05-31-记-0090</t>
  </si>
  <si>
    <t>默认主体-2026-06-05-记-0091</t>
  </si>
  <si>
    <t>默认主体-2026-06-06-记-0092</t>
  </si>
  <si>
    <t>默认主体-2026-06-18-记-0099</t>
  </si>
  <si>
    <t>默认主体-2026-06-19-记-0100</t>
  </si>
  <si>
    <t>默认主体-2026-06-23-记-0103</t>
  </si>
  <si>
    <t>默认主体-2026-06-30-记-0109</t>
  </si>
  <si>
    <t>["对方科目为预付款、存货、固定资产等非货币性项目，不产生外币汇兑损益；账面汇差建议重分类复核"]</t>
  </si>
  <si>
    <t>["非货币性项目/异常复核"]</t>
  </si>
  <si>
    <t>测算采用央行中间价</t>
  </si>
  <si>
    <t>审计已实现汇兑损益</t>
  </si>
  <si>
    <t>calculationMethod</t>
  </si>
  <si>
    <t>审计基础与客户JE账面差异</t>
  </si>
  <si>
    <t>客户JE终止确认本位币账面（仅比对）</t>
  </si>
  <si>
    <t>审计滚动本位币基础</t>
  </si>
  <si>
    <t>现金是否为必要条件</t>
  </si>
  <si>
    <t>客户隐含汇率反推依据</t>
  </si>
  <si>
    <t>客户隐含汇率取得状态</t>
  </si>
  <si>
    <t>客户隐含汇率来源行</t>
  </si>
  <si>
    <t>客户与审计月初汇率差</t>
  </si>
  <si>
    <t>客户与审计交易日汇率差</t>
  </si>
  <si>
    <t>本位币</t>
  </si>
  <si>
    <t>月初牌价（上月末）</t>
  </si>
  <si>
    <t>月初牌价发布日期</t>
  </si>
  <si>
    <t>月初牌价是否口径回退</t>
  </si>
  <si>
    <t>官方汇率</t>
  </si>
  <si>
    <t>rateSource</t>
  </si>
  <si>
    <t>科目角色</t>
  </si>
  <si>
    <t>结算原币金额</t>
  </si>
  <si>
    <t>targetForeignSigned</t>
  </si>
  <si>
    <t>审计结算本位币金额</t>
  </si>
  <si>
    <t>已实现：滚动审计本位币基础与本次结算价值比较</t>
  </si>
  <si>
    <t>交易日央行中间价</t>
  </si>
  <si>
    <t>国家外汇管理局人民币汇率中间价查询（数据由中国外汇交易中心公布）</t>
  </si>
  <si>
    <t>实际人民币收付金额</t>
  </si>
  <si>
    <t>购汇：实际支付本位币减去交易日官方牌价折算额</t>
  </si>
  <si>
    <t>辅助核算</t>
  </si>
  <si>
    <t>月末测算日期</t>
  </si>
  <si>
    <t>汇率公布日</t>
  </si>
  <si>
    <t>月末原币余额</t>
  </si>
  <si>
    <t>月末官方中间价</t>
  </si>
  <si>
    <t>审计月末本位币余额</t>
  </si>
  <si>
    <t>测算前本位币余额</t>
  </si>
  <si>
    <t>月末重估损益</t>
  </si>
  <si>
    <t>客户重估凭证</t>
  </si>
  <si>
    <t>期初原币余额</t>
  </si>
  <si>
    <t>年初审计本位币余额</t>
  </si>
  <si>
    <t>正常业务原币发生额</t>
  </si>
  <si>
    <t>正常业务审计本位币发生额（交易日官方汇率）</t>
  </si>
  <si>
    <t>客户凭证对货币性项目余额的调整</t>
  </si>
  <si>
    <t>审计期末折算余额调整</t>
  </si>
  <si>
    <t>TB年末本位币余额</t>
  </si>
  <si>
    <t>TB勾稽差异</t>
  </si>
  <si>
    <t>已实现腿入账基础差异（账面−审计）</t>
  </si>
  <si>
    <t>客户未实现类凭证对货币性项目余额的调整</t>
  </si>
  <si>
    <t>未实现汇兑损益类凭证信息</t>
  </si>
  <si>
    <t>未实现汇兑损益/冲回凭证号</t>
  </si>
  <si>
    <t>年末原币余额</t>
  </si>
  <si>
    <t>客户重估后本位币余额</t>
  </si>
  <si>
    <t>客户重估前本位币余额</t>
  </si>
  <si>
    <t>客户与审计月末汇率差</t>
  </si>
  <si>
    <t>客户与审计汇率影响</t>
  </si>
  <si>
    <t>测算方法</t>
  </si>
  <si>
    <t>年初原币余额</t>
  </si>
  <si>
    <t>未实现损益测算前本位币余额</t>
  </si>
  <si>
    <t>业务入账基础差异（客户账面−审计）</t>
  </si>
  <si>
    <t>建议调整</t>
  </si>
  <si>
    <t>外币货币性项目月度余额滚动及月末官方汇率重估</t>
  </si>
  <si>
    <t>账面汇兑损益净额</t>
  </si>
  <si>
    <t>覆盖勾稽差异</t>
  </si>
  <si>
    <t>剔除损益结转行数</t>
  </si>
  <si>
    <t>JE剔除损益结转后汇兑损益</t>
  </si>
  <si>
    <t>JE与TB差异</t>
  </si>
  <si>
    <t>TB诊断金额列示方式</t>
  </si>
  <si>
    <t>TB诊断已实现汇兑损益</t>
  </si>
  <si>
    <t>TB诊断未实现汇兑损益</t>
  </si>
  <si>
    <t>TB汇兑损益取数明细</t>
  </si>
  <si>
    <t>[{"basis":"本年累计借贷发生额","nature":"汇兑损失","分类":"无法区分","源文件行号":43,"科目":"6603.02 财务费用-汇兑损益","金额":14650.0,"金额口径":"借贷发生额；已结转同额时按收益／损失及红字方向还原"}]</t>
  </si>
  <si>
    <t>系统分类</t>
  </si>
  <si>
    <t>借贷科目组合</t>
  </si>
  <si>
    <t>借方科目</t>
  </si>
  <si>
    <t>贷方科目</t>
  </si>
  <si>
    <t>处理状态</t>
  </si>
  <si>
    <t>复核原因</t>
  </si>
  <si>
    <t>凭证摘要</t>
  </si>
  <si>
    <t>非货币性项目产生了账面汇兑损益</t>
  </si>
  <si>
    <t>借：1123.02、6603.02；贷：1002.01</t>
  </si>
  <si>
    <t>1123.02、6603.02</t>
  </si>
  <si>
    <t>不构成汇兑事项，账面汇差已剔除</t>
  </si>
  <si>
    <t>合计 2 张</t>
  </si>
</sst>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0%"/>
    <numFmt numFmtId="166" formatCode="0.000000"/>
    <numFmt numFmtId="167" formatCode="0.0000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B71C1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5A57"/>
        <bgColor indexed="64"/>
      </patternFill>
    </fill>
    <fill>
      <patternFill patternType="solid">
        <fgColor rgb="FFFDEC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0" fillId="0" borderId="0" xfId="0" applyAlignment="1">
      <alignment wrapText="1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62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2">
        <f>SUMIF('汇兑损益测算明细'!$C:$C,"已实现",'汇兑损益测算明细'!$P:$P)</f>
        <v>-14206.47307619013</v>
      </c>
    </row>
    <row r="6" spans="1:2">
      <c r="A6" t="s">
        <v>9</v>
      </c>
      <c r="B6" s="2">
        <f>SUM('未实现汇兑损益测算'!$L:$L)</f>
        <v>130910.07307619133</v>
      </c>
    </row>
    <row r="7" spans="1:2">
      <c r="A7" t="s">
        <v>10</v>
      </c>
      <c r="B7" s="2">
        <f>SUM(B5:B6)</f>
        <v>116703.6000000012</v>
      </c>
    </row>
    <row r="8" spans="1:2">
      <c r="A8" t="s">
        <v>11</v>
      </c>
      <c r="B8" s="2">
        <v>-7930</v>
      </c>
    </row>
    <row r="9" spans="1:2">
      <c r="A9" t="s">
        <v>12</v>
      </c>
      <c r="B9" s="2">
        <f>B7-B8</f>
        <v>124633.6000000012</v>
      </c>
    </row>
    <row r="10" spans="1:2">
      <c r="A10" t="s">
        <v>13</v>
      </c>
      <c r="B10" s="2">
        <f>SUMIF('汇兑损益测算明细'!$C:$C,"待复核",'汇兑损益测算明细'!$P:$P)</f>
        <v>2400</v>
      </c>
    </row>
    <row r="11" spans="1:2">
      <c r="A11" t="s">
        <v>14</v>
      </c>
      <c r="B11" s="3">
        <f>IFERROR(ABS(B9/B8),0)</f>
        <v>15.716721311475562</v>
      </c>
    </row>
    <row r="12" spans="1:2">
      <c r="A12" t="s">
        <v>15</v>
      </c>
      <c r="B12" s="4" t="str">
        <f>IF(ABS(B8)&lt;0.01,"无法判断",IF(B11&lt;0.05,"通过","不通过"))</f>
        <v>不通过</v>
      </c>
    </row>
    <row r="13" spans="1:2" ht="36" customHeight="1">
      <c r="A13" t="s">
        <v>16</v>
      </c>
      <c r="B13" s="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18.7109375" hidden="1" customWidth="1"/>
    <col min="5" max="5" width="36.7109375" customWidth="1"/>
    <col min="6" max="6" width="18.7109375" customWidth="1"/>
    <col min="7" max="7" width="36.7109375" customWidth="1"/>
    <col min="8" max="10" width="18.7109375" customWidth="1"/>
    <col min="11" max="11" width="18.7109375" hidden="1" customWidth="1"/>
    <col min="12" max="16" width="18.7109375" customWidth="1"/>
    <col min="17" max="17" width="36.7109375" customWidth="1"/>
    <col min="18" max="18" width="36.7109375" hidden="1" customWidth="1"/>
    <col min="19" max="25" width="18.7109375" hidden="1" customWidth="1"/>
    <col min="26" max="26" width="36.7109375" hidden="1" customWidth="1"/>
    <col min="27" max="32" width="18.7109375" hidden="1" customWidth="1"/>
  </cols>
  <sheetData>
    <row r="1" spans="1:32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25</v>
      </c>
      <c r="Z1" s="1" t="s">
        <v>22</v>
      </c>
      <c r="AA1" s="1" t="s">
        <v>18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</row>
    <row r="2" spans="1:32">
      <c r="A2" t="s">
        <v>47</v>
      </c>
      <c r="B2" t="s">
        <v>48</v>
      </c>
      <c r="C2" t="s">
        <v>49</v>
      </c>
      <c r="E2" t="s">
        <v>50</v>
      </c>
      <c r="F2" t="s">
        <v>51</v>
      </c>
      <c r="G2" t="s">
        <v>52</v>
      </c>
      <c r="H2" t="s">
        <v>53</v>
      </c>
      <c r="I2" s="2">
        <v>100000</v>
      </c>
      <c r="J2" s="2">
        <v>712000</v>
      </c>
      <c r="K2" t="s">
        <v>54</v>
      </c>
      <c r="L2" s="2">
        <v>100000</v>
      </c>
      <c r="M2" s="6">
        <v>7.010800000000001</v>
      </c>
      <c r="N2" s="2">
        <v>708181.5384615385</v>
      </c>
      <c r="O2" s="2">
        <f>L2*M2</f>
        <v>701080.0000000001</v>
      </c>
      <c r="P2" s="2">
        <f>N2-O2</f>
        <v>7101.538461538381</v>
      </c>
      <c r="Q2" t="s">
        <v>55</v>
      </c>
      <c r="R2" t="s">
        <v>56</v>
      </c>
      <c r="S2">
        <v>11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53</v>
      </c>
      <c r="Z2" t="s">
        <v>50</v>
      </c>
      <c r="AA2" t="s">
        <v>47</v>
      </c>
      <c r="AB2" t="s">
        <v>62</v>
      </c>
      <c r="AC2" t="s">
        <v>52</v>
      </c>
      <c r="AD2" t="s">
        <v>51</v>
      </c>
    </row>
    <row r="3" spans="1:32">
      <c r="A3" t="s">
        <v>47</v>
      </c>
      <c r="B3" t="s">
        <v>48</v>
      </c>
      <c r="C3" t="s">
        <v>49</v>
      </c>
      <c r="E3" t="s">
        <v>50</v>
      </c>
      <c r="F3" t="s">
        <v>63</v>
      </c>
      <c r="G3" t="s">
        <v>64</v>
      </c>
      <c r="H3" t="s">
        <v>53</v>
      </c>
      <c r="I3" s="2">
        <v>-100000</v>
      </c>
      <c r="J3" s="2">
        <v>-712000</v>
      </c>
      <c r="K3" t="s">
        <v>65</v>
      </c>
      <c r="L3" s="2"/>
      <c r="M3" s="2"/>
      <c r="N3" s="2"/>
      <c r="O3" s="2"/>
      <c r="P3" s="2"/>
      <c r="S3">
        <v>12</v>
      </c>
      <c r="T3" t="s">
        <v>66</v>
      </c>
      <c r="U3" t="s">
        <v>58</v>
      </c>
      <c r="X3" t="s">
        <v>61</v>
      </c>
      <c r="Y3" t="s">
        <v>53</v>
      </c>
      <c r="Z3" t="s">
        <v>50</v>
      </c>
      <c r="AA3" t="s">
        <v>47</v>
      </c>
      <c r="AB3" t="s">
        <v>62</v>
      </c>
      <c r="AC3" t="s">
        <v>64</v>
      </c>
      <c r="AD3" t="s">
        <v>63</v>
      </c>
      <c r="AE3" t="s">
        <v>59</v>
      </c>
      <c r="AF3" t="s">
        <v>60</v>
      </c>
    </row>
    <row r="4" spans="1:32">
      <c r="A4" t="s">
        <v>67</v>
      </c>
      <c r="B4" t="s">
        <v>68</v>
      </c>
      <c r="C4" t="s">
        <v>49</v>
      </c>
      <c r="E4" t="s">
        <v>69</v>
      </c>
      <c r="F4" t="s">
        <v>70</v>
      </c>
      <c r="G4" t="s">
        <v>71</v>
      </c>
      <c r="H4" t="s">
        <v>53</v>
      </c>
      <c r="I4" s="2">
        <v>50000</v>
      </c>
      <c r="J4" s="2">
        <v>356000</v>
      </c>
      <c r="K4" t="s">
        <v>54</v>
      </c>
      <c r="L4" s="2">
        <v>50000</v>
      </c>
      <c r="M4" s="6">
        <v>7.001900000000001</v>
      </c>
      <c r="N4" s="2">
        <v>354597.5</v>
      </c>
      <c r="O4" s="2">
        <f>L4*M4</f>
        <v>350095.00000000006</v>
      </c>
      <c r="P4" s="2">
        <f>O4-N4</f>
        <v>-4502.499999999942</v>
      </c>
      <c r="Q4" t="s">
        <v>72</v>
      </c>
      <c r="R4" t="s">
        <v>73</v>
      </c>
      <c r="S4">
        <v>25</v>
      </c>
      <c r="T4" t="s">
        <v>74</v>
      </c>
      <c r="U4" t="s">
        <v>75</v>
      </c>
      <c r="V4" t="s">
        <v>76</v>
      </c>
      <c r="W4" t="s">
        <v>77</v>
      </c>
      <c r="X4" t="s">
        <v>78</v>
      </c>
      <c r="Y4" t="s">
        <v>53</v>
      </c>
      <c r="Z4" t="s">
        <v>69</v>
      </c>
      <c r="AA4" t="s">
        <v>67</v>
      </c>
      <c r="AB4" t="s">
        <v>62</v>
      </c>
      <c r="AC4" t="s">
        <v>71</v>
      </c>
      <c r="AD4" t="s">
        <v>70</v>
      </c>
    </row>
    <row r="5" spans="1:32">
      <c r="A5" t="s">
        <v>67</v>
      </c>
      <c r="B5" t="s">
        <v>68</v>
      </c>
      <c r="C5" t="s">
        <v>49</v>
      </c>
      <c r="E5" t="s">
        <v>69</v>
      </c>
      <c r="F5" t="s">
        <v>51</v>
      </c>
      <c r="G5" t="s">
        <v>52</v>
      </c>
      <c r="H5" t="s">
        <v>53</v>
      </c>
      <c r="I5" s="2">
        <v>-50000</v>
      </c>
      <c r="J5" s="2">
        <v>-356000</v>
      </c>
      <c r="K5" t="s">
        <v>65</v>
      </c>
      <c r="L5" s="2"/>
      <c r="M5" s="2"/>
      <c r="N5" s="2"/>
      <c r="O5" s="2"/>
      <c r="P5" s="2"/>
      <c r="S5">
        <v>26</v>
      </c>
      <c r="T5" t="s">
        <v>79</v>
      </c>
      <c r="U5" t="s">
        <v>58</v>
      </c>
      <c r="X5" t="s">
        <v>78</v>
      </c>
      <c r="Y5" t="s">
        <v>53</v>
      </c>
      <c r="Z5" t="s">
        <v>69</v>
      </c>
      <c r="AA5" t="s">
        <v>67</v>
      </c>
      <c r="AB5" t="s">
        <v>62</v>
      </c>
      <c r="AC5" t="s">
        <v>52</v>
      </c>
      <c r="AD5" t="s">
        <v>51</v>
      </c>
      <c r="AE5" t="s">
        <v>76</v>
      </c>
      <c r="AF5" t="s">
        <v>77</v>
      </c>
    </row>
    <row r="6" spans="1:32">
      <c r="A6" t="s">
        <v>80</v>
      </c>
      <c r="B6" t="s">
        <v>81</v>
      </c>
      <c r="C6" t="s">
        <v>49</v>
      </c>
      <c r="E6" t="s">
        <v>82</v>
      </c>
      <c r="F6" t="s">
        <v>83</v>
      </c>
      <c r="G6" t="s">
        <v>84</v>
      </c>
      <c r="H6" t="s">
        <v>85</v>
      </c>
      <c r="I6" s="2">
        <v>40000</v>
      </c>
      <c r="J6" s="2">
        <v>36400</v>
      </c>
      <c r="K6" t="s">
        <v>54</v>
      </c>
      <c r="L6" s="2">
        <v>40000</v>
      </c>
      <c r="M6" s="6">
        <v>0.89676</v>
      </c>
      <c r="N6" s="2">
        <v>36337.694117647065</v>
      </c>
      <c r="O6" s="2">
        <f>L6*M6</f>
        <v>35870.4</v>
      </c>
      <c r="P6" s="2">
        <f>O6-N6</f>
        <v>-467.2941176470631</v>
      </c>
      <c r="Q6" t="s">
        <v>72</v>
      </c>
      <c r="R6" t="s">
        <v>86</v>
      </c>
      <c r="S6">
        <v>29</v>
      </c>
      <c r="T6" t="s">
        <v>87</v>
      </c>
      <c r="U6" t="s">
        <v>75</v>
      </c>
      <c r="V6" t="s">
        <v>88</v>
      </c>
      <c r="W6" t="s">
        <v>89</v>
      </c>
      <c r="X6" t="s">
        <v>90</v>
      </c>
      <c r="Y6" t="s">
        <v>85</v>
      </c>
      <c r="Z6" t="s">
        <v>82</v>
      </c>
      <c r="AA6" t="s">
        <v>80</v>
      </c>
      <c r="AB6" t="s">
        <v>91</v>
      </c>
      <c r="AC6" t="s">
        <v>84</v>
      </c>
      <c r="AD6" t="s">
        <v>83</v>
      </c>
    </row>
    <row r="7" spans="1:32">
      <c r="A7" t="s">
        <v>80</v>
      </c>
      <c r="B7" t="s">
        <v>81</v>
      </c>
      <c r="C7" t="s">
        <v>49</v>
      </c>
      <c r="E7" t="s">
        <v>82</v>
      </c>
      <c r="F7" t="s">
        <v>92</v>
      </c>
      <c r="G7" t="s">
        <v>93</v>
      </c>
      <c r="H7" t="s">
        <v>85</v>
      </c>
      <c r="I7" s="2">
        <v>-40000</v>
      </c>
      <c r="J7" s="2">
        <v>-36400</v>
      </c>
      <c r="K7" t="s">
        <v>65</v>
      </c>
      <c r="L7" s="2"/>
      <c r="M7" s="2"/>
      <c r="N7" s="2"/>
      <c r="O7" s="2"/>
      <c r="P7" s="2"/>
      <c r="S7">
        <v>30</v>
      </c>
      <c r="T7" t="s">
        <v>94</v>
      </c>
      <c r="U7" t="s">
        <v>58</v>
      </c>
      <c r="X7" t="s">
        <v>90</v>
      </c>
      <c r="Y7" t="s">
        <v>85</v>
      </c>
      <c r="Z7" t="s">
        <v>82</v>
      </c>
      <c r="AA7" t="s">
        <v>80</v>
      </c>
      <c r="AB7" t="s">
        <v>91</v>
      </c>
      <c r="AC7" t="s">
        <v>93</v>
      </c>
      <c r="AD7" t="s">
        <v>92</v>
      </c>
      <c r="AE7" t="s">
        <v>88</v>
      </c>
      <c r="AF7" t="s">
        <v>89</v>
      </c>
    </row>
    <row r="8" spans="1:32">
      <c r="A8" t="s">
        <v>95</v>
      </c>
      <c r="B8" t="s">
        <v>96</v>
      </c>
      <c r="C8" t="s">
        <v>49</v>
      </c>
      <c r="E8" t="s">
        <v>97</v>
      </c>
      <c r="F8" t="s">
        <v>98</v>
      </c>
      <c r="G8" t="s">
        <v>99</v>
      </c>
      <c r="H8" t="s">
        <v>100</v>
      </c>
      <c r="I8" s="2">
        <v>0</v>
      </c>
      <c r="J8" s="2">
        <v>429000</v>
      </c>
      <c r="K8" t="s">
        <v>54</v>
      </c>
      <c r="L8" s="2">
        <v>60000</v>
      </c>
      <c r="M8" s="6">
        <v>7.15</v>
      </c>
      <c r="N8" s="2">
        <v>425996.4</v>
      </c>
      <c r="O8" s="2">
        <f>L8*M8</f>
        <v>429000</v>
      </c>
      <c r="P8" s="2">
        <f>N8-O8</f>
        <v>-3003.5999999999767</v>
      </c>
      <c r="Q8" t="s">
        <v>55</v>
      </c>
      <c r="R8" t="s">
        <v>101</v>
      </c>
      <c r="S8">
        <v>31</v>
      </c>
      <c r="T8" t="s">
        <v>102</v>
      </c>
      <c r="U8" t="s">
        <v>58</v>
      </c>
      <c r="W8" t="s">
        <v>103</v>
      </c>
      <c r="X8" t="s">
        <v>104</v>
      </c>
      <c r="Y8" t="s">
        <v>100</v>
      </c>
      <c r="Z8" t="s">
        <v>97</v>
      </c>
      <c r="AA8" t="s">
        <v>95</v>
      </c>
      <c r="AC8" t="s">
        <v>99</v>
      </c>
      <c r="AD8" t="s">
        <v>98</v>
      </c>
    </row>
    <row r="9" spans="1:32">
      <c r="A9" t="s">
        <v>95</v>
      </c>
      <c r="B9" t="s">
        <v>96</v>
      </c>
      <c r="C9" t="s">
        <v>49</v>
      </c>
      <c r="E9" t="s">
        <v>97</v>
      </c>
      <c r="F9" t="s">
        <v>51</v>
      </c>
      <c r="G9" t="s">
        <v>52</v>
      </c>
      <c r="H9" t="s">
        <v>53</v>
      </c>
      <c r="I9" s="2">
        <v>-60000</v>
      </c>
      <c r="J9" s="2">
        <v>-427200</v>
      </c>
      <c r="K9" t="s">
        <v>65</v>
      </c>
      <c r="L9" s="2"/>
      <c r="M9" s="2"/>
      <c r="N9" s="2"/>
      <c r="O9" s="2"/>
      <c r="P9" s="2"/>
      <c r="S9">
        <v>32</v>
      </c>
      <c r="T9" t="s">
        <v>105</v>
      </c>
      <c r="U9" t="s">
        <v>58</v>
      </c>
      <c r="X9" t="s">
        <v>104</v>
      </c>
      <c r="Y9" t="s">
        <v>53</v>
      </c>
      <c r="Z9" t="s">
        <v>97</v>
      </c>
      <c r="AA9" t="s">
        <v>95</v>
      </c>
      <c r="AB9" t="s">
        <v>62</v>
      </c>
      <c r="AC9" t="s">
        <v>52</v>
      </c>
      <c r="AD9" t="s">
        <v>51</v>
      </c>
      <c r="AE9" t="s">
        <v>106</v>
      </c>
      <c r="AF9" t="s">
        <v>107</v>
      </c>
    </row>
    <row r="10" spans="1:32">
      <c r="A10" t="s">
        <v>95</v>
      </c>
      <c r="B10" t="s">
        <v>96</v>
      </c>
      <c r="C10" t="s">
        <v>49</v>
      </c>
      <c r="E10" t="s">
        <v>97</v>
      </c>
      <c r="F10" t="s">
        <v>108</v>
      </c>
      <c r="G10" t="s">
        <v>109</v>
      </c>
      <c r="H10" t="s">
        <v>100</v>
      </c>
      <c r="I10" s="2">
        <v>0</v>
      </c>
      <c r="J10" s="2">
        <v>-1800</v>
      </c>
      <c r="K10" t="s">
        <v>65</v>
      </c>
      <c r="L10" s="2"/>
      <c r="M10" s="2"/>
      <c r="N10" s="2"/>
      <c r="O10" s="2"/>
      <c r="P10" s="2"/>
      <c r="S10">
        <v>33</v>
      </c>
      <c r="T10" t="s">
        <v>110</v>
      </c>
      <c r="U10" t="s">
        <v>75</v>
      </c>
      <c r="X10" t="s">
        <v>104</v>
      </c>
      <c r="Y10" t="s">
        <v>100</v>
      </c>
      <c r="Z10" t="s">
        <v>97</v>
      </c>
      <c r="AA10" t="s">
        <v>95</v>
      </c>
      <c r="AC10" t="s">
        <v>109</v>
      </c>
      <c r="AD10" t="s">
        <v>108</v>
      </c>
      <c r="AF10" t="s">
        <v>110</v>
      </c>
    </row>
    <row r="11" spans="1:32">
      <c r="A11" t="s">
        <v>111</v>
      </c>
      <c r="B11" t="s">
        <v>112</v>
      </c>
      <c r="C11" t="s">
        <v>49</v>
      </c>
      <c r="E11" t="s">
        <v>113</v>
      </c>
      <c r="F11" t="s">
        <v>51</v>
      </c>
      <c r="G11" t="s">
        <v>52</v>
      </c>
      <c r="H11" t="s">
        <v>53</v>
      </c>
      <c r="I11" s="2">
        <v>30000</v>
      </c>
      <c r="J11" s="2">
        <v>213600</v>
      </c>
      <c r="K11" t="s">
        <v>54</v>
      </c>
      <c r="L11" s="2">
        <v>30000</v>
      </c>
      <c r="M11" s="6">
        <v>6.984299999999999</v>
      </c>
      <c r="N11" s="2">
        <v>209528.99999999997</v>
      </c>
      <c r="O11" s="2">
        <f>L11*M11</f>
        <v>209528.99999999997</v>
      </c>
      <c r="P11" s="2">
        <f>O11-N11</f>
        <v>4671.000000000029</v>
      </c>
      <c r="Q11" t="s">
        <v>72</v>
      </c>
      <c r="R11" t="s">
        <v>114</v>
      </c>
      <c r="S11">
        <v>34</v>
      </c>
      <c r="T11" t="s">
        <v>115</v>
      </c>
      <c r="U11" t="s">
        <v>58</v>
      </c>
      <c r="V11" t="s">
        <v>116</v>
      </c>
      <c r="W11" t="s">
        <v>117</v>
      </c>
      <c r="X11" t="s">
        <v>118</v>
      </c>
      <c r="Y11" t="s">
        <v>53</v>
      </c>
      <c r="Z11" t="s">
        <v>113</v>
      </c>
      <c r="AA11" t="s">
        <v>111</v>
      </c>
      <c r="AB11" t="s">
        <v>62</v>
      </c>
      <c r="AC11" t="s">
        <v>52</v>
      </c>
      <c r="AD11" t="s">
        <v>51</v>
      </c>
    </row>
    <row r="12" spans="1:32">
      <c r="A12" t="s">
        <v>111</v>
      </c>
      <c r="B12" t="s">
        <v>112</v>
      </c>
      <c r="C12" t="s">
        <v>49</v>
      </c>
      <c r="E12" t="s">
        <v>113</v>
      </c>
      <c r="F12" t="s">
        <v>98</v>
      </c>
      <c r="G12" t="s">
        <v>99</v>
      </c>
      <c r="H12" t="s">
        <v>100</v>
      </c>
      <c r="I12" s="2">
        <v>0</v>
      </c>
      <c r="J12" s="2">
        <v>-214200</v>
      </c>
      <c r="K12" t="s">
        <v>65</v>
      </c>
      <c r="L12" s="2"/>
      <c r="M12" s="2"/>
      <c r="N12" s="2"/>
      <c r="O12" s="2"/>
      <c r="P12" s="2"/>
      <c r="S12">
        <v>35</v>
      </c>
      <c r="T12" t="s">
        <v>119</v>
      </c>
      <c r="U12" t="s">
        <v>58</v>
      </c>
      <c r="X12" t="s">
        <v>118</v>
      </c>
      <c r="Y12" t="s">
        <v>100</v>
      </c>
      <c r="Z12" t="s">
        <v>113</v>
      </c>
      <c r="AA12" t="s">
        <v>111</v>
      </c>
      <c r="AC12" t="s">
        <v>99</v>
      </c>
      <c r="AD12" t="s">
        <v>98</v>
      </c>
      <c r="AF12" t="s">
        <v>120</v>
      </c>
    </row>
    <row r="13" spans="1:32">
      <c r="A13" t="s">
        <v>111</v>
      </c>
      <c r="B13" t="s">
        <v>112</v>
      </c>
      <c r="C13" t="s">
        <v>49</v>
      </c>
      <c r="E13" t="s">
        <v>113</v>
      </c>
      <c r="F13" t="s">
        <v>108</v>
      </c>
      <c r="G13" t="s">
        <v>109</v>
      </c>
      <c r="H13" t="s">
        <v>100</v>
      </c>
      <c r="I13" s="2">
        <v>0</v>
      </c>
      <c r="J13" s="2">
        <v>600</v>
      </c>
      <c r="K13" t="s">
        <v>65</v>
      </c>
      <c r="L13" s="2"/>
      <c r="M13" s="2"/>
      <c r="N13" s="2"/>
      <c r="O13" s="2"/>
      <c r="P13" s="2"/>
      <c r="S13">
        <v>36</v>
      </c>
      <c r="T13" t="s">
        <v>121</v>
      </c>
      <c r="U13" t="s">
        <v>75</v>
      </c>
      <c r="W13" t="s">
        <v>122</v>
      </c>
      <c r="X13" t="s">
        <v>118</v>
      </c>
      <c r="Y13" t="s">
        <v>100</v>
      </c>
      <c r="Z13" t="s">
        <v>113</v>
      </c>
      <c r="AA13" t="s">
        <v>111</v>
      </c>
      <c r="AC13" t="s">
        <v>109</v>
      </c>
      <c r="AD13" t="s">
        <v>108</v>
      </c>
    </row>
    <row r="14" spans="1:32">
      <c r="A14" t="s">
        <v>123</v>
      </c>
      <c r="B14" t="s">
        <v>124</v>
      </c>
      <c r="C14" t="s">
        <v>49</v>
      </c>
      <c r="E14" t="s">
        <v>50</v>
      </c>
      <c r="F14" t="s">
        <v>51</v>
      </c>
      <c r="G14" t="s">
        <v>52</v>
      </c>
      <c r="H14" t="s">
        <v>125</v>
      </c>
      <c r="I14" s="2">
        <v>100000</v>
      </c>
      <c r="J14" s="2">
        <v>712000</v>
      </c>
      <c r="K14" t="s">
        <v>54</v>
      </c>
      <c r="L14" s="2">
        <v>100000</v>
      </c>
      <c r="M14" s="6">
        <v>6.9457</v>
      </c>
      <c r="N14" s="2">
        <v>696607.2</v>
      </c>
      <c r="O14" s="2">
        <f>L14*M14</f>
        <v>694570</v>
      </c>
      <c r="P14" s="2">
        <f>N14-O14</f>
        <v>2037.1999999999534</v>
      </c>
      <c r="Q14" t="s">
        <v>55</v>
      </c>
      <c r="R14" t="s">
        <v>126</v>
      </c>
      <c r="S14">
        <v>59</v>
      </c>
      <c r="T14" t="s">
        <v>127</v>
      </c>
      <c r="U14" t="s">
        <v>58</v>
      </c>
      <c r="V14" t="s">
        <v>59</v>
      </c>
      <c r="W14" t="s">
        <v>60</v>
      </c>
      <c r="X14" t="s">
        <v>128</v>
      </c>
      <c r="Y14" t="s">
        <v>125</v>
      </c>
      <c r="Z14" t="s">
        <v>50</v>
      </c>
      <c r="AA14" t="s">
        <v>123</v>
      </c>
      <c r="AB14" t="s">
        <v>62</v>
      </c>
      <c r="AC14" t="s">
        <v>52</v>
      </c>
      <c r="AD14" t="s">
        <v>51</v>
      </c>
    </row>
    <row r="15" spans="1:32">
      <c r="A15" t="s">
        <v>123</v>
      </c>
      <c r="B15" t="s">
        <v>124</v>
      </c>
      <c r="C15" t="s">
        <v>49</v>
      </c>
      <c r="E15" t="s">
        <v>50</v>
      </c>
      <c r="F15" t="s">
        <v>63</v>
      </c>
      <c r="G15" t="s">
        <v>64</v>
      </c>
      <c r="H15" t="s">
        <v>53</v>
      </c>
      <c r="I15" s="2">
        <v>-100000</v>
      </c>
      <c r="J15" s="2">
        <v>-712000</v>
      </c>
      <c r="K15" t="s">
        <v>65</v>
      </c>
      <c r="L15" s="2"/>
      <c r="M15" s="2"/>
      <c r="N15" s="2"/>
      <c r="O15" s="2"/>
      <c r="P15" s="2"/>
      <c r="S15">
        <v>60</v>
      </c>
      <c r="T15" t="s">
        <v>129</v>
      </c>
      <c r="U15" t="s">
        <v>58</v>
      </c>
      <c r="X15" t="s">
        <v>128</v>
      </c>
      <c r="Y15" t="s">
        <v>53</v>
      </c>
      <c r="Z15" t="s">
        <v>50</v>
      </c>
      <c r="AA15" t="s">
        <v>123</v>
      </c>
      <c r="AB15" t="s">
        <v>62</v>
      </c>
      <c r="AC15" t="s">
        <v>64</v>
      </c>
      <c r="AD15" t="s">
        <v>63</v>
      </c>
      <c r="AE15" t="s">
        <v>59</v>
      </c>
      <c r="AF15" t="s">
        <v>60</v>
      </c>
    </row>
    <row r="16" spans="1:32">
      <c r="A16" t="s">
        <v>130</v>
      </c>
      <c r="B16" t="s">
        <v>131</v>
      </c>
      <c r="C16" t="s">
        <v>49</v>
      </c>
      <c r="E16" t="s">
        <v>132</v>
      </c>
      <c r="F16" t="s">
        <v>98</v>
      </c>
      <c r="G16" t="s">
        <v>99</v>
      </c>
      <c r="H16" t="s">
        <v>100</v>
      </c>
      <c r="I16" s="2">
        <v>0</v>
      </c>
      <c r="J16" s="2">
        <v>196250</v>
      </c>
      <c r="K16" t="s">
        <v>54</v>
      </c>
      <c r="L16" s="2">
        <v>25000</v>
      </c>
      <c r="M16" s="6">
        <v>7.85</v>
      </c>
      <c r="N16" s="2">
        <v>208110.00000000003</v>
      </c>
      <c r="O16" s="2">
        <f>L16*M16</f>
        <v>196250</v>
      </c>
      <c r="P16" s="2">
        <f>N16-O16</f>
        <v>11860.00000000003</v>
      </c>
      <c r="Q16" t="s">
        <v>55</v>
      </c>
      <c r="R16" t="s">
        <v>133</v>
      </c>
      <c r="S16">
        <v>68</v>
      </c>
      <c r="T16" t="s">
        <v>134</v>
      </c>
      <c r="U16" t="s">
        <v>58</v>
      </c>
      <c r="W16" t="s">
        <v>135</v>
      </c>
      <c r="X16" t="s">
        <v>136</v>
      </c>
      <c r="Y16" t="s">
        <v>100</v>
      </c>
      <c r="Z16" t="s">
        <v>132</v>
      </c>
      <c r="AA16" t="s">
        <v>130</v>
      </c>
      <c r="AC16" t="s">
        <v>99</v>
      </c>
      <c r="AD16" t="s">
        <v>98</v>
      </c>
    </row>
    <row r="17" spans="1:32">
      <c r="A17" t="s">
        <v>130</v>
      </c>
      <c r="B17" t="s">
        <v>131</v>
      </c>
      <c r="C17" t="s">
        <v>49</v>
      </c>
      <c r="E17" t="s">
        <v>132</v>
      </c>
      <c r="F17" t="s">
        <v>137</v>
      </c>
      <c r="G17" t="s">
        <v>138</v>
      </c>
      <c r="H17" t="s">
        <v>139</v>
      </c>
      <c r="I17" s="2">
        <v>-25000</v>
      </c>
      <c r="J17" s="2">
        <v>-195750</v>
      </c>
      <c r="K17" t="s">
        <v>65</v>
      </c>
      <c r="L17" s="2"/>
      <c r="M17" s="2"/>
      <c r="N17" s="2"/>
      <c r="O17" s="2"/>
      <c r="P17" s="2"/>
      <c r="S17">
        <v>69</v>
      </c>
      <c r="T17" t="s">
        <v>140</v>
      </c>
      <c r="U17" t="s">
        <v>75</v>
      </c>
      <c r="X17" t="s">
        <v>136</v>
      </c>
      <c r="Y17" t="s">
        <v>139</v>
      </c>
      <c r="Z17" t="s">
        <v>132</v>
      </c>
      <c r="AA17" t="s">
        <v>130</v>
      </c>
      <c r="AB17" t="s">
        <v>141</v>
      </c>
      <c r="AC17" t="s">
        <v>138</v>
      </c>
      <c r="AD17" t="s">
        <v>137</v>
      </c>
      <c r="AE17" t="s">
        <v>142</v>
      </c>
      <c r="AF17" t="s">
        <v>143</v>
      </c>
    </row>
    <row r="18" spans="1:32">
      <c r="A18" t="s">
        <v>130</v>
      </c>
      <c r="B18" t="s">
        <v>131</v>
      </c>
      <c r="C18" t="s">
        <v>49</v>
      </c>
      <c r="E18" t="s">
        <v>132</v>
      </c>
      <c r="F18" t="s">
        <v>108</v>
      </c>
      <c r="G18" t="s">
        <v>109</v>
      </c>
      <c r="H18" t="s">
        <v>100</v>
      </c>
      <c r="I18" s="2">
        <v>0</v>
      </c>
      <c r="J18" s="2">
        <v>-500</v>
      </c>
      <c r="K18" t="s">
        <v>65</v>
      </c>
      <c r="L18" s="2"/>
      <c r="M18" s="2"/>
      <c r="N18" s="2"/>
      <c r="O18" s="2"/>
      <c r="P18" s="2"/>
      <c r="S18">
        <v>70</v>
      </c>
      <c r="T18" t="s">
        <v>144</v>
      </c>
      <c r="U18" t="s">
        <v>75</v>
      </c>
      <c r="X18" t="s">
        <v>136</v>
      </c>
      <c r="Y18" t="s">
        <v>100</v>
      </c>
      <c r="Z18" t="s">
        <v>132</v>
      </c>
      <c r="AA18" t="s">
        <v>130</v>
      </c>
      <c r="AC18" t="s">
        <v>109</v>
      </c>
      <c r="AD18" t="s">
        <v>108</v>
      </c>
      <c r="AF18" t="s">
        <v>144</v>
      </c>
    </row>
    <row r="19" spans="1:32">
      <c r="A19" t="s">
        <v>145</v>
      </c>
      <c r="B19" t="s">
        <v>146</v>
      </c>
      <c r="C19" t="s">
        <v>49</v>
      </c>
      <c r="E19" t="s">
        <v>69</v>
      </c>
      <c r="F19" t="s">
        <v>70</v>
      </c>
      <c r="G19" t="s">
        <v>71</v>
      </c>
      <c r="H19" t="s">
        <v>53</v>
      </c>
      <c r="I19" s="2">
        <v>30000</v>
      </c>
      <c r="J19" s="2">
        <v>213600</v>
      </c>
      <c r="K19" t="s">
        <v>54</v>
      </c>
      <c r="L19" s="2">
        <v>30000</v>
      </c>
      <c r="M19" s="6">
        <v>6.9398</v>
      </c>
      <c r="N19" s="2">
        <v>208887.91304347827</v>
      </c>
      <c r="O19" s="2">
        <f>L19*M19</f>
        <v>208194</v>
      </c>
      <c r="P19" s="2">
        <f>O19-N19</f>
        <v>-693.913043478271</v>
      </c>
      <c r="Q19" t="s">
        <v>72</v>
      </c>
      <c r="R19" t="s">
        <v>147</v>
      </c>
      <c r="S19">
        <v>76</v>
      </c>
      <c r="T19" t="s">
        <v>148</v>
      </c>
      <c r="U19" t="s">
        <v>75</v>
      </c>
      <c r="V19" t="s">
        <v>116</v>
      </c>
      <c r="W19" t="s">
        <v>117</v>
      </c>
      <c r="X19" t="s">
        <v>149</v>
      </c>
      <c r="Y19" t="s">
        <v>53</v>
      </c>
      <c r="Z19" t="s">
        <v>69</v>
      </c>
      <c r="AA19" t="s">
        <v>145</v>
      </c>
      <c r="AB19" t="s">
        <v>62</v>
      </c>
      <c r="AC19" t="s">
        <v>71</v>
      </c>
      <c r="AD19" t="s">
        <v>70</v>
      </c>
    </row>
    <row r="20" spans="1:32">
      <c r="A20" t="s">
        <v>145</v>
      </c>
      <c r="B20" t="s">
        <v>146</v>
      </c>
      <c r="C20" t="s">
        <v>49</v>
      </c>
      <c r="E20" t="s">
        <v>69</v>
      </c>
      <c r="F20" t="s">
        <v>51</v>
      </c>
      <c r="G20" t="s">
        <v>52</v>
      </c>
      <c r="H20" t="s">
        <v>53</v>
      </c>
      <c r="I20" s="2">
        <v>-30000</v>
      </c>
      <c r="J20" s="2">
        <v>-213600</v>
      </c>
      <c r="K20" t="s">
        <v>65</v>
      </c>
      <c r="L20" s="2"/>
      <c r="M20" s="2"/>
      <c r="N20" s="2"/>
      <c r="O20" s="2"/>
      <c r="P20" s="2"/>
      <c r="S20">
        <v>77</v>
      </c>
      <c r="T20" t="s">
        <v>57</v>
      </c>
      <c r="U20" t="s">
        <v>58</v>
      </c>
      <c r="X20" t="s">
        <v>149</v>
      </c>
      <c r="Y20" t="s">
        <v>53</v>
      </c>
      <c r="Z20" t="s">
        <v>69</v>
      </c>
      <c r="AA20" t="s">
        <v>145</v>
      </c>
      <c r="AB20" t="s">
        <v>62</v>
      </c>
      <c r="AC20" t="s">
        <v>52</v>
      </c>
      <c r="AD20" t="s">
        <v>51</v>
      </c>
      <c r="AE20" t="s">
        <v>116</v>
      </c>
      <c r="AF20" t="s">
        <v>117</v>
      </c>
    </row>
    <row r="21" spans="1:32">
      <c r="A21" t="s">
        <v>150</v>
      </c>
      <c r="B21" t="s">
        <v>151</v>
      </c>
      <c r="C21" t="s">
        <v>49</v>
      </c>
      <c r="E21" t="s">
        <v>82</v>
      </c>
      <c r="F21" t="s">
        <v>83</v>
      </c>
      <c r="G21" t="s">
        <v>84</v>
      </c>
      <c r="H21" t="s">
        <v>85</v>
      </c>
      <c r="I21" s="2">
        <v>30000</v>
      </c>
      <c r="J21" s="2">
        <v>27300</v>
      </c>
      <c r="K21" t="s">
        <v>54</v>
      </c>
      <c r="L21" s="2">
        <v>30000</v>
      </c>
      <c r="M21" s="6">
        <v>0.8877299999999999</v>
      </c>
      <c r="N21" s="2">
        <v>26765.64545454545</v>
      </c>
      <c r="O21" s="2">
        <f>L21*M21</f>
        <v>26631.899999999998</v>
      </c>
      <c r="P21" s="2">
        <f>O21-N21</f>
        <v>-133.74545454545296</v>
      </c>
      <c r="Q21" t="s">
        <v>72</v>
      </c>
      <c r="R21" t="s">
        <v>152</v>
      </c>
      <c r="S21">
        <v>80</v>
      </c>
      <c r="T21" t="s">
        <v>87</v>
      </c>
      <c r="U21" t="s">
        <v>75</v>
      </c>
      <c r="V21" t="s">
        <v>116</v>
      </c>
      <c r="W21" t="s">
        <v>153</v>
      </c>
      <c r="X21" t="s">
        <v>154</v>
      </c>
      <c r="Y21" t="s">
        <v>85</v>
      </c>
      <c r="Z21" t="s">
        <v>82</v>
      </c>
      <c r="AA21" t="s">
        <v>150</v>
      </c>
      <c r="AB21" t="s">
        <v>91</v>
      </c>
      <c r="AC21" t="s">
        <v>84</v>
      </c>
      <c r="AD21" t="s">
        <v>83</v>
      </c>
    </row>
    <row r="22" spans="1:32">
      <c r="A22" t="s">
        <v>150</v>
      </c>
      <c r="B22" t="s">
        <v>151</v>
      </c>
      <c r="C22" t="s">
        <v>49</v>
      </c>
      <c r="E22" t="s">
        <v>82</v>
      </c>
      <c r="F22" t="s">
        <v>92</v>
      </c>
      <c r="G22" t="s">
        <v>93</v>
      </c>
      <c r="H22" t="s">
        <v>85</v>
      </c>
      <c r="I22" s="2">
        <v>-30000</v>
      </c>
      <c r="J22" s="2">
        <v>-27300</v>
      </c>
      <c r="K22" t="s">
        <v>65</v>
      </c>
      <c r="L22" s="2"/>
      <c r="M22" s="2"/>
      <c r="N22" s="2"/>
      <c r="O22" s="2"/>
      <c r="P22" s="2"/>
      <c r="S22">
        <v>81</v>
      </c>
      <c r="T22" t="s">
        <v>155</v>
      </c>
      <c r="U22" t="s">
        <v>58</v>
      </c>
      <c r="X22" t="s">
        <v>154</v>
      </c>
      <c r="Y22" t="s">
        <v>85</v>
      </c>
      <c r="Z22" t="s">
        <v>82</v>
      </c>
      <c r="AA22" t="s">
        <v>150</v>
      </c>
      <c r="AB22" t="s">
        <v>91</v>
      </c>
      <c r="AC22" t="s">
        <v>93</v>
      </c>
      <c r="AD22" t="s">
        <v>92</v>
      </c>
      <c r="AE22" t="s">
        <v>116</v>
      </c>
      <c r="AF22" t="s">
        <v>153</v>
      </c>
    </row>
    <row r="23" spans="1:32">
      <c r="A23" t="s">
        <v>156</v>
      </c>
      <c r="B23" t="s">
        <v>157</v>
      </c>
      <c r="C23" t="s">
        <v>49</v>
      </c>
      <c r="E23" t="s">
        <v>97</v>
      </c>
      <c r="F23" t="s">
        <v>98</v>
      </c>
      <c r="G23" t="s">
        <v>99</v>
      </c>
      <c r="H23" t="s">
        <v>100</v>
      </c>
      <c r="I23" s="2">
        <v>0</v>
      </c>
      <c r="J23" s="2">
        <v>285600</v>
      </c>
      <c r="K23" t="s">
        <v>54</v>
      </c>
      <c r="L23" s="2">
        <v>40000</v>
      </c>
      <c r="M23" s="6">
        <v>7.14</v>
      </c>
      <c r="N23" s="2">
        <v>278526.5333333333</v>
      </c>
      <c r="O23" s="2">
        <f>L23*M23</f>
        <v>285600</v>
      </c>
      <c r="P23" s="2">
        <f>N23-O23</f>
        <v>-7073.466666666674</v>
      </c>
      <c r="Q23" t="s">
        <v>55</v>
      </c>
      <c r="R23" t="s">
        <v>158</v>
      </c>
      <c r="S23">
        <v>82</v>
      </c>
      <c r="T23" t="s">
        <v>159</v>
      </c>
      <c r="U23" t="s">
        <v>58</v>
      </c>
      <c r="W23" t="s">
        <v>160</v>
      </c>
      <c r="X23" t="s">
        <v>161</v>
      </c>
      <c r="Y23" t="s">
        <v>100</v>
      </c>
      <c r="Z23" t="s">
        <v>97</v>
      </c>
      <c r="AA23" t="s">
        <v>156</v>
      </c>
      <c r="AC23" t="s">
        <v>99</v>
      </c>
      <c r="AD23" t="s">
        <v>98</v>
      </c>
    </row>
    <row r="24" spans="1:32">
      <c r="A24" t="s">
        <v>156</v>
      </c>
      <c r="B24" t="s">
        <v>157</v>
      </c>
      <c r="C24" t="s">
        <v>49</v>
      </c>
      <c r="E24" t="s">
        <v>97</v>
      </c>
      <c r="F24" t="s">
        <v>51</v>
      </c>
      <c r="G24" t="s">
        <v>52</v>
      </c>
      <c r="H24" t="s">
        <v>53</v>
      </c>
      <c r="I24" s="2">
        <v>-40000</v>
      </c>
      <c r="J24" s="2">
        <v>-284800</v>
      </c>
      <c r="K24" t="s">
        <v>65</v>
      </c>
      <c r="L24" s="2"/>
      <c r="M24" s="2"/>
      <c r="N24" s="2"/>
      <c r="O24" s="2"/>
      <c r="P24" s="2"/>
      <c r="S24">
        <v>83</v>
      </c>
      <c r="T24" t="s">
        <v>162</v>
      </c>
      <c r="U24" t="s">
        <v>58</v>
      </c>
      <c r="X24" t="s">
        <v>161</v>
      </c>
      <c r="Y24" t="s">
        <v>53</v>
      </c>
      <c r="Z24" t="s">
        <v>97</v>
      </c>
      <c r="AA24" t="s">
        <v>156</v>
      </c>
      <c r="AB24" t="s">
        <v>62</v>
      </c>
      <c r="AC24" t="s">
        <v>52</v>
      </c>
      <c r="AD24" t="s">
        <v>51</v>
      </c>
      <c r="AE24" t="s">
        <v>88</v>
      </c>
      <c r="AF24" t="s">
        <v>163</v>
      </c>
    </row>
    <row r="25" spans="1:32">
      <c r="A25" t="s">
        <v>156</v>
      </c>
      <c r="B25" t="s">
        <v>157</v>
      </c>
      <c r="C25" t="s">
        <v>49</v>
      </c>
      <c r="E25" t="s">
        <v>97</v>
      </c>
      <c r="F25" t="s">
        <v>108</v>
      </c>
      <c r="G25" t="s">
        <v>109</v>
      </c>
      <c r="H25" t="s">
        <v>100</v>
      </c>
      <c r="I25" s="2">
        <v>0</v>
      </c>
      <c r="J25" s="2">
        <v>-800</v>
      </c>
      <c r="K25" t="s">
        <v>65</v>
      </c>
      <c r="L25" s="2"/>
      <c r="M25" s="2"/>
      <c r="N25" s="2"/>
      <c r="O25" s="2"/>
      <c r="P25" s="2"/>
      <c r="S25">
        <v>84</v>
      </c>
      <c r="T25" t="s">
        <v>164</v>
      </c>
      <c r="U25" t="s">
        <v>75</v>
      </c>
      <c r="X25" t="s">
        <v>161</v>
      </c>
      <c r="Y25" t="s">
        <v>100</v>
      </c>
      <c r="Z25" t="s">
        <v>97</v>
      </c>
      <c r="AA25" t="s">
        <v>156</v>
      </c>
      <c r="AC25" t="s">
        <v>109</v>
      </c>
      <c r="AD25" t="s">
        <v>108</v>
      </c>
      <c r="AF25" t="s">
        <v>165</v>
      </c>
    </row>
    <row r="26" spans="1:32">
      <c r="A26" t="s">
        <v>166</v>
      </c>
      <c r="B26" t="s">
        <v>167</v>
      </c>
      <c r="C26" t="s">
        <v>49</v>
      </c>
      <c r="E26" t="s">
        <v>50</v>
      </c>
      <c r="F26" t="s">
        <v>51</v>
      </c>
      <c r="G26" t="s">
        <v>52</v>
      </c>
      <c r="H26" t="s">
        <v>53</v>
      </c>
      <c r="I26" s="2">
        <v>120000</v>
      </c>
      <c r="J26" s="2">
        <v>854400</v>
      </c>
      <c r="K26" t="s">
        <v>54</v>
      </c>
      <c r="L26" s="2">
        <v>120000</v>
      </c>
      <c r="M26" s="6">
        <v>6.8959</v>
      </c>
      <c r="N26" s="2">
        <v>829880.8</v>
      </c>
      <c r="O26" s="2">
        <f>L26*M26</f>
        <v>827508</v>
      </c>
      <c r="P26" s="2">
        <f>N26-O26</f>
        <v>2372.8000000000466</v>
      </c>
      <c r="Q26" t="s">
        <v>55</v>
      </c>
      <c r="R26" t="s">
        <v>168</v>
      </c>
      <c r="S26">
        <v>108</v>
      </c>
      <c r="T26" t="s">
        <v>169</v>
      </c>
      <c r="U26" t="s">
        <v>58</v>
      </c>
      <c r="V26" t="s">
        <v>170</v>
      </c>
      <c r="W26" t="s">
        <v>171</v>
      </c>
      <c r="X26" t="s">
        <v>172</v>
      </c>
      <c r="Y26" t="s">
        <v>53</v>
      </c>
      <c r="Z26" t="s">
        <v>50</v>
      </c>
      <c r="AA26" t="s">
        <v>166</v>
      </c>
      <c r="AB26" t="s">
        <v>62</v>
      </c>
      <c r="AC26" t="s">
        <v>52</v>
      </c>
      <c r="AD26" t="s">
        <v>51</v>
      </c>
    </row>
    <row r="27" spans="1:32">
      <c r="A27" t="s">
        <v>166</v>
      </c>
      <c r="B27" t="s">
        <v>167</v>
      </c>
      <c r="C27" t="s">
        <v>49</v>
      </c>
      <c r="E27" t="s">
        <v>50</v>
      </c>
      <c r="F27" t="s">
        <v>63</v>
      </c>
      <c r="G27" t="s">
        <v>64</v>
      </c>
      <c r="H27" t="s">
        <v>53</v>
      </c>
      <c r="I27" s="2">
        <v>-120000</v>
      </c>
      <c r="J27" s="2">
        <v>-854400</v>
      </c>
      <c r="K27" t="s">
        <v>65</v>
      </c>
      <c r="L27" s="2"/>
      <c r="M27" s="2"/>
      <c r="N27" s="2"/>
      <c r="O27" s="2"/>
      <c r="P27" s="2"/>
      <c r="S27">
        <v>109</v>
      </c>
      <c r="T27" t="s">
        <v>173</v>
      </c>
      <c r="U27" t="s">
        <v>58</v>
      </c>
      <c r="X27" t="s">
        <v>172</v>
      </c>
      <c r="Y27" t="s">
        <v>53</v>
      </c>
      <c r="Z27" t="s">
        <v>50</v>
      </c>
      <c r="AA27" t="s">
        <v>166</v>
      </c>
      <c r="AB27" t="s">
        <v>62</v>
      </c>
      <c r="AC27" t="s">
        <v>64</v>
      </c>
      <c r="AD27" t="s">
        <v>63</v>
      </c>
      <c r="AE27" t="s">
        <v>170</v>
      </c>
      <c r="AF27" t="s">
        <v>171</v>
      </c>
    </row>
    <row r="28" spans="1:32">
      <c r="A28" t="s">
        <v>174</v>
      </c>
      <c r="B28" t="s">
        <v>175</v>
      </c>
      <c r="C28" t="s">
        <v>176</v>
      </c>
      <c r="D28" t="s">
        <v>177</v>
      </c>
      <c r="E28" t="s">
        <v>178</v>
      </c>
      <c r="F28" t="s">
        <v>179</v>
      </c>
      <c r="G28" t="s">
        <v>180</v>
      </c>
      <c r="H28" t="s">
        <v>181</v>
      </c>
      <c r="I28" s="2">
        <v>2000000</v>
      </c>
      <c r="J28" s="2">
        <v>96400</v>
      </c>
      <c r="K28" t="s">
        <v>54</v>
      </c>
      <c r="L28" s="2">
        <v>0</v>
      </c>
      <c r="M28" s="6">
        <v>0</v>
      </c>
      <c r="N28" s="2">
        <v>1200</v>
      </c>
      <c r="O28" s="2"/>
      <c r="P28" s="2">
        <f>N28</f>
        <v>1200</v>
      </c>
      <c r="Q28" t="s">
        <v>182</v>
      </c>
      <c r="R28" t="s">
        <v>183</v>
      </c>
      <c r="S28">
        <v>110</v>
      </c>
      <c r="T28" t="s">
        <v>184</v>
      </c>
      <c r="U28" t="s">
        <v>58</v>
      </c>
      <c r="V28" t="s">
        <v>185</v>
      </c>
      <c r="W28" t="s">
        <v>186</v>
      </c>
      <c r="X28" t="s">
        <v>187</v>
      </c>
      <c r="Y28" t="s">
        <v>181</v>
      </c>
      <c r="Z28" t="s">
        <v>178</v>
      </c>
      <c r="AA28" t="s">
        <v>174</v>
      </c>
      <c r="AB28" t="s">
        <v>188</v>
      </c>
      <c r="AC28" t="s">
        <v>180</v>
      </c>
      <c r="AD28" t="s">
        <v>179</v>
      </c>
    </row>
    <row r="29" spans="1:32">
      <c r="A29" t="s">
        <v>174</v>
      </c>
      <c r="B29" t="s">
        <v>175</v>
      </c>
      <c r="C29" t="s">
        <v>176</v>
      </c>
      <c r="D29" t="s">
        <v>177</v>
      </c>
      <c r="E29" t="s">
        <v>178</v>
      </c>
      <c r="F29" t="s">
        <v>98</v>
      </c>
      <c r="G29" t="s">
        <v>99</v>
      </c>
      <c r="H29" t="s">
        <v>100</v>
      </c>
      <c r="I29" s="2">
        <v>0</v>
      </c>
      <c r="J29" s="2">
        <v>-97600</v>
      </c>
      <c r="K29" t="s">
        <v>65</v>
      </c>
      <c r="L29" s="2"/>
      <c r="M29" s="2"/>
      <c r="N29" s="2"/>
      <c r="O29" s="2"/>
      <c r="P29" s="2"/>
      <c r="S29">
        <v>111</v>
      </c>
      <c r="T29" t="s">
        <v>189</v>
      </c>
      <c r="U29" t="s">
        <v>58</v>
      </c>
      <c r="X29" t="s">
        <v>187</v>
      </c>
      <c r="Y29" t="s">
        <v>100</v>
      </c>
      <c r="Z29" t="s">
        <v>178</v>
      </c>
      <c r="AA29" t="s">
        <v>174</v>
      </c>
      <c r="AC29" t="s">
        <v>99</v>
      </c>
      <c r="AD29" t="s">
        <v>98</v>
      </c>
      <c r="AF29" t="s">
        <v>190</v>
      </c>
    </row>
    <row r="30" spans="1:32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108</v>
      </c>
      <c r="G30" t="s">
        <v>109</v>
      </c>
      <c r="H30" t="s">
        <v>100</v>
      </c>
      <c r="I30" s="2">
        <v>0</v>
      </c>
      <c r="J30" s="2">
        <v>1200</v>
      </c>
      <c r="K30" t="s">
        <v>65</v>
      </c>
      <c r="L30" s="2"/>
      <c r="M30" s="2"/>
      <c r="N30" s="2"/>
      <c r="O30" s="2"/>
      <c r="P30" s="2"/>
      <c r="S30">
        <v>112</v>
      </c>
      <c r="T30" t="s">
        <v>121</v>
      </c>
      <c r="U30" t="s">
        <v>58</v>
      </c>
      <c r="W30" t="s">
        <v>121</v>
      </c>
      <c r="X30" t="s">
        <v>187</v>
      </c>
      <c r="Y30" t="s">
        <v>100</v>
      </c>
      <c r="Z30" t="s">
        <v>178</v>
      </c>
      <c r="AA30" t="s">
        <v>174</v>
      </c>
      <c r="AC30" t="s">
        <v>109</v>
      </c>
      <c r="AD30" t="s">
        <v>108</v>
      </c>
    </row>
    <row r="31" spans="1:32">
      <c r="A31" t="s">
        <v>191</v>
      </c>
      <c r="B31" t="s">
        <v>192</v>
      </c>
      <c r="C31" t="s">
        <v>49</v>
      </c>
      <c r="E31" t="s">
        <v>69</v>
      </c>
      <c r="F31" t="s">
        <v>70</v>
      </c>
      <c r="G31" t="s">
        <v>71</v>
      </c>
      <c r="H31" t="s">
        <v>53</v>
      </c>
      <c r="I31" s="2">
        <v>50000</v>
      </c>
      <c r="J31" s="2">
        <v>356000</v>
      </c>
      <c r="K31" t="s">
        <v>54</v>
      </c>
      <c r="L31" s="2">
        <v>50000</v>
      </c>
      <c r="M31" s="6">
        <v>6.8898</v>
      </c>
      <c r="N31" s="2">
        <v>345771.92307692306</v>
      </c>
      <c r="O31" s="2">
        <f>L31*M31</f>
        <v>344490</v>
      </c>
      <c r="P31" s="2">
        <f>O31-N31</f>
        <v>-1281.9230769230635</v>
      </c>
      <c r="Q31" t="s">
        <v>72</v>
      </c>
      <c r="R31" t="s">
        <v>193</v>
      </c>
      <c r="S31">
        <v>127</v>
      </c>
      <c r="T31" t="s">
        <v>194</v>
      </c>
      <c r="U31" t="s">
        <v>75</v>
      </c>
      <c r="V31" t="s">
        <v>76</v>
      </c>
      <c r="W31" t="s">
        <v>77</v>
      </c>
      <c r="X31" t="s">
        <v>195</v>
      </c>
      <c r="Y31" t="s">
        <v>53</v>
      </c>
      <c r="Z31" t="s">
        <v>69</v>
      </c>
      <c r="AA31" t="s">
        <v>191</v>
      </c>
      <c r="AB31" t="s">
        <v>62</v>
      </c>
      <c r="AC31" t="s">
        <v>71</v>
      </c>
      <c r="AD31" t="s">
        <v>70</v>
      </c>
    </row>
    <row r="32" spans="1:32">
      <c r="A32" t="s">
        <v>191</v>
      </c>
      <c r="B32" t="s">
        <v>192</v>
      </c>
      <c r="C32" t="s">
        <v>49</v>
      </c>
      <c r="E32" t="s">
        <v>69</v>
      </c>
      <c r="F32" t="s">
        <v>51</v>
      </c>
      <c r="G32" t="s">
        <v>52</v>
      </c>
      <c r="H32" t="s">
        <v>53</v>
      </c>
      <c r="I32" s="2">
        <v>-50000</v>
      </c>
      <c r="J32" s="2">
        <v>-356000</v>
      </c>
      <c r="K32" t="s">
        <v>65</v>
      </c>
      <c r="L32" s="2"/>
      <c r="M32" s="2"/>
      <c r="N32" s="2"/>
      <c r="O32" s="2"/>
      <c r="P32" s="2"/>
      <c r="S32">
        <v>128</v>
      </c>
      <c r="T32" t="s">
        <v>127</v>
      </c>
      <c r="U32" t="s">
        <v>58</v>
      </c>
      <c r="X32" t="s">
        <v>195</v>
      </c>
      <c r="Y32" t="s">
        <v>53</v>
      </c>
      <c r="Z32" t="s">
        <v>69</v>
      </c>
      <c r="AA32" t="s">
        <v>191</v>
      </c>
      <c r="AB32" t="s">
        <v>62</v>
      </c>
      <c r="AC32" t="s">
        <v>52</v>
      </c>
      <c r="AD32" t="s">
        <v>51</v>
      </c>
      <c r="AE32" t="s">
        <v>76</v>
      </c>
      <c r="AF32" t="s">
        <v>77</v>
      </c>
    </row>
    <row r="33" spans="1:32">
      <c r="A33" t="s">
        <v>196</v>
      </c>
      <c r="B33" t="s">
        <v>197</v>
      </c>
      <c r="C33" t="s">
        <v>49</v>
      </c>
      <c r="E33" t="s">
        <v>82</v>
      </c>
      <c r="F33" t="s">
        <v>83</v>
      </c>
      <c r="G33" t="s">
        <v>84</v>
      </c>
      <c r="H33" t="s">
        <v>85</v>
      </c>
      <c r="I33" s="2">
        <v>40000</v>
      </c>
      <c r="J33" s="2">
        <v>36400</v>
      </c>
      <c r="K33" t="s">
        <v>54</v>
      </c>
      <c r="L33" s="2">
        <v>40000</v>
      </c>
      <c r="M33" s="6">
        <v>0.88015</v>
      </c>
      <c r="N33" s="2">
        <v>35376.18823529412</v>
      </c>
      <c r="O33" s="2">
        <f>L33*M33</f>
        <v>35206</v>
      </c>
      <c r="P33" s="2">
        <f>O33-N33</f>
        <v>-170.18823529411748</v>
      </c>
      <c r="Q33" t="s">
        <v>72</v>
      </c>
      <c r="R33" t="s">
        <v>198</v>
      </c>
      <c r="S33">
        <v>131</v>
      </c>
      <c r="T33" t="s">
        <v>87</v>
      </c>
      <c r="U33" t="s">
        <v>75</v>
      </c>
      <c r="V33" t="s">
        <v>88</v>
      </c>
      <c r="W33" t="s">
        <v>89</v>
      </c>
      <c r="X33" t="s">
        <v>199</v>
      </c>
      <c r="Y33" t="s">
        <v>85</v>
      </c>
      <c r="Z33" t="s">
        <v>82</v>
      </c>
      <c r="AA33" t="s">
        <v>196</v>
      </c>
      <c r="AB33" t="s">
        <v>91</v>
      </c>
      <c r="AC33" t="s">
        <v>84</v>
      </c>
      <c r="AD33" t="s">
        <v>83</v>
      </c>
    </row>
    <row r="34" spans="1:32">
      <c r="A34" t="s">
        <v>196</v>
      </c>
      <c r="B34" t="s">
        <v>197</v>
      </c>
      <c r="C34" t="s">
        <v>49</v>
      </c>
      <c r="E34" t="s">
        <v>82</v>
      </c>
      <c r="F34" t="s">
        <v>92</v>
      </c>
      <c r="G34" t="s">
        <v>93</v>
      </c>
      <c r="H34" t="s">
        <v>85</v>
      </c>
      <c r="I34" s="2">
        <v>-40000</v>
      </c>
      <c r="J34" s="2">
        <v>-36400</v>
      </c>
      <c r="K34" t="s">
        <v>65</v>
      </c>
      <c r="L34" s="2"/>
      <c r="M34" s="2"/>
      <c r="N34" s="2"/>
      <c r="O34" s="2"/>
      <c r="P34" s="2"/>
      <c r="S34">
        <v>132</v>
      </c>
      <c r="T34" t="s">
        <v>200</v>
      </c>
      <c r="U34" t="s">
        <v>58</v>
      </c>
      <c r="X34" t="s">
        <v>199</v>
      </c>
      <c r="Y34" t="s">
        <v>85</v>
      </c>
      <c r="Z34" t="s">
        <v>82</v>
      </c>
      <c r="AA34" t="s">
        <v>196</v>
      </c>
      <c r="AB34" t="s">
        <v>91</v>
      </c>
      <c r="AC34" t="s">
        <v>93</v>
      </c>
      <c r="AD34" t="s">
        <v>92</v>
      </c>
      <c r="AE34" t="s">
        <v>88</v>
      </c>
      <c r="AF34" t="s">
        <v>89</v>
      </c>
    </row>
    <row r="35" spans="1:32">
      <c r="A35" t="s">
        <v>201</v>
      </c>
      <c r="B35" t="s">
        <v>202</v>
      </c>
      <c r="C35" t="s">
        <v>49</v>
      </c>
      <c r="E35" t="s">
        <v>97</v>
      </c>
      <c r="F35" t="s">
        <v>98</v>
      </c>
      <c r="G35" t="s">
        <v>99</v>
      </c>
      <c r="H35" t="s">
        <v>100</v>
      </c>
      <c r="I35" s="2">
        <v>0</v>
      </c>
      <c r="J35" s="2">
        <v>429000</v>
      </c>
      <c r="K35" t="s">
        <v>54</v>
      </c>
      <c r="L35" s="2">
        <v>60000</v>
      </c>
      <c r="M35" s="6">
        <v>7.15</v>
      </c>
      <c r="N35" s="2">
        <v>415081.0909090909</v>
      </c>
      <c r="O35" s="2">
        <f>L35*M35</f>
        <v>429000</v>
      </c>
      <c r="P35" s="2">
        <f>N35-O35</f>
        <v>-13918.909090909117</v>
      </c>
      <c r="Q35" t="s">
        <v>55</v>
      </c>
      <c r="R35" t="s">
        <v>203</v>
      </c>
      <c r="S35">
        <v>133</v>
      </c>
      <c r="T35" t="s">
        <v>204</v>
      </c>
      <c r="U35" t="s">
        <v>58</v>
      </c>
      <c r="W35" t="s">
        <v>103</v>
      </c>
      <c r="X35" t="s">
        <v>205</v>
      </c>
      <c r="Y35" t="s">
        <v>100</v>
      </c>
      <c r="Z35" t="s">
        <v>97</v>
      </c>
      <c r="AA35" t="s">
        <v>201</v>
      </c>
      <c r="AC35" t="s">
        <v>99</v>
      </c>
      <c r="AD35" t="s">
        <v>98</v>
      </c>
    </row>
    <row r="36" spans="1:32">
      <c r="A36" t="s">
        <v>201</v>
      </c>
      <c r="B36" t="s">
        <v>202</v>
      </c>
      <c r="C36" t="s">
        <v>49</v>
      </c>
      <c r="E36" t="s">
        <v>97</v>
      </c>
      <c r="F36" t="s">
        <v>51</v>
      </c>
      <c r="G36" t="s">
        <v>52</v>
      </c>
      <c r="H36" t="s">
        <v>53</v>
      </c>
      <c r="I36" s="2">
        <v>-60000</v>
      </c>
      <c r="J36" s="2">
        <v>-427200</v>
      </c>
      <c r="K36" t="s">
        <v>65</v>
      </c>
      <c r="L36" s="2"/>
      <c r="M36" s="2"/>
      <c r="N36" s="2"/>
      <c r="O36" s="2"/>
      <c r="P36" s="2"/>
      <c r="S36">
        <v>134</v>
      </c>
      <c r="T36" t="s">
        <v>206</v>
      </c>
      <c r="U36" t="s">
        <v>58</v>
      </c>
      <c r="X36" t="s">
        <v>205</v>
      </c>
      <c r="Y36" t="s">
        <v>53</v>
      </c>
      <c r="Z36" t="s">
        <v>97</v>
      </c>
      <c r="AA36" t="s">
        <v>201</v>
      </c>
      <c r="AB36" t="s">
        <v>62</v>
      </c>
      <c r="AC36" t="s">
        <v>52</v>
      </c>
      <c r="AD36" t="s">
        <v>51</v>
      </c>
      <c r="AE36" t="s">
        <v>106</v>
      </c>
      <c r="AF36" t="s">
        <v>107</v>
      </c>
    </row>
    <row r="37" spans="1:32">
      <c r="A37" t="s">
        <v>201</v>
      </c>
      <c r="B37" t="s">
        <v>202</v>
      </c>
      <c r="C37" t="s">
        <v>49</v>
      </c>
      <c r="E37" t="s">
        <v>97</v>
      </c>
      <c r="F37" t="s">
        <v>108</v>
      </c>
      <c r="G37" t="s">
        <v>109</v>
      </c>
      <c r="H37" t="s">
        <v>100</v>
      </c>
      <c r="I37" s="2">
        <v>0</v>
      </c>
      <c r="J37" s="2">
        <v>-1800</v>
      </c>
      <c r="K37" t="s">
        <v>65</v>
      </c>
      <c r="L37" s="2"/>
      <c r="M37" s="2"/>
      <c r="N37" s="2"/>
      <c r="O37" s="2"/>
      <c r="P37" s="2"/>
      <c r="S37">
        <v>135</v>
      </c>
      <c r="T37" t="s">
        <v>122</v>
      </c>
      <c r="U37" t="s">
        <v>75</v>
      </c>
      <c r="X37" t="s">
        <v>205</v>
      </c>
      <c r="Y37" t="s">
        <v>100</v>
      </c>
      <c r="Z37" t="s">
        <v>97</v>
      </c>
      <c r="AA37" t="s">
        <v>201</v>
      </c>
      <c r="AC37" t="s">
        <v>109</v>
      </c>
      <c r="AD37" t="s">
        <v>108</v>
      </c>
      <c r="AF37" t="s">
        <v>110</v>
      </c>
    </row>
    <row r="38" spans="1:32">
      <c r="A38" t="s">
        <v>207</v>
      </c>
      <c r="B38" t="s">
        <v>208</v>
      </c>
      <c r="C38" t="s">
        <v>49</v>
      </c>
      <c r="E38" t="s">
        <v>113</v>
      </c>
      <c r="F38" t="s">
        <v>51</v>
      </c>
      <c r="G38" t="s">
        <v>52</v>
      </c>
      <c r="H38" t="s">
        <v>53</v>
      </c>
      <c r="I38" s="2">
        <v>30000</v>
      </c>
      <c r="J38" s="2">
        <v>213600</v>
      </c>
      <c r="K38" t="s">
        <v>54</v>
      </c>
      <c r="L38" s="2">
        <v>30000</v>
      </c>
      <c r="M38" s="6">
        <v>6.9056</v>
      </c>
      <c r="N38" s="2">
        <v>207168</v>
      </c>
      <c r="O38" s="2">
        <f>L38*M38</f>
        <v>207168</v>
      </c>
      <c r="P38" s="2">
        <f>O38-N38</f>
        <v>7032</v>
      </c>
      <c r="Q38" t="s">
        <v>72</v>
      </c>
      <c r="R38" t="s">
        <v>209</v>
      </c>
      <c r="S38">
        <v>136</v>
      </c>
      <c r="T38" t="s">
        <v>57</v>
      </c>
      <c r="U38" t="s">
        <v>58</v>
      </c>
      <c r="V38" t="s">
        <v>116</v>
      </c>
      <c r="W38" t="s">
        <v>117</v>
      </c>
      <c r="X38" t="s">
        <v>210</v>
      </c>
      <c r="Y38" t="s">
        <v>53</v>
      </c>
      <c r="Z38" t="s">
        <v>113</v>
      </c>
      <c r="AA38" t="s">
        <v>207</v>
      </c>
      <c r="AB38" t="s">
        <v>62</v>
      </c>
      <c r="AC38" t="s">
        <v>52</v>
      </c>
      <c r="AD38" t="s">
        <v>51</v>
      </c>
    </row>
    <row r="39" spans="1:32">
      <c r="A39" t="s">
        <v>207</v>
      </c>
      <c r="B39" t="s">
        <v>208</v>
      </c>
      <c r="C39" t="s">
        <v>49</v>
      </c>
      <c r="E39" t="s">
        <v>113</v>
      </c>
      <c r="F39" t="s">
        <v>98</v>
      </c>
      <c r="G39" t="s">
        <v>99</v>
      </c>
      <c r="H39" t="s">
        <v>100</v>
      </c>
      <c r="I39" s="2">
        <v>0</v>
      </c>
      <c r="J39" s="2">
        <v>-214200</v>
      </c>
      <c r="K39" t="s">
        <v>65</v>
      </c>
      <c r="L39" s="2"/>
      <c r="M39" s="2"/>
      <c r="N39" s="2"/>
      <c r="O39" s="2"/>
      <c r="P39" s="2"/>
      <c r="S39">
        <v>137</v>
      </c>
      <c r="T39" t="s">
        <v>211</v>
      </c>
      <c r="U39" t="s">
        <v>58</v>
      </c>
      <c r="X39" t="s">
        <v>210</v>
      </c>
      <c r="Y39" t="s">
        <v>100</v>
      </c>
      <c r="Z39" t="s">
        <v>113</v>
      </c>
      <c r="AA39" t="s">
        <v>207</v>
      </c>
      <c r="AC39" t="s">
        <v>99</v>
      </c>
      <c r="AD39" t="s">
        <v>98</v>
      </c>
      <c r="AF39" t="s">
        <v>120</v>
      </c>
    </row>
    <row r="40" spans="1:32">
      <c r="A40" t="s">
        <v>207</v>
      </c>
      <c r="B40" t="s">
        <v>208</v>
      </c>
      <c r="C40" t="s">
        <v>49</v>
      </c>
      <c r="E40" t="s">
        <v>113</v>
      </c>
      <c r="F40" t="s">
        <v>108</v>
      </c>
      <c r="G40" t="s">
        <v>109</v>
      </c>
      <c r="H40" t="s">
        <v>100</v>
      </c>
      <c r="I40" s="2">
        <v>0</v>
      </c>
      <c r="J40" s="2">
        <v>600</v>
      </c>
      <c r="K40" t="s">
        <v>65</v>
      </c>
      <c r="L40" s="2"/>
      <c r="M40" s="2"/>
      <c r="N40" s="2"/>
      <c r="O40" s="2"/>
      <c r="P40" s="2"/>
      <c r="S40">
        <v>138</v>
      </c>
      <c r="T40" t="s">
        <v>212</v>
      </c>
      <c r="U40" t="s">
        <v>213</v>
      </c>
      <c r="W40" t="s">
        <v>122</v>
      </c>
      <c r="X40" t="s">
        <v>210</v>
      </c>
      <c r="Y40" t="s">
        <v>100</v>
      </c>
      <c r="Z40" t="s">
        <v>113</v>
      </c>
      <c r="AA40" t="s">
        <v>207</v>
      </c>
      <c r="AC40" t="s">
        <v>109</v>
      </c>
      <c r="AD40" t="s">
        <v>108</v>
      </c>
    </row>
    <row r="41" spans="1:32">
      <c r="A41" t="s">
        <v>214</v>
      </c>
      <c r="B41" t="s">
        <v>215</v>
      </c>
      <c r="C41" t="s">
        <v>49</v>
      </c>
      <c r="E41" t="s">
        <v>50</v>
      </c>
      <c r="F41" t="s">
        <v>51</v>
      </c>
      <c r="G41" t="s">
        <v>52</v>
      </c>
      <c r="H41" t="s">
        <v>53</v>
      </c>
      <c r="I41" s="2">
        <v>160000</v>
      </c>
      <c r="J41" s="2">
        <v>1139200</v>
      </c>
      <c r="K41" t="s">
        <v>54</v>
      </c>
      <c r="L41" s="2">
        <v>160000</v>
      </c>
      <c r="M41" s="6">
        <v>6.865399999999999</v>
      </c>
      <c r="N41" s="2">
        <v>1105771.4285714286</v>
      </c>
      <c r="O41" s="2">
        <f>L41*M41</f>
        <v>1098464</v>
      </c>
      <c r="P41" s="2">
        <f>N41-O41</f>
        <v>7307.428571428638</v>
      </c>
      <c r="Q41" t="s">
        <v>55</v>
      </c>
      <c r="R41" t="s">
        <v>216</v>
      </c>
      <c r="S41">
        <v>160</v>
      </c>
      <c r="T41" t="s">
        <v>217</v>
      </c>
      <c r="U41" t="s">
        <v>58</v>
      </c>
      <c r="V41" t="s">
        <v>218</v>
      </c>
      <c r="W41" t="s">
        <v>219</v>
      </c>
      <c r="X41" t="s">
        <v>220</v>
      </c>
      <c r="Y41" t="s">
        <v>53</v>
      </c>
      <c r="Z41" t="s">
        <v>50</v>
      </c>
      <c r="AA41" t="s">
        <v>214</v>
      </c>
      <c r="AB41" t="s">
        <v>62</v>
      </c>
      <c r="AC41" t="s">
        <v>52</v>
      </c>
      <c r="AD41" t="s">
        <v>51</v>
      </c>
    </row>
    <row r="42" spans="1:32">
      <c r="A42" t="s">
        <v>214</v>
      </c>
      <c r="B42" t="s">
        <v>215</v>
      </c>
      <c r="C42" t="s">
        <v>49</v>
      </c>
      <c r="E42" t="s">
        <v>50</v>
      </c>
      <c r="F42" t="s">
        <v>63</v>
      </c>
      <c r="G42" t="s">
        <v>64</v>
      </c>
      <c r="H42" t="s">
        <v>53</v>
      </c>
      <c r="I42" s="2">
        <v>-160000</v>
      </c>
      <c r="J42" s="2">
        <v>-1139200</v>
      </c>
      <c r="K42" t="s">
        <v>65</v>
      </c>
      <c r="L42" s="2"/>
      <c r="M42" s="2"/>
      <c r="N42" s="2"/>
      <c r="O42" s="2"/>
      <c r="P42" s="2"/>
      <c r="S42">
        <v>161</v>
      </c>
      <c r="T42" t="s">
        <v>221</v>
      </c>
      <c r="U42" t="s">
        <v>58</v>
      </c>
      <c r="X42" t="s">
        <v>220</v>
      </c>
      <c r="Y42" t="s">
        <v>53</v>
      </c>
      <c r="Z42" t="s">
        <v>50</v>
      </c>
      <c r="AA42" t="s">
        <v>214</v>
      </c>
      <c r="AB42" t="s">
        <v>62</v>
      </c>
      <c r="AC42" t="s">
        <v>64</v>
      </c>
      <c r="AD42" t="s">
        <v>63</v>
      </c>
      <c r="AE42" t="s">
        <v>218</v>
      </c>
      <c r="AF42" t="s">
        <v>219</v>
      </c>
    </row>
    <row r="43" spans="1:32">
      <c r="A43" t="s">
        <v>222</v>
      </c>
      <c r="B43" t="s">
        <v>223</v>
      </c>
      <c r="C43" t="s">
        <v>49</v>
      </c>
      <c r="E43" t="s">
        <v>132</v>
      </c>
      <c r="F43" t="s">
        <v>98</v>
      </c>
      <c r="G43" t="s">
        <v>99</v>
      </c>
      <c r="H43" t="s">
        <v>100</v>
      </c>
      <c r="I43" s="2">
        <v>0</v>
      </c>
      <c r="J43" s="2">
        <v>196750</v>
      </c>
      <c r="K43" t="s">
        <v>54</v>
      </c>
      <c r="L43" s="2">
        <v>25000</v>
      </c>
      <c r="M43" s="6">
        <v>7.87</v>
      </c>
      <c r="N43" s="2">
        <v>198255</v>
      </c>
      <c r="O43" s="2">
        <f>L43*M43</f>
        <v>196750</v>
      </c>
      <c r="P43" s="2">
        <f>N43-O43</f>
        <v>1505</v>
      </c>
      <c r="Q43" t="s">
        <v>55</v>
      </c>
      <c r="R43" t="s">
        <v>224</v>
      </c>
      <c r="S43">
        <v>169</v>
      </c>
      <c r="T43" t="s">
        <v>225</v>
      </c>
      <c r="U43" t="s">
        <v>58</v>
      </c>
      <c r="W43" t="s">
        <v>226</v>
      </c>
      <c r="X43" t="s">
        <v>227</v>
      </c>
      <c r="Y43" t="s">
        <v>100</v>
      </c>
      <c r="Z43" t="s">
        <v>132</v>
      </c>
      <c r="AA43" t="s">
        <v>222</v>
      </c>
      <c r="AC43" t="s">
        <v>99</v>
      </c>
      <c r="AD43" t="s">
        <v>98</v>
      </c>
    </row>
    <row r="44" spans="1:32">
      <c r="A44" t="s">
        <v>222</v>
      </c>
      <c r="B44" t="s">
        <v>223</v>
      </c>
      <c r="C44" t="s">
        <v>49</v>
      </c>
      <c r="E44" t="s">
        <v>132</v>
      </c>
      <c r="F44" t="s">
        <v>137</v>
      </c>
      <c r="G44" t="s">
        <v>138</v>
      </c>
      <c r="H44" t="s">
        <v>139</v>
      </c>
      <c r="I44" s="2">
        <v>-25000</v>
      </c>
      <c r="J44" s="2">
        <v>-195750</v>
      </c>
      <c r="K44" t="s">
        <v>65</v>
      </c>
      <c r="L44" s="2"/>
      <c r="M44" s="2"/>
      <c r="N44" s="2"/>
      <c r="O44" s="2"/>
      <c r="P44" s="2"/>
      <c r="S44">
        <v>170</v>
      </c>
      <c r="T44" t="s">
        <v>228</v>
      </c>
      <c r="U44" t="s">
        <v>75</v>
      </c>
      <c r="X44" t="s">
        <v>227</v>
      </c>
      <c r="Y44" t="s">
        <v>139</v>
      </c>
      <c r="Z44" t="s">
        <v>132</v>
      </c>
      <c r="AA44" t="s">
        <v>222</v>
      </c>
      <c r="AB44" t="s">
        <v>141</v>
      </c>
      <c r="AC44" t="s">
        <v>138</v>
      </c>
      <c r="AD44" t="s">
        <v>137</v>
      </c>
      <c r="AE44" t="s">
        <v>142</v>
      </c>
      <c r="AF44" t="s">
        <v>143</v>
      </c>
    </row>
    <row r="45" spans="1:32">
      <c r="A45" t="s">
        <v>222</v>
      </c>
      <c r="B45" t="s">
        <v>223</v>
      </c>
      <c r="C45" t="s">
        <v>49</v>
      </c>
      <c r="E45" t="s">
        <v>132</v>
      </c>
      <c r="F45" t="s">
        <v>108</v>
      </c>
      <c r="G45" t="s">
        <v>109</v>
      </c>
      <c r="H45" t="s">
        <v>100</v>
      </c>
      <c r="I45" s="2">
        <v>0</v>
      </c>
      <c r="J45" s="2">
        <v>-1000</v>
      </c>
      <c r="K45" t="s">
        <v>65</v>
      </c>
      <c r="L45" s="2"/>
      <c r="M45" s="2"/>
      <c r="N45" s="2"/>
      <c r="O45" s="2"/>
      <c r="P45" s="2"/>
      <c r="S45">
        <v>171</v>
      </c>
      <c r="T45" t="s">
        <v>229</v>
      </c>
      <c r="U45" t="s">
        <v>75</v>
      </c>
      <c r="X45" t="s">
        <v>227</v>
      </c>
      <c r="Y45" t="s">
        <v>100</v>
      </c>
      <c r="Z45" t="s">
        <v>132</v>
      </c>
      <c r="AA45" t="s">
        <v>222</v>
      </c>
      <c r="AC45" t="s">
        <v>109</v>
      </c>
      <c r="AD45" t="s">
        <v>108</v>
      </c>
      <c r="AF45" t="s">
        <v>229</v>
      </c>
    </row>
    <row r="46" spans="1:32">
      <c r="A46" t="s">
        <v>230</v>
      </c>
      <c r="B46" t="s">
        <v>231</v>
      </c>
      <c r="C46" t="s">
        <v>49</v>
      </c>
      <c r="E46" t="s">
        <v>69</v>
      </c>
      <c r="F46" t="s">
        <v>70</v>
      </c>
      <c r="G46" t="s">
        <v>71</v>
      </c>
      <c r="H46" t="s">
        <v>53</v>
      </c>
      <c r="I46" s="2">
        <v>50000</v>
      </c>
      <c r="J46" s="2">
        <v>356000</v>
      </c>
      <c r="K46" t="s">
        <v>54</v>
      </c>
      <c r="L46" s="2">
        <v>50000</v>
      </c>
      <c r="M46" s="6">
        <v>6.8635</v>
      </c>
      <c r="N46" s="2">
        <v>345334.44444444444</v>
      </c>
      <c r="O46" s="2">
        <f>L46*M46</f>
        <v>343175</v>
      </c>
      <c r="P46" s="2">
        <f>O46-N46</f>
        <v>-2159.444444444438</v>
      </c>
      <c r="Q46" t="s">
        <v>72</v>
      </c>
      <c r="R46" t="s">
        <v>232</v>
      </c>
      <c r="S46">
        <v>177</v>
      </c>
      <c r="T46" t="s">
        <v>233</v>
      </c>
      <c r="U46" t="s">
        <v>75</v>
      </c>
      <c r="V46" t="s">
        <v>76</v>
      </c>
      <c r="W46" t="s">
        <v>77</v>
      </c>
      <c r="X46" t="s">
        <v>234</v>
      </c>
      <c r="Y46" t="s">
        <v>53</v>
      </c>
      <c r="Z46" t="s">
        <v>69</v>
      </c>
      <c r="AA46" t="s">
        <v>230</v>
      </c>
      <c r="AB46" t="s">
        <v>62</v>
      </c>
      <c r="AC46" t="s">
        <v>71</v>
      </c>
      <c r="AD46" t="s">
        <v>70</v>
      </c>
    </row>
    <row r="47" spans="1:32">
      <c r="A47" t="s">
        <v>230</v>
      </c>
      <c r="B47" t="s">
        <v>231</v>
      </c>
      <c r="C47" t="s">
        <v>49</v>
      </c>
      <c r="E47" t="s">
        <v>69</v>
      </c>
      <c r="F47" t="s">
        <v>51</v>
      </c>
      <c r="G47" t="s">
        <v>52</v>
      </c>
      <c r="H47" t="s">
        <v>53</v>
      </c>
      <c r="I47" s="2">
        <v>-50000</v>
      </c>
      <c r="J47" s="2">
        <v>-356000</v>
      </c>
      <c r="K47" t="s">
        <v>65</v>
      </c>
      <c r="L47" s="2"/>
      <c r="M47" s="2"/>
      <c r="N47" s="2"/>
      <c r="O47" s="2"/>
      <c r="P47" s="2"/>
      <c r="S47">
        <v>178</v>
      </c>
      <c r="T47" t="s">
        <v>235</v>
      </c>
      <c r="U47" t="s">
        <v>58</v>
      </c>
      <c r="X47" t="s">
        <v>234</v>
      </c>
      <c r="Y47" t="s">
        <v>53</v>
      </c>
      <c r="Z47" t="s">
        <v>69</v>
      </c>
      <c r="AA47" t="s">
        <v>230</v>
      </c>
      <c r="AB47" t="s">
        <v>62</v>
      </c>
      <c r="AC47" t="s">
        <v>52</v>
      </c>
      <c r="AD47" t="s">
        <v>51</v>
      </c>
      <c r="AE47" t="s">
        <v>76</v>
      </c>
      <c r="AF47" t="s">
        <v>77</v>
      </c>
    </row>
    <row r="48" spans="1:32">
      <c r="A48" t="s">
        <v>236</v>
      </c>
      <c r="B48" t="s">
        <v>237</v>
      </c>
      <c r="C48" t="s">
        <v>49</v>
      </c>
      <c r="E48" t="s">
        <v>82</v>
      </c>
      <c r="F48" t="s">
        <v>83</v>
      </c>
      <c r="G48" t="s">
        <v>84</v>
      </c>
      <c r="H48" t="s">
        <v>85</v>
      </c>
      <c r="I48" s="2">
        <v>40000</v>
      </c>
      <c r="J48" s="2">
        <v>36400</v>
      </c>
      <c r="K48" t="s">
        <v>54</v>
      </c>
      <c r="L48" s="2">
        <v>40000</v>
      </c>
      <c r="M48" s="6">
        <v>0.87666</v>
      </c>
      <c r="N48" s="2">
        <v>35287.55294117647</v>
      </c>
      <c r="O48" s="2">
        <f>L48*M48</f>
        <v>35066.4</v>
      </c>
      <c r="P48" s="2">
        <f>O48-N48</f>
        <v>-221.15294117647136</v>
      </c>
      <c r="Q48" t="s">
        <v>72</v>
      </c>
      <c r="R48" t="s">
        <v>238</v>
      </c>
      <c r="S48">
        <v>181</v>
      </c>
      <c r="T48" t="s">
        <v>87</v>
      </c>
      <c r="U48" t="s">
        <v>75</v>
      </c>
      <c r="V48" t="s">
        <v>88</v>
      </c>
      <c r="W48" t="s">
        <v>89</v>
      </c>
      <c r="X48" t="s">
        <v>239</v>
      </c>
      <c r="Y48" t="s">
        <v>85</v>
      </c>
      <c r="Z48" t="s">
        <v>82</v>
      </c>
      <c r="AA48" t="s">
        <v>236</v>
      </c>
      <c r="AB48" t="s">
        <v>91</v>
      </c>
      <c r="AC48" t="s">
        <v>84</v>
      </c>
      <c r="AD48" t="s">
        <v>83</v>
      </c>
    </row>
    <row r="49" spans="1:32">
      <c r="A49" t="s">
        <v>236</v>
      </c>
      <c r="B49" t="s">
        <v>237</v>
      </c>
      <c r="C49" t="s">
        <v>49</v>
      </c>
      <c r="E49" t="s">
        <v>82</v>
      </c>
      <c r="F49" t="s">
        <v>92</v>
      </c>
      <c r="G49" t="s">
        <v>93</v>
      </c>
      <c r="H49" t="s">
        <v>85</v>
      </c>
      <c r="I49" s="2">
        <v>-40000</v>
      </c>
      <c r="J49" s="2">
        <v>-36400</v>
      </c>
      <c r="K49" t="s">
        <v>65</v>
      </c>
      <c r="L49" s="2"/>
      <c r="M49" s="2"/>
      <c r="N49" s="2"/>
      <c r="O49" s="2"/>
      <c r="P49" s="2"/>
      <c r="S49">
        <v>182</v>
      </c>
      <c r="T49" t="s">
        <v>240</v>
      </c>
      <c r="U49" t="s">
        <v>58</v>
      </c>
      <c r="X49" t="s">
        <v>239</v>
      </c>
      <c r="Y49" t="s">
        <v>85</v>
      </c>
      <c r="Z49" t="s">
        <v>82</v>
      </c>
      <c r="AA49" t="s">
        <v>236</v>
      </c>
      <c r="AB49" t="s">
        <v>91</v>
      </c>
      <c r="AC49" t="s">
        <v>93</v>
      </c>
      <c r="AD49" t="s">
        <v>92</v>
      </c>
      <c r="AE49" t="s">
        <v>88</v>
      </c>
      <c r="AF49" t="s">
        <v>89</v>
      </c>
    </row>
    <row r="50" spans="1:32">
      <c r="A50" t="s">
        <v>241</v>
      </c>
      <c r="B50" t="s">
        <v>242</v>
      </c>
      <c r="C50" t="s">
        <v>49</v>
      </c>
      <c r="E50" t="s">
        <v>97</v>
      </c>
      <c r="F50" t="s">
        <v>98</v>
      </c>
      <c r="G50" t="s">
        <v>99</v>
      </c>
      <c r="H50" t="s">
        <v>100</v>
      </c>
      <c r="I50" s="2">
        <v>0</v>
      </c>
      <c r="J50" s="2">
        <v>429600</v>
      </c>
      <c r="K50" t="s">
        <v>54</v>
      </c>
      <c r="L50" s="2">
        <v>60000</v>
      </c>
      <c r="M50" s="6">
        <v>7.16</v>
      </c>
      <c r="N50" s="2">
        <v>414308.6341463415</v>
      </c>
      <c r="O50" s="2">
        <f>L50*M50</f>
        <v>429600</v>
      </c>
      <c r="P50" s="2">
        <f>N50-O50</f>
        <v>-15291.365853658528</v>
      </c>
      <c r="Q50" t="s">
        <v>55</v>
      </c>
      <c r="R50" t="s">
        <v>243</v>
      </c>
      <c r="S50">
        <v>183</v>
      </c>
      <c r="T50" t="s">
        <v>244</v>
      </c>
      <c r="U50" t="s">
        <v>58</v>
      </c>
      <c r="W50" t="s">
        <v>245</v>
      </c>
      <c r="X50" t="s">
        <v>246</v>
      </c>
      <c r="Y50" t="s">
        <v>100</v>
      </c>
      <c r="Z50" t="s">
        <v>97</v>
      </c>
      <c r="AA50" t="s">
        <v>241</v>
      </c>
      <c r="AC50" t="s">
        <v>99</v>
      </c>
      <c r="AD50" t="s">
        <v>98</v>
      </c>
    </row>
    <row r="51" spans="1:32">
      <c r="A51" t="s">
        <v>241</v>
      </c>
      <c r="B51" t="s">
        <v>242</v>
      </c>
      <c r="C51" t="s">
        <v>49</v>
      </c>
      <c r="E51" t="s">
        <v>97</v>
      </c>
      <c r="F51" t="s">
        <v>51</v>
      </c>
      <c r="G51" t="s">
        <v>52</v>
      </c>
      <c r="H51" t="s">
        <v>247</v>
      </c>
      <c r="I51" s="2">
        <v>-60000</v>
      </c>
      <c r="J51" s="2">
        <v>-427200</v>
      </c>
      <c r="K51" t="s">
        <v>65</v>
      </c>
      <c r="L51" s="2"/>
      <c r="M51" s="2"/>
      <c r="N51" s="2"/>
      <c r="O51" s="2"/>
      <c r="P51" s="2"/>
      <c r="S51">
        <v>184</v>
      </c>
      <c r="T51" t="s">
        <v>248</v>
      </c>
      <c r="U51" t="s">
        <v>58</v>
      </c>
      <c r="X51" t="s">
        <v>246</v>
      </c>
      <c r="Y51" t="s">
        <v>247</v>
      </c>
      <c r="Z51" t="s">
        <v>97</v>
      </c>
      <c r="AA51" t="s">
        <v>241</v>
      </c>
      <c r="AB51" t="s">
        <v>62</v>
      </c>
      <c r="AC51" t="s">
        <v>52</v>
      </c>
      <c r="AD51" t="s">
        <v>51</v>
      </c>
      <c r="AE51" t="s">
        <v>106</v>
      </c>
      <c r="AF51" t="s">
        <v>107</v>
      </c>
    </row>
    <row r="52" spans="1:32">
      <c r="A52" t="s">
        <v>241</v>
      </c>
      <c r="B52" t="s">
        <v>242</v>
      </c>
      <c r="C52" t="s">
        <v>49</v>
      </c>
      <c r="E52" t="s">
        <v>97</v>
      </c>
      <c r="F52" t="s">
        <v>108</v>
      </c>
      <c r="G52" t="s">
        <v>109</v>
      </c>
      <c r="H52" t="s">
        <v>100</v>
      </c>
      <c r="I52" s="2">
        <v>0</v>
      </c>
      <c r="J52" s="2">
        <v>-2400</v>
      </c>
      <c r="K52" t="s">
        <v>65</v>
      </c>
      <c r="L52" s="2"/>
      <c r="M52" s="2"/>
      <c r="N52" s="2"/>
      <c r="O52" s="2"/>
      <c r="P52" s="2"/>
      <c r="S52">
        <v>185</v>
      </c>
      <c r="T52" t="s">
        <v>249</v>
      </c>
      <c r="U52" t="s">
        <v>75</v>
      </c>
      <c r="X52" t="s">
        <v>246</v>
      </c>
      <c r="Y52" t="s">
        <v>100</v>
      </c>
      <c r="Z52" t="s">
        <v>97</v>
      </c>
      <c r="AA52" t="s">
        <v>241</v>
      </c>
      <c r="AC52" t="s">
        <v>109</v>
      </c>
      <c r="AD52" t="s">
        <v>108</v>
      </c>
      <c r="AF52" t="s">
        <v>250</v>
      </c>
    </row>
    <row r="53" spans="1:32">
      <c r="A53" t="s">
        <v>251</v>
      </c>
      <c r="B53" t="s">
        <v>252</v>
      </c>
      <c r="C53" t="s">
        <v>49</v>
      </c>
      <c r="E53" t="s">
        <v>113</v>
      </c>
      <c r="F53" t="s">
        <v>51</v>
      </c>
      <c r="G53" t="s">
        <v>52</v>
      </c>
      <c r="H53" t="s">
        <v>53</v>
      </c>
      <c r="I53" s="2">
        <v>30000</v>
      </c>
      <c r="J53" s="2">
        <v>213600</v>
      </c>
      <c r="K53" t="s">
        <v>54</v>
      </c>
      <c r="L53" s="2">
        <v>30000</v>
      </c>
      <c r="M53" s="6">
        <v>6.8674</v>
      </c>
      <c r="N53" s="2">
        <v>206022</v>
      </c>
      <c r="O53" s="2">
        <f>L53*M53</f>
        <v>206022</v>
      </c>
      <c r="P53" s="2">
        <f>O53-N53</f>
        <v>8478</v>
      </c>
      <c r="Q53" t="s">
        <v>72</v>
      </c>
      <c r="R53" t="s">
        <v>253</v>
      </c>
      <c r="S53">
        <v>186</v>
      </c>
      <c r="T53" t="s">
        <v>169</v>
      </c>
      <c r="U53" t="s">
        <v>58</v>
      </c>
      <c r="V53" t="s">
        <v>116</v>
      </c>
      <c r="W53" t="s">
        <v>117</v>
      </c>
      <c r="X53" t="s">
        <v>254</v>
      </c>
      <c r="Y53" t="s">
        <v>53</v>
      </c>
      <c r="Z53" t="s">
        <v>113</v>
      </c>
      <c r="AA53" t="s">
        <v>251</v>
      </c>
      <c r="AB53" t="s">
        <v>62</v>
      </c>
      <c r="AC53" t="s">
        <v>52</v>
      </c>
      <c r="AD53" t="s">
        <v>51</v>
      </c>
    </row>
    <row r="54" spans="1:32">
      <c r="A54" t="s">
        <v>251</v>
      </c>
      <c r="B54" t="s">
        <v>252</v>
      </c>
      <c r="C54" t="s">
        <v>49</v>
      </c>
      <c r="E54" t="s">
        <v>113</v>
      </c>
      <c r="F54" t="s">
        <v>98</v>
      </c>
      <c r="G54" t="s">
        <v>99</v>
      </c>
      <c r="H54" t="s">
        <v>100</v>
      </c>
      <c r="I54" s="2">
        <v>0</v>
      </c>
      <c r="J54" s="2">
        <v>-214500</v>
      </c>
      <c r="K54" t="s">
        <v>65</v>
      </c>
      <c r="L54" s="2"/>
      <c r="M54" s="2"/>
      <c r="N54" s="2"/>
      <c r="O54" s="2"/>
      <c r="P54" s="2"/>
      <c r="S54">
        <v>187</v>
      </c>
      <c r="T54" t="s">
        <v>255</v>
      </c>
      <c r="U54" t="s">
        <v>58</v>
      </c>
      <c r="X54" t="s">
        <v>254</v>
      </c>
      <c r="Y54" t="s">
        <v>100</v>
      </c>
      <c r="Z54" t="s">
        <v>113</v>
      </c>
      <c r="AA54" t="s">
        <v>251</v>
      </c>
      <c r="AC54" t="s">
        <v>99</v>
      </c>
      <c r="AD54" t="s">
        <v>98</v>
      </c>
      <c r="AF54" t="s">
        <v>256</v>
      </c>
    </row>
    <row r="55" spans="1:32">
      <c r="A55" t="s">
        <v>251</v>
      </c>
      <c r="B55" t="s">
        <v>252</v>
      </c>
      <c r="C55" t="s">
        <v>49</v>
      </c>
      <c r="E55" t="s">
        <v>113</v>
      </c>
      <c r="F55" t="s">
        <v>108</v>
      </c>
      <c r="G55" t="s">
        <v>109</v>
      </c>
      <c r="H55" t="s">
        <v>100</v>
      </c>
      <c r="I55" s="2">
        <v>0</v>
      </c>
      <c r="J55" s="2">
        <v>900</v>
      </c>
      <c r="K55" t="s">
        <v>65</v>
      </c>
      <c r="L55" s="2"/>
      <c r="M55" s="2"/>
      <c r="N55" s="2"/>
      <c r="O55" s="2"/>
      <c r="P55" s="2"/>
      <c r="S55">
        <v>188</v>
      </c>
      <c r="T55" t="s">
        <v>257</v>
      </c>
      <c r="U55" t="s">
        <v>75</v>
      </c>
      <c r="W55" t="s">
        <v>258</v>
      </c>
      <c r="X55" t="s">
        <v>254</v>
      </c>
      <c r="Y55" t="s">
        <v>100</v>
      </c>
      <c r="Z55" t="s">
        <v>113</v>
      </c>
      <c r="AA55" t="s">
        <v>251</v>
      </c>
      <c r="AC55" t="s">
        <v>109</v>
      </c>
      <c r="AD55" t="s">
        <v>108</v>
      </c>
    </row>
    <row r="56" spans="1:32">
      <c r="A56" t="s">
        <v>259</v>
      </c>
      <c r="B56" t="s">
        <v>260</v>
      </c>
      <c r="C56" t="s">
        <v>49</v>
      </c>
      <c r="E56" t="s">
        <v>50</v>
      </c>
      <c r="F56" t="s">
        <v>51</v>
      </c>
      <c r="G56" t="s">
        <v>52</v>
      </c>
      <c r="H56" t="s">
        <v>53</v>
      </c>
      <c r="I56" s="2">
        <v>160000</v>
      </c>
      <c r="J56" s="2">
        <v>1139200</v>
      </c>
      <c r="K56" t="s">
        <v>54</v>
      </c>
      <c r="L56" s="2">
        <v>160000</v>
      </c>
      <c r="M56" s="6">
        <v>6.8426</v>
      </c>
      <c r="N56" s="2">
        <v>1098048</v>
      </c>
      <c r="O56" s="2">
        <f>L56*M56</f>
        <v>1094816</v>
      </c>
      <c r="P56" s="2">
        <f>N56-O56</f>
        <v>3232</v>
      </c>
      <c r="Q56" t="s">
        <v>55</v>
      </c>
      <c r="R56" t="s">
        <v>261</v>
      </c>
      <c r="S56">
        <v>207</v>
      </c>
      <c r="T56" t="s">
        <v>262</v>
      </c>
      <c r="U56" t="s">
        <v>58</v>
      </c>
      <c r="V56" t="s">
        <v>218</v>
      </c>
      <c r="W56" t="s">
        <v>219</v>
      </c>
      <c r="X56" t="s">
        <v>263</v>
      </c>
      <c r="Y56" t="s">
        <v>53</v>
      </c>
      <c r="Z56" t="s">
        <v>50</v>
      </c>
      <c r="AA56" t="s">
        <v>259</v>
      </c>
      <c r="AB56" t="s">
        <v>62</v>
      </c>
      <c r="AC56" t="s">
        <v>52</v>
      </c>
      <c r="AD56" t="s">
        <v>51</v>
      </c>
    </row>
    <row r="57" spans="1:32">
      <c r="A57" t="s">
        <v>259</v>
      </c>
      <c r="B57" t="s">
        <v>260</v>
      </c>
      <c r="C57" t="s">
        <v>49</v>
      </c>
      <c r="E57" t="s">
        <v>50</v>
      </c>
      <c r="F57" t="s">
        <v>63</v>
      </c>
      <c r="G57" t="s">
        <v>64</v>
      </c>
      <c r="H57" t="s">
        <v>53</v>
      </c>
      <c r="I57" s="2">
        <v>-160000</v>
      </c>
      <c r="J57" s="2">
        <v>-1139200</v>
      </c>
      <c r="K57" t="s">
        <v>65</v>
      </c>
      <c r="L57" s="2"/>
      <c r="M57" s="2"/>
      <c r="N57" s="2"/>
      <c r="O57" s="2"/>
      <c r="P57" s="2"/>
      <c r="S57">
        <v>208</v>
      </c>
      <c r="T57" t="s">
        <v>264</v>
      </c>
      <c r="U57" t="s">
        <v>58</v>
      </c>
      <c r="X57" t="s">
        <v>263</v>
      </c>
      <c r="Y57" t="s">
        <v>53</v>
      </c>
      <c r="Z57" t="s">
        <v>50</v>
      </c>
      <c r="AA57" t="s">
        <v>259</v>
      </c>
      <c r="AB57" t="s">
        <v>62</v>
      </c>
      <c r="AC57" t="s">
        <v>64</v>
      </c>
      <c r="AD57" t="s">
        <v>63</v>
      </c>
      <c r="AE57" t="s">
        <v>218</v>
      </c>
      <c r="AF57" t="s">
        <v>219</v>
      </c>
    </row>
    <row r="58" spans="1:32">
      <c r="A58" t="s">
        <v>265</v>
      </c>
      <c r="B58" t="s">
        <v>266</v>
      </c>
      <c r="C58" t="s">
        <v>49</v>
      </c>
      <c r="E58" t="s">
        <v>69</v>
      </c>
      <c r="F58" t="s">
        <v>70</v>
      </c>
      <c r="G58" t="s">
        <v>71</v>
      </c>
      <c r="H58" t="s">
        <v>53</v>
      </c>
      <c r="I58" s="2">
        <v>60000</v>
      </c>
      <c r="J58" s="2">
        <v>427200</v>
      </c>
      <c r="K58" t="s">
        <v>54</v>
      </c>
      <c r="L58" s="2">
        <v>60000</v>
      </c>
      <c r="M58" s="6">
        <v>6.8373</v>
      </c>
      <c r="N58" s="2">
        <v>411488.4827586207</v>
      </c>
      <c r="O58" s="2">
        <f>L58*M58</f>
        <v>410238</v>
      </c>
      <c r="P58" s="2">
        <f>O58-N58</f>
        <v>-1250.4827586206957</v>
      </c>
      <c r="Q58" t="s">
        <v>72</v>
      </c>
      <c r="R58" t="s">
        <v>267</v>
      </c>
      <c r="S58">
        <v>221</v>
      </c>
      <c r="T58" t="s">
        <v>268</v>
      </c>
      <c r="U58" t="s">
        <v>75</v>
      </c>
      <c r="V58" t="s">
        <v>106</v>
      </c>
      <c r="W58" t="s">
        <v>107</v>
      </c>
      <c r="X58" t="s">
        <v>269</v>
      </c>
      <c r="Y58" t="s">
        <v>53</v>
      </c>
      <c r="Z58" t="s">
        <v>69</v>
      </c>
      <c r="AA58" t="s">
        <v>265</v>
      </c>
      <c r="AB58" t="s">
        <v>62</v>
      </c>
      <c r="AC58" t="s">
        <v>71</v>
      </c>
      <c r="AD58" t="s">
        <v>70</v>
      </c>
    </row>
    <row r="59" spans="1:32">
      <c r="A59" t="s">
        <v>265</v>
      </c>
      <c r="B59" t="s">
        <v>266</v>
      </c>
      <c r="C59" t="s">
        <v>49</v>
      </c>
      <c r="E59" t="s">
        <v>69</v>
      </c>
      <c r="F59" t="s">
        <v>51</v>
      </c>
      <c r="G59" t="s">
        <v>52</v>
      </c>
      <c r="H59" t="s">
        <v>53</v>
      </c>
      <c r="I59" s="2">
        <v>-60000</v>
      </c>
      <c r="J59" s="2">
        <v>-427200</v>
      </c>
      <c r="K59" t="s">
        <v>65</v>
      </c>
      <c r="L59" s="2"/>
      <c r="M59" s="2"/>
      <c r="N59" s="2"/>
      <c r="O59" s="2"/>
      <c r="P59" s="2"/>
      <c r="S59">
        <v>222</v>
      </c>
      <c r="T59" t="s">
        <v>270</v>
      </c>
      <c r="U59" t="s">
        <v>58</v>
      </c>
      <c r="X59" t="s">
        <v>269</v>
      </c>
      <c r="Y59" t="s">
        <v>53</v>
      </c>
      <c r="Z59" t="s">
        <v>69</v>
      </c>
      <c r="AA59" t="s">
        <v>265</v>
      </c>
      <c r="AB59" t="s">
        <v>62</v>
      </c>
      <c r="AC59" t="s">
        <v>52</v>
      </c>
      <c r="AD59" t="s">
        <v>51</v>
      </c>
      <c r="AE59" t="s">
        <v>106</v>
      </c>
      <c r="AF59" t="s">
        <v>107</v>
      </c>
    </row>
    <row r="60" spans="1:32">
      <c r="A60" t="s">
        <v>271</v>
      </c>
      <c r="B60" t="s">
        <v>272</v>
      </c>
      <c r="C60" t="s">
        <v>49</v>
      </c>
      <c r="E60" t="s">
        <v>97</v>
      </c>
      <c r="F60" t="s">
        <v>98</v>
      </c>
      <c r="G60" t="s">
        <v>99</v>
      </c>
      <c r="H60" t="s">
        <v>100</v>
      </c>
      <c r="I60" s="2">
        <v>0</v>
      </c>
      <c r="J60" s="2">
        <v>500500</v>
      </c>
      <c r="K60" t="s">
        <v>54</v>
      </c>
      <c r="L60" s="2">
        <v>70000</v>
      </c>
      <c r="M60" s="6">
        <v>7.15</v>
      </c>
      <c r="N60" s="2">
        <v>480147.7916666667</v>
      </c>
      <c r="O60" s="2">
        <f>L60*M60</f>
        <v>500500</v>
      </c>
      <c r="P60" s="2">
        <f>N60-O60</f>
        <v>-20352.208333333314</v>
      </c>
      <c r="Q60" t="s">
        <v>55</v>
      </c>
      <c r="R60" t="s">
        <v>273</v>
      </c>
      <c r="S60">
        <v>223</v>
      </c>
      <c r="T60" t="s">
        <v>274</v>
      </c>
      <c r="U60" t="s">
        <v>58</v>
      </c>
      <c r="W60" t="s">
        <v>275</v>
      </c>
      <c r="X60" t="s">
        <v>276</v>
      </c>
      <c r="Y60" t="s">
        <v>100</v>
      </c>
      <c r="Z60" t="s">
        <v>97</v>
      </c>
      <c r="AA60" t="s">
        <v>271</v>
      </c>
      <c r="AC60" t="s">
        <v>99</v>
      </c>
      <c r="AD60" t="s">
        <v>98</v>
      </c>
    </row>
    <row r="61" spans="1:32">
      <c r="A61" t="s">
        <v>271</v>
      </c>
      <c r="B61" t="s">
        <v>272</v>
      </c>
      <c r="C61" t="s">
        <v>49</v>
      </c>
      <c r="E61" t="s">
        <v>97</v>
      </c>
      <c r="F61" t="s">
        <v>51</v>
      </c>
      <c r="G61" t="s">
        <v>52</v>
      </c>
      <c r="H61" t="s">
        <v>53</v>
      </c>
      <c r="I61" s="2">
        <v>-70000</v>
      </c>
      <c r="J61" s="2">
        <v>-498400</v>
      </c>
      <c r="K61" t="s">
        <v>65</v>
      </c>
      <c r="L61" s="2"/>
      <c r="M61" s="2"/>
      <c r="N61" s="2"/>
      <c r="O61" s="2"/>
      <c r="P61" s="2"/>
      <c r="S61">
        <v>224</v>
      </c>
      <c r="T61" t="s">
        <v>235</v>
      </c>
      <c r="U61" t="s">
        <v>58</v>
      </c>
      <c r="X61" t="s">
        <v>276</v>
      </c>
      <c r="Y61" t="s">
        <v>53</v>
      </c>
      <c r="Z61" t="s">
        <v>97</v>
      </c>
      <c r="AA61" t="s">
        <v>271</v>
      </c>
      <c r="AB61" t="s">
        <v>62</v>
      </c>
      <c r="AC61" t="s">
        <v>52</v>
      </c>
      <c r="AD61" t="s">
        <v>51</v>
      </c>
      <c r="AE61" t="s">
        <v>277</v>
      </c>
      <c r="AF61" t="s">
        <v>278</v>
      </c>
    </row>
    <row r="62" spans="1:32">
      <c r="A62" t="s">
        <v>271</v>
      </c>
      <c r="B62" t="s">
        <v>272</v>
      </c>
      <c r="C62" t="s">
        <v>49</v>
      </c>
      <c r="E62" t="s">
        <v>97</v>
      </c>
      <c r="F62" t="s">
        <v>108</v>
      </c>
      <c r="G62" t="s">
        <v>109</v>
      </c>
      <c r="H62" t="s">
        <v>100</v>
      </c>
      <c r="I62" s="2">
        <v>0</v>
      </c>
      <c r="J62" s="2">
        <v>-2100</v>
      </c>
      <c r="K62" t="s">
        <v>65</v>
      </c>
      <c r="L62" s="2"/>
      <c r="M62" s="2"/>
      <c r="N62" s="2"/>
      <c r="O62" s="2"/>
      <c r="P62" s="2"/>
      <c r="S62">
        <v>225</v>
      </c>
      <c r="T62" t="s">
        <v>279</v>
      </c>
      <c r="U62" t="s">
        <v>75</v>
      </c>
      <c r="X62" t="s">
        <v>276</v>
      </c>
      <c r="Y62" t="s">
        <v>100</v>
      </c>
      <c r="Z62" t="s">
        <v>97</v>
      </c>
      <c r="AA62" t="s">
        <v>271</v>
      </c>
      <c r="AC62" t="s">
        <v>109</v>
      </c>
      <c r="AD62" t="s">
        <v>108</v>
      </c>
      <c r="AF62" t="s">
        <v>279</v>
      </c>
    </row>
    <row r="63" spans="1:32">
      <c r="A63" t="s">
        <v>280</v>
      </c>
      <c r="B63" t="s">
        <v>281</v>
      </c>
      <c r="C63" t="s">
        <v>49</v>
      </c>
      <c r="E63" t="s">
        <v>113</v>
      </c>
      <c r="F63" t="s">
        <v>51</v>
      </c>
      <c r="G63" t="s">
        <v>52</v>
      </c>
      <c r="H63" t="s">
        <v>53</v>
      </c>
      <c r="I63" s="2">
        <v>30000</v>
      </c>
      <c r="J63" s="2">
        <v>213600</v>
      </c>
      <c r="K63" t="s">
        <v>54</v>
      </c>
      <c r="L63" s="2">
        <v>30000</v>
      </c>
      <c r="M63" s="6">
        <v>6.8288</v>
      </c>
      <c r="N63" s="2">
        <v>204864</v>
      </c>
      <c r="O63" s="2">
        <f>L63*M63</f>
        <v>204864</v>
      </c>
      <c r="P63" s="2">
        <f>O63-N63</f>
        <v>9336</v>
      </c>
      <c r="Q63" t="s">
        <v>72</v>
      </c>
      <c r="R63" t="s">
        <v>282</v>
      </c>
      <c r="S63">
        <v>226</v>
      </c>
      <c r="T63" t="s">
        <v>283</v>
      </c>
      <c r="U63" t="s">
        <v>58</v>
      </c>
      <c r="V63" t="s">
        <v>116</v>
      </c>
      <c r="W63" t="s">
        <v>117</v>
      </c>
      <c r="X63" t="s">
        <v>284</v>
      </c>
      <c r="Y63" t="s">
        <v>53</v>
      </c>
      <c r="Z63" t="s">
        <v>113</v>
      </c>
      <c r="AA63" t="s">
        <v>280</v>
      </c>
      <c r="AB63" t="s">
        <v>62</v>
      </c>
      <c r="AC63" t="s">
        <v>52</v>
      </c>
      <c r="AD63" t="s">
        <v>51</v>
      </c>
    </row>
    <row r="64" spans="1:32">
      <c r="A64" t="s">
        <v>280</v>
      </c>
      <c r="B64" t="s">
        <v>281</v>
      </c>
      <c r="C64" t="s">
        <v>49</v>
      </c>
      <c r="E64" t="s">
        <v>113</v>
      </c>
      <c r="F64" t="s">
        <v>98</v>
      </c>
      <c r="G64" t="s">
        <v>99</v>
      </c>
      <c r="H64" t="s">
        <v>100</v>
      </c>
      <c r="I64" s="2">
        <v>0</v>
      </c>
      <c r="J64" s="2">
        <v>-214200</v>
      </c>
      <c r="K64" t="s">
        <v>65</v>
      </c>
      <c r="L64" s="2"/>
      <c r="M64" s="2"/>
      <c r="N64" s="2"/>
      <c r="O64" s="2"/>
      <c r="P64" s="2"/>
      <c r="S64">
        <v>227</v>
      </c>
      <c r="T64" t="s">
        <v>285</v>
      </c>
      <c r="U64" t="s">
        <v>58</v>
      </c>
      <c r="X64" t="s">
        <v>284</v>
      </c>
      <c r="Y64" t="s">
        <v>100</v>
      </c>
      <c r="Z64" t="s">
        <v>113</v>
      </c>
      <c r="AA64" t="s">
        <v>280</v>
      </c>
      <c r="AC64" t="s">
        <v>99</v>
      </c>
      <c r="AD64" t="s">
        <v>98</v>
      </c>
      <c r="AF64" t="s">
        <v>120</v>
      </c>
    </row>
    <row r="65" spans="1:32">
      <c r="A65" t="s">
        <v>280</v>
      </c>
      <c r="B65" t="s">
        <v>281</v>
      </c>
      <c r="C65" t="s">
        <v>49</v>
      </c>
      <c r="E65" t="s">
        <v>113</v>
      </c>
      <c r="F65" t="s">
        <v>108</v>
      </c>
      <c r="G65" t="s">
        <v>109</v>
      </c>
      <c r="H65" t="s">
        <v>100</v>
      </c>
      <c r="I65" s="2">
        <v>0</v>
      </c>
      <c r="J65" s="2">
        <v>600</v>
      </c>
      <c r="K65" t="s">
        <v>65</v>
      </c>
      <c r="L65" s="2"/>
      <c r="M65" s="2"/>
      <c r="N65" s="2"/>
      <c r="O65" s="2"/>
      <c r="P65" s="2"/>
      <c r="S65">
        <v>228</v>
      </c>
      <c r="T65" t="s">
        <v>286</v>
      </c>
      <c r="U65" t="s">
        <v>75</v>
      </c>
      <c r="W65" t="s">
        <v>122</v>
      </c>
      <c r="X65" t="s">
        <v>284</v>
      </c>
      <c r="Y65" t="s">
        <v>100</v>
      </c>
      <c r="Z65" t="s">
        <v>113</v>
      </c>
      <c r="AA65" t="s">
        <v>280</v>
      </c>
      <c r="AC65" t="s">
        <v>109</v>
      </c>
      <c r="AD65" t="s">
        <v>108</v>
      </c>
    </row>
    <row r="66" spans="1:32">
      <c r="A66" t="s">
        <v>280</v>
      </c>
      <c r="B66" t="s">
        <v>287</v>
      </c>
      <c r="C66" t="s">
        <v>49</v>
      </c>
      <c r="E66" t="s">
        <v>288</v>
      </c>
      <c r="F66" t="s">
        <v>92</v>
      </c>
      <c r="G66" t="s">
        <v>93</v>
      </c>
      <c r="H66" t="s">
        <v>85</v>
      </c>
      <c r="I66" s="2">
        <v>80000</v>
      </c>
      <c r="J66" s="2">
        <v>72800</v>
      </c>
      <c r="K66" t="s">
        <v>54</v>
      </c>
      <c r="L66" s="2">
        <v>80000</v>
      </c>
      <c r="M66" s="6">
        <v>0.87155</v>
      </c>
      <c r="N66" s="2">
        <v>69724</v>
      </c>
      <c r="O66" s="2">
        <f>L66*M66</f>
        <v>69724</v>
      </c>
      <c r="P66" s="2">
        <f>O66-N66</f>
        <v>3796</v>
      </c>
      <c r="Q66" t="s">
        <v>72</v>
      </c>
      <c r="R66" t="s">
        <v>289</v>
      </c>
      <c r="S66">
        <v>229</v>
      </c>
      <c r="T66" t="s">
        <v>155</v>
      </c>
      <c r="U66" t="s">
        <v>58</v>
      </c>
      <c r="V66" t="s">
        <v>290</v>
      </c>
      <c r="W66" t="s">
        <v>291</v>
      </c>
      <c r="X66" t="s">
        <v>292</v>
      </c>
      <c r="Y66" t="s">
        <v>85</v>
      </c>
      <c r="Z66" t="s">
        <v>288</v>
      </c>
      <c r="AA66" t="s">
        <v>280</v>
      </c>
      <c r="AB66" t="s">
        <v>91</v>
      </c>
      <c r="AC66" t="s">
        <v>93</v>
      </c>
      <c r="AD66" t="s">
        <v>92</v>
      </c>
    </row>
    <row r="67" spans="1:32">
      <c r="A67" t="s">
        <v>280</v>
      </c>
      <c r="B67" t="s">
        <v>287</v>
      </c>
      <c r="C67" t="s">
        <v>49</v>
      </c>
      <c r="E67" t="s">
        <v>288</v>
      </c>
      <c r="F67" t="s">
        <v>98</v>
      </c>
      <c r="G67" t="s">
        <v>99</v>
      </c>
      <c r="H67" t="s">
        <v>100</v>
      </c>
      <c r="I67" s="2">
        <v>0</v>
      </c>
      <c r="J67" s="2">
        <v>-73520</v>
      </c>
      <c r="K67" t="s">
        <v>65</v>
      </c>
      <c r="L67" s="2"/>
      <c r="M67" s="2"/>
      <c r="N67" s="2"/>
      <c r="O67" s="2"/>
      <c r="P67" s="2"/>
      <c r="S67">
        <v>230</v>
      </c>
      <c r="T67" t="s">
        <v>293</v>
      </c>
      <c r="U67" t="s">
        <v>58</v>
      </c>
      <c r="X67" t="s">
        <v>292</v>
      </c>
      <c r="Y67" t="s">
        <v>100</v>
      </c>
      <c r="Z67" t="s">
        <v>288</v>
      </c>
      <c r="AA67" t="s">
        <v>280</v>
      </c>
      <c r="AC67" t="s">
        <v>99</v>
      </c>
      <c r="AD67" t="s">
        <v>98</v>
      </c>
      <c r="AF67" t="s">
        <v>294</v>
      </c>
    </row>
    <row r="68" spans="1:32">
      <c r="A68" t="s">
        <v>280</v>
      </c>
      <c r="B68" t="s">
        <v>287</v>
      </c>
      <c r="C68" t="s">
        <v>49</v>
      </c>
      <c r="E68" t="s">
        <v>288</v>
      </c>
      <c r="F68" t="s">
        <v>108</v>
      </c>
      <c r="G68" t="s">
        <v>109</v>
      </c>
      <c r="H68" t="s">
        <v>100</v>
      </c>
      <c r="I68" s="2">
        <v>0</v>
      </c>
      <c r="J68" s="2">
        <v>720</v>
      </c>
      <c r="K68" t="s">
        <v>65</v>
      </c>
      <c r="L68" s="2"/>
      <c r="M68" s="2"/>
      <c r="N68" s="2"/>
      <c r="O68" s="2"/>
      <c r="P68" s="2"/>
      <c r="S68">
        <v>231</v>
      </c>
      <c r="T68" t="s">
        <v>295</v>
      </c>
      <c r="U68" t="s">
        <v>75</v>
      </c>
      <c r="W68" t="s">
        <v>296</v>
      </c>
      <c r="X68" t="s">
        <v>292</v>
      </c>
      <c r="Y68" t="s">
        <v>100</v>
      </c>
      <c r="Z68" t="s">
        <v>288</v>
      </c>
      <c r="AA68" t="s">
        <v>280</v>
      </c>
      <c r="AC68" t="s">
        <v>109</v>
      </c>
      <c r="AD68" t="s">
        <v>108</v>
      </c>
    </row>
    <row r="69" spans="1:32">
      <c r="A69" t="s">
        <v>297</v>
      </c>
      <c r="B69" t="s">
        <v>298</v>
      </c>
      <c r="C69" t="s">
        <v>49</v>
      </c>
      <c r="E69" t="s">
        <v>50</v>
      </c>
      <c r="F69" t="s">
        <v>51</v>
      </c>
      <c r="G69" t="s">
        <v>52</v>
      </c>
      <c r="H69" t="s">
        <v>53</v>
      </c>
      <c r="I69" s="2">
        <v>180000</v>
      </c>
      <c r="J69" s="2">
        <v>1281600</v>
      </c>
      <c r="K69" t="s">
        <v>54</v>
      </c>
      <c r="L69" s="2">
        <v>180000</v>
      </c>
      <c r="M69" s="6">
        <v>6.8109</v>
      </c>
      <c r="N69" s="2">
        <v>1227055.4430379746</v>
      </c>
      <c r="O69" s="2">
        <f>L69*M69</f>
        <v>1225962</v>
      </c>
      <c r="P69" s="2">
        <f>N69-O69</f>
        <v>1093.4430379746482</v>
      </c>
      <c r="Q69" t="s">
        <v>55</v>
      </c>
      <c r="R69" t="s">
        <v>299</v>
      </c>
      <c r="S69">
        <v>252</v>
      </c>
      <c r="T69" t="s">
        <v>300</v>
      </c>
      <c r="U69" t="s">
        <v>58</v>
      </c>
      <c r="V69" t="s">
        <v>301</v>
      </c>
      <c r="W69" t="s">
        <v>302</v>
      </c>
      <c r="X69" t="s">
        <v>303</v>
      </c>
      <c r="Y69" t="s">
        <v>53</v>
      </c>
      <c r="Z69" t="s">
        <v>50</v>
      </c>
      <c r="AA69" t="s">
        <v>297</v>
      </c>
      <c r="AB69" t="s">
        <v>62</v>
      </c>
      <c r="AC69" t="s">
        <v>52</v>
      </c>
      <c r="AD69" t="s">
        <v>51</v>
      </c>
    </row>
    <row r="70" spans="1:32">
      <c r="A70" t="s">
        <v>297</v>
      </c>
      <c r="B70" t="s">
        <v>298</v>
      </c>
      <c r="C70" t="s">
        <v>49</v>
      </c>
      <c r="E70" t="s">
        <v>50</v>
      </c>
      <c r="F70" t="s">
        <v>63</v>
      </c>
      <c r="G70" t="s">
        <v>64</v>
      </c>
      <c r="H70" t="s">
        <v>125</v>
      </c>
      <c r="I70" s="2">
        <v>-180000</v>
      </c>
      <c r="J70" s="2">
        <v>-1281600</v>
      </c>
      <c r="K70" t="s">
        <v>65</v>
      </c>
      <c r="L70" s="2"/>
      <c r="M70" s="2"/>
      <c r="N70" s="2"/>
      <c r="O70" s="2"/>
      <c r="P70" s="2"/>
      <c r="S70">
        <v>253</v>
      </c>
      <c r="T70" t="s">
        <v>304</v>
      </c>
      <c r="U70" t="s">
        <v>58</v>
      </c>
      <c r="X70" t="s">
        <v>303</v>
      </c>
      <c r="Y70" t="s">
        <v>125</v>
      </c>
      <c r="Z70" t="s">
        <v>50</v>
      </c>
      <c r="AA70" t="s">
        <v>297</v>
      </c>
      <c r="AB70" t="s">
        <v>62</v>
      </c>
      <c r="AC70" t="s">
        <v>64</v>
      </c>
      <c r="AD70" t="s">
        <v>63</v>
      </c>
      <c r="AE70" t="s">
        <v>301</v>
      </c>
      <c r="AF70" t="s">
        <v>302</v>
      </c>
    </row>
    <row r="71" spans="1:32">
      <c r="A71" t="s">
        <v>305</v>
      </c>
      <c r="B71" t="s">
        <v>306</v>
      </c>
      <c r="C71" t="s">
        <v>176</v>
      </c>
      <c r="D71" t="s">
        <v>177</v>
      </c>
      <c r="E71" t="s">
        <v>178</v>
      </c>
      <c r="F71" t="s">
        <v>179</v>
      </c>
      <c r="G71" t="s">
        <v>180</v>
      </c>
      <c r="H71" t="s">
        <v>181</v>
      </c>
      <c r="I71" s="2">
        <v>2000000</v>
      </c>
      <c r="J71" s="2">
        <v>96400</v>
      </c>
      <c r="K71" t="s">
        <v>54</v>
      </c>
      <c r="L71" s="2">
        <v>0</v>
      </c>
      <c r="M71" s="6">
        <v>0</v>
      </c>
      <c r="N71" s="2">
        <v>1200</v>
      </c>
      <c r="O71" s="2"/>
      <c r="P71" s="2">
        <f>N71</f>
        <v>1200</v>
      </c>
      <c r="Q71" t="s">
        <v>182</v>
      </c>
      <c r="R71" t="s">
        <v>183</v>
      </c>
      <c r="S71">
        <v>254</v>
      </c>
      <c r="T71" t="s">
        <v>307</v>
      </c>
      <c r="U71" t="s">
        <v>58</v>
      </c>
      <c r="V71" t="s">
        <v>185</v>
      </c>
      <c r="W71" t="s">
        <v>186</v>
      </c>
      <c r="X71" t="s">
        <v>308</v>
      </c>
      <c r="Y71" t="s">
        <v>181</v>
      </c>
      <c r="Z71" t="s">
        <v>178</v>
      </c>
      <c r="AA71" t="s">
        <v>305</v>
      </c>
      <c r="AB71" t="s">
        <v>188</v>
      </c>
      <c r="AC71" t="s">
        <v>180</v>
      </c>
      <c r="AD71" t="s">
        <v>179</v>
      </c>
    </row>
    <row r="72" spans="1:32">
      <c r="A72" t="s">
        <v>305</v>
      </c>
      <c r="B72" t="s">
        <v>306</v>
      </c>
      <c r="C72" t="s">
        <v>176</v>
      </c>
      <c r="D72" t="s">
        <v>177</v>
      </c>
      <c r="E72" t="s">
        <v>178</v>
      </c>
      <c r="F72" t="s">
        <v>98</v>
      </c>
      <c r="G72" t="s">
        <v>99</v>
      </c>
      <c r="H72" t="s">
        <v>100</v>
      </c>
      <c r="I72" s="2">
        <v>0</v>
      </c>
      <c r="J72" s="2">
        <v>-97600</v>
      </c>
      <c r="K72" t="s">
        <v>65</v>
      </c>
      <c r="L72" s="2"/>
      <c r="M72" s="2"/>
      <c r="N72" s="2"/>
      <c r="O72" s="2"/>
      <c r="P72" s="2"/>
      <c r="S72">
        <v>255</v>
      </c>
      <c r="T72" t="s">
        <v>309</v>
      </c>
      <c r="U72" t="s">
        <v>58</v>
      </c>
      <c r="X72" t="s">
        <v>308</v>
      </c>
      <c r="Y72" t="s">
        <v>100</v>
      </c>
      <c r="Z72" t="s">
        <v>178</v>
      </c>
      <c r="AA72" t="s">
        <v>305</v>
      </c>
      <c r="AC72" t="s">
        <v>99</v>
      </c>
      <c r="AD72" t="s">
        <v>98</v>
      </c>
      <c r="AF72" t="s">
        <v>190</v>
      </c>
    </row>
    <row r="73" spans="1:32">
      <c r="A73" t="s">
        <v>305</v>
      </c>
      <c r="B73" t="s">
        <v>306</v>
      </c>
      <c r="C73" t="s">
        <v>176</v>
      </c>
      <c r="D73" t="s">
        <v>177</v>
      </c>
      <c r="E73" t="s">
        <v>178</v>
      </c>
      <c r="F73" t="s">
        <v>108</v>
      </c>
      <c r="G73" t="s">
        <v>109</v>
      </c>
      <c r="H73" t="s">
        <v>100</v>
      </c>
      <c r="I73" s="2">
        <v>0</v>
      </c>
      <c r="J73" s="2">
        <v>1200</v>
      </c>
      <c r="K73" t="s">
        <v>65</v>
      </c>
      <c r="L73" s="2"/>
      <c r="M73" s="2"/>
      <c r="N73" s="2"/>
      <c r="O73" s="2"/>
      <c r="P73" s="2"/>
      <c r="S73">
        <v>256</v>
      </c>
      <c r="T73" t="s">
        <v>121</v>
      </c>
      <c r="U73" t="s">
        <v>58</v>
      </c>
      <c r="W73" t="s">
        <v>121</v>
      </c>
      <c r="X73" t="s">
        <v>308</v>
      </c>
      <c r="Y73" t="s">
        <v>100</v>
      </c>
      <c r="Z73" t="s">
        <v>178</v>
      </c>
      <c r="AA73" t="s">
        <v>305</v>
      </c>
      <c r="AC73" t="s">
        <v>109</v>
      </c>
      <c r="AD73" t="s">
        <v>108</v>
      </c>
    </row>
    <row r="74" spans="1:32">
      <c r="A74" t="s">
        <v>310</v>
      </c>
      <c r="B74" t="s">
        <v>311</v>
      </c>
      <c r="C74" t="s">
        <v>49</v>
      </c>
      <c r="E74" t="s">
        <v>132</v>
      </c>
      <c r="F74" t="s">
        <v>98</v>
      </c>
      <c r="G74" t="s">
        <v>99</v>
      </c>
      <c r="H74" t="s">
        <v>100</v>
      </c>
      <c r="I74" s="2">
        <v>0</v>
      </c>
      <c r="J74" s="2">
        <v>196500</v>
      </c>
      <c r="K74" t="s">
        <v>54</v>
      </c>
      <c r="L74" s="2">
        <v>25000</v>
      </c>
      <c r="M74" s="6">
        <v>7.86</v>
      </c>
      <c r="N74" s="2">
        <v>197900</v>
      </c>
      <c r="O74" s="2">
        <f>L74*M74</f>
        <v>196500</v>
      </c>
      <c r="P74" s="2">
        <f>N74-O74</f>
        <v>1400</v>
      </c>
      <c r="Q74" t="s">
        <v>55</v>
      </c>
      <c r="R74" t="s">
        <v>312</v>
      </c>
      <c r="S74">
        <v>264</v>
      </c>
      <c r="T74" t="s">
        <v>313</v>
      </c>
      <c r="U74" t="s">
        <v>58</v>
      </c>
      <c r="W74" t="s">
        <v>314</v>
      </c>
      <c r="X74" t="s">
        <v>315</v>
      </c>
      <c r="Y74" t="s">
        <v>100</v>
      </c>
      <c r="Z74" t="s">
        <v>132</v>
      </c>
      <c r="AA74" t="s">
        <v>310</v>
      </c>
      <c r="AC74" t="s">
        <v>99</v>
      </c>
      <c r="AD74" t="s">
        <v>98</v>
      </c>
    </row>
    <row r="75" spans="1:32">
      <c r="A75" t="s">
        <v>310</v>
      </c>
      <c r="B75" t="s">
        <v>311</v>
      </c>
      <c r="C75" t="s">
        <v>49</v>
      </c>
      <c r="E75" t="s">
        <v>132</v>
      </c>
      <c r="F75" t="s">
        <v>137</v>
      </c>
      <c r="G75" t="s">
        <v>138</v>
      </c>
      <c r="H75" t="s">
        <v>139</v>
      </c>
      <c r="I75" s="2">
        <v>-25000</v>
      </c>
      <c r="J75" s="2">
        <v>-195750</v>
      </c>
      <c r="K75" t="s">
        <v>65</v>
      </c>
      <c r="L75" s="2"/>
      <c r="M75" s="2"/>
      <c r="N75" s="2"/>
      <c r="O75" s="2"/>
      <c r="P75" s="2"/>
      <c r="S75">
        <v>265</v>
      </c>
      <c r="T75" t="s">
        <v>316</v>
      </c>
      <c r="U75" t="s">
        <v>75</v>
      </c>
      <c r="X75" t="s">
        <v>315</v>
      </c>
      <c r="Y75" t="s">
        <v>139</v>
      </c>
      <c r="Z75" t="s">
        <v>132</v>
      </c>
      <c r="AA75" t="s">
        <v>310</v>
      </c>
      <c r="AB75" t="s">
        <v>141</v>
      </c>
      <c r="AC75" t="s">
        <v>138</v>
      </c>
      <c r="AD75" t="s">
        <v>137</v>
      </c>
      <c r="AE75" t="s">
        <v>142</v>
      </c>
      <c r="AF75" t="s">
        <v>143</v>
      </c>
    </row>
    <row r="76" spans="1:32">
      <c r="A76" t="s">
        <v>310</v>
      </c>
      <c r="B76" t="s">
        <v>311</v>
      </c>
      <c r="C76" t="s">
        <v>49</v>
      </c>
      <c r="E76" t="s">
        <v>132</v>
      </c>
      <c r="F76" t="s">
        <v>108</v>
      </c>
      <c r="G76" t="s">
        <v>109</v>
      </c>
      <c r="H76" t="s">
        <v>100</v>
      </c>
      <c r="I76" s="2">
        <v>0</v>
      </c>
      <c r="J76" s="2">
        <v>-750</v>
      </c>
      <c r="K76" t="s">
        <v>65</v>
      </c>
      <c r="L76" s="2"/>
      <c r="M76" s="2"/>
      <c r="N76" s="2"/>
      <c r="O76" s="2"/>
      <c r="P76" s="2"/>
      <c r="S76">
        <v>266</v>
      </c>
      <c r="T76" t="s">
        <v>317</v>
      </c>
      <c r="U76" t="s">
        <v>58</v>
      </c>
      <c r="X76" t="s">
        <v>315</v>
      </c>
      <c r="Y76" t="s">
        <v>100</v>
      </c>
      <c r="Z76" t="s">
        <v>132</v>
      </c>
      <c r="AA76" t="s">
        <v>310</v>
      </c>
      <c r="AC76" t="s">
        <v>109</v>
      </c>
      <c r="AD76" t="s">
        <v>108</v>
      </c>
      <c r="AF76" t="s">
        <v>318</v>
      </c>
    </row>
    <row r="77" spans="1:32">
      <c r="A77" t="s">
        <v>319</v>
      </c>
      <c r="B77" t="s">
        <v>320</v>
      </c>
      <c r="C77" t="s">
        <v>49</v>
      </c>
      <c r="E77" t="s">
        <v>69</v>
      </c>
      <c r="F77" t="s">
        <v>70</v>
      </c>
      <c r="G77" t="s">
        <v>71</v>
      </c>
      <c r="H77" t="s">
        <v>53</v>
      </c>
      <c r="I77" s="2">
        <v>60000</v>
      </c>
      <c r="J77" s="2">
        <v>427200</v>
      </c>
      <c r="K77" t="s">
        <v>54</v>
      </c>
      <c r="L77" s="2">
        <v>60000</v>
      </c>
      <c r="M77" s="6">
        <v>6.815</v>
      </c>
      <c r="N77" s="2">
        <v>408991.6</v>
      </c>
      <c r="O77" s="2">
        <f>L77*M77</f>
        <v>408900</v>
      </c>
      <c r="P77" s="2">
        <f>O77-N77</f>
        <v>-91.59999999997672</v>
      </c>
      <c r="Q77" t="s">
        <v>72</v>
      </c>
      <c r="R77" t="s">
        <v>321</v>
      </c>
      <c r="S77">
        <v>274</v>
      </c>
      <c r="T77" t="s">
        <v>322</v>
      </c>
      <c r="U77" t="s">
        <v>75</v>
      </c>
      <c r="V77" t="s">
        <v>106</v>
      </c>
      <c r="W77" t="s">
        <v>107</v>
      </c>
      <c r="X77" t="s">
        <v>323</v>
      </c>
      <c r="Y77" t="s">
        <v>53</v>
      </c>
      <c r="Z77" t="s">
        <v>69</v>
      </c>
      <c r="AA77" t="s">
        <v>319</v>
      </c>
      <c r="AB77" t="s">
        <v>62</v>
      </c>
      <c r="AC77" t="s">
        <v>71</v>
      </c>
      <c r="AD77" t="s">
        <v>70</v>
      </c>
    </row>
    <row r="78" spans="1:32">
      <c r="A78" t="s">
        <v>319</v>
      </c>
      <c r="B78" t="s">
        <v>320</v>
      </c>
      <c r="C78" t="s">
        <v>49</v>
      </c>
      <c r="E78" t="s">
        <v>69</v>
      </c>
      <c r="F78" t="s">
        <v>51</v>
      </c>
      <c r="G78" t="s">
        <v>52</v>
      </c>
      <c r="H78" t="s">
        <v>53</v>
      </c>
      <c r="I78" s="2">
        <v>-60000</v>
      </c>
      <c r="J78" s="2">
        <v>-427200</v>
      </c>
      <c r="K78" t="s">
        <v>65</v>
      </c>
      <c r="L78" s="2"/>
      <c r="M78" s="2"/>
      <c r="N78" s="2"/>
      <c r="O78" s="2"/>
      <c r="P78" s="2"/>
      <c r="S78">
        <v>275</v>
      </c>
      <c r="T78" t="s">
        <v>324</v>
      </c>
      <c r="U78" t="s">
        <v>58</v>
      </c>
      <c r="X78" t="s">
        <v>323</v>
      </c>
      <c r="Y78" t="s">
        <v>53</v>
      </c>
      <c r="Z78" t="s">
        <v>69</v>
      </c>
      <c r="AA78" t="s">
        <v>319</v>
      </c>
      <c r="AB78" t="s">
        <v>62</v>
      </c>
      <c r="AC78" t="s">
        <v>52</v>
      </c>
      <c r="AD78" t="s">
        <v>51</v>
      </c>
      <c r="AE78" t="s">
        <v>106</v>
      </c>
      <c r="AF78" t="s">
        <v>107</v>
      </c>
    </row>
    <row r="79" spans="1:32">
      <c r="A79" t="s">
        <v>325</v>
      </c>
      <c r="B79" t="s">
        <v>326</v>
      </c>
      <c r="C79" t="s">
        <v>49</v>
      </c>
      <c r="E79" t="s">
        <v>82</v>
      </c>
      <c r="F79" t="s">
        <v>83</v>
      </c>
      <c r="G79" t="s">
        <v>84</v>
      </c>
      <c r="H79" t="s">
        <v>85</v>
      </c>
      <c r="I79" s="2">
        <v>45000</v>
      </c>
      <c r="J79" s="2">
        <v>40950</v>
      </c>
      <c r="K79" t="s">
        <v>54</v>
      </c>
      <c r="L79" s="2">
        <v>45000</v>
      </c>
      <c r="M79" s="6">
        <v>0.8697499999999999</v>
      </c>
      <c r="N79" s="2">
        <v>39158.589130434775</v>
      </c>
      <c r="O79" s="2">
        <f>L79*M79</f>
        <v>39138.74999999999</v>
      </c>
      <c r="P79" s="2">
        <f>O79-N79</f>
        <v>-19.83913043478242</v>
      </c>
      <c r="Q79" t="s">
        <v>72</v>
      </c>
      <c r="R79" t="s">
        <v>327</v>
      </c>
      <c r="S79">
        <v>278</v>
      </c>
      <c r="T79" t="s">
        <v>87</v>
      </c>
      <c r="U79" t="s">
        <v>75</v>
      </c>
      <c r="V79" t="s">
        <v>328</v>
      </c>
      <c r="W79" t="s">
        <v>329</v>
      </c>
      <c r="X79" t="s">
        <v>330</v>
      </c>
      <c r="Y79" t="s">
        <v>85</v>
      </c>
      <c r="Z79" t="s">
        <v>82</v>
      </c>
      <c r="AA79" t="s">
        <v>325</v>
      </c>
      <c r="AB79" t="s">
        <v>91</v>
      </c>
      <c r="AC79" t="s">
        <v>84</v>
      </c>
      <c r="AD79" t="s">
        <v>83</v>
      </c>
    </row>
    <row r="80" spans="1:32">
      <c r="A80" t="s">
        <v>325</v>
      </c>
      <c r="B80" t="s">
        <v>326</v>
      </c>
      <c r="C80" t="s">
        <v>49</v>
      </c>
      <c r="E80" t="s">
        <v>82</v>
      </c>
      <c r="F80" t="s">
        <v>92</v>
      </c>
      <c r="G80" t="s">
        <v>93</v>
      </c>
      <c r="H80" t="s">
        <v>85</v>
      </c>
      <c r="I80" s="2">
        <v>-45000</v>
      </c>
      <c r="J80" s="2">
        <v>-40950</v>
      </c>
      <c r="K80" t="s">
        <v>65</v>
      </c>
      <c r="L80" s="2"/>
      <c r="M80" s="2"/>
      <c r="N80" s="2"/>
      <c r="O80" s="2"/>
      <c r="P80" s="2"/>
      <c r="S80">
        <v>279</v>
      </c>
      <c r="T80" t="s">
        <v>331</v>
      </c>
      <c r="U80" t="s">
        <v>58</v>
      </c>
      <c r="X80" t="s">
        <v>330</v>
      </c>
      <c r="Y80" t="s">
        <v>85</v>
      </c>
      <c r="Z80" t="s">
        <v>82</v>
      </c>
      <c r="AA80" t="s">
        <v>325</v>
      </c>
      <c r="AB80" t="s">
        <v>91</v>
      </c>
      <c r="AC80" t="s">
        <v>93</v>
      </c>
      <c r="AD80" t="s">
        <v>92</v>
      </c>
      <c r="AE80" t="s">
        <v>328</v>
      </c>
      <c r="AF80" t="s">
        <v>329</v>
      </c>
    </row>
    <row r="81" spans="1:32">
      <c r="A81" t="s">
        <v>332</v>
      </c>
      <c r="B81" t="s">
        <v>333</v>
      </c>
      <c r="C81" t="s">
        <v>49</v>
      </c>
      <c r="E81" t="s">
        <v>97</v>
      </c>
      <c r="F81" t="s">
        <v>98</v>
      </c>
      <c r="G81" t="s">
        <v>99</v>
      </c>
      <c r="H81" t="s">
        <v>100</v>
      </c>
      <c r="I81" s="2">
        <v>0</v>
      </c>
      <c r="J81" s="2">
        <v>501900</v>
      </c>
      <c r="K81" t="s">
        <v>54</v>
      </c>
      <c r="L81" s="2">
        <v>70000</v>
      </c>
      <c r="M81" s="6">
        <v>7.17</v>
      </c>
      <c r="N81" s="2">
        <v>477100.75</v>
      </c>
      <c r="O81" s="2">
        <f>L81*M81</f>
        <v>501900</v>
      </c>
      <c r="P81" s="2">
        <f>N81-O81</f>
        <v>-24799.25</v>
      </c>
      <c r="Q81" t="s">
        <v>55</v>
      </c>
      <c r="R81" t="s">
        <v>334</v>
      </c>
      <c r="S81">
        <v>280</v>
      </c>
      <c r="T81" t="s">
        <v>335</v>
      </c>
      <c r="U81" t="s">
        <v>58</v>
      </c>
      <c r="W81" t="s">
        <v>336</v>
      </c>
      <c r="X81" t="s">
        <v>337</v>
      </c>
      <c r="Y81" t="s">
        <v>100</v>
      </c>
      <c r="Z81" t="s">
        <v>97</v>
      </c>
      <c r="AA81" t="s">
        <v>332</v>
      </c>
      <c r="AC81" t="s">
        <v>99</v>
      </c>
      <c r="AD81" t="s">
        <v>98</v>
      </c>
    </row>
    <row r="82" spans="1:32">
      <c r="A82" t="s">
        <v>332</v>
      </c>
      <c r="B82" t="s">
        <v>333</v>
      </c>
      <c r="C82" t="s">
        <v>49</v>
      </c>
      <c r="E82" t="s">
        <v>97</v>
      </c>
      <c r="F82" t="s">
        <v>51</v>
      </c>
      <c r="G82" t="s">
        <v>52</v>
      </c>
      <c r="H82" t="s">
        <v>53</v>
      </c>
      <c r="I82" s="2">
        <v>-70000</v>
      </c>
      <c r="J82" s="2">
        <v>-498400</v>
      </c>
      <c r="K82" t="s">
        <v>65</v>
      </c>
      <c r="L82" s="2"/>
      <c r="M82" s="2"/>
      <c r="N82" s="2"/>
      <c r="O82" s="2"/>
      <c r="P82" s="2"/>
      <c r="S82">
        <v>281</v>
      </c>
      <c r="T82" t="s">
        <v>338</v>
      </c>
      <c r="U82" t="s">
        <v>58</v>
      </c>
      <c r="X82" t="s">
        <v>337</v>
      </c>
      <c r="Y82" t="s">
        <v>53</v>
      </c>
      <c r="Z82" t="s">
        <v>97</v>
      </c>
      <c r="AA82" t="s">
        <v>332</v>
      </c>
      <c r="AB82" t="s">
        <v>62</v>
      </c>
      <c r="AC82" t="s">
        <v>52</v>
      </c>
      <c r="AD82" t="s">
        <v>51</v>
      </c>
      <c r="AE82" t="s">
        <v>277</v>
      </c>
      <c r="AF82" t="s">
        <v>278</v>
      </c>
    </row>
    <row r="83" spans="1:32">
      <c r="A83" t="s">
        <v>332</v>
      </c>
      <c r="B83" t="s">
        <v>333</v>
      </c>
      <c r="C83" t="s">
        <v>49</v>
      </c>
      <c r="E83" t="s">
        <v>97</v>
      </c>
      <c r="F83" t="s">
        <v>108</v>
      </c>
      <c r="G83" t="s">
        <v>109</v>
      </c>
      <c r="H83" t="s">
        <v>100</v>
      </c>
      <c r="I83" s="2">
        <v>0</v>
      </c>
      <c r="J83" s="2">
        <v>-3500</v>
      </c>
      <c r="K83" t="s">
        <v>65</v>
      </c>
      <c r="L83" s="2"/>
      <c r="M83" s="2"/>
      <c r="N83" s="2"/>
      <c r="O83" s="2"/>
      <c r="P83" s="2"/>
      <c r="S83">
        <v>282</v>
      </c>
      <c r="T83" t="s">
        <v>339</v>
      </c>
      <c r="U83" t="s">
        <v>75</v>
      </c>
      <c r="X83" t="s">
        <v>337</v>
      </c>
      <c r="Y83" t="s">
        <v>100</v>
      </c>
      <c r="Z83" t="s">
        <v>97</v>
      </c>
      <c r="AA83" t="s">
        <v>332</v>
      </c>
      <c r="AC83" t="s">
        <v>109</v>
      </c>
      <c r="AD83" t="s">
        <v>108</v>
      </c>
      <c r="AF83" t="s">
        <v>340</v>
      </c>
    </row>
    <row r="84" spans="1:32">
      <c r="A84" t="s">
        <v>341</v>
      </c>
      <c r="B84" t="s">
        <v>342</v>
      </c>
      <c r="C84" t="s">
        <v>49</v>
      </c>
      <c r="E84" t="s">
        <v>113</v>
      </c>
      <c r="F84" t="s">
        <v>51</v>
      </c>
      <c r="G84" t="s">
        <v>52</v>
      </c>
      <c r="H84" t="s">
        <v>53</v>
      </c>
      <c r="I84" s="2">
        <v>30000</v>
      </c>
      <c r="J84" s="2">
        <v>213600</v>
      </c>
      <c r="K84" t="s">
        <v>54</v>
      </c>
      <c r="L84" s="2">
        <v>30000</v>
      </c>
      <c r="M84" s="6">
        <v>6.816599999999999</v>
      </c>
      <c r="N84" s="2">
        <v>204497.99999999997</v>
      </c>
      <c r="O84" s="2">
        <f>L84*M84</f>
        <v>204497.99999999997</v>
      </c>
      <c r="P84" s="2">
        <f>O84-N84</f>
        <v>10002.00000000003</v>
      </c>
      <c r="Q84" t="s">
        <v>72</v>
      </c>
      <c r="R84" t="s">
        <v>343</v>
      </c>
      <c r="S84">
        <v>283</v>
      </c>
      <c r="T84" t="s">
        <v>344</v>
      </c>
      <c r="U84" t="s">
        <v>58</v>
      </c>
      <c r="V84" t="s">
        <v>116</v>
      </c>
      <c r="W84" t="s">
        <v>117</v>
      </c>
      <c r="X84" t="s">
        <v>345</v>
      </c>
      <c r="Y84" t="s">
        <v>53</v>
      </c>
      <c r="Z84" t="s">
        <v>113</v>
      </c>
      <c r="AA84" t="s">
        <v>341</v>
      </c>
      <c r="AB84" t="s">
        <v>62</v>
      </c>
      <c r="AC84" t="s">
        <v>52</v>
      </c>
      <c r="AD84" t="s">
        <v>51</v>
      </c>
    </row>
    <row r="85" spans="1:32">
      <c r="A85" t="s">
        <v>341</v>
      </c>
      <c r="B85" t="s">
        <v>342</v>
      </c>
      <c r="C85" t="s">
        <v>49</v>
      </c>
      <c r="E85" t="s">
        <v>113</v>
      </c>
      <c r="F85" t="s">
        <v>98</v>
      </c>
      <c r="G85" t="s">
        <v>99</v>
      </c>
      <c r="H85" t="s">
        <v>100</v>
      </c>
      <c r="I85" s="2">
        <v>0</v>
      </c>
      <c r="J85" s="2">
        <v>-214500</v>
      </c>
      <c r="K85" t="s">
        <v>65</v>
      </c>
      <c r="L85" s="2"/>
      <c r="M85" s="2"/>
      <c r="N85" s="2"/>
      <c r="O85" s="2"/>
      <c r="P85" s="2"/>
      <c r="S85">
        <v>284</v>
      </c>
      <c r="T85" t="s">
        <v>346</v>
      </c>
      <c r="U85" t="s">
        <v>58</v>
      </c>
      <c r="X85" t="s">
        <v>345</v>
      </c>
      <c r="Y85" t="s">
        <v>100</v>
      </c>
      <c r="Z85" t="s">
        <v>113</v>
      </c>
      <c r="AA85" t="s">
        <v>341</v>
      </c>
      <c r="AC85" t="s">
        <v>99</v>
      </c>
      <c r="AD85" t="s">
        <v>98</v>
      </c>
      <c r="AF85" t="s">
        <v>256</v>
      </c>
    </row>
    <row r="86" spans="1:32">
      <c r="A86" t="s">
        <v>341</v>
      </c>
      <c r="B86" t="s">
        <v>342</v>
      </c>
      <c r="C86" t="s">
        <v>49</v>
      </c>
      <c r="E86" t="s">
        <v>113</v>
      </c>
      <c r="F86" t="s">
        <v>108</v>
      </c>
      <c r="G86" t="s">
        <v>109</v>
      </c>
      <c r="H86" t="s">
        <v>100</v>
      </c>
      <c r="I86" s="2">
        <v>0</v>
      </c>
      <c r="J86" s="2">
        <v>900</v>
      </c>
      <c r="K86" t="s">
        <v>65</v>
      </c>
      <c r="L86" s="2"/>
      <c r="M86" s="2"/>
      <c r="N86" s="2"/>
      <c r="O86" s="2"/>
      <c r="P86" s="2"/>
      <c r="S86">
        <v>285</v>
      </c>
      <c r="T86" t="s">
        <v>347</v>
      </c>
      <c r="U86" t="s">
        <v>75</v>
      </c>
      <c r="W86" t="s">
        <v>258</v>
      </c>
      <c r="X86" t="s">
        <v>345</v>
      </c>
      <c r="Y86" t="s">
        <v>100</v>
      </c>
      <c r="Z86" t="s">
        <v>113</v>
      </c>
      <c r="AA86" t="s">
        <v>341</v>
      </c>
      <c r="AC86" t="s">
        <v>109</v>
      </c>
      <c r="AD8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24.7109375" customWidth="1"/>
    <col min="4" max="4" width="18.7109375" customWidth="1"/>
    <col min="5" max="5" width="38.7109375" customWidth="1"/>
    <col min="6" max="6" width="10.7109375" customWidth="1"/>
    <col min="7" max="7" width="16.7109375" customWidth="1"/>
    <col min="8" max="8" width="48.7109375" customWidth="1"/>
    <col min="9" max="9" width="12.7109375" customWidth="1"/>
    <col min="10" max="10" width="20.7109375" customWidth="1"/>
    <col min="11" max="12" width="24.7109375" customWidth="1"/>
    <col min="13" max="13" width="28.7109375" customWidth="1"/>
    <col min="14" max="14" width="18.7109375" customWidth="1"/>
    <col min="15" max="15" width="20.7109375" customWidth="1"/>
    <col min="16" max="16" width="58.7109375" customWidth="1"/>
  </cols>
  <sheetData>
    <row r="1" spans="1:16">
      <c r="A1" s="1" t="s">
        <v>348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25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360</v>
      </c>
      <c r="O1" s="1" t="s">
        <v>361</v>
      </c>
      <c r="P1" s="1" t="s">
        <v>362</v>
      </c>
    </row>
    <row r="2" spans="1:16">
      <c r="A2" s="5" t="s">
        <v>49</v>
      </c>
      <c r="B2" s="5" t="s">
        <v>47</v>
      </c>
      <c r="C2" s="5" t="s">
        <v>48</v>
      </c>
      <c r="D2" s="5" t="s">
        <v>3</v>
      </c>
      <c r="E2" s="5" t="s">
        <v>363</v>
      </c>
      <c r="F2" s="5" t="s">
        <v>364</v>
      </c>
      <c r="G2" s="6">
        <v>7.12</v>
      </c>
      <c r="H2" s="5" t="s">
        <v>365</v>
      </c>
      <c r="I2" s="5" t="s">
        <v>366</v>
      </c>
      <c r="J2" s="6">
        <v>7.0288</v>
      </c>
      <c r="K2" s="6">
        <v>7.010800000000001</v>
      </c>
      <c r="L2" s="6">
        <v>0.09119999999999973</v>
      </c>
      <c r="M2" s="6">
        <v>0.10919999999999952</v>
      </c>
      <c r="N2" s="2">
        <v>100000</v>
      </c>
      <c r="O2" s="2">
        <v>-3818.4615384615026</v>
      </c>
      <c r="P2" s="5" t="s">
        <v>367</v>
      </c>
    </row>
    <row r="3" spans="1:16">
      <c r="A3" s="5" t="s">
        <v>49</v>
      </c>
      <c r="B3" s="5" t="s">
        <v>67</v>
      </c>
      <c r="C3" s="5" t="s">
        <v>68</v>
      </c>
      <c r="D3" s="5" t="s">
        <v>3</v>
      </c>
      <c r="E3" s="5" t="s">
        <v>368</v>
      </c>
      <c r="F3" s="5" t="s">
        <v>364</v>
      </c>
      <c r="G3" s="6">
        <v>7.12</v>
      </c>
      <c r="H3" s="5" t="s">
        <v>365</v>
      </c>
      <c r="I3" s="5" t="s">
        <v>366</v>
      </c>
      <c r="J3" s="6">
        <v>7.0288</v>
      </c>
      <c r="K3" s="6">
        <v>7.001900000000001</v>
      </c>
      <c r="L3" s="6">
        <v>0.09119999999999973</v>
      </c>
      <c r="M3" s="6">
        <v>0.1180999999999992</v>
      </c>
      <c r="N3" s="2">
        <v>50000</v>
      </c>
      <c r="O3" s="2">
        <v>-1402.5</v>
      </c>
      <c r="P3" s="5" t="s">
        <v>367</v>
      </c>
    </row>
    <row r="4" spans="1:16">
      <c r="A4" s="5" t="s">
        <v>49</v>
      </c>
      <c r="B4" s="5" t="s">
        <v>80</v>
      </c>
      <c r="C4" s="5" t="s">
        <v>81</v>
      </c>
      <c r="D4" s="5" t="s">
        <v>3</v>
      </c>
      <c r="E4" s="5" t="s">
        <v>369</v>
      </c>
      <c r="F4" s="5" t="s">
        <v>370</v>
      </c>
      <c r="G4" s="6">
        <v>0.91</v>
      </c>
      <c r="H4" s="5" t="s">
        <v>365</v>
      </c>
      <c r="I4" s="5" t="s">
        <v>366</v>
      </c>
      <c r="J4" s="6">
        <v>0.90322</v>
      </c>
      <c r="K4" s="6">
        <v>0.89676</v>
      </c>
      <c r="L4" s="6">
        <v>0.006780000000000008</v>
      </c>
      <c r="M4" s="6">
        <v>0.01324000000000003</v>
      </c>
      <c r="N4" s="2">
        <v>40000</v>
      </c>
      <c r="O4" s="2">
        <v>-62.30588235293544</v>
      </c>
      <c r="P4" s="5" t="s">
        <v>367</v>
      </c>
    </row>
    <row r="5" spans="1:16">
      <c r="A5" s="5" t="s">
        <v>49</v>
      </c>
      <c r="B5" s="5" t="s">
        <v>95</v>
      </c>
      <c r="C5" s="5" t="s">
        <v>96</v>
      </c>
      <c r="D5" s="5" t="s">
        <v>3</v>
      </c>
      <c r="E5" s="5" t="s">
        <v>371</v>
      </c>
      <c r="F5" s="5" t="s">
        <v>364</v>
      </c>
      <c r="G5" s="6">
        <v>7.12</v>
      </c>
      <c r="H5" s="5" t="s">
        <v>365</v>
      </c>
      <c r="I5" s="5" t="s">
        <v>366</v>
      </c>
      <c r="J5" s="6">
        <v>7.0288</v>
      </c>
      <c r="K5" s="6">
        <v>6.9929</v>
      </c>
      <c r="L5" s="6">
        <v>0.09119999999999973</v>
      </c>
      <c r="M5" s="6">
        <v>0.12710000000000043</v>
      </c>
      <c r="N5" s="2">
        <v>60000</v>
      </c>
      <c r="O5" s="2">
        <v>-1203.5999999999767</v>
      </c>
      <c r="P5" s="5" t="s">
        <v>367</v>
      </c>
    </row>
    <row r="6" spans="1:16">
      <c r="A6" s="5" t="s">
        <v>49</v>
      </c>
      <c r="B6" s="5" t="s">
        <v>123</v>
      </c>
      <c r="C6" s="5" t="s">
        <v>124</v>
      </c>
      <c r="D6" s="5" t="s">
        <v>3</v>
      </c>
      <c r="E6" s="5" t="s">
        <v>363</v>
      </c>
      <c r="F6" s="5" t="s">
        <v>364</v>
      </c>
      <c r="G6" s="6">
        <v>7.12</v>
      </c>
      <c r="H6" s="5" t="s">
        <v>365</v>
      </c>
      <c r="I6" s="5" t="s">
        <v>366</v>
      </c>
      <c r="J6" s="6">
        <v>6.9677999999999995</v>
      </c>
      <c r="K6" s="6">
        <v>6.9457</v>
      </c>
      <c r="L6" s="6">
        <v>0.15220000000000056</v>
      </c>
      <c r="M6" s="6">
        <v>0.17429999999999968</v>
      </c>
      <c r="N6" s="2">
        <v>100000</v>
      </c>
      <c r="O6" s="2">
        <v>-15392.800000000047</v>
      </c>
      <c r="P6" s="5" t="s">
        <v>367</v>
      </c>
    </row>
    <row r="7" spans="1:16">
      <c r="A7" s="5" t="s">
        <v>49</v>
      </c>
      <c r="B7" s="5" t="s">
        <v>130</v>
      </c>
      <c r="C7" s="5" t="s">
        <v>131</v>
      </c>
      <c r="D7" s="5" t="s">
        <v>3</v>
      </c>
      <c r="E7" s="5" t="s">
        <v>372</v>
      </c>
      <c r="F7" s="5" t="s">
        <v>373</v>
      </c>
      <c r="G7" s="6">
        <v>7.83</v>
      </c>
      <c r="H7" s="5" t="s">
        <v>365</v>
      </c>
      <c r="I7" s="5" t="s">
        <v>366</v>
      </c>
      <c r="J7" s="6">
        <v>8.3244</v>
      </c>
      <c r="K7" s="6">
        <v>8.2195</v>
      </c>
      <c r="L7" s="6">
        <v>-0.4944000000000006</v>
      </c>
      <c r="M7" s="6">
        <v>-0.38949999999999996</v>
      </c>
      <c r="N7" s="2">
        <v>25000</v>
      </c>
      <c r="O7" s="2">
        <v>12360.00000000003</v>
      </c>
      <c r="P7" s="5" t="s">
        <v>367</v>
      </c>
    </row>
    <row r="8" spans="1:16">
      <c r="A8" s="5" t="s">
        <v>49</v>
      </c>
      <c r="B8" s="5" t="s">
        <v>145</v>
      </c>
      <c r="C8" s="5" t="s">
        <v>146</v>
      </c>
      <c r="D8" s="5" t="s">
        <v>3</v>
      </c>
      <c r="E8" s="5" t="s">
        <v>368</v>
      </c>
      <c r="F8" s="5" t="s">
        <v>364</v>
      </c>
      <c r="G8" s="6">
        <v>7.12</v>
      </c>
      <c r="H8" s="5" t="s">
        <v>365</v>
      </c>
      <c r="I8" s="5" t="s">
        <v>366</v>
      </c>
      <c r="J8" s="6">
        <v>6.9677999999999995</v>
      </c>
      <c r="K8" s="6">
        <v>6.9398</v>
      </c>
      <c r="L8" s="6">
        <v>0.15220000000000056</v>
      </c>
      <c r="M8" s="6">
        <v>0.18020000000000014</v>
      </c>
      <c r="N8" s="2">
        <v>30000</v>
      </c>
      <c r="O8" s="2">
        <v>-4712.086956521729</v>
      </c>
      <c r="P8" s="5" t="s">
        <v>367</v>
      </c>
    </row>
    <row r="9" spans="1:16">
      <c r="A9" s="5" t="s">
        <v>49</v>
      </c>
      <c r="B9" s="5" t="s">
        <v>150</v>
      </c>
      <c r="C9" s="5" t="s">
        <v>151</v>
      </c>
      <c r="D9" s="5" t="s">
        <v>3</v>
      </c>
      <c r="E9" s="5" t="s">
        <v>369</v>
      </c>
      <c r="F9" s="5" t="s">
        <v>370</v>
      </c>
      <c r="G9" s="6">
        <v>0.91</v>
      </c>
      <c r="H9" s="5" t="s">
        <v>365</v>
      </c>
      <c r="I9" s="5" t="s">
        <v>366</v>
      </c>
      <c r="J9" s="6">
        <v>0.89262</v>
      </c>
      <c r="K9" s="6">
        <v>0.8877299999999999</v>
      </c>
      <c r="L9" s="6">
        <v>0.017380000000000062</v>
      </c>
      <c r="M9" s="6">
        <v>0.022270000000000123</v>
      </c>
      <c r="N9" s="2">
        <v>30000</v>
      </c>
      <c r="O9" s="2">
        <v>-534.3545454545492</v>
      </c>
      <c r="P9" s="5" t="s">
        <v>367</v>
      </c>
    </row>
    <row r="10" spans="1:16">
      <c r="A10" s="5" t="s">
        <v>49</v>
      </c>
      <c r="B10" s="5" t="s">
        <v>156</v>
      </c>
      <c r="C10" s="5" t="s">
        <v>157</v>
      </c>
      <c r="D10" s="5" t="s">
        <v>3</v>
      </c>
      <c r="E10" s="5" t="s">
        <v>371</v>
      </c>
      <c r="F10" s="5" t="s">
        <v>364</v>
      </c>
      <c r="G10" s="6">
        <v>7.12</v>
      </c>
      <c r="H10" s="5" t="s">
        <v>365</v>
      </c>
      <c r="I10" s="5" t="s">
        <v>366</v>
      </c>
      <c r="J10" s="6">
        <v>6.9677999999999995</v>
      </c>
      <c r="K10" s="6">
        <v>6.9321</v>
      </c>
      <c r="L10" s="6">
        <v>0.15220000000000056</v>
      </c>
      <c r="M10" s="6">
        <v>0.18789999999999996</v>
      </c>
      <c r="N10" s="2">
        <v>40000</v>
      </c>
      <c r="O10" s="2">
        <v>-6273.466666666674</v>
      </c>
      <c r="P10" s="5" t="s">
        <v>367</v>
      </c>
    </row>
    <row r="11" spans="1:16">
      <c r="A11" s="5" t="s">
        <v>49</v>
      </c>
      <c r="B11" s="5" t="s">
        <v>166</v>
      </c>
      <c r="C11" s="5" t="s">
        <v>167</v>
      </c>
      <c r="D11" s="5" t="s">
        <v>3</v>
      </c>
      <c r="E11" s="5" t="s">
        <v>363</v>
      </c>
      <c r="F11" s="5" t="s">
        <v>364</v>
      </c>
      <c r="G11" s="6">
        <v>7.12</v>
      </c>
      <c r="H11" s="5" t="s">
        <v>365</v>
      </c>
      <c r="I11" s="5" t="s">
        <v>366</v>
      </c>
      <c r="J11" s="6">
        <v>6.9228</v>
      </c>
      <c r="K11" s="6">
        <v>6.8959</v>
      </c>
      <c r="L11" s="6">
        <v>0.19720000000000049</v>
      </c>
      <c r="M11" s="6">
        <v>0.22409999999999997</v>
      </c>
      <c r="N11" s="2">
        <v>120000</v>
      </c>
      <c r="O11" s="2">
        <v>-24519.199999999953</v>
      </c>
      <c r="P11" s="5" t="s">
        <v>367</v>
      </c>
    </row>
    <row r="12" spans="1:16">
      <c r="A12" s="5" t="s">
        <v>49</v>
      </c>
      <c r="B12" s="5" t="s">
        <v>191</v>
      </c>
      <c r="C12" s="5" t="s">
        <v>192</v>
      </c>
      <c r="D12" s="5" t="s">
        <v>3</v>
      </c>
      <c r="E12" s="5" t="s">
        <v>368</v>
      </c>
      <c r="F12" s="5" t="s">
        <v>364</v>
      </c>
      <c r="G12" s="6">
        <v>7.12</v>
      </c>
      <c r="H12" s="5" t="s">
        <v>365</v>
      </c>
      <c r="I12" s="5" t="s">
        <v>366</v>
      </c>
      <c r="J12" s="6">
        <v>6.9228</v>
      </c>
      <c r="K12" s="6">
        <v>6.8898</v>
      </c>
      <c r="L12" s="6">
        <v>0.19720000000000049</v>
      </c>
      <c r="M12" s="6">
        <v>0.23019999999999996</v>
      </c>
      <c r="N12" s="2">
        <v>50000</v>
      </c>
      <c r="O12" s="2">
        <v>-10228.076923076937</v>
      </c>
      <c r="P12" s="5" t="s">
        <v>367</v>
      </c>
    </row>
    <row r="13" spans="1:16">
      <c r="A13" s="5" t="s">
        <v>49</v>
      </c>
      <c r="B13" s="5" t="s">
        <v>196</v>
      </c>
      <c r="C13" s="5" t="s">
        <v>197</v>
      </c>
      <c r="D13" s="5" t="s">
        <v>3</v>
      </c>
      <c r="E13" s="5" t="s">
        <v>369</v>
      </c>
      <c r="F13" s="5" t="s">
        <v>370</v>
      </c>
      <c r="G13" s="6">
        <v>0.91</v>
      </c>
      <c r="H13" s="5" t="s">
        <v>365</v>
      </c>
      <c r="I13" s="5" t="s">
        <v>366</v>
      </c>
      <c r="J13" s="6">
        <v>0.88484</v>
      </c>
      <c r="K13" s="6">
        <v>0.88015</v>
      </c>
      <c r="L13" s="6">
        <v>0.02516000000000007</v>
      </c>
      <c r="M13" s="6">
        <v>0.029850000000000043</v>
      </c>
      <c r="N13" s="2">
        <v>40000</v>
      </c>
      <c r="O13" s="2">
        <v>-1023.8117647058825</v>
      </c>
      <c r="P13" s="5" t="s">
        <v>367</v>
      </c>
    </row>
    <row r="14" spans="1:16">
      <c r="A14" s="5" t="s">
        <v>49</v>
      </c>
      <c r="B14" s="5" t="s">
        <v>201</v>
      </c>
      <c r="C14" s="5" t="s">
        <v>202</v>
      </c>
      <c r="D14" s="5" t="s">
        <v>3</v>
      </c>
      <c r="E14" s="5" t="s">
        <v>371</v>
      </c>
      <c r="F14" s="5" t="s">
        <v>364</v>
      </c>
      <c r="G14" s="6">
        <v>7.12</v>
      </c>
      <c r="H14" s="5" t="s">
        <v>365</v>
      </c>
      <c r="I14" s="5" t="s">
        <v>366</v>
      </c>
      <c r="J14" s="6">
        <v>6.9228</v>
      </c>
      <c r="K14" s="6">
        <v>6.8911</v>
      </c>
      <c r="L14" s="6">
        <v>0.19720000000000049</v>
      </c>
      <c r="M14" s="6">
        <v>0.22890000000000033</v>
      </c>
      <c r="N14" s="2">
        <v>60000</v>
      </c>
      <c r="O14" s="2">
        <v>-12118.909090909117</v>
      </c>
      <c r="P14" s="5" t="s">
        <v>367</v>
      </c>
    </row>
    <row r="15" spans="1:16">
      <c r="A15" s="5" t="s">
        <v>49</v>
      </c>
      <c r="B15" s="5" t="s">
        <v>214</v>
      </c>
      <c r="C15" s="5" t="s">
        <v>215</v>
      </c>
      <c r="D15" s="5" t="s">
        <v>3</v>
      </c>
      <c r="E15" s="5" t="s">
        <v>363</v>
      </c>
      <c r="F15" s="5" t="s">
        <v>364</v>
      </c>
      <c r="G15" s="6">
        <v>7.12</v>
      </c>
      <c r="H15" s="5" t="s">
        <v>365</v>
      </c>
      <c r="I15" s="5" t="s">
        <v>366</v>
      </c>
      <c r="J15" s="6">
        <v>6.9194</v>
      </c>
      <c r="K15" s="6">
        <v>6.865399999999999</v>
      </c>
      <c r="L15" s="6">
        <v>0.20059999999999967</v>
      </c>
      <c r="M15" s="6">
        <v>0.2546000000000008</v>
      </c>
      <c r="N15" s="2">
        <v>160000</v>
      </c>
      <c r="O15" s="2">
        <v>-33428.57142857136</v>
      </c>
      <c r="P15" s="5" t="s">
        <v>367</v>
      </c>
    </row>
    <row r="16" spans="1:16">
      <c r="A16" s="5" t="s">
        <v>49</v>
      </c>
      <c r="B16" s="5" t="s">
        <v>222</v>
      </c>
      <c r="C16" s="5" t="s">
        <v>223</v>
      </c>
      <c r="D16" s="5" t="s">
        <v>3</v>
      </c>
      <c r="E16" s="5" t="s">
        <v>372</v>
      </c>
      <c r="F16" s="5" t="s">
        <v>373</v>
      </c>
      <c r="G16" s="6">
        <v>7.83</v>
      </c>
      <c r="H16" s="5" t="s">
        <v>365</v>
      </c>
      <c r="I16" s="5" t="s">
        <v>366</v>
      </c>
      <c r="J16" s="6">
        <v>7.9302</v>
      </c>
      <c r="K16" s="6">
        <v>8.0618</v>
      </c>
      <c r="L16" s="6">
        <v>-0.10020000000000007</v>
      </c>
      <c r="M16" s="6">
        <v>-0.23179999999999978</v>
      </c>
      <c r="N16" s="2">
        <v>25000</v>
      </c>
      <c r="O16" s="2">
        <v>2505</v>
      </c>
      <c r="P16" s="5" t="s">
        <v>367</v>
      </c>
    </row>
    <row r="17" spans="1:16">
      <c r="A17" s="5" t="s">
        <v>49</v>
      </c>
      <c r="B17" s="5" t="s">
        <v>230</v>
      </c>
      <c r="C17" s="5" t="s">
        <v>231</v>
      </c>
      <c r="D17" s="5" t="s">
        <v>3</v>
      </c>
      <c r="E17" s="5" t="s">
        <v>368</v>
      </c>
      <c r="F17" s="5" t="s">
        <v>364</v>
      </c>
      <c r="G17" s="6">
        <v>7.12</v>
      </c>
      <c r="H17" s="5" t="s">
        <v>365</v>
      </c>
      <c r="I17" s="5" t="s">
        <v>366</v>
      </c>
      <c r="J17" s="6">
        <v>6.9194</v>
      </c>
      <c r="K17" s="6">
        <v>6.8635</v>
      </c>
      <c r="L17" s="6">
        <v>0.20059999999999967</v>
      </c>
      <c r="M17" s="6">
        <v>0.25649999999999995</v>
      </c>
      <c r="N17" s="2">
        <v>50000</v>
      </c>
      <c r="O17" s="2">
        <v>-10665.555555555562</v>
      </c>
      <c r="P17" s="5" t="s">
        <v>367</v>
      </c>
    </row>
    <row r="18" spans="1:16">
      <c r="A18" s="5" t="s">
        <v>49</v>
      </c>
      <c r="B18" s="5" t="s">
        <v>236</v>
      </c>
      <c r="C18" s="5" t="s">
        <v>237</v>
      </c>
      <c r="D18" s="5" t="s">
        <v>3</v>
      </c>
      <c r="E18" s="5" t="s">
        <v>369</v>
      </c>
      <c r="F18" s="5" t="s">
        <v>370</v>
      </c>
      <c r="G18" s="6">
        <v>0.91</v>
      </c>
      <c r="H18" s="5" t="s">
        <v>365</v>
      </c>
      <c r="I18" s="5" t="s">
        <v>366</v>
      </c>
      <c r="J18" s="6">
        <v>0.88295</v>
      </c>
      <c r="K18" s="6">
        <v>0.87666</v>
      </c>
      <c r="L18" s="6">
        <v>0.02705000000000002</v>
      </c>
      <c r="M18" s="6">
        <v>0.033340000000000036</v>
      </c>
      <c r="N18" s="2">
        <v>40000</v>
      </c>
      <c r="O18" s="2">
        <v>-1112.4470588235272</v>
      </c>
      <c r="P18" s="5" t="s">
        <v>367</v>
      </c>
    </row>
    <row r="19" spans="1:16">
      <c r="A19" s="5" t="s">
        <v>49</v>
      </c>
      <c r="B19" s="5" t="s">
        <v>241</v>
      </c>
      <c r="C19" s="5" t="s">
        <v>242</v>
      </c>
      <c r="D19" s="5" t="s">
        <v>3</v>
      </c>
      <c r="E19" s="5" t="s">
        <v>371</v>
      </c>
      <c r="F19" s="5" t="s">
        <v>364</v>
      </c>
      <c r="G19" s="6">
        <v>7.12</v>
      </c>
      <c r="H19" s="5" t="s">
        <v>365</v>
      </c>
      <c r="I19" s="5" t="s">
        <v>366</v>
      </c>
      <c r="J19" s="6">
        <v>6.9194</v>
      </c>
      <c r="K19" s="6">
        <v>6.8674</v>
      </c>
      <c r="L19" s="6">
        <v>0.20059999999999967</v>
      </c>
      <c r="M19" s="6">
        <v>0.25260000000000016</v>
      </c>
      <c r="N19" s="2">
        <v>60000</v>
      </c>
      <c r="O19" s="2">
        <v>-12891.365853658528</v>
      </c>
      <c r="P19" s="5" t="s">
        <v>367</v>
      </c>
    </row>
    <row r="20" spans="1:16">
      <c r="A20" s="5" t="s">
        <v>49</v>
      </c>
      <c r="B20" s="5" t="s">
        <v>259</v>
      </c>
      <c r="C20" s="5" t="s">
        <v>260</v>
      </c>
      <c r="D20" s="5" t="s">
        <v>3</v>
      </c>
      <c r="E20" s="5" t="s">
        <v>363</v>
      </c>
      <c r="F20" s="5" t="s">
        <v>364</v>
      </c>
      <c r="G20" s="6">
        <v>7.12</v>
      </c>
      <c r="H20" s="5" t="s">
        <v>365</v>
      </c>
      <c r="I20" s="5" t="s">
        <v>366</v>
      </c>
      <c r="J20" s="6">
        <v>6.8628</v>
      </c>
      <c r="K20" s="6">
        <v>6.8426</v>
      </c>
      <c r="L20" s="6">
        <v>0.2572000000000001</v>
      </c>
      <c r="M20" s="6">
        <v>0.2774000000000001</v>
      </c>
      <c r="N20" s="2">
        <v>160000</v>
      </c>
      <c r="O20" s="2">
        <v>-41152</v>
      </c>
      <c r="P20" s="5" t="s">
        <v>367</v>
      </c>
    </row>
    <row r="21" spans="1:16">
      <c r="A21" s="5" t="s">
        <v>49</v>
      </c>
      <c r="B21" s="5" t="s">
        <v>265</v>
      </c>
      <c r="C21" s="5" t="s">
        <v>266</v>
      </c>
      <c r="D21" s="5" t="s">
        <v>3</v>
      </c>
      <c r="E21" s="5" t="s">
        <v>368</v>
      </c>
      <c r="F21" s="5" t="s">
        <v>364</v>
      </c>
      <c r="G21" s="6">
        <v>7.12</v>
      </c>
      <c r="H21" s="5" t="s">
        <v>365</v>
      </c>
      <c r="I21" s="5" t="s">
        <v>366</v>
      </c>
      <c r="J21" s="6">
        <v>6.8628</v>
      </c>
      <c r="K21" s="6">
        <v>6.8373</v>
      </c>
      <c r="L21" s="6">
        <v>0.2572000000000001</v>
      </c>
      <c r="M21" s="6">
        <v>0.2827000000000002</v>
      </c>
      <c r="N21" s="2">
        <v>60000</v>
      </c>
      <c r="O21" s="2">
        <v>-15711.517241379304</v>
      </c>
      <c r="P21" s="5" t="s">
        <v>367</v>
      </c>
    </row>
    <row r="22" spans="1:16">
      <c r="A22" s="5" t="s">
        <v>49</v>
      </c>
      <c r="B22" s="5" t="s">
        <v>271</v>
      </c>
      <c r="C22" s="5" t="s">
        <v>272</v>
      </c>
      <c r="D22" s="5" t="s">
        <v>3</v>
      </c>
      <c r="E22" s="5" t="s">
        <v>371</v>
      </c>
      <c r="F22" s="5" t="s">
        <v>364</v>
      </c>
      <c r="G22" s="6">
        <v>7.12</v>
      </c>
      <c r="H22" s="5" t="s">
        <v>365</v>
      </c>
      <c r="I22" s="5" t="s">
        <v>366</v>
      </c>
      <c r="J22" s="6">
        <v>6.8628</v>
      </c>
      <c r="K22" s="6">
        <v>6.831799999999999</v>
      </c>
      <c r="L22" s="6">
        <v>0.2572000000000001</v>
      </c>
      <c r="M22" s="6">
        <v>0.2882000000000007</v>
      </c>
      <c r="N22" s="2">
        <v>70000</v>
      </c>
      <c r="O22" s="2">
        <v>-18252.208333333314</v>
      </c>
      <c r="P22" s="5" t="s">
        <v>367</v>
      </c>
    </row>
    <row r="23" spans="1:16">
      <c r="A23" s="5" t="s">
        <v>49</v>
      </c>
      <c r="B23" s="5" t="s">
        <v>297</v>
      </c>
      <c r="C23" s="5" t="s">
        <v>298</v>
      </c>
      <c r="D23" s="5" t="s">
        <v>3</v>
      </c>
      <c r="E23" s="5" t="s">
        <v>363</v>
      </c>
      <c r="F23" s="5" t="s">
        <v>364</v>
      </c>
      <c r="G23" s="6">
        <v>7.12</v>
      </c>
      <c r="H23" s="5" t="s">
        <v>365</v>
      </c>
      <c r="I23" s="5" t="s">
        <v>366</v>
      </c>
      <c r="J23" s="6">
        <v>6.8176</v>
      </c>
      <c r="K23" s="6">
        <v>6.8109</v>
      </c>
      <c r="L23" s="6">
        <v>0.30240000000000045</v>
      </c>
      <c r="M23" s="6">
        <v>0.30909999999999993</v>
      </c>
      <c r="N23" s="2">
        <v>180000</v>
      </c>
      <c r="O23" s="2">
        <v>-54544.55696202535</v>
      </c>
      <c r="P23" s="5" t="s">
        <v>367</v>
      </c>
    </row>
    <row r="24" spans="1:16">
      <c r="A24" s="5" t="s">
        <v>49</v>
      </c>
      <c r="B24" s="5" t="s">
        <v>310</v>
      </c>
      <c r="C24" s="5" t="s">
        <v>311</v>
      </c>
      <c r="D24" s="5" t="s">
        <v>3</v>
      </c>
      <c r="E24" s="5" t="s">
        <v>372</v>
      </c>
      <c r="F24" s="5" t="s">
        <v>373</v>
      </c>
      <c r="G24" s="6">
        <v>7.83</v>
      </c>
      <c r="H24" s="5" t="s">
        <v>365</v>
      </c>
      <c r="I24" s="5" t="s">
        <v>366</v>
      </c>
      <c r="J24" s="6">
        <v>7.916</v>
      </c>
      <c r="K24" s="6">
        <v>7.8776</v>
      </c>
      <c r="L24" s="6">
        <v>-0.0860000000000003</v>
      </c>
      <c r="M24" s="6">
        <v>-0.04760000000000009</v>
      </c>
      <c r="N24" s="2">
        <v>25000</v>
      </c>
      <c r="O24" s="2">
        <v>2150</v>
      </c>
      <c r="P24" s="5" t="s">
        <v>367</v>
      </c>
    </row>
    <row r="25" spans="1:16">
      <c r="A25" s="5" t="s">
        <v>49</v>
      </c>
      <c r="B25" s="5" t="s">
        <v>319</v>
      </c>
      <c r="C25" s="5" t="s">
        <v>320</v>
      </c>
      <c r="D25" s="5" t="s">
        <v>3</v>
      </c>
      <c r="E25" s="5" t="s">
        <v>368</v>
      </c>
      <c r="F25" s="5" t="s">
        <v>364</v>
      </c>
      <c r="G25" s="6">
        <v>7.12</v>
      </c>
      <c r="H25" s="5" t="s">
        <v>365</v>
      </c>
      <c r="I25" s="5" t="s">
        <v>366</v>
      </c>
      <c r="J25" s="6">
        <v>6.8176</v>
      </c>
      <c r="K25" s="6">
        <v>6.815</v>
      </c>
      <c r="L25" s="6">
        <v>0.30240000000000045</v>
      </c>
      <c r="M25" s="6">
        <v>0.3049999999999997</v>
      </c>
      <c r="N25" s="2">
        <v>60000</v>
      </c>
      <c r="O25" s="2">
        <v>-18208.400000000023</v>
      </c>
      <c r="P25" s="5" t="s">
        <v>367</v>
      </c>
    </row>
    <row r="26" spans="1:16">
      <c r="A26" s="5" t="s">
        <v>49</v>
      </c>
      <c r="B26" s="5" t="s">
        <v>325</v>
      </c>
      <c r="C26" s="5" t="s">
        <v>326</v>
      </c>
      <c r="D26" s="5" t="s">
        <v>3</v>
      </c>
      <c r="E26" s="5" t="s">
        <v>369</v>
      </c>
      <c r="F26" s="5" t="s">
        <v>370</v>
      </c>
      <c r="G26" s="6">
        <v>0.91</v>
      </c>
      <c r="H26" s="5" t="s">
        <v>365</v>
      </c>
      <c r="I26" s="5" t="s">
        <v>366</v>
      </c>
      <c r="J26" s="6">
        <v>0.87029</v>
      </c>
      <c r="K26" s="6">
        <v>0.8697499999999999</v>
      </c>
      <c r="L26" s="6">
        <v>0.03971000000000002</v>
      </c>
      <c r="M26" s="6">
        <v>0.04025000000000012</v>
      </c>
      <c r="N26" s="2">
        <v>45000</v>
      </c>
      <c r="O26" s="2">
        <v>-1791.4108695652249</v>
      </c>
      <c r="P26" s="5" t="s">
        <v>367</v>
      </c>
    </row>
    <row r="27" spans="1:16">
      <c r="A27" s="5" t="s">
        <v>49</v>
      </c>
      <c r="B27" s="5" t="s">
        <v>332</v>
      </c>
      <c r="C27" s="5" t="s">
        <v>333</v>
      </c>
      <c r="D27" s="5" t="s">
        <v>3</v>
      </c>
      <c r="E27" s="5" t="s">
        <v>371</v>
      </c>
      <c r="F27" s="5" t="s">
        <v>364</v>
      </c>
      <c r="G27" s="6">
        <v>7.12</v>
      </c>
      <c r="H27" s="5" t="s">
        <v>365</v>
      </c>
      <c r="I27" s="5" t="s">
        <v>366</v>
      </c>
      <c r="J27" s="6">
        <v>6.8176</v>
      </c>
      <c r="K27" s="6">
        <v>6.8209</v>
      </c>
      <c r="L27" s="6">
        <v>0.30240000000000045</v>
      </c>
      <c r="M27" s="6">
        <v>0.29910000000000014</v>
      </c>
      <c r="N27" s="2">
        <v>70000</v>
      </c>
      <c r="O27" s="2">
        <v>-21299.25</v>
      </c>
      <c r="P27" s="5" t="s">
        <v>367</v>
      </c>
    </row>
    <row r="28" spans="1:16">
      <c r="A28" s="5" t="s">
        <v>374</v>
      </c>
      <c r="B28" s="5" t="s">
        <v>375</v>
      </c>
      <c r="C28" s="5"/>
      <c r="D28" s="5" t="s">
        <v>3</v>
      </c>
      <c r="E28" s="5" t="s">
        <v>371</v>
      </c>
      <c r="F28" s="5" t="s">
        <v>364</v>
      </c>
      <c r="G28" s="6">
        <v>7.12</v>
      </c>
      <c r="H28" s="5" t="s">
        <v>376</v>
      </c>
      <c r="I28" s="5" t="s">
        <v>366</v>
      </c>
      <c r="K28" s="6">
        <v>6.9677999999999995</v>
      </c>
      <c r="M28" s="6">
        <v>0.15220000000000056</v>
      </c>
      <c r="N28" s="2">
        <v>220000</v>
      </c>
      <c r="O28" s="2">
        <v>-33484.000000000124</v>
      </c>
      <c r="P28" s="5" t="s">
        <v>377</v>
      </c>
    </row>
    <row r="29" spans="1:16">
      <c r="A29" s="5" t="s">
        <v>374</v>
      </c>
      <c r="B29" s="5" t="s">
        <v>375</v>
      </c>
      <c r="C29" s="5"/>
      <c r="D29" s="5" t="s">
        <v>3</v>
      </c>
      <c r="E29" s="5" t="s">
        <v>378</v>
      </c>
      <c r="F29" s="5" t="s">
        <v>370</v>
      </c>
      <c r="G29" s="6">
        <v>0.91</v>
      </c>
      <c r="H29" s="5" t="s">
        <v>376</v>
      </c>
      <c r="I29" s="5" t="s">
        <v>366</v>
      </c>
      <c r="K29" s="6">
        <v>0.89262</v>
      </c>
      <c r="M29" s="6">
        <v>0.017380000000000062</v>
      </c>
      <c r="N29" s="2">
        <v>460000</v>
      </c>
      <c r="O29" s="2">
        <v>-7994.800000000028</v>
      </c>
      <c r="P29" s="5" t="s">
        <v>377</v>
      </c>
    </row>
    <row r="30" spans="1:16">
      <c r="A30" s="5" t="s">
        <v>374</v>
      </c>
      <c r="B30" s="5" t="s">
        <v>375</v>
      </c>
      <c r="C30" s="5"/>
      <c r="D30" s="5" t="s">
        <v>3</v>
      </c>
      <c r="E30" s="5" t="s">
        <v>363</v>
      </c>
      <c r="F30" s="5" t="s">
        <v>364</v>
      </c>
      <c r="G30" s="6">
        <v>7.12</v>
      </c>
      <c r="H30" s="5" t="s">
        <v>376</v>
      </c>
      <c r="I30" s="5" t="s">
        <v>366</v>
      </c>
      <c r="K30" s="6">
        <v>6.9677999999999995</v>
      </c>
      <c r="M30" s="6">
        <v>0.15220000000000056</v>
      </c>
      <c r="N30" s="2">
        <v>420000</v>
      </c>
      <c r="O30" s="2">
        <v>-63924.00000000023</v>
      </c>
      <c r="P30" s="5" t="s">
        <v>377</v>
      </c>
    </row>
    <row r="31" spans="1:16">
      <c r="A31" s="5" t="s">
        <v>374</v>
      </c>
      <c r="B31" s="5" t="s">
        <v>375</v>
      </c>
      <c r="C31" s="5"/>
      <c r="D31" s="5" t="s">
        <v>3</v>
      </c>
      <c r="E31" s="5" t="s">
        <v>372</v>
      </c>
      <c r="F31" s="5" t="s">
        <v>373</v>
      </c>
      <c r="G31" s="6">
        <v>7.83</v>
      </c>
      <c r="H31" s="5" t="s">
        <v>376</v>
      </c>
      <c r="I31" s="5" t="s">
        <v>366</v>
      </c>
      <c r="K31" s="6">
        <v>8.3244</v>
      </c>
      <c r="M31" s="6">
        <v>-0.4944000000000006</v>
      </c>
      <c r="N31" s="2">
        <v>150000</v>
      </c>
      <c r="O31" s="2">
        <v>74160.00000000009</v>
      </c>
      <c r="P31" s="5" t="s">
        <v>377</v>
      </c>
    </row>
    <row r="32" spans="1:16">
      <c r="A32" s="5" t="s">
        <v>374</v>
      </c>
      <c r="B32" s="5" t="s">
        <v>375</v>
      </c>
      <c r="C32" s="5"/>
      <c r="D32" s="5" t="s">
        <v>3</v>
      </c>
      <c r="E32" s="5" t="s">
        <v>368</v>
      </c>
      <c r="F32" s="5" t="s">
        <v>364</v>
      </c>
      <c r="G32" s="6">
        <v>7.12</v>
      </c>
      <c r="H32" s="5" t="s">
        <v>376</v>
      </c>
      <c r="I32" s="5" t="s">
        <v>366</v>
      </c>
      <c r="K32" s="6">
        <v>6.9677999999999995</v>
      </c>
      <c r="M32" s="6">
        <v>0.15220000000000056</v>
      </c>
      <c r="N32" s="2">
        <v>-190000</v>
      </c>
      <c r="O32" s="2">
        <v>28918.000000000106</v>
      </c>
      <c r="P32" s="5" t="s">
        <v>377</v>
      </c>
    </row>
    <row r="33" spans="1:16">
      <c r="A33" s="5" t="s">
        <v>374</v>
      </c>
      <c r="B33" s="5" t="s">
        <v>375</v>
      </c>
      <c r="C33" s="5"/>
      <c r="D33" s="5" t="s">
        <v>3</v>
      </c>
      <c r="E33" s="5" t="s">
        <v>369</v>
      </c>
      <c r="F33" s="5" t="s">
        <v>370</v>
      </c>
      <c r="G33" s="6">
        <v>0.91</v>
      </c>
      <c r="H33" s="5" t="s">
        <v>376</v>
      </c>
      <c r="I33" s="5" t="s">
        <v>366</v>
      </c>
      <c r="K33" s="6">
        <v>0.89262</v>
      </c>
      <c r="M33" s="6">
        <v>0.017380000000000062</v>
      </c>
      <c r="N33" s="2">
        <v>-300000</v>
      </c>
      <c r="O33" s="2">
        <v>5214.000000000018</v>
      </c>
      <c r="P33" s="5" t="s">
        <v>377</v>
      </c>
    </row>
    <row r="34" spans="1:16">
      <c r="A34" s="5" t="s">
        <v>374</v>
      </c>
      <c r="B34" s="5" t="s">
        <v>379</v>
      </c>
      <c r="C34" s="5"/>
      <c r="D34" s="5" t="s">
        <v>3</v>
      </c>
      <c r="E34" s="5" t="s">
        <v>371</v>
      </c>
      <c r="F34" s="5" t="s">
        <v>364</v>
      </c>
      <c r="G34" s="6">
        <v>7.12</v>
      </c>
      <c r="H34" s="5" t="s">
        <v>376</v>
      </c>
      <c r="I34" s="5" t="s">
        <v>366</v>
      </c>
      <c r="K34" s="6">
        <v>6.9228</v>
      </c>
      <c r="M34" s="6">
        <v>0.19720000000000049</v>
      </c>
      <c r="N34" s="2">
        <v>260000</v>
      </c>
      <c r="O34" s="2">
        <v>-51272.000000000124</v>
      </c>
      <c r="P34" s="5" t="s">
        <v>377</v>
      </c>
    </row>
    <row r="35" spans="1:16">
      <c r="A35" s="5" t="s">
        <v>374</v>
      </c>
      <c r="B35" s="5" t="s">
        <v>379</v>
      </c>
      <c r="C35" s="5"/>
      <c r="D35" s="5" t="s">
        <v>3</v>
      </c>
      <c r="E35" s="5" t="s">
        <v>378</v>
      </c>
      <c r="F35" s="5" t="s">
        <v>370</v>
      </c>
      <c r="G35" s="6">
        <v>0.91</v>
      </c>
      <c r="H35" s="5" t="s">
        <v>376</v>
      </c>
      <c r="I35" s="5" t="s">
        <v>366</v>
      </c>
      <c r="K35" s="6">
        <v>0.88484</v>
      </c>
      <c r="M35" s="6">
        <v>0.02516000000000007</v>
      </c>
      <c r="N35" s="2">
        <v>430000</v>
      </c>
      <c r="O35" s="2">
        <v>-10818.80000000003</v>
      </c>
      <c r="P35" s="5" t="s">
        <v>377</v>
      </c>
    </row>
    <row r="36" spans="1:16">
      <c r="A36" s="5" t="s">
        <v>374</v>
      </c>
      <c r="B36" s="5" t="s">
        <v>379</v>
      </c>
      <c r="C36" s="5"/>
      <c r="D36" s="5" t="s">
        <v>3</v>
      </c>
      <c r="E36" s="5" t="s">
        <v>363</v>
      </c>
      <c r="F36" s="5" t="s">
        <v>364</v>
      </c>
      <c r="G36" s="6">
        <v>7.12</v>
      </c>
      <c r="H36" s="5" t="s">
        <v>376</v>
      </c>
      <c r="I36" s="5" t="s">
        <v>366</v>
      </c>
      <c r="K36" s="6">
        <v>6.9228</v>
      </c>
      <c r="M36" s="6">
        <v>0.19720000000000049</v>
      </c>
      <c r="N36" s="2">
        <v>400000</v>
      </c>
      <c r="O36" s="2">
        <v>-78880.00000000019</v>
      </c>
      <c r="P36" s="5" t="s">
        <v>377</v>
      </c>
    </row>
    <row r="37" spans="1:16">
      <c r="A37" s="5" t="s">
        <v>374</v>
      </c>
      <c r="B37" s="5" t="s">
        <v>379</v>
      </c>
      <c r="C37" s="5"/>
      <c r="D37" s="5" t="s">
        <v>3</v>
      </c>
      <c r="E37" s="5" t="s">
        <v>372</v>
      </c>
      <c r="F37" s="5" t="s">
        <v>373</v>
      </c>
      <c r="G37" s="6">
        <v>7.83</v>
      </c>
      <c r="H37" s="5" t="s">
        <v>376</v>
      </c>
      <c r="I37" s="5" t="s">
        <v>366</v>
      </c>
      <c r="K37" s="6">
        <v>8.120800000000001</v>
      </c>
      <c r="M37" s="6">
        <v>-0.29080000000000084</v>
      </c>
      <c r="N37" s="2">
        <v>125000</v>
      </c>
      <c r="O37" s="2">
        <v>36350.0000000001</v>
      </c>
      <c r="P37" s="5" t="s">
        <v>377</v>
      </c>
    </row>
    <row r="38" spans="1:16">
      <c r="A38" s="5" t="s">
        <v>374</v>
      </c>
      <c r="B38" s="5" t="s">
        <v>379</v>
      </c>
      <c r="C38" s="5"/>
      <c r="D38" s="5" t="s">
        <v>3</v>
      </c>
      <c r="E38" s="5" t="s">
        <v>368</v>
      </c>
      <c r="F38" s="5" t="s">
        <v>364</v>
      </c>
      <c r="G38" s="6">
        <v>7.12</v>
      </c>
      <c r="H38" s="5" t="s">
        <v>376</v>
      </c>
      <c r="I38" s="5" t="s">
        <v>366</v>
      </c>
      <c r="K38" s="6">
        <v>6.9228</v>
      </c>
      <c r="M38" s="6">
        <v>0.19720000000000049</v>
      </c>
      <c r="N38" s="2">
        <v>-200000</v>
      </c>
      <c r="O38" s="2">
        <v>39440.000000000095</v>
      </c>
      <c r="P38" s="5" t="s">
        <v>377</v>
      </c>
    </row>
    <row r="39" spans="1:16">
      <c r="A39" s="5" t="s">
        <v>374</v>
      </c>
      <c r="B39" s="5" t="s">
        <v>379</v>
      </c>
      <c r="C39" s="5"/>
      <c r="D39" s="5" t="s">
        <v>3</v>
      </c>
      <c r="E39" s="5" t="s">
        <v>369</v>
      </c>
      <c r="F39" s="5" t="s">
        <v>370</v>
      </c>
      <c r="G39" s="6">
        <v>0.91</v>
      </c>
      <c r="H39" s="5" t="s">
        <v>376</v>
      </c>
      <c r="I39" s="5" t="s">
        <v>366</v>
      </c>
      <c r="K39" s="6">
        <v>0.88484</v>
      </c>
      <c r="M39" s="6">
        <v>0.02516000000000007</v>
      </c>
      <c r="N39" s="2">
        <v>-300000</v>
      </c>
      <c r="O39" s="2">
        <v>7548.000000000021</v>
      </c>
      <c r="P39" s="5" t="s">
        <v>377</v>
      </c>
    </row>
    <row r="40" spans="1:16">
      <c r="A40" s="5" t="s">
        <v>374</v>
      </c>
      <c r="B40" s="5" t="s">
        <v>380</v>
      </c>
      <c r="C40" s="5"/>
      <c r="D40" s="5" t="s">
        <v>3</v>
      </c>
      <c r="E40" s="5" t="s">
        <v>371</v>
      </c>
      <c r="F40" s="5" t="s">
        <v>364</v>
      </c>
      <c r="G40" s="6">
        <v>7.12</v>
      </c>
      <c r="H40" s="5" t="s">
        <v>376</v>
      </c>
      <c r="I40" s="5" t="s">
        <v>366</v>
      </c>
      <c r="K40" s="6">
        <v>6.9194</v>
      </c>
      <c r="M40" s="6">
        <v>0.20059999999999967</v>
      </c>
      <c r="N40" s="2">
        <v>300000</v>
      </c>
      <c r="O40" s="2">
        <v>-60179.9999999999</v>
      </c>
      <c r="P40" s="5" t="s">
        <v>377</v>
      </c>
    </row>
    <row r="41" spans="1:16">
      <c r="A41" s="5" t="s">
        <v>374</v>
      </c>
      <c r="B41" s="5" t="s">
        <v>380</v>
      </c>
      <c r="C41" s="5"/>
      <c r="D41" s="5" t="s">
        <v>3</v>
      </c>
      <c r="E41" s="5" t="s">
        <v>378</v>
      </c>
      <c r="F41" s="5" t="s">
        <v>370</v>
      </c>
      <c r="G41" s="6">
        <v>0.91</v>
      </c>
      <c r="H41" s="5" t="s">
        <v>376</v>
      </c>
      <c r="I41" s="5" t="s">
        <v>366</v>
      </c>
      <c r="K41" s="6">
        <v>0.88295</v>
      </c>
      <c r="M41" s="6">
        <v>0.02705000000000002</v>
      </c>
      <c r="N41" s="2">
        <v>390000</v>
      </c>
      <c r="O41" s="2">
        <v>-10549.500000000007</v>
      </c>
      <c r="P41" s="5" t="s">
        <v>377</v>
      </c>
    </row>
    <row r="42" spans="1:16">
      <c r="A42" s="5" t="s">
        <v>374</v>
      </c>
      <c r="B42" s="5" t="s">
        <v>380</v>
      </c>
      <c r="C42" s="5"/>
      <c r="D42" s="5" t="s">
        <v>3</v>
      </c>
      <c r="E42" s="5" t="s">
        <v>363</v>
      </c>
      <c r="F42" s="5" t="s">
        <v>364</v>
      </c>
      <c r="G42" s="6">
        <v>7.12</v>
      </c>
      <c r="H42" s="5" t="s">
        <v>376</v>
      </c>
      <c r="I42" s="5" t="s">
        <v>366</v>
      </c>
      <c r="K42" s="6">
        <v>6.9194</v>
      </c>
      <c r="M42" s="6">
        <v>0.20059999999999967</v>
      </c>
      <c r="N42" s="2">
        <v>480000</v>
      </c>
      <c r="O42" s="2">
        <v>-96287.99999999984</v>
      </c>
      <c r="P42" s="5" t="s">
        <v>377</v>
      </c>
    </row>
    <row r="43" spans="1:16">
      <c r="A43" s="5" t="s">
        <v>374</v>
      </c>
      <c r="B43" s="5" t="s">
        <v>380</v>
      </c>
      <c r="C43" s="5"/>
      <c r="D43" s="5" t="s">
        <v>3</v>
      </c>
      <c r="E43" s="5" t="s">
        <v>372</v>
      </c>
      <c r="F43" s="5" t="s">
        <v>373</v>
      </c>
      <c r="G43" s="6">
        <v>7.83</v>
      </c>
      <c r="H43" s="5" t="s">
        <v>376</v>
      </c>
      <c r="I43" s="5" t="s">
        <v>366</v>
      </c>
      <c r="K43" s="6">
        <v>7.9302</v>
      </c>
      <c r="M43" s="6">
        <v>-0.10020000000000007</v>
      </c>
      <c r="N43" s="2">
        <v>125000</v>
      </c>
      <c r="O43" s="2">
        <v>12525.00000000001</v>
      </c>
      <c r="P43" s="5" t="s">
        <v>377</v>
      </c>
    </row>
    <row r="44" spans="1:16">
      <c r="A44" s="5" t="s">
        <v>374</v>
      </c>
      <c r="B44" s="5" t="s">
        <v>380</v>
      </c>
      <c r="C44" s="5"/>
      <c r="D44" s="5" t="s">
        <v>3</v>
      </c>
      <c r="E44" s="5" t="s">
        <v>368</v>
      </c>
      <c r="F44" s="5" t="s">
        <v>364</v>
      </c>
      <c r="G44" s="6">
        <v>7.12</v>
      </c>
      <c r="H44" s="5" t="s">
        <v>376</v>
      </c>
      <c r="I44" s="5" t="s">
        <v>366</v>
      </c>
      <c r="K44" s="6">
        <v>6.9194</v>
      </c>
      <c r="M44" s="6">
        <v>0.20059999999999967</v>
      </c>
      <c r="N44" s="2">
        <v>-210000</v>
      </c>
      <c r="O44" s="2">
        <v>42125.99999999993</v>
      </c>
      <c r="P44" s="5" t="s">
        <v>377</v>
      </c>
    </row>
    <row r="45" spans="1:16">
      <c r="A45" s="5" t="s">
        <v>374</v>
      </c>
      <c r="B45" s="5" t="s">
        <v>380</v>
      </c>
      <c r="C45" s="5"/>
      <c r="D45" s="5" t="s">
        <v>3</v>
      </c>
      <c r="E45" s="5" t="s">
        <v>369</v>
      </c>
      <c r="F45" s="5" t="s">
        <v>370</v>
      </c>
      <c r="G45" s="6">
        <v>0.91</v>
      </c>
      <c r="H45" s="5" t="s">
        <v>376</v>
      </c>
      <c r="I45" s="5" t="s">
        <v>366</v>
      </c>
      <c r="K45" s="6">
        <v>0.88295</v>
      </c>
      <c r="M45" s="6">
        <v>0.02705000000000002</v>
      </c>
      <c r="N45" s="2">
        <v>-300000</v>
      </c>
      <c r="O45" s="2">
        <v>8115.0000000000055</v>
      </c>
      <c r="P45" s="5" t="s">
        <v>377</v>
      </c>
    </row>
    <row r="46" spans="1:16">
      <c r="A46" s="5" t="s">
        <v>374</v>
      </c>
      <c r="B46" s="5" t="s">
        <v>381</v>
      </c>
      <c r="C46" s="5"/>
      <c r="D46" s="5" t="s">
        <v>3</v>
      </c>
      <c r="E46" s="5" t="s">
        <v>371</v>
      </c>
      <c r="F46" s="5" t="s">
        <v>364</v>
      </c>
      <c r="G46" s="6">
        <v>7.12</v>
      </c>
      <c r="H46" s="5" t="s">
        <v>376</v>
      </c>
      <c r="I46" s="5" t="s">
        <v>366</v>
      </c>
      <c r="K46" s="6">
        <v>6.8628</v>
      </c>
      <c r="M46" s="6">
        <v>0.2572000000000001</v>
      </c>
      <c r="N46" s="2">
        <v>380000</v>
      </c>
      <c r="O46" s="2">
        <v>-97736.00000000003</v>
      </c>
      <c r="P46" s="5" t="s">
        <v>377</v>
      </c>
    </row>
    <row r="47" spans="1:16">
      <c r="A47" s="5" t="s">
        <v>374</v>
      </c>
      <c r="B47" s="5" t="s">
        <v>381</v>
      </c>
      <c r="C47" s="5"/>
      <c r="D47" s="5" t="s">
        <v>3</v>
      </c>
      <c r="E47" s="5" t="s">
        <v>378</v>
      </c>
      <c r="F47" s="5" t="s">
        <v>370</v>
      </c>
      <c r="G47" s="6">
        <v>0.91</v>
      </c>
      <c r="H47" s="5" t="s">
        <v>376</v>
      </c>
      <c r="I47" s="5" t="s">
        <v>366</v>
      </c>
      <c r="K47" s="6">
        <v>0.87581</v>
      </c>
      <c r="M47" s="6">
        <v>0.034190000000000054</v>
      </c>
      <c r="N47" s="2">
        <v>350000</v>
      </c>
      <c r="O47" s="2">
        <v>-11966.500000000018</v>
      </c>
      <c r="P47" s="5" t="s">
        <v>377</v>
      </c>
    </row>
    <row r="48" spans="1:16">
      <c r="A48" s="5" t="s">
        <v>374</v>
      </c>
      <c r="B48" s="5" t="s">
        <v>381</v>
      </c>
      <c r="C48" s="5"/>
      <c r="D48" s="5" t="s">
        <v>3</v>
      </c>
      <c r="E48" s="5" t="s">
        <v>363</v>
      </c>
      <c r="F48" s="5" t="s">
        <v>364</v>
      </c>
      <c r="G48" s="6">
        <v>7.12</v>
      </c>
      <c r="H48" s="5" t="s">
        <v>376</v>
      </c>
      <c r="I48" s="5" t="s">
        <v>366</v>
      </c>
      <c r="K48" s="6">
        <v>6.8628</v>
      </c>
      <c r="M48" s="6">
        <v>0.2572000000000001</v>
      </c>
      <c r="N48" s="2">
        <v>540000</v>
      </c>
      <c r="O48" s="2">
        <v>-138888.00000000006</v>
      </c>
      <c r="P48" s="5" t="s">
        <v>377</v>
      </c>
    </row>
    <row r="49" spans="1:16">
      <c r="A49" s="5" t="s">
        <v>374</v>
      </c>
      <c r="B49" s="5" t="s">
        <v>381</v>
      </c>
      <c r="C49" s="5"/>
      <c r="D49" s="5" t="s">
        <v>3</v>
      </c>
      <c r="E49" s="5" t="s">
        <v>372</v>
      </c>
      <c r="F49" s="5" t="s">
        <v>373</v>
      </c>
      <c r="G49" s="6">
        <v>7.83</v>
      </c>
      <c r="H49" s="5" t="s">
        <v>376</v>
      </c>
      <c r="I49" s="5" t="s">
        <v>366</v>
      </c>
      <c r="K49" s="6">
        <v>8.005700000000001</v>
      </c>
      <c r="M49" s="6">
        <v>-0.17570000000000086</v>
      </c>
      <c r="N49" s="2">
        <v>100000</v>
      </c>
      <c r="O49" s="2">
        <v>17570.000000000087</v>
      </c>
      <c r="P49" s="5" t="s">
        <v>377</v>
      </c>
    </row>
    <row r="50" spans="1:16">
      <c r="A50" s="5" t="s">
        <v>374</v>
      </c>
      <c r="B50" s="5" t="s">
        <v>381</v>
      </c>
      <c r="C50" s="5"/>
      <c r="D50" s="5" t="s">
        <v>3</v>
      </c>
      <c r="E50" s="5" t="s">
        <v>368</v>
      </c>
      <c r="F50" s="5" t="s">
        <v>364</v>
      </c>
      <c r="G50" s="6">
        <v>7.12</v>
      </c>
      <c r="H50" s="5" t="s">
        <v>376</v>
      </c>
      <c r="I50" s="5" t="s">
        <v>366</v>
      </c>
      <c r="K50" s="6">
        <v>6.8628</v>
      </c>
      <c r="M50" s="6">
        <v>0.2572000000000001</v>
      </c>
      <c r="N50" s="2">
        <v>-220000</v>
      </c>
      <c r="O50" s="2">
        <v>56584.00000000002</v>
      </c>
      <c r="P50" s="5" t="s">
        <v>377</v>
      </c>
    </row>
    <row r="51" spans="1:16">
      <c r="A51" s="5" t="s">
        <v>374</v>
      </c>
      <c r="B51" s="5" t="s">
        <v>381</v>
      </c>
      <c r="C51" s="5"/>
      <c r="D51" s="5" t="s">
        <v>3</v>
      </c>
      <c r="E51" s="5" t="s">
        <v>369</v>
      </c>
      <c r="F51" s="5" t="s">
        <v>370</v>
      </c>
      <c r="G51" s="6">
        <v>0.91</v>
      </c>
      <c r="H51" s="5" t="s">
        <v>376</v>
      </c>
      <c r="I51" s="5" t="s">
        <v>366</v>
      </c>
      <c r="K51" s="6">
        <v>0.87581</v>
      </c>
      <c r="M51" s="6">
        <v>0.034190000000000054</v>
      </c>
      <c r="N51" s="2">
        <v>-300000</v>
      </c>
      <c r="O51" s="2">
        <v>10257.000000000016</v>
      </c>
      <c r="P51" s="5" t="s">
        <v>377</v>
      </c>
    </row>
    <row r="52" spans="1:16">
      <c r="A52" s="5" t="s">
        <v>374</v>
      </c>
      <c r="B52" s="5" t="s">
        <v>382</v>
      </c>
      <c r="C52" s="5"/>
      <c r="D52" s="5" t="s">
        <v>3</v>
      </c>
      <c r="E52" s="5" t="s">
        <v>371</v>
      </c>
      <c r="F52" s="5" t="s">
        <v>364</v>
      </c>
      <c r="G52" s="6">
        <v>7.12</v>
      </c>
      <c r="H52" s="5" t="s">
        <v>376</v>
      </c>
      <c r="I52" s="5" t="s">
        <v>366</v>
      </c>
      <c r="K52" s="6">
        <v>6.8176</v>
      </c>
      <c r="M52" s="6">
        <v>0.30240000000000045</v>
      </c>
      <c r="N52" s="2">
        <v>440000</v>
      </c>
      <c r="O52" s="2">
        <v>-133056.0000000002</v>
      </c>
      <c r="P52" s="5" t="s">
        <v>377</v>
      </c>
    </row>
    <row r="53" spans="1:16">
      <c r="A53" s="5" t="s">
        <v>374</v>
      </c>
      <c r="B53" s="5" t="s">
        <v>382</v>
      </c>
      <c r="C53" s="5"/>
      <c r="D53" s="5" t="s">
        <v>3</v>
      </c>
      <c r="E53" s="5" t="s">
        <v>378</v>
      </c>
      <c r="F53" s="5" t="s">
        <v>370</v>
      </c>
      <c r="G53" s="6">
        <v>0.91</v>
      </c>
      <c r="H53" s="5" t="s">
        <v>376</v>
      </c>
      <c r="I53" s="5" t="s">
        <v>366</v>
      </c>
      <c r="K53" s="6">
        <v>0.87029</v>
      </c>
      <c r="M53" s="6">
        <v>0.03971000000000002</v>
      </c>
      <c r="N53" s="2">
        <v>430000</v>
      </c>
      <c r="O53" s="2">
        <v>-17075.30000000001</v>
      </c>
      <c r="P53" s="5" t="s">
        <v>377</v>
      </c>
    </row>
    <row r="54" spans="1:16">
      <c r="A54" s="5" t="s">
        <v>374</v>
      </c>
      <c r="B54" s="5" t="s">
        <v>382</v>
      </c>
      <c r="C54" s="5"/>
      <c r="D54" s="5" t="s">
        <v>3</v>
      </c>
      <c r="E54" s="5" t="s">
        <v>363</v>
      </c>
      <c r="F54" s="5" t="s">
        <v>364</v>
      </c>
      <c r="G54" s="6">
        <v>7.12</v>
      </c>
      <c r="H54" s="5" t="s">
        <v>376</v>
      </c>
      <c r="I54" s="5" t="s">
        <v>366</v>
      </c>
      <c r="K54" s="6">
        <v>6.8176</v>
      </c>
      <c r="M54" s="6">
        <v>0.30240000000000045</v>
      </c>
      <c r="N54" s="2">
        <v>530000</v>
      </c>
      <c r="O54" s="2">
        <v>-160272.00000000023</v>
      </c>
      <c r="P54" s="5" t="s">
        <v>377</v>
      </c>
    </row>
    <row r="55" spans="1:16">
      <c r="A55" s="5" t="s">
        <v>374</v>
      </c>
      <c r="B55" s="5" t="s">
        <v>382</v>
      </c>
      <c r="C55" s="5"/>
      <c r="D55" s="5" t="s">
        <v>3</v>
      </c>
      <c r="E55" s="5" t="s">
        <v>372</v>
      </c>
      <c r="F55" s="5" t="s">
        <v>373</v>
      </c>
      <c r="G55" s="6">
        <v>7.83</v>
      </c>
      <c r="H55" s="5" t="s">
        <v>376</v>
      </c>
      <c r="I55" s="5" t="s">
        <v>366</v>
      </c>
      <c r="K55" s="6">
        <v>7.916</v>
      </c>
      <c r="M55" s="6">
        <v>-0.0860000000000003</v>
      </c>
      <c r="N55" s="2">
        <v>100000</v>
      </c>
      <c r="O55" s="2">
        <v>8600.00000000003</v>
      </c>
      <c r="P55" s="5" t="s">
        <v>377</v>
      </c>
    </row>
    <row r="56" spans="1:16">
      <c r="A56" s="5" t="s">
        <v>374</v>
      </c>
      <c r="B56" s="5" t="s">
        <v>382</v>
      </c>
      <c r="C56" s="5"/>
      <c r="D56" s="5" t="s">
        <v>3</v>
      </c>
      <c r="E56" s="5" t="s">
        <v>368</v>
      </c>
      <c r="F56" s="5" t="s">
        <v>364</v>
      </c>
      <c r="G56" s="6">
        <v>7.12</v>
      </c>
      <c r="H56" s="5" t="s">
        <v>376</v>
      </c>
      <c r="I56" s="5" t="s">
        <v>366</v>
      </c>
      <c r="K56" s="6">
        <v>6.8176</v>
      </c>
      <c r="M56" s="6">
        <v>0.30240000000000045</v>
      </c>
      <c r="N56" s="2">
        <v>-230000</v>
      </c>
      <c r="O56" s="2">
        <v>69552.0000000001</v>
      </c>
      <c r="P56" s="5" t="s">
        <v>377</v>
      </c>
    </row>
    <row r="57" spans="1:16">
      <c r="A57" s="5" t="s">
        <v>374</v>
      </c>
      <c r="B57" s="5" t="s">
        <v>382</v>
      </c>
      <c r="C57" s="5"/>
      <c r="D57" s="5" t="s">
        <v>3</v>
      </c>
      <c r="E57" s="5" t="s">
        <v>369</v>
      </c>
      <c r="F57" s="5" t="s">
        <v>370</v>
      </c>
      <c r="G57" s="6">
        <v>0.91</v>
      </c>
      <c r="H57" s="5" t="s">
        <v>376</v>
      </c>
      <c r="I57" s="5" t="s">
        <v>366</v>
      </c>
      <c r="K57" s="6">
        <v>0.87029</v>
      </c>
      <c r="M57" s="6">
        <v>0.03971000000000002</v>
      </c>
      <c r="N57" s="2">
        <v>-300000</v>
      </c>
      <c r="O57" s="2">
        <v>11913.000000000007</v>
      </c>
      <c r="P57" s="5" t="s">
        <v>377</v>
      </c>
    </row>
    <row r="58" spans="1:16">
      <c r="A58" s="5" t="s">
        <v>374</v>
      </c>
      <c r="B58" s="5" t="s">
        <v>383</v>
      </c>
      <c r="C58" s="5"/>
      <c r="D58" s="5" t="s">
        <v>3</v>
      </c>
      <c r="E58" s="5" t="s">
        <v>371</v>
      </c>
      <c r="F58" s="5" t="s">
        <v>364</v>
      </c>
      <c r="G58" s="6">
        <v>7.12</v>
      </c>
      <c r="H58" s="5" t="s">
        <v>376</v>
      </c>
      <c r="I58" s="5" t="s">
        <v>366</v>
      </c>
      <c r="K58" s="6">
        <v>6.8109</v>
      </c>
      <c r="M58" s="6">
        <v>0.30909999999999993</v>
      </c>
      <c r="N58" s="2">
        <v>520000</v>
      </c>
      <c r="O58" s="2">
        <v>-160731.99999999997</v>
      </c>
      <c r="P58" s="5" t="s">
        <v>377</v>
      </c>
    </row>
    <row r="59" spans="1:16">
      <c r="A59" s="5" t="s">
        <v>374</v>
      </c>
      <c r="B59" s="5" t="s">
        <v>383</v>
      </c>
      <c r="C59" s="5"/>
      <c r="D59" s="5" t="s">
        <v>3</v>
      </c>
      <c r="E59" s="5" t="s">
        <v>378</v>
      </c>
      <c r="F59" s="5" t="s">
        <v>370</v>
      </c>
      <c r="G59" s="6">
        <v>0.91</v>
      </c>
      <c r="H59" s="5" t="s">
        <v>376</v>
      </c>
      <c r="I59" s="5" t="s">
        <v>366</v>
      </c>
      <c r="K59" s="6">
        <v>0.86855</v>
      </c>
      <c r="M59" s="6">
        <v>0.04144999999999999</v>
      </c>
      <c r="N59" s="2">
        <v>385000</v>
      </c>
      <c r="O59" s="2">
        <v>-15958.249999999995</v>
      </c>
      <c r="P59" s="5" t="s">
        <v>377</v>
      </c>
    </row>
    <row r="60" spans="1:16">
      <c r="A60" s="5" t="s">
        <v>374</v>
      </c>
      <c r="B60" s="5" t="s">
        <v>383</v>
      </c>
      <c r="C60" s="5"/>
      <c r="D60" s="5" t="s">
        <v>3</v>
      </c>
      <c r="E60" s="5" t="s">
        <v>363</v>
      </c>
      <c r="F60" s="5" t="s">
        <v>364</v>
      </c>
      <c r="G60" s="6">
        <v>7.12</v>
      </c>
      <c r="H60" s="5" t="s">
        <v>376</v>
      </c>
      <c r="I60" s="5" t="s">
        <v>366</v>
      </c>
      <c r="K60" s="6">
        <v>6.8109</v>
      </c>
      <c r="M60" s="6">
        <v>0.30909999999999993</v>
      </c>
      <c r="N60" s="2">
        <v>610000</v>
      </c>
      <c r="O60" s="2">
        <v>-188550.99999999997</v>
      </c>
      <c r="P60" s="5" t="s">
        <v>377</v>
      </c>
    </row>
    <row r="61" spans="1:16">
      <c r="A61" s="5" t="s">
        <v>374</v>
      </c>
      <c r="B61" s="5" t="s">
        <v>383</v>
      </c>
      <c r="C61" s="5"/>
      <c r="D61" s="5" t="s">
        <v>3</v>
      </c>
      <c r="E61" s="5" t="s">
        <v>372</v>
      </c>
      <c r="F61" s="5" t="s">
        <v>373</v>
      </c>
      <c r="G61" s="6">
        <v>7.83</v>
      </c>
      <c r="H61" s="5" t="s">
        <v>376</v>
      </c>
      <c r="I61" s="5" t="s">
        <v>366</v>
      </c>
      <c r="K61" s="6">
        <v>7.7671</v>
      </c>
      <c r="M61" s="6">
        <v>0.06289999999999996</v>
      </c>
      <c r="N61" s="2">
        <v>75000</v>
      </c>
      <c r="O61" s="2">
        <v>-4717.499999999996</v>
      </c>
      <c r="P61" s="5" t="s">
        <v>377</v>
      </c>
    </row>
    <row r="62" spans="1:16">
      <c r="A62" s="5" t="s">
        <v>374</v>
      </c>
      <c r="B62" s="5" t="s">
        <v>383</v>
      </c>
      <c r="C62" s="5"/>
      <c r="D62" s="5" t="s">
        <v>3</v>
      </c>
      <c r="E62" s="5" t="s">
        <v>368</v>
      </c>
      <c r="F62" s="5" t="s">
        <v>364</v>
      </c>
      <c r="G62" s="6">
        <v>7.12</v>
      </c>
      <c r="H62" s="5" t="s">
        <v>376</v>
      </c>
      <c r="I62" s="5" t="s">
        <v>366</v>
      </c>
      <c r="K62" s="6">
        <v>6.8109</v>
      </c>
      <c r="M62" s="6">
        <v>0.30909999999999993</v>
      </c>
      <c r="N62" s="2">
        <v>-240000</v>
      </c>
      <c r="O62" s="2">
        <v>74183.99999999999</v>
      </c>
      <c r="P62" s="5" t="s">
        <v>377</v>
      </c>
    </row>
    <row r="63" spans="1:16">
      <c r="A63" s="5" t="s">
        <v>374</v>
      </c>
      <c r="B63" s="5" t="s">
        <v>383</v>
      </c>
      <c r="C63" s="5"/>
      <c r="D63" s="5" t="s">
        <v>3</v>
      </c>
      <c r="E63" s="5" t="s">
        <v>369</v>
      </c>
      <c r="F63" s="5" t="s">
        <v>370</v>
      </c>
      <c r="G63" s="6">
        <v>0.91</v>
      </c>
      <c r="H63" s="5" t="s">
        <v>376</v>
      </c>
      <c r="I63" s="5" t="s">
        <v>366</v>
      </c>
      <c r="K63" s="6">
        <v>0.86855</v>
      </c>
      <c r="M63" s="6">
        <v>0.04144999999999999</v>
      </c>
      <c r="N63" s="2">
        <v>-300000</v>
      </c>
      <c r="O63" s="2">
        <v>12434.999999999996</v>
      </c>
      <c r="P63" s="5" t="s">
        <v>377</v>
      </c>
    </row>
  </sheetData>
  <autoFilter ref="A1:P6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</cols>
  <sheetData>
    <row r="1" spans="1:2">
      <c r="A1" s="1" t="s">
        <v>0</v>
      </c>
      <c r="B1" s="1" t="s">
        <v>384</v>
      </c>
    </row>
    <row r="2" spans="1:2">
      <c r="A2" t="s">
        <v>385</v>
      </c>
      <c r="B2" t="s">
        <v>386</v>
      </c>
    </row>
    <row r="3" spans="1:2">
      <c r="A3" t="s">
        <v>387</v>
      </c>
      <c r="B3" t="s">
        <v>7</v>
      </c>
    </row>
    <row r="4" spans="1:2">
      <c r="A4" t="s">
        <v>388</v>
      </c>
      <c r="B4" t="s">
        <v>389</v>
      </c>
    </row>
    <row r="5" spans="1:2">
      <c r="A5" t="s">
        <v>390</v>
      </c>
      <c r="B5" t="s">
        <v>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8.7109375" customWidth="1"/>
  </cols>
  <sheetData>
    <row r="1" spans="1:2">
      <c r="A1" s="1" t="s">
        <v>0</v>
      </c>
      <c r="B1" s="1" t="s">
        <v>384</v>
      </c>
    </row>
    <row r="2" spans="1:2">
      <c r="A2" t="s">
        <v>392</v>
      </c>
      <c r="B2" t="s">
        <v>65</v>
      </c>
    </row>
    <row r="3" spans="1:2">
      <c r="A3" t="s">
        <v>393</v>
      </c>
      <c r="B3" s="2">
        <v>116703.6000000012</v>
      </c>
    </row>
    <row r="4" spans="1:2">
      <c r="A4" t="s">
        <v>394</v>
      </c>
      <c r="B4" s="2">
        <v>116703.6000000012</v>
      </c>
    </row>
    <row r="5" spans="1:2">
      <c r="A5" t="s">
        <v>395</v>
      </c>
      <c r="B5" t="s">
        <v>54</v>
      </c>
    </row>
    <row r="6" spans="1:2">
      <c r="A6" t="s">
        <v>396</v>
      </c>
      <c r="B6" t="s">
        <v>397</v>
      </c>
    </row>
    <row r="7" spans="1:2">
      <c r="A7" t="s">
        <v>398</v>
      </c>
      <c r="B7" s="2">
        <v>-0</v>
      </c>
    </row>
    <row r="8" spans="1:2">
      <c r="A8" t="s">
        <v>399</v>
      </c>
      <c r="B8" s="2">
        <v>-10330</v>
      </c>
    </row>
    <row r="9" spans="1:2">
      <c r="A9" t="s">
        <v>400</v>
      </c>
      <c r="B9" s="2">
        <v>-10330</v>
      </c>
    </row>
    <row r="10" spans="1:2">
      <c r="A10" t="s">
        <v>401</v>
      </c>
      <c r="B10" s="2">
        <v>127033.6000000012</v>
      </c>
    </row>
    <row r="11" spans="1:2">
      <c r="A11" t="s">
        <v>402</v>
      </c>
      <c r="B11" s="2">
        <v>116703.6000000012</v>
      </c>
    </row>
    <row r="12" spans="1:2">
      <c r="A12" t="s">
        <v>12</v>
      </c>
      <c r="B12" s="2">
        <v>124633.6000000012</v>
      </c>
    </row>
    <row r="13" spans="1:2">
      <c r="A13" t="s">
        <v>14</v>
      </c>
      <c r="B13" s="3">
        <v>15.716721311475562</v>
      </c>
    </row>
    <row r="14" spans="1:2">
      <c r="A14" t="s">
        <v>403</v>
      </c>
      <c r="B14" t="s">
        <v>54</v>
      </c>
    </row>
    <row r="15" spans="1:2">
      <c r="A15" t="s">
        <v>404</v>
      </c>
      <c r="B15" t="s">
        <v>405</v>
      </c>
    </row>
    <row r="16" spans="1:2">
      <c r="A16" t="s">
        <v>406</v>
      </c>
      <c r="B16" s="2">
        <v>0</v>
      </c>
    </row>
    <row r="17" spans="1:2">
      <c r="A17" t="s">
        <v>407</v>
      </c>
      <c r="B17" s="2">
        <v>127033.6000000012</v>
      </c>
    </row>
    <row r="18" spans="1:2">
      <c r="A18" t="s">
        <v>408</v>
      </c>
      <c r="B18" t="s">
        <v>65</v>
      </c>
    </row>
    <row r="19" spans="1:2">
      <c r="A19" t="s">
        <v>409</v>
      </c>
      <c r="B19" s="2">
        <v>2400</v>
      </c>
    </row>
    <row r="20" spans="1:2">
      <c r="A20" t="s">
        <v>410</v>
      </c>
      <c r="B20" s="2">
        <v>2</v>
      </c>
    </row>
    <row r="21" spans="1:2">
      <c r="A21" t="s">
        <v>411</v>
      </c>
      <c r="B21" s="2">
        <v>2400</v>
      </c>
    </row>
    <row r="22" spans="1:2">
      <c r="A22" t="s">
        <v>412</v>
      </c>
      <c r="B22" s="2">
        <v>2</v>
      </c>
    </row>
    <row r="23" spans="1:2">
      <c r="A23" t="s">
        <v>413</v>
      </c>
      <c r="B23" s="2">
        <v>0</v>
      </c>
    </row>
    <row r="24" spans="1:2">
      <c r="A24" t="s">
        <v>414</v>
      </c>
      <c r="B24" s="2">
        <v>0</v>
      </c>
    </row>
    <row r="25" spans="1:2">
      <c r="A25" t="s">
        <v>415</v>
      </c>
      <c r="B25" s="2">
        <v>32</v>
      </c>
    </row>
    <row r="26" spans="1:2">
      <c r="A26" t="s">
        <v>416</v>
      </c>
      <c r="B26" s="2">
        <v>-14206.47307619013</v>
      </c>
    </row>
    <row r="27" spans="1:2">
      <c r="A27" t="s">
        <v>417</v>
      </c>
      <c r="B27" s="2">
        <v>-3876.47307619013</v>
      </c>
    </row>
    <row r="28" spans="1:2">
      <c r="A28" t="s">
        <v>418</v>
      </c>
      <c r="B28" t="s">
        <v>65</v>
      </c>
    </row>
    <row r="29" spans="1:2">
      <c r="A29" t="s">
        <v>419</v>
      </c>
      <c r="B29" s="2">
        <v>0</v>
      </c>
    </row>
    <row r="30" spans="1:2">
      <c r="A30" t="s">
        <v>420</v>
      </c>
      <c r="B30" t="s">
        <v>54</v>
      </c>
    </row>
    <row r="31" spans="1:2">
      <c r="A31" t="s">
        <v>421</v>
      </c>
      <c r="B31" s="2">
        <v>14650</v>
      </c>
    </row>
    <row r="32" spans="1:2">
      <c r="A32" t="s">
        <v>422</v>
      </c>
      <c r="B32" s="2">
        <v>0</v>
      </c>
    </row>
    <row r="33" spans="1:2">
      <c r="A33" t="s">
        <v>423</v>
      </c>
      <c r="B33" s="2">
        <v>-7930</v>
      </c>
    </row>
    <row r="34" spans="1:2">
      <c r="A34" t="s">
        <v>424</v>
      </c>
      <c r="B34" t="s">
        <v>7</v>
      </c>
    </row>
    <row r="35" spans="1:2">
      <c r="A35" t="s">
        <v>425</v>
      </c>
      <c r="B35" s="2">
        <v>14650</v>
      </c>
    </row>
    <row r="36" spans="1:2">
      <c r="A36" t="s">
        <v>426</v>
      </c>
    </row>
    <row r="37" spans="1:2">
      <c r="A37" t="s">
        <v>427</v>
      </c>
    </row>
    <row r="38" spans="1:2">
      <c r="A38" t="s">
        <v>428</v>
      </c>
      <c r="B38" s="2">
        <v>0</v>
      </c>
    </row>
    <row r="39" spans="1:2">
      <c r="A39" t="s">
        <v>429</v>
      </c>
      <c r="B39" s="2">
        <v>2400</v>
      </c>
    </row>
    <row r="40" spans="1:2">
      <c r="A40" t="s">
        <v>430</v>
      </c>
      <c r="B40" s="2">
        <v>130910.07307619133</v>
      </c>
    </row>
    <row r="41" spans="1:2">
      <c r="A41" t="s">
        <v>431</v>
      </c>
      <c r="B41" t="s">
        <v>54</v>
      </c>
    </row>
    <row r="42" spans="1:2">
      <c r="A42" t="s">
        <v>432</v>
      </c>
      <c r="B42" s="2">
        <v>130910.07307619133</v>
      </c>
    </row>
    <row r="43" spans="1:2">
      <c r="A43" t="s">
        <v>433</v>
      </c>
      <c r="B43" s="2">
        <v>0</v>
      </c>
    </row>
    <row r="44" spans="1:2">
      <c r="A44" t="s">
        <v>434</v>
      </c>
      <c r="B44" s="2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</cols>
  <sheetData>
    <row r="1" spans="1:2">
      <c r="A1" s="1" t="s">
        <v>0</v>
      </c>
      <c r="B1" s="1" t="s">
        <v>384</v>
      </c>
    </row>
    <row r="2" spans="1:2">
      <c r="A2" t="s">
        <v>435</v>
      </c>
      <c r="B2" t="s">
        <v>436</v>
      </c>
    </row>
    <row r="3" spans="1:2">
      <c r="A3" t="s">
        <v>437</v>
      </c>
      <c r="B3" t="s">
        <v>383</v>
      </c>
    </row>
    <row r="4" spans="1:2">
      <c r="A4" t="s">
        <v>387</v>
      </c>
      <c r="B4" t="s">
        <v>7</v>
      </c>
    </row>
    <row r="5" spans="1:2">
      <c r="A5" t="s">
        <v>388</v>
      </c>
      <c r="B5" t="s">
        <v>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438</v>
      </c>
      <c r="B1" s="1" t="s">
        <v>439</v>
      </c>
      <c r="C1" s="1" t="s">
        <v>440</v>
      </c>
      <c r="D1" s="1" t="s">
        <v>441</v>
      </c>
    </row>
    <row r="2" spans="1:4">
      <c r="A2" t="s">
        <v>442</v>
      </c>
      <c r="B2" t="s">
        <v>443</v>
      </c>
      <c r="C2" t="s">
        <v>444</v>
      </c>
      <c r="D2" t="s">
        <v>445</v>
      </c>
    </row>
    <row r="3" spans="1:4">
      <c r="A3" t="s">
        <v>44</v>
      </c>
      <c r="B3" t="s">
        <v>44</v>
      </c>
      <c r="C3" t="s">
        <v>444</v>
      </c>
      <c r="D3" t="s">
        <v>445</v>
      </c>
    </row>
    <row r="4" spans="1:4">
      <c r="A4" t="s">
        <v>43</v>
      </c>
      <c r="B4" t="s">
        <v>446</v>
      </c>
      <c r="C4" t="s">
        <v>444</v>
      </c>
      <c r="D4" t="s">
        <v>445</v>
      </c>
    </row>
    <row r="5" spans="1:4">
      <c r="A5" t="s">
        <v>25</v>
      </c>
      <c r="B5" t="s">
        <v>25</v>
      </c>
      <c r="C5" t="s">
        <v>444</v>
      </c>
      <c r="D5" t="s">
        <v>445</v>
      </c>
    </row>
    <row r="6" spans="1:4">
      <c r="A6" t="s">
        <v>18</v>
      </c>
      <c r="B6" t="s">
        <v>18</v>
      </c>
      <c r="C6" t="s">
        <v>444</v>
      </c>
      <c r="D6" t="s">
        <v>445</v>
      </c>
    </row>
    <row r="7" spans="1:4">
      <c r="A7" t="s">
        <v>447</v>
      </c>
      <c r="B7" t="s">
        <v>38</v>
      </c>
      <c r="C7" t="s">
        <v>444</v>
      </c>
      <c r="D7" t="s">
        <v>445</v>
      </c>
    </row>
    <row r="8" spans="1:4">
      <c r="A8" t="s">
        <v>448</v>
      </c>
      <c r="B8" t="s">
        <v>45</v>
      </c>
      <c r="C8" t="s">
        <v>444</v>
      </c>
      <c r="D8" t="s">
        <v>445</v>
      </c>
    </row>
    <row r="9" spans="1:4">
      <c r="A9" t="s">
        <v>449</v>
      </c>
      <c r="B9" t="s">
        <v>39</v>
      </c>
      <c r="C9" t="s">
        <v>444</v>
      </c>
      <c r="D9" t="s">
        <v>445</v>
      </c>
    </row>
    <row r="10" spans="1:4">
      <c r="A10" t="s">
        <v>450</v>
      </c>
      <c r="B10" t="s">
        <v>46</v>
      </c>
      <c r="C10" t="s">
        <v>444</v>
      </c>
      <c r="D10" t="s">
        <v>445</v>
      </c>
    </row>
    <row r="11" spans="1:4">
      <c r="A11" t="s">
        <v>451</v>
      </c>
      <c r="B11" t="s">
        <v>40</v>
      </c>
      <c r="C11" t="s">
        <v>444</v>
      </c>
      <c r="D11" t="s">
        <v>445</v>
      </c>
    </row>
    <row r="12" spans="1:4">
      <c r="A12" t="s">
        <v>452</v>
      </c>
      <c r="B12" t="s">
        <v>453</v>
      </c>
      <c r="C12" t="s">
        <v>444</v>
      </c>
      <c r="D12" t="s">
        <v>445</v>
      </c>
    </row>
    <row r="13" spans="1:4">
      <c r="A13" t="s">
        <v>22</v>
      </c>
      <c r="B13" t="s">
        <v>22</v>
      </c>
      <c r="C13" t="s">
        <v>444</v>
      </c>
      <c r="D13" t="s">
        <v>445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438</v>
      </c>
      <c r="B1" s="1" t="s">
        <v>439</v>
      </c>
      <c r="C1" s="1" t="s">
        <v>440</v>
      </c>
      <c r="D1" s="1" t="s">
        <v>441</v>
      </c>
    </row>
    <row r="2" spans="1:4">
      <c r="A2" t="s">
        <v>454</v>
      </c>
      <c r="B2" t="s">
        <v>65</v>
      </c>
      <c r="C2" t="s">
        <v>444</v>
      </c>
      <c r="D2" t="s">
        <v>445</v>
      </c>
    </row>
    <row r="3" spans="1:4">
      <c r="A3" t="s">
        <v>455</v>
      </c>
      <c r="B3" t="s">
        <v>65</v>
      </c>
      <c r="C3" t="s">
        <v>444</v>
      </c>
      <c r="D3" t="s">
        <v>445</v>
      </c>
    </row>
    <row r="4" spans="1:4">
      <c r="A4" t="s">
        <v>456</v>
      </c>
      <c r="B4" t="s">
        <v>65</v>
      </c>
      <c r="C4" t="s">
        <v>444</v>
      </c>
      <c r="D4" t="s">
        <v>445</v>
      </c>
    </row>
    <row r="5" spans="1:4">
      <c r="A5" t="s">
        <v>457</v>
      </c>
      <c r="B5" t="s">
        <v>65</v>
      </c>
      <c r="C5" t="s">
        <v>444</v>
      </c>
      <c r="D5" t="s">
        <v>445</v>
      </c>
    </row>
    <row r="6" spans="1:4">
      <c r="A6" t="s">
        <v>442</v>
      </c>
      <c r="B6" t="s">
        <v>443</v>
      </c>
      <c r="C6" t="s">
        <v>444</v>
      </c>
      <c r="D6" t="s">
        <v>445</v>
      </c>
    </row>
    <row r="7" spans="1:4">
      <c r="A7" t="s">
        <v>44</v>
      </c>
      <c r="B7" t="s">
        <v>44</v>
      </c>
      <c r="C7" t="s">
        <v>444</v>
      </c>
      <c r="D7" t="s">
        <v>445</v>
      </c>
    </row>
    <row r="8" spans="1:4">
      <c r="A8" t="s">
        <v>43</v>
      </c>
      <c r="B8" t="s">
        <v>446</v>
      </c>
      <c r="C8" t="s">
        <v>444</v>
      </c>
      <c r="D8" t="s">
        <v>445</v>
      </c>
    </row>
    <row r="9" spans="1:4">
      <c r="A9" t="s">
        <v>458</v>
      </c>
      <c r="B9" t="s">
        <v>459</v>
      </c>
      <c r="C9" t="s">
        <v>444</v>
      </c>
      <c r="D9" t="s">
        <v>445</v>
      </c>
    </row>
    <row r="10" spans="1:4">
      <c r="A10" t="s">
        <v>460</v>
      </c>
      <c r="B10" t="s">
        <v>461</v>
      </c>
      <c r="C10" t="s">
        <v>444</v>
      </c>
      <c r="D10" t="s">
        <v>445</v>
      </c>
    </row>
    <row r="11" spans="1:4">
      <c r="A11" t="s">
        <v>462</v>
      </c>
      <c r="B11" t="s">
        <v>463</v>
      </c>
      <c r="C11" t="s">
        <v>444</v>
      </c>
      <c r="D11" t="s">
        <v>445</v>
      </c>
    </row>
    <row r="12" spans="1:4">
      <c r="A12" t="s">
        <v>25</v>
      </c>
      <c r="B12" t="s">
        <v>25</v>
      </c>
      <c r="C12" t="s">
        <v>444</v>
      </c>
      <c r="D12" t="s">
        <v>445</v>
      </c>
    </row>
    <row r="13" spans="1:4">
      <c r="A13" t="s">
        <v>464</v>
      </c>
      <c r="B13" t="s">
        <v>459</v>
      </c>
      <c r="C13" t="s">
        <v>444</v>
      </c>
      <c r="D13" t="s">
        <v>445</v>
      </c>
    </row>
    <row r="14" spans="1:4">
      <c r="A14" t="s">
        <v>465</v>
      </c>
      <c r="B14" t="s">
        <v>466</v>
      </c>
      <c r="C14" t="s">
        <v>444</v>
      </c>
      <c r="D14" t="s">
        <v>445</v>
      </c>
    </row>
    <row r="15" spans="1:4">
      <c r="A15" t="s">
        <v>467</v>
      </c>
      <c r="B15" t="s">
        <v>468</v>
      </c>
      <c r="C15" t="s">
        <v>444</v>
      </c>
      <c r="D15" t="s">
        <v>445</v>
      </c>
    </row>
    <row r="16" spans="1:4">
      <c r="A16" t="s">
        <v>469</v>
      </c>
      <c r="B16" t="s">
        <v>470</v>
      </c>
      <c r="C16" t="s">
        <v>444</v>
      </c>
      <c r="D16" t="s">
        <v>445</v>
      </c>
    </row>
    <row r="17" spans="1:4">
      <c r="A17" t="s">
        <v>471</v>
      </c>
      <c r="B17" t="s">
        <v>472</v>
      </c>
      <c r="C17" t="s">
        <v>444</v>
      </c>
      <c r="D17" t="s">
        <v>445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4.7109375" customWidth="1"/>
    <col min="6" max="6" width="50.7109375" customWidth="1"/>
    <col min="7" max="12" width="24.7109375" customWidth="1"/>
  </cols>
  <sheetData>
    <row r="1" spans="1:12">
      <c r="A1" s="1" t="s">
        <v>473</v>
      </c>
      <c r="B1" s="1" t="s">
        <v>474</v>
      </c>
      <c r="C1" s="1" t="s">
        <v>475</v>
      </c>
      <c r="D1" s="1" t="s">
        <v>476</v>
      </c>
      <c r="E1" s="1" t="s">
        <v>18</v>
      </c>
      <c r="F1" s="1" t="s">
        <v>477</v>
      </c>
      <c r="G1" s="1" t="s">
        <v>478</v>
      </c>
      <c r="H1" s="1" t="s">
        <v>21</v>
      </c>
      <c r="I1" s="1" t="s">
        <v>479</v>
      </c>
      <c r="J1" s="1" t="s">
        <v>480</v>
      </c>
      <c r="K1" s="1" t="s">
        <v>19</v>
      </c>
      <c r="L1" s="1" t="s">
        <v>481</v>
      </c>
    </row>
    <row r="2" spans="1:12">
      <c r="A2" t="s">
        <v>482</v>
      </c>
      <c r="B2" s="2">
        <v>1200</v>
      </c>
      <c r="C2" t="s">
        <v>483</v>
      </c>
      <c r="D2" t="s">
        <v>484</v>
      </c>
      <c r="E2" t="s">
        <v>174</v>
      </c>
      <c r="F2" t="s">
        <v>178</v>
      </c>
      <c r="G2" t="s">
        <v>485</v>
      </c>
      <c r="H2" t="s">
        <v>177</v>
      </c>
      <c r="I2" t="s">
        <v>183</v>
      </c>
      <c r="J2" t="s">
        <v>483</v>
      </c>
      <c r="K2" t="s">
        <v>175</v>
      </c>
    </row>
    <row r="3" spans="1:12">
      <c r="A3" t="s">
        <v>482</v>
      </c>
      <c r="B3" s="2">
        <v>1200</v>
      </c>
      <c r="C3" t="s">
        <v>483</v>
      </c>
      <c r="D3" t="s">
        <v>484</v>
      </c>
      <c r="E3" t="s">
        <v>305</v>
      </c>
      <c r="F3" t="s">
        <v>178</v>
      </c>
      <c r="G3" t="s">
        <v>485</v>
      </c>
      <c r="H3" t="s">
        <v>177</v>
      </c>
      <c r="I3" t="s">
        <v>183</v>
      </c>
      <c r="J3" t="s">
        <v>483</v>
      </c>
      <c r="K3" t="s">
        <v>306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438</v>
      </c>
      <c r="B1" s="1" t="s">
        <v>439</v>
      </c>
      <c r="C1" s="1" t="s">
        <v>440</v>
      </c>
      <c r="D1" s="1" t="s">
        <v>441</v>
      </c>
    </row>
    <row r="2" spans="1:4">
      <c r="A2" t="s">
        <v>486</v>
      </c>
      <c r="B2" t="s">
        <v>487</v>
      </c>
      <c r="C2" t="s">
        <v>444</v>
      </c>
      <c r="D2" t="s">
        <v>445</v>
      </c>
    </row>
    <row r="3" spans="1:4">
      <c r="A3" t="s">
        <v>371</v>
      </c>
      <c r="B3" t="s">
        <v>487</v>
      </c>
      <c r="C3" t="s">
        <v>444</v>
      </c>
      <c r="D3" t="s">
        <v>445</v>
      </c>
    </row>
    <row r="4" spans="1:4">
      <c r="A4" t="s">
        <v>378</v>
      </c>
      <c r="B4" t="s">
        <v>487</v>
      </c>
      <c r="C4" t="s">
        <v>444</v>
      </c>
      <c r="D4" t="s">
        <v>445</v>
      </c>
    </row>
    <row r="5" spans="1:4">
      <c r="A5" t="s">
        <v>488</v>
      </c>
      <c r="B5" t="s">
        <v>489</v>
      </c>
      <c r="C5" t="s">
        <v>444</v>
      </c>
      <c r="D5" t="s">
        <v>445</v>
      </c>
    </row>
    <row r="6" spans="1:4">
      <c r="A6" t="s">
        <v>363</v>
      </c>
      <c r="B6" t="s">
        <v>489</v>
      </c>
      <c r="C6" t="s">
        <v>444</v>
      </c>
      <c r="D6" t="s">
        <v>445</v>
      </c>
    </row>
    <row r="7" spans="1:4">
      <c r="A7" t="s">
        <v>372</v>
      </c>
      <c r="B7" t="s">
        <v>489</v>
      </c>
      <c r="C7" t="s">
        <v>444</v>
      </c>
      <c r="D7" t="s">
        <v>445</v>
      </c>
    </row>
    <row r="8" spans="1:4">
      <c r="A8" t="s">
        <v>490</v>
      </c>
      <c r="B8" t="s">
        <v>491</v>
      </c>
      <c r="C8" t="s">
        <v>444</v>
      </c>
      <c r="D8" t="s">
        <v>445</v>
      </c>
    </row>
    <row r="9" spans="1:4">
      <c r="A9" t="s">
        <v>492</v>
      </c>
      <c r="B9" t="s">
        <v>491</v>
      </c>
      <c r="C9" t="s">
        <v>444</v>
      </c>
      <c r="D9" t="s">
        <v>445</v>
      </c>
    </row>
    <row r="10" spans="1:4">
      <c r="A10" t="s">
        <v>493</v>
      </c>
      <c r="B10" t="s">
        <v>491</v>
      </c>
      <c r="C10" t="s">
        <v>444</v>
      </c>
      <c r="D10" t="s">
        <v>445</v>
      </c>
    </row>
    <row r="11" spans="1:4">
      <c r="A11" t="s">
        <v>494</v>
      </c>
      <c r="B11" t="s">
        <v>491</v>
      </c>
      <c r="C11" t="s">
        <v>444</v>
      </c>
      <c r="D11" t="s">
        <v>445</v>
      </c>
    </row>
    <row r="12" spans="1:4">
      <c r="A12" t="s">
        <v>495</v>
      </c>
      <c r="B12" t="s">
        <v>496</v>
      </c>
      <c r="C12" t="s">
        <v>444</v>
      </c>
      <c r="D12" t="s">
        <v>445</v>
      </c>
    </row>
    <row r="13" spans="1:4">
      <c r="A13" t="s">
        <v>368</v>
      </c>
      <c r="B13" t="s">
        <v>496</v>
      </c>
      <c r="C13" t="s">
        <v>444</v>
      </c>
      <c r="D13" t="s">
        <v>445</v>
      </c>
    </row>
    <row r="14" spans="1:4">
      <c r="A14" t="s">
        <v>369</v>
      </c>
      <c r="B14" t="s">
        <v>496</v>
      </c>
      <c r="C14" t="s">
        <v>444</v>
      </c>
      <c r="D14" t="s">
        <v>445</v>
      </c>
    </row>
    <row r="15" spans="1:4">
      <c r="A15" t="s">
        <v>497</v>
      </c>
      <c r="B15" t="s">
        <v>491</v>
      </c>
      <c r="C15" t="s">
        <v>444</v>
      </c>
      <c r="D15" t="s">
        <v>445</v>
      </c>
    </row>
    <row r="16" spans="1:4">
      <c r="A16" t="s">
        <v>498</v>
      </c>
      <c r="B16" t="s">
        <v>491</v>
      </c>
      <c r="C16" t="s">
        <v>444</v>
      </c>
      <c r="D16" t="s">
        <v>445</v>
      </c>
    </row>
    <row r="17" spans="1:4">
      <c r="A17" t="s">
        <v>499</v>
      </c>
      <c r="B17" t="s">
        <v>489</v>
      </c>
      <c r="C17" t="s">
        <v>444</v>
      </c>
      <c r="D17" t="s">
        <v>445</v>
      </c>
    </row>
    <row r="18" spans="1:4">
      <c r="A18" t="s">
        <v>500</v>
      </c>
      <c r="B18" t="s">
        <v>496</v>
      </c>
      <c r="C18" t="s">
        <v>444</v>
      </c>
      <c r="D18" t="s">
        <v>445</v>
      </c>
    </row>
    <row r="19" spans="1:4">
      <c r="A19" t="s">
        <v>501</v>
      </c>
      <c r="B19" t="s">
        <v>491</v>
      </c>
      <c r="C19" t="s">
        <v>444</v>
      </c>
      <c r="D19" t="s">
        <v>445</v>
      </c>
    </row>
    <row r="20" spans="1:4">
      <c r="A20" t="s">
        <v>502</v>
      </c>
      <c r="B20" t="s">
        <v>491</v>
      </c>
      <c r="C20" t="s">
        <v>444</v>
      </c>
      <c r="D20" t="s">
        <v>445</v>
      </c>
    </row>
    <row r="21" spans="1:4">
      <c r="A21" t="s">
        <v>503</v>
      </c>
      <c r="B21" t="s">
        <v>491</v>
      </c>
      <c r="C21" t="s">
        <v>444</v>
      </c>
      <c r="D21" t="s">
        <v>445</v>
      </c>
    </row>
    <row r="22" spans="1:4">
      <c r="A22" t="s">
        <v>504</v>
      </c>
      <c r="B22" t="s">
        <v>505</v>
      </c>
      <c r="C22" t="s">
        <v>444</v>
      </c>
      <c r="D22" t="s">
        <v>445</v>
      </c>
    </row>
    <row r="23" spans="1:4">
      <c r="A23" t="s">
        <v>506</v>
      </c>
      <c r="B23" t="s">
        <v>505</v>
      </c>
      <c r="C23" t="s">
        <v>444</v>
      </c>
      <c r="D23" t="s">
        <v>445</v>
      </c>
    </row>
    <row r="24" spans="1:4">
      <c r="A24" t="s">
        <v>507</v>
      </c>
      <c r="B24" t="s">
        <v>505</v>
      </c>
      <c r="C24" t="s">
        <v>444</v>
      </c>
      <c r="D24" t="s">
        <v>445</v>
      </c>
    </row>
    <row r="25" spans="1:4">
      <c r="A25" t="s">
        <v>508</v>
      </c>
      <c r="B25" t="s">
        <v>505</v>
      </c>
      <c r="C25" t="s">
        <v>444</v>
      </c>
      <c r="D25" t="s">
        <v>445</v>
      </c>
    </row>
    <row r="26" spans="1:4">
      <c r="A26" t="s">
        <v>509</v>
      </c>
      <c r="B26" t="s">
        <v>505</v>
      </c>
      <c r="C26" t="s">
        <v>444</v>
      </c>
      <c r="D26" t="s">
        <v>445</v>
      </c>
    </row>
    <row r="27" spans="1:4">
      <c r="A27" t="s">
        <v>510</v>
      </c>
      <c r="B27" t="s">
        <v>505</v>
      </c>
      <c r="C27" t="s">
        <v>444</v>
      </c>
      <c r="D27" t="s">
        <v>445</v>
      </c>
    </row>
    <row r="28" spans="1:4">
      <c r="A28" t="s">
        <v>511</v>
      </c>
      <c r="B28" t="s">
        <v>505</v>
      </c>
      <c r="C28" t="s">
        <v>444</v>
      </c>
      <c r="D28" t="s">
        <v>445</v>
      </c>
    </row>
    <row r="29" spans="1:4">
      <c r="A29" t="s">
        <v>512</v>
      </c>
      <c r="B29" t="s">
        <v>505</v>
      </c>
      <c r="C29" t="s">
        <v>444</v>
      </c>
      <c r="D29" t="s">
        <v>445</v>
      </c>
    </row>
    <row r="30" spans="1:4">
      <c r="A30" t="s">
        <v>513</v>
      </c>
      <c r="B30" t="s">
        <v>505</v>
      </c>
      <c r="C30" t="s">
        <v>444</v>
      </c>
      <c r="D30" t="s">
        <v>445</v>
      </c>
    </row>
    <row r="31" spans="1:4">
      <c r="A31" t="s">
        <v>514</v>
      </c>
      <c r="B31" t="s">
        <v>515</v>
      </c>
      <c r="C31" t="s">
        <v>444</v>
      </c>
      <c r="D31" t="s">
        <v>445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61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516</v>
      </c>
      <c r="B1" s="1" t="s">
        <v>25</v>
      </c>
      <c r="C1" s="1" t="s">
        <v>517</v>
      </c>
      <c r="D1" s="1" t="s">
        <v>518</v>
      </c>
    </row>
    <row r="2" spans="1:4">
      <c r="A2" s="2">
        <v>7.0779</v>
      </c>
      <c r="B2" t="s">
        <v>364</v>
      </c>
      <c r="C2" t="s">
        <v>519</v>
      </c>
      <c r="D2" t="s">
        <v>519</v>
      </c>
    </row>
    <row r="3" spans="1:4">
      <c r="A3" s="2">
        <v>8.205599999999999</v>
      </c>
      <c r="B3" t="s">
        <v>373</v>
      </c>
      <c r="C3" t="s">
        <v>519</v>
      </c>
      <c r="D3" t="s">
        <v>519</v>
      </c>
    </row>
    <row r="4" spans="1:4">
      <c r="A4" s="2">
        <v>0.045267</v>
      </c>
      <c r="B4" t="s">
        <v>520</v>
      </c>
      <c r="C4" t="s">
        <v>519</v>
      </c>
      <c r="D4" t="s">
        <v>519</v>
      </c>
    </row>
    <row r="5" spans="1:4">
      <c r="A5" s="2">
        <v>0.90998</v>
      </c>
      <c r="B5" t="s">
        <v>370</v>
      </c>
      <c r="C5" t="s">
        <v>519</v>
      </c>
      <c r="D5" t="s">
        <v>519</v>
      </c>
    </row>
    <row r="6" spans="1:4">
      <c r="A6" s="2">
        <v>9.3671</v>
      </c>
      <c r="B6" t="s">
        <v>521</v>
      </c>
      <c r="C6" t="s">
        <v>519</v>
      </c>
      <c r="D6" t="s">
        <v>519</v>
      </c>
    </row>
    <row r="7" spans="1:4">
      <c r="A7" s="2">
        <v>4.6133999999999995</v>
      </c>
      <c r="B7" t="s">
        <v>522</v>
      </c>
      <c r="C7" t="s">
        <v>519</v>
      </c>
      <c r="D7" t="s">
        <v>519</v>
      </c>
    </row>
    <row r="8" spans="1:4">
      <c r="A8" s="2">
        <v>4.0339</v>
      </c>
      <c r="B8" t="s">
        <v>523</v>
      </c>
      <c r="C8" t="s">
        <v>519</v>
      </c>
      <c r="D8" t="s">
        <v>519</v>
      </c>
    </row>
    <row r="9" spans="1:4">
      <c r="A9" s="2">
        <v>5.4565</v>
      </c>
      <c r="B9" t="s">
        <v>524</v>
      </c>
      <c r="C9" t="s">
        <v>519</v>
      </c>
      <c r="D9" t="s">
        <v>519</v>
      </c>
    </row>
    <row r="10" spans="1:4">
      <c r="A10" s="2">
        <v>8.8005</v>
      </c>
      <c r="B10" t="s">
        <v>525</v>
      </c>
      <c r="C10" t="s">
        <v>519</v>
      </c>
      <c r="D10" t="s">
        <v>519</v>
      </c>
    </row>
    <row r="11" spans="1:4">
      <c r="A11" s="2">
        <v>5.0378</v>
      </c>
      <c r="B11" t="s">
        <v>526</v>
      </c>
      <c r="C11" t="s">
        <v>519</v>
      </c>
      <c r="D11" t="s">
        <v>519</v>
      </c>
    </row>
    <row r="12" spans="1:4">
      <c r="A12" s="2">
        <v>0.8828462964597864</v>
      </c>
      <c r="B12" t="s">
        <v>527</v>
      </c>
      <c r="C12" t="s">
        <v>519</v>
      </c>
      <c r="D12" t="s">
        <v>519</v>
      </c>
    </row>
    <row r="13" spans="1:4">
      <c r="A13" s="2">
        <v>1.710893257369673</v>
      </c>
      <c r="B13" t="s">
        <v>528</v>
      </c>
      <c r="C13" t="s">
        <v>519</v>
      </c>
      <c r="D13" t="s">
        <v>519</v>
      </c>
    </row>
    <row r="14" spans="1:4">
      <c r="A14" s="2">
        <v>0.09008846687447074</v>
      </c>
      <c r="B14" t="s">
        <v>529</v>
      </c>
      <c r="C14" t="s">
        <v>519</v>
      </c>
      <c r="D14" t="s">
        <v>519</v>
      </c>
    </row>
    <row r="15" spans="1:4">
      <c r="A15" s="2">
        <v>0.4127285484336952</v>
      </c>
      <c r="B15" t="s">
        <v>530</v>
      </c>
      <c r="C15" t="s">
        <v>519</v>
      </c>
      <c r="D15" t="s">
        <v>519</v>
      </c>
    </row>
    <row r="16" spans="1:4">
      <c r="A16" s="2">
        <v>0.004814636494944632</v>
      </c>
      <c r="B16" t="s">
        <v>531</v>
      </c>
      <c r="C16" t="s">
        <v>519</v>
      </c>
      <c r="D16" t="s">
        <v>519</v>
      </c>
    </row>
    <row r="17" spans="1:4">
      <c r="A17" s="2">
        <v>1.925669170036588</v>
      </c>
      <c r="B17" t="s">
        <v>532</v>
      </c>
      <c r="C17" t="s">
        <v>519</v>
      </c>
      <c r="D17" t="s">
        <v>519</v>
      </c>
    </row>
    <row r="18" spans="1:4">
      <c r="A18" s="2">
        <v>1.8857961831485253</v>
      </c>
      <c r="B18" t="s">
        <v>533</v>
      </c>
      <c r="C18" t="s">
        <v>519</v>
      </c>
      <c r="D18" t="s">
        <v>519</v>
      </c>
    </row>
    <row r="19" spans="1:4">
      <c r="A19" s="2">
        <v>0.02147789387772635</v>
      </c>
      <c r="B19" t="s">
        <v>534</v>
      </c>
      <c r="C19" t="s">
        <v>519</v>
      </c>
      <c r="D19" t="s">
        <v>519</v>
      </c>
    </row>
    <row r="20" spans="1:4">
      <c r="A20" s="2">
        <v>1.9385856079404464</v>
      </c>
      <c r="B20" t="s">
        <v>535</v>
      </c>
      <c r="C20" t="s">
        <v>519</v>
      </c>
      <c r="D20" t="s">
        <v>519</v>
      </c>
    </row>
    <row r="21" spans="1:4">
      <c r="A21" s="2">
        <v>1.098659635245001</v>
      </c>
      <c r="B21" t="s">
        <v>536</v>
      </c>
      <c r="C21" t="s">
        <v>519</v>
      </c>
      <c r="D21" t="s">
        <v>519</v>
      </c>
    </row>
    <row r="22" spans="1:4">
      <c r="A22" s="2">
        <v>0.7452675510508272</v>
      </c>
      <c r="B22" t="s">
        <v>537</v>
      </c>
      <c r="C22" t="s">
        <v>519</v>
      </c>
      <c r="D22" t="s">
        <v>519</v>
      </c>
    </row>
    <row r="23" spans="1:4">
      <c r="A23" s="2">
        <v>0.6935293709688606</v>
      </c>
      <c r="B23" t="s">
        <v>538</v>
      </c>
      <c r="C23" t="s">
        <v>519</v>
      </c>
      <c r="D23" t="s">
        <v>519</v>
      </c>
    </row>
    <row r="24" spans="1:4">
      <c r="A24" s="2">
        <v>0.16663861583300144</v>
      </c>
      <c r="B24" t="s">
        <v>539</v>
      </c>
      <c r="C24" t="s">
        <v>519</v>
      </c>
      <c r="D24" t="s">
        <v>519</v>
      </c>
    </row>
    <row r="25" spans="1:4">
      <c r="A25" s="2">
        <v>0.38563881068990785</v>
      </c>
      <c r="B25" t="s">
        <v>540</v>
      </c>
      <c r="C25" t="s">
        <v>519</v>
      </c>
      <c r="D25" t="s">
        <v>519</v>
      </c>
    </row>
    <row r="26" spans="1:4">
      <c r="A26" s="2">
        <v>0.21959682023804297</v>
      </c>
      <c r="B26" t="s">
        <v>541</v>
      </c>
      <c r="C26" t="s">
        <v>519</v>
      </c>
      <c r="D26" t="s">
        <v>519</v>
      </c>
    </row>
    <row r="27" spans="1:4">
      <c r="A27" s="2">
        <v>1</v>
      </c>
      <c r="B27" t="s">
        <v>542</v>
      </c>
      <c r="C27" t="s">
        <v>519</v>
      </c>
      <c r="D27" t="s">
        <v>519</v>
      </c>
    </row>
    <row r="28" spans="1:4">
      <c r="A28" s="2">
        <v>7.0789</v>
      </c>
      <c r="B28" t="s">
        <v>364</v>
      </c>
      <c r="C28" t="s">
        <v>543</v>
      </c>
      <c r="D28" t="s">
        <v>543</v>
      </c>
    </row>
    <row r="29" spans="1:4">
      <c r="A29" s="2">
        <v>8.207799999999999</v>
      </c>
      <c r="B29" t="s">
        <v>373</v>
      </c>
      <c r="C29" t="s">
        <v>543</v>
      </c>
      <c r="D29" t="s">
        <v>543</v>
      </c>
    </row>
    <row r="30" spans="1:4">
      <c r="A30" s="2">
        <v>0.045293</v>
      </c>
      <c r="B30" t="s">
        <v>520</v>
      </c>
      <c r="C30" t="s">
        <v>543</v>
      </c>
      <c r="D30" t="s">
        <v>543</v>
      </c>
    </row>
    <row r="31" spans="1:4">
      <c r="A31" s="2">
        <v>0.9099</v>
      </c>
      <c r="B31" t="s">
        <v>370</v>
      </c>
      <c r="C31" t="s">
        <v>543</v>
      </c>
      <c r="D31" t="s">
        <v>543</v>
      </c>
    </row>
    <row r="32" spans="1:4">
      <c r="A32" s="2">
        <v>9.3697</v>
      </c>
      <c r="B32" t="s">
        <v>521</v>
      </c>
      <c r="C32" t="s">
        <v>543</v>
      </c>
      <c r="D32" t="s">
        <v>543</v>
      </c>
    </row>
    <row r="33" spans="1:4">
      <c r="A33" s="2">
        <v>4.6243</v>
      </c>
      <c r="B33" t="s">
        <v>522</v>
      </c>
      <c r="C33" t="s">
        <v>543</v>
      </c>
      <c r="D33" t="s">
        <v>543</v>
      </c>
    </row>
    <row r="34" spans="1:4">
      <c r="A34" s="2">
        <v>4.0533</v>
      </c>
      <c r="B34" t="s">
        <v>523</v>
      </c>
      <c r="C34" t="s">
        <v>543</v>
      </c>
      <c r="D34" t="s">
        <v>543</v>
      </c>
    </row>
    <row r="35" spans="1:4">
      <c r="A35" s="2">
        <v>5.4589</v>
      </c>
      <c r="B35" t="s">
        <v>524</v>
      </c>
      <c r="C35" t="s">
        <v>543</v>
      </c>
      <c r="D35" t="s">
        <v>543</v>
      </c>
    </row>
    <row r="36" spans="1:4">
      <c r="A36" s="2">
        <v>8.7971</v>
      </c>
      <c r="B36" t="s">
        <v>525</v>
      </c>
      <c r="C36" t="s">
        <v>543</v>
      </c>
      <c r="D36" t="s">
        <v>543</v>
      </c>
    </row>
    <row r="37" spans="1:4">
      <c r="A37" s="2">
        <v>5.046</v>
      </c>
      <c r="B37" t="s">
        <v>526</v>
      </c>
      <c r="C37" t="s">
        <v>543</v>
      </c>
      <c r="D37" t="s">
        <v>543</v>
      </c>
    </row>
    <row r="38" spans="1:4">
      <c r="A38" s="2">
        <v>0.8826904404625298</v>
      </c>
      <c r="B38" t="s">
        <v>527</v>
      </c>
      <c r="C38" t="s">
        <v>543</v>
      </c>
      <c r="D38" t="s">
        <v>543</v>
      </c>
    </row>
    <row r="39" spans="1:4">
      <c r="A39" s="2">
        <v>1.7139723022075963</v>
      </c>
      <c r="B39" t="s">
        <v>528</v>
      </c>
      <c r="C39" t="s">
        <v>543</v>
      </c>
      <c r="D39" t="s">
        <v>543</v>
      </c>
    </row>
    <row r="40" spans="1:4">
      <c r="A40" s="2">
        <v>0.09079765742043856</v>
      </c>
      <c r="B40" t="s">
        <v>529</v>
      </c>
      <c r="C40" t="s">
        <v>543</v>
      </c>
      <c r="D40" t="s">
        <v>543</v>
      </c>
    </row>
    <row r="41" spans="1:4">
      <c r="A41" s="2">
        <v>0.4126263668248401</v>
      </c>
      <c r="B41" t="s">
        <v>530</v>
      </c>
      <c r="C41" t="s">
        <v>543</v>
      </c>
      <c r="D41" t="s">
        <v>543</v>
      </c>
    </row>
    <row r="42" spans="1:4">
      <c r="A42" s="2">
        <v>0.004836057645807138</v>
      </c>
      <c r="B42" t="s">
        <v>531</v>
      </c>
      <c r="C42" t="s">
        <v>543</v>
      </c>
      <c r="D42" t="s">
        <v>543</v>
      </c>
    </row>
    <row r="43" spans="1:4">
      <c r="A43" s="2">
        <v>1.926893654739195</v>
      </c>
      <c r="B43" t="s">
        <v>532</v>
      </c>
      <c r="C43" t="s">
        <v>543</v>
      </c>
      <c r="D43" t="s">
        <v>543</v>
      </c>
    </row>
    <row r="44" spans="1:4">
      <c r="A44" s="2">
        <v>1.8865076969514032</v>
      </c>
      <c r="B44" t="s">
        <v>533</v>
      </c>
      <c r="C44" t="s">
        <v>543</v>
      </c>
      <c r="D44" t="s">
        <v>543</v>
      </c>
    </row>
    <row r="45" spans="1:4">
      <c r="A45" s="2">
        <v>0.02152245545389782</v>
      </c>
      <c r="B45" t="s">
        <v>534</v>
      </c>
      <c r="C45" t="s">
        <v>543</v>
      </c>
      <c r="D45" t="s">
        <v>543</v>
      </c>
    </row>
    <row r="46" spans="1:4">
      <c r="A46" s="2">
        <v>1.941747572815534</v>
      </c>
      <c r="B46" t="s">
        <v>535</v>
      </c>
      <c r="C46" t="s">
        <v>543</v>
      </c>
      <c r="D46" t="s">
        <v>543</v>
      </c>
    </row>
    <row r="47" spans="1:4">
      <c r="A47" s="2">
        <v>1.0990218705352237</v>
      </c>
      <c r="B47" t="s">
        <v>536</v>
      </c>
      <c r="C47" t="s">
        <v>543</v>
      </c>
      <c r="D47" t="s">
        <v>543</v>
      </c>
    </row>
    <row r="48" spans="1:4">
      <c r="A48" s="2">
        <v>0.7471049682480388</v>
      </c>
      <c r="B48" t="s">
        <v>537</v>
      </c>
      <c r="C48" t="s">
        <v>543</v>
      </c>
      <c r="D48" t="s">
        <v>543</v>
      </c>
    </row>
    <row r="49" spans="1:4">
      <c r="A49" s="2">
        <v>0.6965728615213151</v>
      </c>
      <c r="B49" t="s">
        <v>538</v>
      </c>
      <c r="C49" t="s">
        <v>543</v>
      </c>
      <c r="D49" t="s">
        <v>543</v>
      </c>
    </row>
    <row r="50" spans="1:4">
      <c r="A50" s="2">
        <v>0.16657421797569016</v>
      </c>
      <c r="B50" t="s">
        <v>539</v>
      </c>
      <c r="C50" t="s">
        <v>543</v>
      </c>
      <c r="D50" t="s">
        <v>543</v>
      </c>
    </row>
    <row r="51" spans="1:4">
      <c r="A51" s="2">
        <v>0.38583224014198625</v>
      </c>
      <c r="B51" t="s">
        <v>540</v>
      </c>
      <c r="C51" t="s">
        <v>543</v>
      </c>
      <c r="D51" t="s">
        <v>543</v>
      </c>
    </row>
    <row r="52" spans="1:4">
      <c r="A52" s="2">
        <v>0.2196547028071871</v>
      </c>
      <c r="B52" t="s">
        <v>541</v>
      </c>
      <c r="C52" t="s">
        <v>543</v>
      </c>
      <c r="D52" t="s">
        <v>543</v>
      </c>
    </row>
    <row r="53" spans="1:4">
      <c r="A53" s="2">
        <v>1</v>
      </c>
      <c r="B53" t="s">
        <v>542</v>
      </c>
      <c r="C53" t="s">
        <v>543</v>
      </c>
      <c r="D53" t="s">
        <v>543</v>
      </c>
    </row>
    <row r="54" spans="1:4">
      <c r="A54" s="2">
        <v>7.0789</v>
      </c>
      <c r="B54" t="s">
        <v>364</v>
      </c>
      <c r="C54" t="s">
        <v>543</v>
      </c>
      <c r="D54" t="s">
        <v>544</v>
      </c>
    </row>
    <row r="55" spans="1:4">
      <c r="A55" s="2">
        <v>8.207799999999999</v>
      </c>
      <c r="B55" t="s">
        <v>373</v>
      </c>
      <c r="C55" t="s">
        <v>543</v>
      </c>
      <c r="D55" t="s">
        <v>544</v>
      </c>
    </row>
    <row r="56" spans="1:4">
      <c r="A56" s="2">
        <v>0.045293</v>
      </c>
      <c r="B56" t="s">
        <v>520</v>
      </c>
      <c r="C56" t="s">
        <v>543</v>
      </c>
      <c r="D56" t="s">
        <v>544</v>
      </c>
    </row>
    <row r="57" spans="1:4">
      <c r="A57" s="2">
        <v>0.9099</v>
      </c>
      <c r="B57" t="s">
        <v>370</v>
      </c>
      <c r="C57" t="s">
        <v>543</v>
      </c>
      <c r="D57" t="s">
        <v>544</v>
      </c>
    </row>
    <row r="58" spans="1:4">
      <c r="A58" s="2">
        <v>9.3697</v>
      </c>
      <c r="B58" t="s">
        <v>521</v>
      </c>
      <c r="C58" t="s">
        <v>543</v>
      </c>
      <c r="D58" t="s">
        <v>544</v>
      </c>
    </row>
    <row r="59" spans="1:4">
      <c r="A59" s="2">
        <v>4.6243</v>
      </c>
      <c r="B59" t="s">
        <v>522</v>
      </c>
      <c r="C59" t="s">
        <v>543</v>
      </c>
      <c r="D59" t="s">
        <v>544</v>
      </c>
    </row>
    <row r="60" spans="1:4">
      <c r="A60" s="2">
        <v>4.0533</v>
      </c>
      <c r="B60" t="s">
        <v>523</v>
      </c>
      <c r="C60" t="s">
        <v>543</v>
      </c>
      <c r="D60" t="s">
        <v>544</v>
      </c>
    </row>
    <row r="61" spans="1:4">
      <c r="A61" s="2">
        <v>5.4589</v>
      </c>
      <c r="B61" t="s">
        <v>524</v>
      </c>
      <c r="C61" t="s">
        <v>543</v>
      </c>
      <c r="D61" t="s">
        <v>544</v>
      </c>
    </row>
    <row r="62" spans="1:4">
      <c r="A62" s="2">
        <v>8.7971</v>
      </c>
      <c r="B62" t="s">
        <v>525</v>
      </c>
      <c r="C62" t="s">
        <v>543</v>
      </c>
      <c r="D62" t="s">
        <v>544</v>
      </c>
    </row>
    <row r="63" spans="1:4">
      <c r="A63" s="2">
        <v>5.046</v>
      </c>
      <c r="B63" t="s">
        <v>526</v>
      </c>
      <c r="C63" t="s">
        <v>543</v>
      </c>
      <c r="D63" t="s">
        <v>544</v>
      </c>
    </row>
    <row r="64" spans="1:4">
      <c r="A64" s="2">
        <v>0.8826904404625298</v>
      </c>
      <c r="B64" t="s">
        <v>527</v>
      </c>
      <c r="C64" t="s">
        <v>543</v>
      </c>
      <c r="D64" t="s">
        <v>544</v>
      </c>
    </row>
    <row r="65" spans="1:4">
      <c r="A65" s="2">
        <v>1.7139723022075963</v>
      </c>
      <c r="B65" t="s">
        <v>528</v>
      </c>
      <c r="C65" t="s">
        <v>543</v>
      </c>
      <c r="D65" t="s">
        <v>544</v>
      </c>
    </row>
    <row r="66" spans="1:4">
      <c r="A66" s="2">
        <v>0.09079765742043856</v>
      </c>
      <c r="B66" t="s">
        <v>529</v>
      </c>
      <c r="C66" t="s">
        <v>543</v>
      </c>
      <c r="D66" t="s">
        <v>544</v>
      </c>
    </row>
    <row r="67" spans="1:4">
      <c r="A67" s="2">
        <v>0.4126263668248401</v>
      </c>
      <c r="B67" t="s">
        <v>530</v>
      </c>
      <c r="C67" t="s">
        <v>543</v>
      </c>
      <c r="D67" t="s">
        <v>544</v>
      </c>
    </row>
    <row r="68" spans="1:4">
      <c r="A68" s="2">
        <v>0.004836057645807138</v>
      </c>
      <c r="B68" t="s">
        <v>531</v>
      </c>
      <c r="C68" t="s">
        <v>543</v>
      </c>
      <c r="D68" t="s">
        <v>544</v>
      </c>
    </row>
    <row r="69" spans="1:4">
      <c r="A69" s="2">
        <v>1.926893654739195</v>
      </c>
      <c r="B69" t="s">
        <v>532</v>
      </c>
      <c r="C69" t="s">
        <v>543</v>
      </c>
      <c r="D69" t="s">
        <v>544</v>
      </c>
    </row>
    <row r="70" spans="1:4">
      <c r="A70" s="2">
        <v>1.8865076969514032</v>
      </c>
      <c r="B70" t="s">
        <v>533</v>
      </c>
      <c r="C70" t="s">
        <v>543</v>
      </c>
      <c r="D70" t="s">
        <v>544</v>
      </c>
    </row>
    <row r="71" spans="1:4">
      <c r="A71" s="2">
        <v>0.02152245545389782</v>
      </c>
      <c r="B71" t="s">
        <v>534</v>
      </c>
      <c r="C71" t="s">
        <v>543</v>
      </c>
      <c r="D71" t="s">
        <v>544</v>
      </c>
    </row>
    <row r="72" spans="1:4">
      <c r="A72" s="2">
        <v>1.941747572815534</v>
      </c>
      <c r="B72" t="s">
        <v>535</v>
      </c>
      <c r="C72" t="s">
        <v>543</v>
      </c>
      <c r="D72" t="s">
        <v>544</v>
      </c>
    </row>
    <row r="73" spans="1:4">
      <c r="A73" s="2">
        <v>1.0990218705352237</v>
      </c>
      <c r="B73" t="s">
        <v>536</v>
      </c>
      <c r="C73" t="s">
        <v>543</v>
      </c>
      <c r="D73" t="s">
        <v>544</v>
      </c>
    </row>
    <row r="74" spans="1:4">
      <c r="A74" s="2">
        <v>0.7471049682480388</v>
      </c>
      <c r="B74" t="s">
        <v>537</v>
      </c>
      <c r="C74" t="s">
        <v>543</v>
      </c>
      <c r="D74" t="s">
        <v>544</v>
      </c>
    </row>
    <row r="75" spans="1:4">
      <c r="A75" s="2">
        <v>0.6965728615213151</v>
      </c>
      <c r="B75" t="s">
        <v>538</v>
      </c>
      <c r="C75" t="s">
        <v>543</v>
      </c>
      <c r="D75" t="s">
        <v>544</v>
      </c>
    </row>
    <row r="76" spans="1:4">
      <c r="A76" s="2">
        <v>0.16657421797569016</v>
      </c>
      <c r="B76" t="s">
        <v>539</v>
      </c>
      <c r="C76" t="s">
        <v>543</v>
      </c>
      <c r="D76" t="s">
        <v>544</v>
      </c>
    </row>
    <row r="77" spans="1:4">
      <c r="A77" s="2">
        <v>0.38583224014198625</v>
      </c>
      <c r="B77" t="s">
        <v>540</v>
      </c>
      <c r="C77" t="s">
        <v>543</v>
      </c>
      <c r="D77" t="s">
        <v>544</v>
      </c>
    </row>
    <row r="78" spans="1:4">
      <c r="A78" s="2">
        <v>0.2196547028071871</v>
      </c>
      <c r="B78" t="s">
        <v>541</v>
      </c>
      <c r="C78" t="s">
        <v>543</v>
      </c>
      <c r="D78" t="s">
        <v>544</v>
      </c>
    </row>
    <row r="79" spans="1:4">
      <c r="A79" s="2">
        <v>1</v>
      </c>
      <c r="B79" t="s">
        <v>542</v>
      </c>
      <c r="C79" t="s">
        <v>544</v>
      </c>
      <c r="D79" t="s">
        <v>544</v>
      </c>
    </row>
    <row r="80" spans="1:4">
      <c r="A80" s="2">
        <v>7.0789</v>
      </c>
      <c r="B80" t="s">
        <v>364</v>
      </c>
      <c r="C80" t="s">
        <v>543</v>
      </c>
      <c r="D80" t="s">
        <v>545</v>
      </c>
    </row>
    <row r="81" spans="1:4">
      <c r="A81" s="2">
        <v>8.207799999999999</v>
      </c>
      <c r="B81" t="s">
        <v>373</v>
      </c>
      <c r="C81" t="s">
        <v>543</v>
      </c>
      <c r="D81" t="s">
        <v>545</v>
      </c>
    </row>
    <row r="82" spans="1:4">
      <c r="A82" s="2">
        <v>0.045293</v>
      </c>
      <c r="B82" t="s">
        <v>520</v>
      </c>
      <c r="C82" t="s">
        <v>543</v>
      </c>
      <c r="D82" t="s">
        <v>545</v>
      </c>
    </row>
    <row r="83" spans="1:4">
      <c r="A83" s="2">
        <v>0.9099</v>
      </c>
      <c r="B83" t="s">
        <v>370</v>
      </c>
      <c r="C83" t="s">
        <v>543</v>
      </c>
      <c r="D83" t="s">
        <v>545</v>
      </c>
    </row>
    <row r="84" spans="1:4">
      <c r="A84" s="2">
        <v>9.3697</v>
      </c>
      <c r="B84" t="s">
        <v>521</v>
      </c>
      <c r="C84" t="s">
        <v>543</v>
      </c>
      <c r="D84" t="s">
        <v>545</v>
      </c>
    </row>
    <row r="85" spans="1:4">
      <c r="A85" s="2">
        <v>4.6243</v>
      </c>
      <c r="B85" t="s">
        <v>522</v>
      </c>
      <c r="C85" t="s">
        <v>543</v>
      </c>
      <c r="D85" t="s">
        <v>545</v>
      </c>
    </row>
    <row r="86" spans="1:4">
      <c r="A86" s="2">
        <v>4.0533</v>
      </c>
      <c r="B86" t="s">
        <v>523</v>
      </c>
      <c r="C86" t="s">
        <v>543</v>
      </c>
      <c r="D86" t="s">
        <v>545</v>
      </c>
    </row>
    <row r="87" spans="1:4">
      <c r="A87" s="2">
        <v>5.4589</v>
      </c>
      <c r="B87" t="s">
        <v>524</v>
      </c>
      <c r="C87" t="s">
        <v>543</v>
      </c>
      <c r="D87" t="s">
        <v>545</v>
      </c>
    </row>
    <row r="88" spans="1:4">
      <c r="A88" s="2">
        <v>8.7971</v>
      </c>
      <c r="B88" t="s">
        <v>525</v>
      </c>
      <c r="C88" t="s">
        <v>543</v>
      </c>
      <c r="D88" t="s">
        <v>545</v>
      </c>
    </row>
    <row r="89" spans="1:4">
      <c r="A89" s="2">
        <v>5.046</v>
      </c>
      <c r="B89" t="s">
        <v>526</v>
      </c>
      <c r="C89" t="s">
        <v>543</v>
      </c>
      <c r="D89" t="s">
        <v>545</v>
      </c>
    </row>
    <row r="90" spans="1:4">
      <c r="A90" s="2">
        <v>0.8826904404625298</v>
      </c>
      <c r="B90" t="s">
        <v>527</v>
      </c>
      <c r="C90" t="s">
        <v>543</v>
      </c>
      <c r="D90" t="s">
        <v>545</v>
      </c>
    </row>
    <row r="91" spans="1:4">
      <c r="A91" s="2">
        <v>1.7139723022075963</v>
      </c>
      <c r="B91" t="s">
        <v>528</v>
      </c>
      <c r="C91" t="s">
        <v>543</v>
      </c>
      <c r="D91" t="s">
        <v>545</v>
      </c>
    </row>
    <row r="92" spans="1:4">
      <c r="A92" s="2">
        <v>0.09079765742043856</v>
      </c>
      <c r="B92" t="s">
        <v>529</v>
      </c>
      <c r="C92" t="s">
        <v>543</v>
      </c>
      <c r="D92" t="s">
        <v>545</v>
      </c>
    </row>
    <row r="93" spans="1:4">
      <c r="A93" s="2">
        <v>0.4126263668248401</v>
      </c>
      <c r="B93" t="s">
        <v>530</v>
      </c>
      <c r="C93" t="s">
        <v>543</v>
      </c>
      <c r="D93" t="s">
        <v>545</v>
      </c>
    </row>
    <row r="94" spans="1:4">
      <c r="A94" s="2">
        <v>0.004836057645807138</v>
      </c>
      <c r="B94" t="s">
        <v>531</v>
      </c>
      <c r="C94" t="s">
        <v>543</v>
      </c>
      <c r="D94" t="s">
        <v>545</v>
      </c>
    </row>
    <row r="95" spans="1:4">
      <c r="A95" s="2">
        <v>1.926893654739195</v>
      </c>
      <c r="B95" t="s">
        <v>532</v>
      </c>
      <c r="C95" t="s">
        <v>543</v>
      </c>
      <c r="D95" t="s">
        <v>545</v>
      </c>
    </row>
    <row r="96" spans="1:4">
      <c r="A96" s="2">
        <v>1.8865076969514032</v>
      </c>
      <c r="B96" t="s">
        <v>533</v>
      </c>
      <c r="C96" t="s">
        <v>543</v>
      </c>
      <c r="D96" t="s">
        <v>545</v>
      </c>
    </row>
    <row r="97" spans="1:4">
      <c r="A97" s="2">
        <v>0.02152245545389782</v>
      </c>
      <c r="B97" t="s">
        <v>534</v>
      </c>
      <c r="C97" t="s">
        <v>543</v>
      </c>
      <c r="D97" t="s">
        <v>545</v>
      </c>
    </row>
    <row r="98" spans="1:4">
      <c r="A98" s="2">
        <v>1.941747572815534</v>
      </c>
      <c r="B98" t="s">
        <v>535</v>
      </c>
      <c r="C98" t="s">
        <v>543</v>
      </c>
      <c r="D98" t="s">
        <v>545</v>
      </c>
    </row>
    <row r="99" spans="1:4">
      <c r="A99" s="2">
        <v>1.0990218705352237</v>
      </c>
      <c r="B99" t="s">
        <v>536</v>
      </c>
      <c r="C99" t="s">
        <v>543</v>
      </c>
      <c r="D99" t="s">
        <v>545</v>
      </c>
    </row>
    <row r="100" spans="1:4">
      <c r="A100" s="2">
        <v>0.7471049682480388</v>
      </c>
      <c r="B100" t="s">
        <v>537</v>
      </c>
      <c r="C100" t="s">
        <v>543</v>
      </c>
      <c r="D100" t="s">
        <v>545</v>
      </c>
    </row>
    <row r="101" spans="1:4">
      <c r="A101" s="2">
        <v>0.6965728615213151</v>
      </c>
      <c r="B101" t="s">
        <v>538</v>
      </c>
      <c r="C101" t="s">
        <v>543</v>
      </c>
      <c r="D101" t="s">
        <v>545</v>
      </c>
    </row>
    <row r="102" spans="1:4">
      <c r="A102" s="2">
        <v>0.16657421797569016</v>
      </c>
      <c r="B102" t="s">
        <v>539</v>
      </c>
      <c r="C102" t="s">
        <v>543</v>
      </c>
      <c r="D102" t="s">
        <v>545</v>
      </c>
    </row>
    <row r="103" spans="1:4">
      <c r="A103" s="2">
        <v>0.38583224014198625</v>
      </c>
      <c r="B103" t="s">
        <v>540</v>
      </c>
      <c r="C103" t="s">
        <v>543</v>
      </c>
      <c r="D103" t="s">
        <v>545</v>
      </c>
    </row>
    <row r="104" spans="1:4">
      <c r="A104" s="2">
        <v>0.2196547028071871</v>
      </c>
      <c r="B104" t="s">
        <v>541</v>
      </c>
      <c r="C104" t="s">
        <v>543</v>
      </c>
      <c r="D104" t="s">
        <v>545</v>
      </c>
    </row>
    <row r="105" spans="1:4">
      <c r="A105" s="2">
        <v>1</v>
      </c>
      <c r="B105" t="s">
        <v>542</v>
      </c>
      <c r="C105" t="s">
        <v>545</v>
      </c>
      <c r="D105" t="s">
        <v>545</v>
      </c>
    </row>
    <row r="106" spans="1:4">
      <c r="A106" s="2">
        <v>7.075900000000001</v>
      </c>
      <c r="B106" t="s">
        <v>364</v>
      </c>
      <c r="C106" t="s">
        <v>546</v>
      </c>
      <c r="D106" t="s">
        <v>546</v>
      </c>
    </row>
    <row r="107" spans="1:4">
      <c r="A107" s="2">
        <v>8.2052</v>
      </c>
      <c r="B107" t="s">
        <v>373</v>
      </c>
      <c r="C107" t="s">
        <v>546</v>
      </c>
      <c r="D107" t="s">
        <v>546</v>
      </c>
    </row>
    <row r="108" spans="1:4">
      <c r="A108" s="2">
        <v>0.045331</v>
      </c>
      <c r="B108" t="s">
        <v>520</v>
      </c>
      <c r="C108" t="s">
        <v>546</v>
      </c>
      <c r="D108" t="s">
        <v>546</v>
      </c>
    </row>
    <row r="109" spans="1:4">
      <c r="A109" s="2">
        <v>0.90877</v>
      </c>
      <c r="B109" t="s">
        <v>370</v>
      </c>
      <c r="C109" t="s">
        <v>546</v>
      </c>
      <c r="D109" t="s">
        <v>546</v>
      </c>
    </row>
    <row r="110" spans="1:4">
      <c r="A110" s="2">
        <v>9.3616</v>
      </c>
      <c r="B110" t="s">
        <v>521</v>
      </c>
      <c r="C110" t="s">
        <v>546</v>
      </c>
      <c r="D110" t="s">
        <v>546</v>
      </c>
    </row>
    <row r="111" spans="1:4">
      <c r="A111" s="2">
        <v>4.630199999999999</v>
      </c>
      <c r="B111" t="s">
        <v>522</v>
      </c>
      <c r="C111" t="s">
        <v>546</v>
      </c>
      <c r="D111" t="s">
        <v>546</v>
      </c>
    </row>
    <row r="112" spans="1:4">
      <c r="A112" s="2">
        <v>4.0535000000000005</v>
      </c>
      <c r="B112" t="s">
        <v>523</v>
      </c>
      <c r="C112" t="s">
        <v>546</v>
      </c>
      <c r="D112" t="s">
        <v>546</v>
      </c>
    </row>
    <row r="113" spans="1:4">
      <c r="A113" s="2">
        <v>5.456900000000001</v>
      </c>
      <c r="B113" t="s">
        <v>524</v>
      </c>
      <c r="C113" t="s">
        <v>546</v>
      </c>
      <c r="D113" t="s">
        <v>546</v>
      </c>
    </row>
    <row r="114" spans="1:4">
      <c r="A114" s="2">
        <v>8.8013</v>
      </c>
      <c r="B114" t="s">
        <v>525</v>
      </c>
      <c r="C114" t="s">
        <v>546</v>
      </c>
      <c r="D114" t="s">
        <v>546</v>
      </c>
    </row>
    <row r="115" spans="1:4">
      <c r="A115" s="2">
        <v>5.0621</v>
      </c>
      <c r="B115" t="s">
        <v>526</v>
      </c>
      <c r="C115" t="s">
        <v>546</v>
      </c>
      <c r="D115" t="s">
        <v>546</v>
      </c>
    </row>
    <row r="116" spans="1:4">
      <c r="A116" s="2">
        <v>0.8816009873931058</v>
      </c>
      <c r="B116" t="s">
        <v>527</v>
      </c>
      <c r="C116" t="s">
        <v>546</v>
      </c>
      <c r="D116" t="s">
        <v>546</v>
      </c>
    </row>
    <row r="117" spans="1:4">
      <c r="A117" s="2">
        <v>1.712592694079567</v>
      </c>
      <c r="B117" t="s">
        <v>528</v>
      </c>
      <c r="C117" t="s">
        <v>546</v>
      </c>
      <c r="D117" t="s">
        <v>546</v>
      </c>
    </row>
    <row r="118" spans="1:4">
      <c r="A118" s="2">
        <v>0.09125669596006608</v>
      </c>
      <c r="B118" t="s">
        <v>529</v>
      </c>
      <c r="C118" t="s">
        <v>546</v>
      </c>
      <c r="D118" t="s">
        <v>546</v>
      </c>
    </row>
    <row r="119" spans="1:4">
      <c r="A119" s="2">
        <v>0.41324021653787346</v>
      </c>
      <c r="B119" t="s">
        <v>530</v>
      </c>
      <c r="C119" t="s">
        <v>546</v>
      </c>
      <c r="D119" t="s">
        <v>546</v>
      </c>
    </row>
    <row r="120" spans="1:4">
      <c r="A120" s="2">
        <v>0.004819277108433735</v>
      </c>
      <c r="B120" t="s">
        <v>531</v>
      </c>
      <c r="C120" t="s">
        <v>546</v>
      </c>
      <c r="D120" t="s">
        <v>546</v>
      </c>
    </row>
    <row r="121" spans="1:4">
      <c r="A121" s="2">
        <v>1.9255208533908423</v>
      </c>
      <c r="B121" t="s">
        <v>532</v>
      </c>
      <c r="C121" t="s">
        <v>546</v>
      </c>
      <c r="D121" t="s">
        <v>546</v>
      </c>
    </row>
    <row r="122" spans="1:4">
      <c r="A122" s="2">
        <v>1.8854050792812835</v>
      </c>
      <c r="B122" t="s">
        <v>533</v>
      </c>
      <c r="C122" t="s">
        <v>546</v>
      </c>
      <c r="D122" t="s">
        <v>546</v>
      </c>
    </row>
    <row r="123" spans="1:4">
      <c r="A123" s="2">
        <v>0.021500567614985037</v>
      </c>
      <c r="B123" t="s">
        <v>534</v>
      </c>
      <c r="C123" t="s">
        <v>546</v>
      </c>
      <c r="D123" t="s">
        <v>546</v>
      </c>
    </row>
    <row r="124" spans="1:4">
      <c r="A124" s="2">
        <v>1.937458828999884</v>
      </c>
      <c r="B124" t="s">
        <v>535</v>
      </c>
      <c r="C124" t="s">
        <v>546</v>
      </c>
      <c r="D124" t="s">
        <v>546</v>
      </c>
    </row>
    <row r="125" spans="1:4">
      <c r="A125" s="2">
        <v>1.0985389432055366</v>
      </c>
      <c r="B125" t="s">
        <v>536</v>
      </c>
      <c r="C125" t="s">
        <v>546</v>
      </c>
      <c r="D125" t="s">
        <v>546</v>
      </c>
    </row>
    <row r="126" spans="1:4">
      <c r="A126" s="2">
        <v>0.7485029940119761</v>
      </c>
      <c r="B126" t="s">
        <v>537</v>
      </c>
      <c r="C126" t="s">
        <v>546</v>
      </c>
      <c r="D126" t="s">
        <v>546</v>
      </c>
    </row>
    <row r="127" spans="1:4">
      <c r="A127" s="2">
        <v>0.6992029086841001</v>
      </c>
      <c r="B127" t="s">
        <v>538</v>
      </c>
      <c r="C127" t="s">
        <v>546</v>
      </c>
      <c r="D127" t="s">
        <v>546</v>
      </c>
    </row>
    <row r="128" spans="1:4">
      <c r="A128" s="2">
        <v>0.1664483419248419</v>
      </c>
      <c r="B128" t="s">
        <v>539</v>
      </c>
      <c r="C128" t="s">
        <v>546</v>
      </c>
      <c r="D128" t="s">
        <v>546</v>
      </c>
    </row>
    <row r="129" spans="1:4">
      <c r="A129" s="2">
        <v>0.38678734431809386</v>
      </c>
      <c r="B129" t="s">
        <v>540</v>
      </c>
      <c r="C129" t="s">
        <v>546</v>
      </c>
      <c r="D129" t="s">
        <v>546</v>
      </c>
    </row>
    <row r="130" spans="1:4">
      <c r="A130" s="2">
        <v>0.2201091741503786</v>
      </c>
      <c r="B130" t="s">
        <v>541</v>
      </c>
      <c r="C130" t="s">
        <v>546</v>
      </c>
      <c r="D130" t="s">
        <v>546</v>
      </c>
    </row>
    <row r="131" spans="1:4">
      <c r="A131" s="2">
        <v>1</v>
      </c>
      <c r="B131" t="s">
        <v>542</v>
      </c>
      <c r="C131" t="s">
        <v>546</v>
      </c>
      <c r="D131" t="s">
        <v>546</v>
      </c>
    </row>
    <row r="132" spans="1:4">
      <c r="A132" s="2">
        <v>7.079400000000001</v>
      </c>
      <c r="B132" t="s">
        <v>364</v>
      </c>
      <c r="C132" t="s">
        <v>547</v>
      </c>
      <c r="D132" t="s">
        <v>547</v>
      </c>
    </row>
    <row r="133" spans="1:4">
      <c r="A133" s="2">
        <v>8.2113</v>
      </c>
      <c r="B133" t="s">
        <v>373</v>
      </c>
      <c r="C133" t="s">
        <v>547</v>
      </c>
      <c r="D133" t="s">
        <v>547</v>
      </c>
    </row>
    <row r="134" spans="1:4">
      <c r="A134" s="2">
        <v>0.045495</v>
      </c>
      <c r="B134" t="s">
        <v>520</v>
      </c>
      <c r="C134" t="s">
        <v>547</v>
      </c>
      <c r="D134" t="s">
        <v>547</v>
      </c>
    </row>
    <row r="135" spans="1:4">
      <c r="A135" s="2">
        <v>0.9088</v>
      </c>
      <c r="B135" t="s">
        <v>370</v>
      </c>
      <c r="C135" t="s">
        <v>547</v>
      </c>
      <c r="D135" t="s">
        <v>547</v>
      </c>
    </row>
    <row r="136" spans="1:4">
      <c r="A136" s="2">
        <v>9.3451</v>
      </c>
      <c r="B136" t="s">
        <v>521</v>
      </c>
      <c r="C136" t="s">
        <v>547</v>
      </c>
      <c r="D136" t="s">
        <v>547</v>
      </c>
    </row>
    <row r="137" spans="1:4">
      <c r="A137" s="2">
        <v>4.6292</v>
      </c>
      <c r="B137" t="s">
        <v>522</v>
      </c>
      <c r="C137" t="s">
        <v>547</v>
      </c>
      <c r="D137" t="s">
        <v>547</v>
      </c>
    </row>
    <row r="138" spans="1:4">
      <c r="A138" s="2">
        <v>4.0512</v>
      </c>
      <c r="B138" t="s">
        <v>523</v>
      </c>
      <c r="C138" t="s">
        <v>547</v>
      </c>
      <c r="D138" t="s">
        <v>547</v>
      </c>
    </row>
    <row r="139" spans="1:4">
      <c r="A139" s="2">
        <v>5.4576</v>
      </c>
      <c r="B139" t="s">
        <v>524</v>
      </c>
      <c r="C139" t="s">
        <v>547</v>
      </c>
      <c r="D139" t="s">
        <v>547</v>
      </c>
    </row>
    <row r="140" spans="1:4">
      <c r="A140" s="2">
        <v>8.7915</v>
      </c>
      <c r="B140" t="s">
        <v>525</v>
      </c>
      <c r="C140" t="s">
        <v>547</v>
      </c>
      <c r="D140" t="s">
        <v>547</v>
      </c>
    </row>
    <row r="141" spans="1:4">
      <c r="A141" s="2">
        <v>5.0539</v>
      </c>
      <c r="B141" t="s">
        <v>526</v>
      </c>
      <c r="C141" t="s">
        <v>547</v>
      </c>
      <c r="D141" t="s">
        <v>547</v>
      </c>
    </row>
    <row r="142" spans="1:4">
      <c r="A142" s="2">
        <v>0.8819119851838787</v>
      </c>
      <c r="B142" t="s">
        <v>527</v>
      </c>
      <c r="C142" t="s">
        <v>547</v>
      </c>
      <c r="D142" t="s">
        <v>547</v>
      </c>
    </row>
    <row r="143" spans="1:4">
      <c r="A143" s="2">
        <v>1.7131207921470544</v>
      </c>
      <c r="B143" t="s">
        <v>528</v>
      </c>
      <c r="C143" t="s">
        <v>547</v>
      </c>
      <c r="D143" t="s">
        <v>547</v>
      </c>
    </row>
    <row r="144" spans="1:4">
      <c r="A144" s="2">
        <v>0.09102742656362364</v>
      </c>
      <c r="B144" t="s">
        <v>529</v>
      </c>
      <c r="C144" t="s">
        <v>547</v>
      </c>
      <c r="D144" t="s">
        <v>547</v>
      </c>
    </row>
    <row r="145" spans="1:4">
      <c r="A145" s="2">
        <v>0.4139929621196439</v>
      </c>
      <c r="B145" t="s">
        <v>530</v>
      </c>
      <c r="C145" t="s">
        <v>547</v>
      </c>
      <c r="D145" t="s">
        <v>547</v>
      </c>
    </row>
    <row r="146" spans="1:4">
      <c r="A146" s="2">
        <v>0.004809542131589073</v>
      </c>
      <c r="B146" t="s">
        <v>531</v>
      </c>
      <c r="C146" t="s">
        <v>547</v>
      </c>
      <c r="D146" t="s">
        <v>547</v>
      </c>
    </row>
    <row r="147" spans="1:4">
      <c r="A147" s="2">
        <v>1.926299770770327</v>
      </c>
      <c r="B147" t="s">
        <v>532</v>
      </c>
      <c r="C147" t="s">
        <v>547</v>
      </c>
      <c r="D147" t="s">
        <v>547</v>
      </c>
    </row>
    <row r="148" spans="1:4">
      <c r="A148" s="2">
        <v>1.8849786054928277</v>
      </c>
      <c r="B148" t="s">
        <v>533</v>
      </c>
      <c r="C148" t="s">
        <v>547</v>
      </c>
      <c r="D148" t="s">
        <v>547</v>
      </c>
    </row>
    <row r="149" spans="1:4">
      <c r="A149" s="2">
        <v>0.021563714306661895</v>
      </c>
      <c r="B149" t="s">
        <v>534</v>
      </c>
      <c r="C149" t="s">
        <v>547</v>
      </c>
      <c r="D149" t="s">
        <v>547</v>
      </c>
    </row>
    <row r="150" spans="1:4">
      <c r="A150" s="2">
        <v>1.942351021676637</v>
      </c>
      <c r="B150" t="s">
        <v>535</v>
      </c>
      <c r="C150" t="s">
        <v>547</v>
      </c>
      <c r="D150" t="s">
        <v>547</v>
      </c>
    </row>
    <row r="151" spans="1:4">
      <c r="A151" s="2">
        <v>1.0995052226498077</v>
      </c>
      <c r="B151" t="s">
        <v>536</v>
      </c>
      <c r="C151" t="s">
        <v>547</v>
      </c>
      <c r="D151" t="s">
        <v>547</v>
      </c>
    </row>
    <row r="152" spans="1:4">
      <c r="A152" s="2">
        <v>0.7483349547257353</v>
      </c>
      <c r="B152" t="s">
        <v>537</v>
      </c>
      <c r="C152" t="s">
        <v>547</v>
      </c>
      <c r="D152" t="s">
        <v>547</v>
      </c>
    </row>
    <row r="153" spans="1:4">
      <c r="A153" s="2">
        <v>0.6983727913960472</v>
      </c>
      <c r="B153" t="s">
        <v>538</v>
      </c>
      <c r="C153" t="s">
        <v>547</v>
      </c>
      <c r="D153" t="s">
        <v>547</v>
      </c>
    </row>
    <row r="154" spans="1:4">
      <c r="A154" s="2">
        <v>0.1666872247577201</v>
      </c>
      <c r="B154" t="s">
        <v>539</v>
      </c>
      <c r="C154" t="s">
        <v>547</v>
      </c>
      <c r="D154" t="s">
        <v>547</v>
      </c>
    </row>
    <row r="155" spans="1:4">
      <c r="A155" s="2">
        <v>0.3864734299516908</v>
      </c>
      <c r="B155" t="s">
        <v>540</v>
      </c>
      <c r="C155" t="s">
        <v>547</v>
      </c>
      <c r="D155" t="s">
        <v>547</v>
      </c>
    </row>
    <row r="156" spans="1:4">
      <c r="A156" s="2">
        <v>0.22106287028030772</v>
      </c>
      <c r="B156" t="s">
        <v>541</v>
      </c>
      <c r="C156" t="s">
        <v>547</v>
      </c>
      <c r="D156" t="s">
        <v>547</v>
      </c>
    </row>
    <row r="157" spans="1:4">
      <c r="A157" s="2">
        <v>1</v>
      </c>
      <c r="B157" t="s">
        <v>542</v>
      </c>
      <c r="C157" t="s">
        <v>547</v>
      </c>
      <c r="D157" t="s">
        <v>547</v>
      </c>
    </row>
    <row r="158" spans="1:4">
      <c r="A158" s="2">
        <v>7.075399999999999</v>
      </c>
      <c r="B158" t="s">
        <v>364</v>
      </c>
      <c r="C158" t="s">
        <v>548</v>
      </c>
      <c r="D158" t="s">
        <v>548</v>
      </c>
    </row>
    <row r="159" spans="1:4">
      <c r="A159" s="2">
        <v>8.221</v>
      </c>
      <c r="B159" t="s">
        <v>373</v>
      </c>
      <c r="C159" t="s">
        <v>548</v>
      </c>
      <c r="D159" t="s">
        <v>548</v>
      </c>
    </row>
    <row r="160" spans="1:4">
      <c r="A160" s="2">
        <v>0.04536</v>
      </c>
      <c r="B160" t="s">
        <v>520</v>
      </c>
      <c r="C160" t="s">
        <v>548</v>
      </c>
      <c r="D160" t="s">
        <v>548</v>
      </c>
    </row>
    <row r="161" spans="1:4">
      <c r="A161" s="2">
        <v>0.90897</v>
      </c>
      <c r="B161" t="s">
        <v>370</v>
      </c>
      <c r="C161" t="s">
        <v>548</v>
      </c>
      <c r="D161" t="s">
        <v>548</v>
      </c>
    </row>
    <row r="162" spans="1:4">
      <c r="A162" s="2">
        <v>9.3429</v>
      </c>
      <c r="B162" t="s">
        <v>521</v>
      </c>
      <c r="C162" t="s">
        <v>548</v>
      </c>
      <c r="D162" t="s">
        <v>548</v>
      </c>
    </row>
    <row r="163" spans="1:4">
      <c r="A163" s="2">
        <v>4.6437</v>
      </c>
      <c r="B163" t="s">
        <v>522</v>
      </c>
      <c r="C163" t="s">
        <v>548</v>
      </c>
      <c r="D163" t="s">
        <v>548</v>
      </c>
    </row>
    <row r="164" spans="1:4">
      <c r="A164" s="2">
        <v>4.0567</v>
      </c>
      <c r="B164" t="s">
        <v>523</v>
      </c>
      <c r="C164" t="s">
        <v>548</v>
      </c>
      <c r="D164" t="s">
        <v>548</v>
      </c>
    </row>
    <row r="165" spans="1:4">
      <c r="A165" s="2">
        <v>5.454400000000001</v>
      </c>
      <c r="B165" t="s">
        <v>524</v>
      </c>
      <c r="C165" t="s">
        <v>548</v>
      </c>
      <c r="D165" t="s">
        <v>548</v>
      </c>
    </row>
    <row r="166" spans="1:4">
      <c r="A166" s="2">
        <v>8.8047</v>
      </c>
      <c r="B166" t="s">
        <v>525</v>
      </c>
      <c r="C166" t="s">
        <v>548</v>
      </c>
      <c r="D166" t="s">
        <v>548</v>
      </c>
    </row>
    <row r="167" spans="1:4">
      <c r="A167" s="2">
        <v>5.0588999999999995</v>
      </c>
      <c r="B167" t="s">
        <v>526</v>
      </c>
      <c r="C167" t="s">
        <v>548</v>
      </c>
      <c r="D167" t="s">
        <v>548</v>
      </c>
    </row>
    <row r="168" spans="1:4">
      <c r="A168" s="2">
        <v>0.8821453775582216</v>
      </c>
      <c r="B168" t="s">
        <v>527</v>
      </c>
      <c r="C168" t="s">
        <v>548</v>
      </c>
      <c r="D168" t="s">
        <v>548</v>
      </c>
    </row>
    <row r="169" spans="1:4">
      <c r="A169" s="2">
        <v>1.7116546565564932</v>
      </c>
      <c r="B169" t="s">
        <v>528</v>
      </c>
      <c r="C169" t="s">
        <v>548</v>
      </c>
      <c r="D169" t="s">
        <v>548</v>
      </c>
    </row>
    <row r="170" spans="1:4">
      <c r="A170" s="2">
        <v>0.09126252578166354</v>
      </c>
      <c r="B170" t="s">
        <v>529</v>
      </c>
      <c r="C170" t="s">
        <v>548</v>
      </c>
      <c r="D170" t="s">
        <v>548</v>
      </c>
    </row>
    <row r="171" spans="1:4">
      <c r="A171" s="2">
        <v>0.4131207138725936</v>
      </c>
      <c r="B171" t="s">
        <v>530</v>
      </c>
      <c r="C171" t="s">
        <v>548</v>
      </c>
      <c r="D171" t="s">
        <v>548</v>
      </c>
    </row>
    <row r="172" spans="1:4">
      <c r="A172" s="2">
        <v>0.004814404698858986</v>
      </c>
      <c r="B172" t="s">
        <v>531</v>
      </c>
      <c r="C172" t="s">
        <v>548</v>
      </c>
      <c r="D172" t="s">
        <v>548</v>
      </c>
    </row>
    <row r="173" spans="1:4">
      <c r="A173" s="2">
        <v>1.9245943917319424</v>
      </c>
      <c r="B173" t="s">
        <v>532</v>
      </c>
      <c r="C173" t="s">
        <v>548</v>
      </c>
      <c r="D173" t="s">
        <v>548</v>
      </c>
    </row>
    <row r="174" spans="1:4">
      <c r="A174" s="2">
        <v>1.8830973184694184</v>
      </c>
      <c r="B174" t="s">
        <v>533</v>
      </c>
      <c r="C174" t="s">
        <v>548</v>
      </c>
      <c r="D174" t="s">
        <v>548</v>
      </c>
    </row>
    <row r="175" spans="1:4">
      <c r="A175" s="2">
        <v>0.021577254121794967</v>
      </c>
      <c r="B175" t="s">
        <v>534</v>
      </c>
      <c r="C175" t="s">
        <v>548</v>
      </c>
      <c r="D175" t="s">
        <v>548</v>
      </c>
    </row>
    <row r="176" spans="1:4">
      <c r="A176" s="2">
        <v>1.941747572815534</v>
      </c>
      <c r="B176" t="s">
        <v>535</v>
      </c>
      <c r="C176" t="s">
        <v>548</v>
      </c>
      <c r="D176" t="s">
        <v>548</v>
      </c>
    </row>
    <row r="177" spans="1:4">
      <c r="A177" s="2">
        <v>1.100473203477495</v>
      </c>
      <c r="B177" t="s">
        <v>536</v>
      </c>
      <c r="C177" t="s">
        <v>548</v>
      </c>
      <c r="D177" t="s">
        <v>548</v>
      </c>
    </row>
    <row r="178" spans="1:4">
      <c r="A178" s="2">
        <v>0.7498500299940011</v>
      </c>
      <c r="B178" t="s">
        <v>537</v>
      </c>
      <c r="C178" t="s">
        <v>548</v>
      </c>
      <c r="D178" t="s">
        <v>548</v>
      </c>
    </row>
    <row r="179" spans="1:4">
      <c r="A179" s="2">
        <v>0.6979341150195422</v>
      </c>
      <c r="B179" t="s">
        <v>538</v>
      </c>
      <c r="C179" t="s">
        <v>548</v>
      </c>
      <c r="D179" t="s">
        <v>548</v>
      </c>
    </row>
    <row r="180" spans="1:4">
      <c r="A180" s="2">
        <v>0.1664175949994841</v>
      </c>
      <c r="B180" t="s">
        <v>539</v>
      </c>
      <c r="C180" t="s">
        <v>548</v>
      </c>
      <c r="D180" t="s">
        <v>548</v>
      </c>
    </row>
    <row r="181" spans="1:4">
      <c r="A181" s="2">
        <v>0.3867723844517501</v>
      </c>
      <c r="B181" t="s">
        <v>540</v>
      </c>
      <c r="C181" t="s">
        <v>548</v>
      </c>
      <c r="D181" t="s">
        <v>548</v>
      </c>
    </row>
    <row r="182" spans="1:4">
      <c r="A182" s="2">
        <v>0.2209212415773777</v>
      </c>
      <c r="B182" t="s">
        <v>541</v>
      </c>
      <c r="C182" t="s">
        <v>548</v>
      </c>
      <c r="D182" t="s">
        <v>548</v>
      </c>
    </row>
    <row r="183" spans="1:4">
      <c r="A183" s="2">
        <v>1</v>
      </c>
      <c r="B183" t="s">
        <v>542</v>
      </c>
      <c r="C183" t="s">
        <v>548</v>
      </c>
      <c r="D183" t="s">
        <v>548</v>
      </c>
    </row>
    <row r="184" spans="1:4">
      <c r="A184" s="2">
        <v>7.073300000000001</v>
      </c>
      <c r="B184" t="s">
        <v>364</v>
      </c>
      <c r="C184" t="s">
        <v>549</v>
      </c>
      <c r="D184" t="s">
        <v>549</v>
      </c>
    </row>
    <row r="185" spans="1:4">
      <c r="A185" s="2">
        <v>8.2373</v>
      </c>
      <c r="B185" t="s">
        <v>373</v>
      </c>
      <c r="C185" t="s">
        <v>549</v>
      </c>
      <c r="D185" t="s">
        <v>549</v>
      </c>
    </row>
    <row r="186" spans="1:4">
      <c r="A186" s="2">
        <v>0.045468</v>
      </c>
      <c r="B186" t="s">
        <v>520</v>
      </c>
      <c r="C186" t="s">
        <v>549</v>
      </c>
      <c r="D186" t="s">
        <v>549</v>
      </c>
    </row>
    <row r="187" spans="1:4">
      <c r="A187" s="2">
        <v>0.90891</v>
      </c>
      <c r="B187" t="s">
        <v>370</v>
      </c>
      <c r="C187" t="s">
        <v>549</v>
      </c>
      <c r="D187" t="s">
        <v>549</v>
      </c>
    </row>
    <row r="188" spans="1:4">
      <c r="A188" s="2">
        <v>9.4207</v>
      </c>
      <c r="B188" t="s">
        <v>521</v>
      </c>
      <c r="C188" t="s">
        <v>549</v>
      </c>
      <c r="D188" t="s">
        <v>549</v>
      </c>
    </row>
    <row r="189" spans="1:4">
      <c r="A189" s="2">
        <v>4.6586</v>
      </c>
      <c r="B189" t="s">
        <v>522</v>
      </c>
      <c r="C189" t="s">
        <v>549</v>
      </c>
      <c r="D189" t="s">
        <v>549</v>
      </c>
    </row>
    <row r="190" spans="1:4">
      <c r="A190" s="2">
        <v>4.0714999999999995</v>
      </c>
      <c r="B190" t="s">
        <v>523</v>
      </c>
      <c r="C190" t="s">
        <v>549</v>
      </c>
      <c r="D190" t="s">
        <v>549</v>
      </c>
    </row>
    <row r="191" spans="1:4">
      <c r="A191" s="2">
        <v>5.4573</v>
      </c>
      <c r="B191" t="s">
        <v>524</v>
      </c>
      <c r="C191" t="s">
        <v>549</v>
      </c>
      <c r="D191" t="s">
        <v>549</v>
      </c>
    </row>
    <row r="192" spans="1:4">
      <c r="A192" s="2">
        <v>8.8252</v>
      </c>
      <c r="B192" t="s">
        <v>525</v>
      </c>
      <c r="C192" t="s">
        <v>549</v>
      </c>
      <c r="D192" t="s">
        <v>549</v>
      </c>
    </row>
    <row r="193" spans="1:4">
      <c r="A193" s="2">
        <v>5.0597</v>
      </c>
      <c r="B193" t="s">
        <v>526</v>
      </c>
      <c r="C193" t="s">
        <v>549</v>
      </c>
      <c r="D193" t="s">
        <v>549</v>
      </c>
    </row>
    <row r="194" spans="1:4">
      <c r="A194" s="2">
        <v>0.8819897689186805</v>
      </c>
      <c r="B194" t="s">
        <v>527</v>
      </c>
      <c r="C194" t="s">
        <v>549</v>
      </c>
      <c r="D194" t="s">
        <v>549</v>
      </c>
    </row>
    <row r="195" spans="1:4">
      <c r="A195" s="2">
        <v>1.714207350521119</v>
      </c>
      <c r="B195" t="s">
        <v>528</v>
      </c>
      <c r="C195" t="s">
        <v>549</v>
      </c>
      <c r="D195" t="s">
        <v>549</v>
      </c>
    </row>
    <row r="196" spans="1:4">
      <c r="A196" s="2">
        <v>0.09137760883073212</v>
      </c>
      <c r="B196" t="s">
        <v>529</v>
      </c>
      <c r="C196" t="s">
        <v>549</v>
      </c>
      <c r="D196" t="s">
        <v>549</v>
      </c>
    </row>
    <row r="197" spans="1:4">
      <c r="A197" s="2">
        <v>0.4143016944939305</v>
      </c>
      <c r="B197" t="s">
        <v>530</v>
      </c>
      <c r="C197" t="s">
        <v>549</v>
      </c>
      <c r="D197" t="s">
        <v>549</v>
      </c>
    </row>
    <row r="198" spans="1:4">
      <c r="A198" s="2">
        <v>0.004813941173638858</v>
      </c>
      <c r="B198" t="s">
        <v>531</v>
      </c>
      <c r="C198" t="s">
        <v>549</v>
      </c>
      <c r="D198" t="s">
        <v>549</v>
      </c>
    </row>
    <row r="199" spans="1:4">
      <c r="A199" s="2">
        <v>1.9215618454679968</v>
      </c>
      <c r="B199" t="s">
        <v>532</v>
      </c>
      <c r="C199" t="s">
        <v>549</v>
      </c>
      <c r="D199" t="s">
        <v>549</v>
      </c>
    </row>
    <row r="200" spans="1:4">
      <c r="A200" s="2">
        <v>1.8808305747818237</v>
      </c>
      <c r="B200" t="s">
        <v>533</v>
      </c>
      <c r="C200" t="s">
        <v>549</v>
      </c>
      <c r="D200" t="s">
        <v>549</v>
      </c>
    </row>
    <row r="201" spans="1:4">
      <c r="A201" s="2">
        <v>0.02163584280262053</v>
      </c>
      <c r="B201" t="s">
        <v>534</v>
      </c>
      <c r="C201" t="s">
        <v>549</v>
      </c>
      <c r="D201" t="s">
        <v>549</v>
      </c>
    </row>
    <row r="202" spans="1:4">
      <c r="A202" s="2">
        <v>1.94984986156066</v>
      </c>
      <c r="B202" t="s">
        <v>535</v>
      </c>
      <c r="C202" t="s">
        <v>549</v>
      </c>
      <c r="D202" t="s">
        <v>549</v>
      </c>
    </row>
    <row r="203" spans="1:4">
      <c r="A203" s="2">
        <v>1.102535832414553</v>
      </c>
      <c r="B203" t="s">
        <v>536</v>
      </c>
      <c r="C203" t="s">
        <v>549</v>
      </c>
      <c r="D203" t="s">
        <v>549</v>
      </c>
    </row>
    <row r="204" spans="1:4">
      <c r="A204" s="2">
        <v>0.7528419784687194</v>
      </c>
      <c r="B204" t="s">
        <v>537</v>
      </c>
      <c r="C204" t="s">
        <v>549</v>
      </c>
      <c r="D204" t="s">
        <v>549</v>
      </c>
    </row>
    <row r="205" spans="1:4">
      <c r="A205" s="2">
        <v>0.7012622720897616</v>
      </c>
      <c r="B205" t="s">
        <v>538</v>
      </c>
      <c r="C205" t="s">
        <v>549</v>
      </c>
      <c r="D205" t="s">
        <v>549</v>
      </c>
    </row>
    <row r="206" spans="1:4">
      <c r="A206" s="2">
        <v>0.16629914555499012</v>
      </c>
      <c r="B206" t="s">
        <v>539</v>
      </c>
      <c r="C206" t="s">
        <v>549</v>
      </c>
      <c r="D206" t="s">
        <v>549</v>
      </c>
    </row>
    <row r="207" spans="1:4">
      <c r="A207" s="2">
        <v>0.3860854793251226</v>
      </c>
      <c r="B207" t="s">
        <v>540</v>
      </c>
      <c r="C207" t="s">
        <v>549</v>
      </c>
      <c r="D207" t="s">
        <v>549</v>
      </c>
    </row>
    <row r="208" spans="1:4">
      <c r="A208" s="2">
        <v>0.22134667315950243</v>
      </c>
      <c r="B208" t="s">
        <v>541</v>
      </c>
      <c r="C208" t="s">
        <v>549</v>
      </c>
      <c r="D208" t="s">
        <v>549</v>
      </c>
    </row>
    <row r="209" spans="1:4">
      <c r="A209" s="2">
        <v>1</v>
      </c>
      <c r="B209" t="s">
        <v>542</v>
      </c>
      <c r="C209" t="s">
        <v>549</v>
      </c>
      <c r="D209" t="s">
        <v>549</v>
      </c>
    </row>
    <row r="210" spans="1:4">
      <c r="A210" s="2">
        <v>7.0749</v>
      </c>
      <c r="B210" t="s">
        <v>364</v>
      </c>
      <c r="C210" t="s">
        <v>550</v>
      </c>
      <c r="D210" t="s">
        <v>550</v>
      </c>
    </row>
    <row r="211" spans="1:4">
      <c r="A211" s="2">
        <v>8.2376</v>
      </c>
      <c r="B211" t="s">
        <v>373</v>
      </c>
      <c r="C211" t="s">
        <v>550</v>
      </c>
      <c r="D211" t="s">
        <v>550</v>
      </c>
    </row>
    <row r="212" spans="1:4">
      <c r="A212" s="2">
        <v>0.045597000000000006</v>
      </c>
      <c r="B212" t="s">
        <v>520</v>
      </c>
      <c r="C212" t="s">
        <v>550</v>
      </c>
      <c r="D212" t="s">
        <v>550</v>
      </c>
    </row>
    <row r="213" spans="1:4">
      <c r="A213" s="2">
        <v>0.90906</v>
      </c>
      <c r="B213" t="s">
        <v>370</v>
      </c>
      <c r="C213" t="s">
        <v>550</v>
      </c>
      <c r="D213" t="s">
        <v>550</v>
      </c>
    </row>
    <row r="214" spans="1:4">
      <c r="A214" s="2">
        <v>9.4269</v>
      </c>
      <c r="B214" t="s">
        <v>521</v>
      </c>
      <c r="C214" t="s">
        <v>550</v>
      </c>
      <c r="D214" t="s">
        <v>550</v>
      </c>
    </row>
    <row r="215" spans="1:4">
      <c r="A215" s="2">
        <v>4.6754</v>
      </c>
      <c r="B215" t="s">
        <v>522</v>
      </c>
      <c r="C215" t="s">
        <v>550</v>
      </c>
      <c r="D215" t="s">
        <v>550</v>
      </c>
    </row>
    <row r="216" spans="1:4">
      <c r="A216" s="2">
        <v>4.0767</v>
      </c>
      <c r="B216" t="s">
        <v>523</v>
      </c>
      <c r="C216" t="s">
        <v>550</v>
      </c>
      <c r="D216" t="s">
        <v>550</v>
      </c>
    </row>
    <row r="217" spans="1:4">
      <c r="A217" s="2">
        <v>5.4573</v>
      </c>
      <c r="B217" t="s">
        <v>524</v>
      </c>
      <c r="C217" t="s">
        <v>550</v>
      </c>
      <c r="D217" t="s">
        <v>550</v>
      </c>
    </row>
    <row r="218" spans="1:4">
      <c r="A218" s="2">
        <v>8.8016</v>
      </c>
      <c r="B218" t="s">
        <v>525</v>
      </c>
      <c r="C218" t="s">
        <v>550</v>
      </c>
      <c r="D218" t="s">
        <v>550</v>
      </c>
    </row>
    <row r="219" spans="1:4">
      <c r="A219" s="2">
        <v>5.0682</v>
      </c>
      <c r="B219" t="s">
        <v>526</v>
      </c>
      <c r="C219" t="s">
        <v>550</v>
      </c>
      <c r="D219" t="s">
        <v>550</v>
      </c>
    </row>
    <row r="220" spans="1:4">
      <c r="A220" s="2">
        <v>0.88261253309797</v>
      </c>
      <c r="B220" t="s">
        <v>527</v>
      </c>
      <c r="C220" t="s">
        <v>550</v>
      </c>
      <c r="D220" t="s">
        <v>550</v>
      </c>
    </row>
    <row r="221" spans="1:4">
      <c r="A221" s="2">
        <v>1.7198383351964914</v>
      </c>
      <c r="B221" t="s">
        <v>528</v>
      </c>
      <c r="C221" t="s">
        <v>550</v>
      </c>
      <c r="D221" t="s">
        <v>550</v>
      </c>
    </row>
    <row r="222" spans="1:4">
      <c r="A222" s="2">
        <v>0.09222369780138703</v>
      </c>
      <c r="B222" t="s">
        <v>529</v>
      </c>
      <c r="C222" t="s">
        <v>550</v>
      </c>
      <c r="D222" t="s">
        <v>550</v>
      </c>
    </row>
    <row r="223" spans="1:4">
      <c r="A223" s="2">
        <v>0.4163717366865137</v>
      </c>
      <c r="B223" t="s">
        <v>530</v>
      </c>
      <c r="C223" t="s">
        <v>550</v>
      </c>
      <c r="D223" t="s">
        <v>550</v>
      </c>
    </row>
    <row r="224" spans="1:4">
      <c r="A224" s="2">
        <v>0.004799155348658636</v>
      </c>
      <c r="B224" t="s">
        <v>531</v>
      </c>
      <c r="C224" t="s">
        <v>550</v>
      </c>
      <c r="D224" t="s">
        <v>550</v>
      </c>
    </row>
    <row r="225" spans="1:4">
      <c r="A225" s="2">
        <v>1.9258916878514751</v>
      </c>
      <c r="B225" t="s">
        <v>532</v>
      </c>
      <c r="C225" t="s">
        <v>550</v>
      </c>
      <c r="D225" t="s">
        <v>550</v>
      </c>
    </row>
    <row r="226" spans="1:4">
      <c r="A226" s="2">
        <v>1.8847654409408747</v>
      </c>
      <c r="B226" t="s">
        <v>533</v>
      </c>
      <c r="C226" t="s">
        <v>550</v>
      </c>
      <c r="D226" t="s">
        <v>550</v>
      </c>
    </row>
    <row r="227" spans="1:4">
      <c r="A227" s="2">
        <v>0.02150819784961038</v>
      </c>
      <c r="B227" t="s">
        <v>534</v>
      </c>
      <c r="C227" t="s">
        <v>550</v>
      </c>
      <c r="D227" t="s">
        <v>550</v>
      </c>
    </row>
    <row r="228" spans="1:4">
      <c r="A228" s="2">
        <v>1.9453360568038127</v>
      </c>
      <c r="B228" t="s">
        <v>535</v>
      </c>
      <c r="C228" t="s">
        <v>550</v>
      </c>
      <c r="D228" t="s">
        <v>550</v>
      </c>
    </row>
    <row r="229" spans="1:4">
      <c r="A229" s="2">
        <v>1.102779003087781</v>
      </c>
      <c r="B229" t="s">
        <v>536</v>
      </c>
      <c r="C229" t="s">
        <v>550</v>
      </c>
      <c r="D229" t="s">
        <v>550</v>
      </c>
    </row>
    <row r="230" spans="1:4">
      <c r="A230" s="2">
        <v>0.7505817008181341</v>
      </c>
      <c r="B230" t="s">
        <v>537</v>
      </c>
      <c r="C230" t="s">
        <v>550</v>
      </c>
      <c r="D230" t="s">
        <v>550</v>
      </c>
    </row>
    <row r="231" spans="1:4">
      <c r="A231" s="2">
        <v>0.6993006993006993</v>
      </c>
      <c r="B231" t="s">
        <v>538</v>
      </c>
      <c r="C231" t="s">
        <v>550</v>
      </c>
      <c r="D231" t="s">
        <v>550</v>
      </c>
    </row>
    <row r="232" spans="1:4">
      <c r="A232" s="2">
        <v>0.16645138953619987</v>
      </c>
      <c r="B232" t="s">
        <v>539</v>
      </c>
      <c r="C232" t="s">
        <v>550</v>
      </c>
      <c r="D232" t="s">
        <v>550</v>
      </c>
    </row>
    <row r="233" spans="1:4">
      <c r="A233" s="2">
        <v>0.38791264207300513</v>
      </c>
      <c r="B233" t="s">
        <v>540</v>
      </c>
      <c r="C233" t="s">
        <v>550</v>
      </c>
      <c r="D233" t="s">
        <v>550</v>
      </c>
    </row>
    <row r="234" spans="1:4">
      <c r="A234" s="2">
        <v>0.22079441831710492</v>
      </c>
      <c r="B234" t="s">
        <v>541</v>
      </c>
      <c r="C234" t="s">
        <v>550</v>
      </c>
      <c r="D234" t="s">
        <v>550</v>
      </c>
    </row>
    <row r="235" spans="1:4">
      <c r="A235" s="2">
        <v>1</v>
      </c>
      <c r="B235" t="s">
        <v>542</v>
      </c>
      <c r="C235" t="s">
        <v>550</v>
      </c>
      <c r="D235" t="s">
        <v>550</v>
      </c>
    </row>
    <row r="236" spans="1:4">
      <c r="A236" s="2">
        <v>7.0749</v>
      </c>
      <c r="B236" t="s">
        <v>364</v>
      </c>
      <c r="C236" t="s">
        <v>550</v>
      </c>
      <c r="D236" t="s">
        <v>551</v>
      </c>
    </row>
    <row r="237" spans="1:4">
      <c r="A237" s="2">
        <v>8.2376</v>
      </c>
      <c r="B237" t="s">
        <v>373</v>
      </c>
      <c r="C237" t="s">
        <v>550</v>
      </c>
      <c r="D237" t="s">
        <v>551</v>
      </c>
    </row>
    <row r="238" spans="1:4">
      <c r="A238" s="2">
        <v>0.045597000000000006</v>
      </c>
      <c r="B238" t="s">
        <v>520</v>
      </c>
      <c r="C238" t="s">
        <v>550</v>
      </c>
      <c r="D238" t="s">
        <v>551</v>
      </c>
    </row>
    <row r="239" spans="1:4">
      <c r="A239" s="2">
        <v>0.90906</v>
      </c>
      <c r="B239" t="s">
        <v>370</v>
      </c>
      <c r="C239" t="s">
        <v>550</v>
      </c>
      <c r="D239" t="s">
        <v>551</v>
      </c>
    </row>
    <row r="240" spans="1:4">
      <c r="A240" s="2">
        <v>9.4269</v>
      </c>
      <c r="B240" t="s">
        <v>521</v>
      </c>
      <c r="C240" t="s">
        <v>550</v>
      </c>
      <c r="D240" t="s">
        <v>551</v>
      </c>
    </row>
    <row r="241" spans="1:4">
      <c r="A241" s="2">
        <v>4.6754</v>
      </c>
      <c r="B241" t="s">
        <v>522</v>
      </c>
      <c r="C241" t="s">
        <v>550</v>
      </c>
      <c r="D241" t="s">
        <v>551</v>
      </c>
    </row>
    <row r="242" spans="1:4">
      <c r="A242" s="2">
        <v>4.0767</v>
      </c>
      <c r="B242" t="s">
        <v>523</v>
      </c>
      <c r="C242" t="s">
        <v>550</v>
      </c>
      <c r="D242" t="s">
        <v>551</v>
      </c>
    </row>
    <row r="243" spans="1:4">
      <c r="A243" s="2">
        <v>5.4573</v>
      </c>
      <c r="B243" t="s">
        <v>524</v>
      </c>
      <c r="C243" t="s">
        <v>550</v>
      </c>
      <c r="D243" t="s">
        <v>551</v>
      </c>
    </row>
    <row r="244" spans="1:4">
      <c r="A244" s="2">
        <v>8.8016</v>
      </c>
      <c r="B244" t="s">
        <v>525</v>
      </c>
      <c r="C244" t="s">
        <v>550</v>
      </c>
      <c r="D244" t="s">
        <v>551</v>
      </c>
    </row>
    <row r="245" spans="1:4">
      <c r="A245" s="2">
        <v>5.0682</v>
      </c>
      <c r="B245" t="s">
        <v>526</v>
      </c>
      <c r="C245" t="s">
        <v>550</v>
      </c>
      <c r="D245" t="s">
        <v>551</v>
      </c>
    </row>
    <row r="246" spans="1:4">
      <c r="A246" s="2">
        <v>0.88261253309797</v>
      </c>
      <c r="B246" t="s">
        <v>527</v>
      </c>
      <c r="C246" t="s">
        <v>550</v>
      </c>
      <c r="D246" t="s">
        <v>551</v>
      </c>
    </row>
    <row r="247" spans="1:4">
      <c r="A247" s="2">
        <v>1.7198383351964914</v>
      </c>
      <c r="B247" t="s">
        <v>528</v>
      </c>
      <c r="C247" t="s">
        <v>550</v>
      </c>
      <c r="D247" t="s">
        <v>551</v>
      </c>
    </row>
    <row r="248" spans="1:4">
      <c r="A248" s="2">
        <v>0.09222369780138703</v>
      </c>
      <c r="B248" t="s">
        <v>529</v>
      </c>
      <c r="C248" t="s">
        <v>550</v>
      </c>
      <c r="D248" t="s">
        <v>551</v>
      </c>
    </row>
    <row r="249" spans="1:4">
      <c r="A249" s="2">
        <v>0.4163717366865137</v>
      </c>
      <c r="B249" t="s">
        <v>530</v>
      </c>
      <c r="C249" t="s">
        <v>550</v>
      </c>
      <c r="D249" t="s">
        <v>551</v>
      </c>
    </row>
    <row r="250" spans="1:4">
      <c r="A250" s="2">
        <v>0.004799155348658636</v>
      </c>
      <c r="B250" t="s">
        <v>531</v>
      </c>
      <c r="C250" t="s">
        <v>550</v>
      </c>
      <c r="D250" t="s">
        <v>551</v>
      </c>
    </row>
    <row r="251" spans="1:4">
      <c r="A251" s="2">
        <v>1.9258916878514751</v>
      </c>
      <c r="B251" t="s">
        <v>532</v>
      </c>
      <c r="C251" t="s">
        <v>550</v>
      </c>
      <c r="D251" t="s">
        <v>551</v>
      </c>
    </row>
    <row r="252" spans="1:4">
      <c r="A252" s="2">
        <v>1.8847654409408747</v>
      </c>
      <c r="B252" t="s">
        <v>533</v>
      </c>
      <c r="C252" t="s">
        <v>550</v>
      </c>
      <c r="D252" t="s">
        <v>551</v>
      </c>
    </row>
    <row r="253" spans="1:4">
      <c r="A253" s="2">
        <v>0.02150819784961038</v>
      </c>
      <c r="B253" t="s">
        <v>534</v>
      </c>
      <c r="C253" t="s">
        <v>550</v>
      </c>
      <c r="D253" t="s">
        <v>551</v>
      </c>
    </row>
    <row r="254" spans="1:4">
      <c r="A254" s="2">
        <v>1.9453360568038127</v>
      </c>
      <c r="B254" t="s">
        <v>535</v>
      </c>
      <c r="C254" t="s">
        <v>550</v>
      </c>
      <c r="D254" t="s">
        <v>551</v>
      </c>
    </row>
    <row r="255" spans="1:4">
      <c r="A255" s="2">
        <v>1.102779003087781</v>
      </c>
      <c r="B255" t="s">
        <v>536</v>
      </c>
      <c r="C255" t="s">
        <v>550</v>
      </c>
      <c r="D255" t="s">
        <v>551</v>
      </c>
    </row>
    <row r="256" spans="1:4">
      <c r="A256" s="2">
        <v>0.7505817008181341</v>
      </c>
      <c r="B256" t="s">
        <v>537</v>
      </c>
      <c r="C256" t="s">
        <v>550</v>
      </c>
      <c r="D256" t="s">
        <v>551</v>
      </c>
    </row>
    <row r="257" spans="1:4">
      <c r="A257" s="2">
        <v>0.6993006993006993</v>
      </c>
      <c r="B257" t="s">
        <v>538</v>
      </c>
      <c r="C257" t="s">
        <v>550</v>
      </c>
      <c r="D257" t="s">
        <v>551</v>
      </c>
    </row>
    <row r="258" spans="1:4">
      <c r="A258" s="2">
        <v>0.16645138953619987</v>
      </c>
      <c r="B258" t="s">
        <v>539</v>
      </c>
      <c r="C258" t="s">
        <v>550</v>
      </c>
      <c r="D258" t="s">
        <v>551</v>
      </c>
    </row>
    <row r="259" spans="1:4">
      <c r="A259" s="2">
        <v>0.38791264207300513</v>
      </c>
      <c r="B259" t="s">
        <v>540</v>
      </c>
      <c r="C259" t="s">
        <v>550</v>
      </c>
      <c r="D259" t="s">
        <v>551</v>
      </c>
    </row>
    <row r="260" spans="1:4">
      <c r="A260" s="2">
        <v>0.22079441831710492</v>
      </c>
      <c r="B260" t="s">
        <v>541</v>
      </c>
      <c r="C260" t="s">
        <v>550</v>
      </c>
      <c r="D260" t="s">
        <v>551</v>
      </c>
    </row>
    <row r="261" spans="1:4">
      <c r="A261" s="2">
        <v>1</v>
      </c>
      <c r="B261" t="s">
        <v>542</v>
      </c>
      <c r="C261" t="s">
        <v>551</v>
      </c>
      <c r="D261" t="s">
        <v>551</v>
      </c>
    </row>
    <row r="262" spans="1:4">
      <c r="A262" s="2">
        <v>7.0749</v>
      </c>
      <c r="B262" t="s">
        <v>364</v>
      </c>
      <c r="C262" t="s">
        <v>550</v>
      </c>
      <c r="D262" t="s">
        <v>552</v>
      </c>
    </row>
    <row r="263" spans="1:4">
      <c r="A263" s="2">
        <v>8.2376</v>
      </c>
      <c r="B263" t="s">
        <v>373</v>
      </c>
      <c r="C263" t="s">
        <v>550</v>
      </c>
      <c r="D263" t="s">
        <v>552</v>
      </c>
    </row>
    <row r="264" spans="1:4">
      <c r="A264" s="2">
        <v>0.045597000000000006</v>
      </c>
      <c r="B264" t="s">
        <v>520</v>
      </c>
      <c r="C264" t="s">
        <v>550</v>
      </c>
      <c r="D264" t="s">
        <v>552</v>
      </c>
    </row>
    <row r="265" spans="1:4">
      <c r="A265" s="2">
        <v>0.90906</v>
      </c>
      <c r="B265" t="s">
        <v>370</v>
      </c>
      <c r="C265" t="s">
        <v>550</v>
      </c>
      <c r="D265" t="s">
        <v>552</v>
      </c>
    </row>
    <row r="266" spans="1:4">
      <c r="A266" s="2">
        <v>9.4269</v>
      </c>
      <c r="B266" t="s">
        <v>521</v>
      </c>
      <c r="C266" t="s">
        <v>550</v>
      </c>
      <c r="D266" t="s">
        <v>552</v>
      </c>
    </row>
    <row r="267" spans="1:4">
      <c r="A267" s="2">
        <v>4.6754</v>
      </c>
      <c r="B267" t="s">
        <v>522</v>
      </c>
      <c r="C267" t="s">
        <v>550</v>
      </c>
      <c r="D267" t="s">
        <v>552</v>
      </c>
    </row>
    <row r="268" spans="1:4">
      <c r="A268" s="2">
        <v>4.0767</v>
      </c>
      <c r="B268" t="s">
        <v>523</v>
      </c>
      <c r="C268" t="s">
        <v>550</v>
      </c>
      <c r="D268" t="s">
        <v>552</v>
      </c>
    </row>
    <row r="269" spans="1:4">
      <c r="A269" s="2">
        <v>5.4573</v>
      </c>
      <c r="B269" t="s">
        <v>524</v>
      </c>
      <c r="C269" t="s">
        <v>550</v>
      </c>
      <c r="D269" t="s">
        <v>552</v>
      </c>
    </row>
    <row r="270" spans="1:4">
      <c r="A270" s="2">
        <v>8.8016</v>
      </c>
      <c r="B270" t="s">
        <v>525</v>
      </c>
      <c r="C270" t="s">
        <v>550</v>
      </c>
      <c r="D270" t="s">
        <v>552</v>
      </c>
    </row>
    <row r="271" spans="1:4">
      <c r="A271" s="2">
        <v>5.0682</v>
      </c>
      <c r="B271" t="s">
        <v>526</v>
      </c>
      <c r="C271" t="s">
        <v>550</v>
      </c>
      <c r="D271" t="s">
        <v>552</v>
      </c>
    </row>
    <row r="272" spans="1:4">
      <c r="A272" s="2">
        <v>0.88261253309797</v>
      </c>
      <c r="B272" t="s">
        <v>527</v>
      </c>
      <c r="C272" t="s">
        <v>550</v>
      </c>
      <c r="D272" t="s">
        <v>552</v>
      </c>
    </row>
    <row r="273" spans="1:4">
      <c r="A273" s="2">
        <v>1.7198383351964914</v>
      </c>
      <c r="B273" t="s">
        <v>528</v>
      </c>
      <c r="C273" t="s">
        <v>550</v>
      </c>
      <c r="D273" t="s">
        <v>552</v>
      </c>
    </row>
    <row r="274" spans="1:4">
      <c r="A274" s="2">
        <v>0.09222369780138703</v>
      </c>
      <c r="B274" t="s">
        <v>529</v>
      </c>
      <c r="C274" t="s">
        <v>550</v>
      </c>
      <c r="D274" t="s">
        <v>552</v>
      </c>
    </row>
    <row r="275" spans="1:4">
      <c r="A275" s="2">
        <v>0.4163717366865137</v>
      </c>
      <c r="B275" t="s">
        <v>530</v>
      </c>
      <c r="C275" t="s">
        <v>550</v>
      </c>
      <c r="D275" t="s">
        <v>552</v>
      </c>
    </row>
    <row r="276" spans="1:4">
      <c r="A276" s="2">
        <v>0.004799155348658636</v>
      </c>
      <c r="B276" t="s">
        <v>531</v>
      </c>
      <c r="C276" t="s">
        <v>550</v>
      </c>
      <c r="D276" t="s">
        <v>552</v>
      </c>
    </row>
    <row r="277" spans="1:4">
      <c r="A277" s="2">
        <v>1.9258916878514751</v>
      </c>
      <c r="B277" t="s">
        <v>532</v>
      </c>
      <c r="C277" t="s">
        <v>550</v>
      </c>
      <c r="D277" t="s">
        <v>552</v>
      </c>
    </row>
    <row r="278" spans="1:4">
      <c r="A278" s="2">
        <v>1.8847654409408747</v>
      </c>
      <c r="B278" t="s">
        <v>533</v>
      </c>
      <c r="C278" t="s">
        <v>550</v>
      </c>
      <c r="D278" t="s">
        <v>552</v>
      </c>
    </row>
    <row r="279" spans="1:4">
      <c r="A279" s="2">
        <v>0.02150819784961038</v>
      </c>
      <c r="B279" t="s">
        <v>534</v>
      </c>
      <c r="C279" t="s">
        <v>550</v>
      </c>
      <c r="D279" t="s">
        <v>552</v>
      </c>
    </row>
    <row r="280" spans="1:4">
      <c r="A280" s="2">
        <v>1.9453360568038127</v>
      </c>
      <c r="B280" t="s">
        <v>535</v>
      </c>
      <c r="C280" t="s">
        <v>550</v>
      </c>
      <c r="D280" t="s">
        <v>552</v>
      </c>
    </row>
    <row r="281" spans="1:4">
      <c r="A281" s="2">
        <v>1.102779003087781</v>
      </c>
      <c r="B281" t="s">
        <v>536</v>
      </c>
      <c r="C281" t="s">
        <v>550</v>
      </c>
      <c r="D281" t="s">
        <v>552</v>
      </c>
    </row>
    <row r="282" spans="1:4">
      <c r="A282" s="2">
        <v>0.7505817008181341</v>
      </c>
      <c r="B282" t="s">
        <v>537</v>
      </c>
      <c r="C282" t="s">
        <v>550</v>
      </c>
      <c r="D282" t="s">
        <v>552</v>
      </c>
    </row>
    <row r="283" spans="1:4">
      <c r="A283" s="2">
        <v>0.6993006993006993</v>
      </c>
      <c r="B283" t="s">
        <v>538</v>
      </c>
      <c r="C283" t="s">
        <v>550</v>
      </c>
      <c r="D283" t="s">
        <v>552</v>
      </c>
    </row>
    <row r="284" spans="1:4">
      <c r="A284" s="2">
        <v>0.16645138953619987</v>
      </c>
      <c r="B284" t="s">
        <v>539</v>
      </c>
      <c r="C284" t="s">
        <v>550</v>
      </c>
      <c r="D284" t="s">
        <v>552</v>
      </c>
    </row>
    <row r="285" spans="1:4">
      <c r="A285" s="2">
        <v>0.38791264207300513</v>
      </c>
      <c r="B285" t="s">
        <v>540</v>
      </c>
      <c r="C285" t="s">
        <v>550</v>
      </c>
      <c r="D285" t="s">
        <v>552</v>
      </c>
    </row>
    <row r="286" spans="1:4">
      <c r="A286" s="2">
        <v>0.22079441831710492</v>
      </c>
      <c r="B286" t="s">
        <v>541</v>
      </c>
      <c r="C286" t="s">
        <v>550</v>
      </c>
      <c r="D286" t="s">
        <v>552</v>
      </c>
    </row>
    <row r="287" spans="1:4">
      <c r="A287" s="2">
        <v>1</v>
      </c>
      <c r="B287" t="s">
        <v>542</v>
      </c>
      <c r="C287" t="s">
        <v>552</v>
      </c>
      <c r="D287" t="s">
        <v>552</v>
      </c>
    </row>
    <row r="288" spans="1:4">
      <c r="A288" s="2">
        <v>7.0764</v>
      </c>
      <c r="B288" t="s">
        <v>364</v>
      </c>
      <c r="C288" t="s">
        <v>553</v>
      </c>
      <c r="D288" t="s">
        <v>553</v>
      </c>
    </row>
    <row r="289" spans="1:4">
      <c r="A289" s="2">
        <v>8.237400000000001</v>
      </c>
      <c r="B289" t="s">
        <v>373</v>
      </c>
      <c r="C289" t="s">
        <v>553</v>
      </c>
      <c r="D289" t="s">
        <v>553</v>
      </c>
    </row>
    <row r="290" spans="1:4">
      <c r="A290" s="2">
        <v>0.045563</v>
      </c>
      <c r="B290" t="s">
        <v>520</v>
      </c>
      <c r="C290" t="s">
        <v>553</v>
      </c>
      <c r="D290" t="s">
        <v>553</v>
      </c>
    </row>
    <row r="291" spans="1:4">
      <c r="A291" s="2">
        <v>0.90919</v>
      </c>
      <c r="B291" t="s">
        <v>370</v>
      </c>
      <c r="C291" t="s">
        <v>553</v>
      </c>
      <c r="D291" t="s">
        <v>553</v>
      </c>
    </row>
    <row r="292" spans="1:4">
      <c r="A292" s="2">
        <v>9.4271</v>
      </c>
      <c r="B292" t="s">
        <v>521</v>
      </c>
      <c r="C292" t="s">
        <v>553</v>
      </c>
      <c r="D292" t="s">
        <v>553</v>
      </c>
    </row>
    <row r="293" spans="1:4">
      <c r="A293" s="2">
        <v>4.6954</v>
      </c>
      <c r="B293" t="s">
        <v>522</v>
      </c>
      <c r="C293" t="s">
        <v>553</v>
      </c>
      <c r="D293" t="s">
        <v>553</v>
      </c>
    </row>
    <row r="294" spans="1:4">
      <c r="A294" s="2">
        <v>4.0861</v>
      </c>
      <c r="B294" t="s">
        <v>523</v>
      </c>
      <c r="C294" t="s">
        <v>553</v>
      </c>
      <c r="D294" t="s">
        <v>553</v>
      </c>
    </row>
    <row r="295" spans="1:4">
      <c r="A295" s="2">
        <v>5.4599</v>
      </c>
      <c r="B295" t="s">
        <v>524</v>
      </c>
      <c r="C295" t="s">
        <v>553</v>
      </c>
      <c r="D295" t="s">
        <v>553</v>
      </c>
    </row>
    <row r="296" spans="1:4">
      <c r="A296" s="2">
        <v>8.7914</v>
      </c>
      <c r="B296" t="s">
        <v>525</v>
      </c>
      <c r="C296" t="s">
        <v>553</v>
      </c>
      <c r="D296" t="s">
        <v>553</v>
      </c>
    </row>
    <row r="297" spans="1:4">
      <c r="A297" s="2">
        <v>5.1152999999999995</v>
      </c>
      <c r="B297" t="s">
        <v>526</v>
      </c>
      <c r="C297" t="s">
        <v>553</v>
      </c>
      <c r="D297" t="s">
        <v>553</v>
      </c>
    </row>
    <row r="298" spans="1:4">
      <c r="A298" s="2">
        <v>0.882223202470225</v>
      </c>
      <c r="B298" t="s">
        <v>527</v>
      </c>
      <c r="C298" t="s">
        <v>553</v>
      </c>
      <c r="D298" t="s">
        <v>553</v>
      </c>
    </row>
    <row r="299" spans="1:4">
      <c r="A299" s="2">
        <v>1.7200749952697938</v>
      </c>
      <c r="B299" t="s">
        <v>528</v>
      </c>
      <c r="C299" t="s">
        <v>553</v>
      </c>
      <c r="D299" t="s">
        <v>553</v>
      </c>
    </row>
    <row r="300" spans="1:4">
      <c r="A300" s="2">
        <v>0.09247015525739068</v>
      </c>
      <c r="B300" t="s">
        <v>529</v>
      </c>
      <c r="C300" t="s">
        <v>553</v>
      </c>
      <c r="D300" t="s">
        <v>553</v>
      </c>
    </row>
    <row r="301" spans="1:4">
      <c r="A301" s="2">
        <v>0.4177109440267335</v>
      </c>
      <c r="B301" t="s">
        <v>530</v>
      </c>
      <c r="C301" t="s">
        <v>553</v>
      </c>
      <c r="D301" t="s">
        <v>553</v>
      </c>
    </row>
    <row r="302" spans="1:4">
      <c r="A302" s="2">
        <v>0.004805151122002787</v>
      </c>
      <c r="B302" t="s">
        <v>531</v>
      </c>
      <c r="C302" t="s">
        <v>553</v>
      </c>
      <c r="D302" t="s">
        <v>553</v>
      </c>
    </row>
    <row r="303" spans="1:4">
      <c r="A303" s="2">
        <v>1.9258916878514751</v>
      </c>
      <c r="B303" t="s">
        <v>532</v>
      </c>
      <c r="C303" t="s">
        <v>553</v>
      </c>
      <c r="D303" t="s">
        <v>553</v>
      </c>
    </row>
    <row r="304" spans="1:4">
      <c r="A304" s="2">
        <v>1.8846233580218992</v>
      </c>
      <c r="B304" t="s">
        <v>533</v>
      </c>
      <c r="C304" t="s">
        <v>553</v>
      </c>
      <c r="D304" t="s">
        <v>553</v>
      </c>
    </row>
    <row r="305" spans="1:4">
      <c r="A305" s="2">
        <v>0.02158177117279661</v>
      </c>
      <c r="B305" t="s">
        <v>534</v>
      </c>
      <c r="C305" t="s">
        <v>553</v>
      </c>
      <c r="D305" t="s">
        <v>553</v>
      </c>
    </row>
    <row r="306" spans="1:4">
      <c r="A306" s="2">
        <v>1.947685176168124</v>
      </c>
      <c r="B306" t="s">
        <v>535</v>
      </c>
      <c r="C306" t="s">
        <v>553</v>
      </c>
      <c r="D306" t="s">
        <v>553</v>
      </c>
    </row>
    <row r="307" spans="1:4">
      <c r="A307" s="2">
        <v>1.102779003087781</v>
      </c>
      <c r="B307" t="s">
        <v>536</v>
      </c>
      <c r="C307" t="s">
        <v>553</v>
      </c>
      <c r="D307" t="s">
        <v>553</v>
      </c>
    </row>
    <row r="308" spans="1:4">
      <c r="A308" s="2">
        <v>0.7526153383005946</v>
      </c>
      <c r="B308" t="s">
        <v>537</v>
      </c>
      <c r="C308" t="s">
        <v>553</v>
      </c>
      <c r="D308" t="s">
        <v>553</v>
      </c>
    </row>
    <row r="309" spans="1:4">
      <c r="A309" s="2">
        <v>0.699741095794556</v>
      </c>
      <c r="B309" t="s">
        <v>538</v>
      </c>
      <c r="C309" t="s">
        <v>553</v>
      </c>
      <c r="D309" t="s">
        <v>553</v>
      </c>
    </row>
    <row r="310" spans="1:4">
      <c r="A310" s="2">
        <v>0.16623418073977533</v>
      </c>
      <c r="B310" t="s">
        <v>539</v>
      </c>
      <c r="C310" t="s">
        <v>553</v>
      </c>
      <c r="D310" t="s">
        <v>553</v>
      </c>
    </row>
    <row r="311" spans="1:4">
      <c r="A311" s="2">
        <v>0.3891959212267456</v>
      </c>
      <c r="B311" t="s">
        <v>540</v>
      </c>
      <c r="C311" t="s">
        <v>553</v>
      </c>
      <c r="D311" t="s">
        <v>553</v>
      </c>
    </row>
    <row r="312" spans="1:4">
      <c r="A312" s="2">
        <v>0.22161647053609024</v>
      </c>
      <c r="B312" t="s">
        <v>541</v>
      </c>
      <c r="C312" t="s">
        <v>553</v>
      </c>
      <c r="D312" t="s">
        <v>553</v>
      </c>
    </row>
    <row r="313" spans="1:4">
      <c r="A313" s="2">
        <v>1</v>
      </c>
      <c r="B313" t="s">
        <v>542</v>
      </c>
      <c r="C313" t="s">
        <v>553</v>
      </c>
      <c r="D313" t="s">
        <v>553</v>
      </c>
    </row>
    <row r="314" spans="1:4">
      <c r="A314" s="2">
        <v>7.0773</v>
      </c>
      <c r="B314" t="s">
        <v>364</v>
      </c>
      <c r="C314" t="s">
        <v>554</v>
      </c>
      <c r="D314" t="s">
        <v>554</v>
      </c>
    </row>
    <row r="315" spans="1:4">
      <c r="A315" s="2">
        <v>8.2372</v>
      </c>
      <c r="B315" t="s">
        <v>373</v>
      </c>
      <c r="C315" t="s">
        <v>554</v>
      </c>
      <c r="D315" t="s">
        <v>554</v>
      </c>
    </row>
    <row r="316" spans="1:4">
      <c r="A316" s="2">
        <v>0.045391</v>
      </c>
      <c r="B316" t="s">
        <v>520</v>
      </c>
      <c r="C316" t="s">
        <v>554</v>
      </c>
      <c r="D316" t="s">
        <v>554</v>
      </c>
    </row>
    <row r="317" spans="1:4">
      <c r="A317" s="2">
        <v>0.90981</v>
      </c>
      <c r="B317" t="s">
        <v>370</v>
      </c>
      <c r="C317" t="s">
        <v>554</v>
      </c>
      <c r="D317" t="s">
        <v>554</v>
      </c>
    </row>
    <row r="318" spans="1:4">
      <c r="A318" s="2">
        <v>9.4298</v>
      </c>
      <c r="B318" t="s">
        <v>521</v>
      </c>
      <c r="C318" t="s">
        <v>554</v>
      </c>
      <c r="D318" t="s">
        <v>554</v>
      </c>
    </row>
    <row r="319" spans="1:4">
      <c r="A319" s="2">
        <v>4.688</v>
      </c>
      <c r="B319" t="s">
        <v>522</v>
      </c>
      <c r="C319" t="s">
        <v>554</v>
      </c>
      <c r="D319" t="s">
        <v>554</v>
      </c>
    </row>
    <row r="320" spans="1:4">
      <c r="A320" s="2">
        <v>4.0869</v>
      </c>
      <c r="B320" t="s">
        <v>523</v>
      </c>
      <c r="C320" t="s">
        <v>554</v>
      </c>
      <c r="D320" t="s">
        <v>554</v>
      </c>
    </row>
    <row r="321" spans="1:4">
      <c r="A321" s="2">
        <v>5.453200000000001</v>
      </c>
      <c r="B321" t="s">
        <v>524</v>
      </c>
      <c r="C321" t="s">
        <v>554</v>
      </c>
      <c r="D321" t="s">
        <v>554</v>
      </c>
    </row>
    <row r="322" spans="1:4">
      <c r="A322" s="2">
        <v>8.7713</v>
      </c>
      <c r="B322" t="s">
        <v>525</v>
      </c>
      <c r="C322" t="s">
        <v>554</v>
      </c>
      <c r="D322" t="s">
        <v>554</v>
      </c>
    </row>
    <row r="323" spans="1:4">
      <c r="A323" s="2">
        <v>5.1092</v>
      </c>
      <c r="B323" t="s">
        <v>526</v>
      </c>
      <c r="C323" t="s">
        <v>554</v>
      </c>
      <c r="D323" t="s">
        <v>554</v>
      </c>
    </row>
    <row r="324" spans="1:4">
      <c r="A324" s="2">
        <v>0.8833141948591114</v>
      </c>
      <c r="B324" t="s">
        <v>527</v>
      </c>
      <c r="C324" t="s">
        <v>554</v>
      </c>
      <c r="D324" t="s">
        <v>554</v>
      </c>
    </row>
    <row r="325" spans="1:4">
      <c r="A325" s="2">
        <v>1.7194834671664634</v>
      </c>
      <c r="B325" t="s">
        <v>528</v>
      </c>
      <c r="C325" t="s">
        <v>554</v>
      </c>
      <c r="D325" t="s">
        <v>554</v>
      </c>
    </row>
    <row r="326" spans="1:4">
      <c r="A326" s="2">
        <v>0.0921871398939848</v>
      </c>
      <c r="B326" t="s">
        <v>529</v>
      </c>
      <c r="C326" t="s">
        <v>554</v>
      </c>
      <c r="D326" t="s">
        <v>554</v>
      </c>
    </row>
    <row r="327" spans="1:4">
      <c r="A327" s="2">
        <v>0.4152651467962294</v>
      </c>
      <c r="B327" t="s">
        <v>530</v>
      </c>
      <c r="C327" t="s">
        <v>554</v>
      </c>
      <c r="D327" t="s">
        <v>554</v>
      </c>
    </row>
    <row r="328" spans="1:4">
      <c r="A328" s="2">
        <v>0.004812087964967999</v>
      </c>
      <c r="B328" t="s">
        <v>531</v>
      </c>
      <c r="C328" t="s">
        <v>554</v>
      </c>
      <c r="D328" t="s">
        <v>554</v>
      </c>
    </row>
    <row r="329" spans="1:4">
      <c r="A329" s="2">
        <v>1.92648532018186</v>
      </c>
      <c r="B329" t="s">
        <v>532</v>
      </c>
      <c r="C329" t="s">
        <v>554</v>
      </c>
      <c r="D329" t="s">
        <v>554</v>
      </c>
    </row>
    <row r="330" spans="1:4">
      <c r="A330" s="2">
        <v>1.885333986915782</v>
      </c>
      <c r="B330" t="s">
        <v>533</v>
      </c>
      <c r="C330" t="s">
        <v>554</v>
      </c>
      <c r="D330" t="s">
        <v>554</v>
      </c>
    </row>
    <row r="331" spans="1:4">
      <c r="A331" s="2">
        <v>0.02141611948481383</v>
      </c>
      <c r="B331" t="s">
        <v>534</v>
      </c>
      <c r="C331" t="s">
        <v>554</v>
      </c>
      <c r="D331" t="s">
        <v>554</v>
      </c>
    </row>
    <row r="332" spans="1:4">
      <c r="A332" s="2">
        <v>1.94352127184032</v>
      </c>
      <c r="B332" t="s">
        <v>535</v>
      </c>
      <c r="C332" t="s">
        <v>554</v>
      </c>
      <c r="D332" t="s">
        <v>554</v>
      </c>
    </row>
    <row r="333" spans="1:4">
      <c r="A333" s="2">
        <v>1.102779003087781</v>
      </c>
      <c r="B333" t="s">
        <v>536</v>
      </c>
      <c r="C333" t="s">
        <v>554</v>
      </c>
      <c r="D333" t="s">
        <v>554</v>
      </c>
    </row>
    <row r="334" spans="1:4">
      <c r="A334" s="2">
        <v>0.7531821947729155</v>
      </c>
      <c r="B334" t="s">
        <v>537</v>
      </c>
      <c r="C334" t="s">
        <v>554</v>
      </c>
      <c r="D334" t="s">
        <v>554</v>
      </c>
    </row>
    <row r="335" spans="1:4">
      <c r="A335" s="2">
        <v>0.6989585517578808</v>
      </c>
      <c r="B335" t="s">
        <v>538</v>
      </c>
      <c r="C335" t="s">
        <v>554</v>
      </c>
      <c r="D335" t="s">
        <v>554</v>
      </c>
    </row>
    <row r="336" spans="1:4">
      <c r="A336" s="2">
        <v>0.166312144611736</v>
      </c>
      <c r="B336" t="s">
        <v>539</v>
      </c>
      <c r="C336" t="s">
        <v>554</v>
      </c>
      <c r="D336" t="s">
        <v>554</v>
      </c>
    </row>
    <row r="337" spans="1:4">
      <c r="A337" s="2">
        <v>0.3874016968194321</v>
      </c>
      <c r="B337" t="s">
        <v>540</v>
      </c>
      <c r="C337" t="s">
        <v>554</v>
      </c>
      <c r="D337" t="s">
        <v>554</v>
      </c>
    </row>
    <row r="338" spans="1:4">
      <c r="A338" s="2">
        <v>0.22171965766484855</v>
      </c>
      <c r="B338" t="s">
        <v>541</v>
      </c>
      <c r="C338" t="s">
        <v>554</v>
      </c>
      <c r="D338" t="s">
        <v>554</v>
      </c>
    </row>
    <row r="339" spans="1:4">
      <c r="A339" s="2">
        <v>1</v>
      </c>
      <c r="B339" t="s">
        <v>542</v>
      </c>
      <c r="C339" t="s">
        <v>554</v>
      </c>
      <c r="D339" t="s">
        <v>554</v>
      </c>
    </row>
    <row r="340" spans="1:4">
      <c r="A340" s="2">
        <v>7.0752999999999995</v>
      </c>
      <c r="B340" t="s">
        <v>364</v>
      </c>
      <c r="C340" t="s">
        <v>555</v>
      </c>
      <c r="D340" t="s">
        <v>555</v>
      </c>
    </row>
    <row r="341" spans="1:4">
      <c r="A341" s="2">
        <v>8.2258</v>
      </c>
      <c r="B341" t="s">
        <v>373</v>
      </c>
      <c r="C341" t="s">
        <v>555</v>
      </c>
      <c r="D341" t="s">
        <v>555</v>
      </c>
    </row>
    <row r="342" spans="1:4">
      <c r="A342" s="2">
        <v>0.045096</v>
      </c>
      <c r="B342" t="s">
        <v>520</v>
      </c>
      <c r="C342" t="s">
        <v>555</v>
      </c>
      <c r="D342" t="s">
        <v>555</v>
      </c>
    </row>
    <row r="343" spans="1:4">
      <c r="A343" s="2">
        <v>0.90928</v>
      </c>
      <c r="B343" t="s">
        <v>370</v>
      </c>
      <c r="C343" t="s">
        <v>555</v>
      </c>
      <c r="D343" t="s">
        <v>555</v>
      </c>
    </row>
    <row r="344" spans="1:4">
      <c r="A344" s="2">
        <v>9.4107</v>
      </c>
      <c r="B344" t="s">
        <v>521</v>
      </c>
      <c r="C344" t="s">
        <v>555</v>
      </c>
      <c r="D344" t="s">
        <v>555</v>
      </c>
    </row>
    <row r="345" spans="1:4">
      <c r="A345" s="2">
        <v>4.6973</v>
      </c>
      <c r="B345" t="s">
        <v>522</v>
      </c>
      <c r="C345" t="s">
        <v>555</v>
      </c>
      <c r="D345" t="s">
        <v>555</v>
      </c>
    </row>
    <row r="346" spans="1:4">
      <c r="A346" s="2">
        <v>4.0877</v>
      </c>
      <c r="B346" t="s">
        <v>523</v>
      </c>
      <c r="C346" t="s">
        <v>555</v>
      </c>
      <c r="D346" t="s">
        <v>555</v>
      </c>
    </row>
    <row r="347" spans="1:4">
      <c r="A347" s="2">
        <v>5.455</v>
      </c>
      <c r="B347" t="s">
        <v>524</v>
      </c>
      <c r="C347" t="s">
        <v>555</v>
      </c>
      <c r="D347" t="s">
        <v>555</v>
      </c>
    </row>
    <row r="348" spans="1:4">
      <c r="A348" s="2">
        <v>8.7759</v>
      </c>
      <c r="B348" t="s">
        <v>525</v>
      </c>
      <c r="C348" t="s">
        <v>555</v>
      </c>
      <c r="D348" t="s">
        <v>555</v>
      </c>
    </row>
    <row r="349" spans="1:4">
      <c r="A349" s="2">
        <v>5.1093</v>
      </c>
      <c r="B349" t="s">
        <v>526</v>
      </c>
      <c r="C349" t="s">
        <v>555</v>
      </c>
      <c r="D349" t="s">
        <v>555</v>
      </c>
    </row>
    <row r="350" spans="1:4">
      <c r="A350" s="2">
        <v>0.882223202470225</v>
      </c>
      <c r="B350" t="s">
        <v>527</v>
      </c>
      <c r="C350" t="s">
        <v>555</v>
      </c>
      <c r="D350" t="s">
        <v>555</v>
      </c>
    </row>
    <row r="351" spans="1:4">
      <c r="A351" s="2">
        <v>1.7188332559858368</v>
      </c>
      <c r="B351" t="s">
        <v>528</v>
      </c>
      <c r="C351" t="s">
        <v>555</v>
      </c>
      <c r="D351" t="s">
        <v>555</v>
      </c>
    </row>
    <row r="352" spans="1:4">
      <c r="A352" s="2">
        <v>0.09147791723078048</v>
      </c>
      <c r="B352" t="s">
        <v>529</v>
      </c>
      <c r="C352" t="s">
        <v>555</v>
      </c>
      <c r="D352" t="s">
        <v>555</v>
      </c>
    </row>
    <row r="353" spans="1:4">
      <c r="A353" s="2">
        <v>0.4148861137617724</v>
      </c>
      <c r="B353" t="s">
        <v>530</v>
      </c>
      <c r="C353" t="s">
        <v>555</v>
      </c>
      <c r="D353" t="s">
        <v>555</v>
      </c>
    </row>
    <row r="354" spans="1:4">
      <c r="A354" s="2">
        <v>0.004810930433945925</v>
      </c>
      <c r="B354" t="s">
        <v>531</v>
      </c>
      <c r="C354" t="s">
        <v>555</v>
      </c>
      <c r="D354" t="s">
        <v>555</v>
      </c>
    </row>
    <row r="355" spans="1:4">
      <c r="A355" s="2">
        <v>1.926114257097731</v>
      </c>
      <c r="B355" t="s">
        <v>532</v>
      </c>
      <c r="C355" t="s">
        <v>555</v>
      </c>
      <c r="D355" t="s">
        <v>555</v>
      </c>
    </row>
    <row r="356" spans="1:4">
      <c r="A356" s="2">
        <v>1.8850496710588325</v>
      </c>
      <c r="B356" t="s">
        <v>533</v>
      </c>
      <c r="C356" t="s">
        <v>555</v>
      </c>
      <c r="D356" t="s">
        <v>555</v>
      </c>
    </row>
    <row r="357" spans="1:4">
      <c r="A357" s="2">
        <v>0.021435997470552297</v>
      </c>
      <c r="B357" t="s">
        <v>534</v>
      </c>
      <c r="C357" t="s">
        <v>555</v>
      </c>
      <c r="D357" t="s">
        <v>555</v>
      </c>
    </row>
    <row r="358" spans="1:4">
      <c r="A358" s="2">
        <v>1.9453739008637456</v>
      </c>
      <c r="B358" t="s">
        <v>535</v>
      </c>
      <c r="C358" t="s">
        <v>555</v>
      </c>
      <c r="D358" t="s">
        <v>555</v>
      </c>
    </row>
    <row r="359" spans="1:4">
      <c r="A359" s="2">
        <v>1.1013215859030838</v>
      </c>
      <c r="B359" t="s">
        <v>536</v>
      </c>
      <c r="C359" t="s">
        <v>555</v>
      </c>
      <c r="D359" t="s">
        <v>555</v>
      </c>
    </row>
    <row r="360" spans="1:4">
      <c r="A360" s="2">
        <v>0.7558007709167863</v>
      </c>
      <c r="B360" t="s">
        <v>537</v>
      </c>
      <c r="C360" t="s">
        <v>555</v>
      </c>
      <c r="D360" t="s">
        <v>555</v>
      </c>
    </row>
    <row r="361" spans="1:4">
      <c r="A361" s="2">
        <v>0.6970584134950508</v>
      </c>
      <c r="B361" t="s">
        <v>538</v>
      </c>
      <c r="C361" t="s">
        <v>555</v>
      </c>
      <c r="D361" t="s">
        <v>555</v>
      </c>
    </row>
    <row r="362" spans="1:4">
      <c r="A362" s="2">
        <v>0.16623860226583215</v>
      </c>
      <c r="B362" t="s">
        <v>539</v>
      </c>
      <c r="C362" t="s">
        <v>555</v>
      </c>
      <c r="D362" t="s">
        <v>555</v>
      </c>
    </row>
    <row r="363" spans="1:4">
      <c r="A363" s="2">
        <v>0.3886664852889735</v>
      </c>
      <c r="B363" t="s">
        <v>540</v>
      </c>
      <c r="C363" t="s">
        <v>555</v>
      </c>
      <c r="D363" t="s">
        <v>555</v>
      </c>
    </row>
    <row r="364" spans="1:4">
      <c r="A364" s="2">
        <v>0.22226173541963015</v>
      </c>
      <c r="B364" t="s">
        <v>541</v>
      </c>
      <c r="C364" t="s">
        <v>555</v>
      </c>
      <c r="D364" t="s">
        <v>555</v>
      </c>
    </row>
    <row r="365" spans="1:4">
      <c r="A365" s="2">
        <v>1</v>
      </c>
      <c r="B365" t="s">
        <v>542</v>
      </c>
      <c r="C365" t="s">
        <v>555</v>
      </c>
      <c r="D365" t="s">
        <v>555</v>
      </c>
    </row>
    <row r="366" spans="1:4">
      <c r="A366" s="2">
        <v>7.0686</v>
      </c>
      <c r="B366" t="s">
        <v>364</v>
      </c>
      <c r="C366" t="s">
        <v>556</v>
      </c>
      <c r="D366" t="s">
        <v>556</v>
      </c>
    </row>
    <row r="367" spans="1:4">
      <c r="A367" s="2">
        <v>8.2593</v>
      </c>
      <c r="B367" t="s">
        <v>373</v>
      </c>
      <c r="C367" t="s">
        <v>556</v>
      </c>
      <c r="D367" t="s">
        <v>556</v>
      </c>
    </row>
    <row r="368" spans="1:4">
      <c r="A368" s="2">
        <v>0.045304</v>
      </c>
      <c r="B368" t="s">
        <v>520</v>
      </c>
      <c r="C368" t="s">
        <v>556</v>
      </c>
      <c r="D368" t="s">
        <v>556</v>
      </c>
    </row>
    <row r="369" spans="1:4">
      <c r="A369" s="2">
        <v>0.90862</v>
      </c>
      <c r="B369" t="s">
        <v>370</v>
      </c>
      <c r="C369" t="s">
        <v>556</v>
      </c>
      <c r="D369" t="s">
        <v>556</v>
      </c>
    </row>
    <row r="370" spans="1:4">
      <c r="A370" s="2">
        <v>9.4482</v>
      </c>
      <c r="B370" t="s">
        <v>521</v>
      </c>
      <c r="C370" t="s">
        <v>556</v>
      </c>
      <c r="D370" t="s">
        <v>556</v>
      </c>
    </row>
    <row r="371" spans="1:4">
      <c r="A371" s="2">
        <v>4.7084</v>
      </c>
      <c r="B371" t="s">
        <v>522</v>
      </c>
      <c r="C371" t="s">
        <v>556</v>
      </c>
      <c r="D371" t="s">
        <v>556</v>
      </c>
    </row>
    <row r="372" spans="1:4">
      <c r="A372" s="2">
        <v>4.1015</v>
      </c>
      <c r="B372" t="s">
        <v>523</v>
      </c>
      <c r="C372" t="s">
        <v>556</v>
      </c>
      <c r="D372" t="s">
        <v>556</v>
      </c>
    </row>
    <row r="373" spans="1:4">
      <c r="A373" s="2">
        <v>5.464600000000001</v>
      </c>
      <c r="B373" t="s">
        <v>524</v>
      </c>
      <c r="C373" t="s">
        <v>556</v>
      </c>
      <c r="D373" t="s">
        <v>556</v>
      </c>
    </row>
    <row r="374" spans="1:4">
      <c r="A374" s="2">
        <v>8.8282</v>
      </c>
      <c r="B374" t="s">
        <v>525</v>
      </c>
      <c r="C374" t="s">
        <v>556</v>
      </c>
      <c r="D374" t="s">
        <v>556</v>
      </c>
    </row>
    <row r="375" spans="1:4">
      <c r="A375" s="2">
        <v>5.1167</v>
      </c>
      <c r="B375" t="s">
        <v>526</v>
      </c>
      <c r="C375" t="s">
        <v>556</v>
      </c>
      <c r="D375" t="s">
        <v>556</v>
      </c>
    </row>
    <row r="376" spans="1:4">
      <c r="A376" s="2">
        <v>0.8820675663755844</v>
      </c>
      <c r="B376" t="s">
        <v>527</v>
      </c>
      <c r="C376" t="s">
        <v>556</v>
      </c>
      <c r="D376" t="s">
        <v>556</v>
      </c>
    </row>
    <row r="377" spans="1:4">
      <c r="A377" s="2">
        <v>1.7170034855170755</v>
      </c>
      <c r="B377" t="s">
        <v>528</v>
      </c>
      <c r="C377" t="s">
        <v>556</v>
      </c>
      <c r="D377" t="s">
        <v>556</v>
      </c>
    </row>
    <row r="378" spans="1:4">
      <c r="A378" s="2">
        <v>0.09008116312797831</v>
      </c>
      <c r="B378" t="s">
        <v>529</v>
      </c>
      <c r="C378" t="s">
        <v>556</v>
      </c>
      <c r="D378" t="s">
        <v>556</v>
      </c>
    </row>
    <row r="379" spans="1:4">
      <c r="A379" s="2">
        <v>0.4169446297531688</v>
      </c>
      <c r="B379" t="s">
        <v>530</v>
      </c>
      <c r="C379" t="s">
        <v>556</v>
      </c>
      <c r="D379" t="s">
        <v>556</v>
      </c>
    </row>
    <row r="380" spans="1:4">
      <c r="A380" s="2">
        <v>0.004807230074031344</v>
      </c>
      <c r="B380" t="s">
        <v>531</v>
      </c>
      <c r="C380" t="s">
        <v>556</v>
      </c>
      <c r="D380" t="s">
        <v>556</v>
      </c>
    </row>
    <row r="381" spans="1:4">
      <c r="A381" s="2">
        <v>1.921451079855507</v>
      </c>
      <c r="B381" t="s">
        <v>532</v>
      </c>
      <c r="C381" t="s">
        <v>556</v>
      </c>
      <c r="D381" t="s">
        <v>556</v>
      </c>
    </row>
    <row r="382" spans="1:4">
      <c r="A382" s="2">
        <v>1.880759826970096</v>
      </c>
      <c r="B382" t="s">
        <v>533</v>
      </c>
      <c r="C382" t="s">
        <v>556</v>
      </c>
      <c r="D382" t="s">
        <v>556</v>
      </c>
    </row>
    <row r="383" spans="1:4">
      <c r="A383" s="2">
        <v>0.02158885324329342</v>
      </c>
      <c r="B383" t="s">
        <v>534</v>
      </c>
      <c r="C383" t="s">
        <v>556</v>
      </c>
      <c r="D383" t="s">
        <v>556</v>
      </c>
    </row>
    <row r="384" spans="1:4">
      <c r="A384" s="2">
        <v>1.9550724354337328</v>
      </c>
      <c r="B384" t="s">
        <v>535</v>
      </c>
      <c r="C384" t="s">
        <v>556</v>
      </c>
      <c r="D384" t="s">
        <v>556</v>
      </c>
    </row>
    <row r="385" spans="1:4">
      <c r="A385" s="2">
        <v>1.105583195135434</v>
      </c>
      <c r="B385" t="s">
        <v>536</v>
      </c>
      <c r="C385" t="s">
        <v>556</v>
      </c>
      <c r="D385" t="s">
        <v>556</v>
      </c>
    </row>
    <row r="386" spans="1:4">
      <c r="A386" s="2">
        <v>0.7617306520414382</v>
      </c>
      <c r="B386" t="s">
        <v>537</v>
      </c>
      <c r="C386" t="s">
        <v>556</v>
      </c>
      <c r="D386" t="s">
        <v>556</v>
      </c>
    </row>
    <row r="387" spans="1:4">
      <c r="A387" s="2">
        <v>0.6995942353435007</v>
      </c>
      <c r="B387" t="s">
        <v>538</v>
      </c>
      <c r="C387" t="s">
        <v>556</v>
      </c>
      <c r="D387" t="s">
        <v>556</v>
      </c>
    </row>
    <row r="388" spans="1:4">
      <c r="A388" s="2">
        <v>0.1656375056316752</v>
      </c>
      <c r="B388" t="s">
        <v>539</v>
      </c>
      <c r="C388" t="s">
        <v>556</v>
      </c>
      <c r="D388" t="s">
        <v>556</v>
      </c>
    </row>
    <row r="389" spans="1:4">
      <c r="A389" s="2">
        <v>0.38878737218615145</v>
      </c>
      <c r="B389" t="s">
        <v>540</v>
      </c>
      <c r="C389" t="s">
        <v>556</v>
      </c>
      <c r="D389" t="s">
        <v>556</v>
      </c>
    </row>
    <row r="390" spans="1:4">
      <c r="A390" s="2">
        <v>0.22227161591464772</v>
      </c>
      <c r="B390" t="s">
        <v>541</v>
      </c>
      <c r="C390" t="s">
        <v>556</v>
      </c>
      <c r="D390" t="s">
        <v>556</v>
      </c>
    </row>
    <row r="391" spans="1:4">
      <c r="A391" s="2">
        <v>1</v>
      </c>
      <c r="B391" t="s">
        <v>542</v>
      </c>
      <c r="C391" t="s">
        <v>556</v>
      </c>
      <c r="D391" t="s">
        <v>556</v>
      </c>
    </row>
    <row r="392" spans="1:4">
      <c r="A392" s="2">
        <v>7.0638</v>
      </c>
      <c r="B392" t="s">
        <v>364</v>
      </c>
      <c r="C392" t="s">
        <v>557</v>
      </c>
      <c r="D392" t="s">
        <v>557</v>
      </c>
    </row>
    <row r="393" spans="1:4">
      <c r="A393" s="2">
        <v>8.2842</v>
      </c>
      <c r="B393" t="s">
        <v>373</v>
      </c>
      <c r="C393" t="s">
        <v>557</v>
      </c>
      <c r="D393" t="s">
        <v>557</v>
      </c>
    </row>
    <row r="394" spans="1:4">
      <c r="A394" s="2">
        <v>0.045343999999999995</v>
      </c>
      <c r="B394" t="s">
        <v>520</v>
      </c>
      <c r="C394" t="s">
        <v>557</v>
      </c>
      <c r="D394" t="s">
        <v>557</v>
      </c>
    </row>
    <row r="395" spans="1:4">
      <c r="A395" s="2">
        <v>0.90779</v>
      </c>
      <c r="B395" t="s">
        <v>370</v>
      </c>
      <c r="C395" t="s">
        <v>557</v>
      </c>
      <c r="D395" t="s">
        <v>557</v>
      </c>
    </row>
    <row r="396" spans="1:4">
      <c r="A396" s="2">
        <v>9.4468</v>
      </c>
      <c r="B396" t="s">
        <v>521</v>
      </c>
      <c r="C396" t="s">
        <v>557</v>
      </c>
      <c r="D396" t="s">
        <v>557</v>
      </c>
    </row>
    <row r="397" spans="1:4">
      <c r="A397" s="2">
        <v>4.6996</v>
      </c>
      <c r="B397" t="s">
        <v>522</v>
      </c>
      <c r="C397" t="s">
        <v>557</v>
      </c>
      <c r="D397" t="s">
        <v>557</v>
      </c>
    </row>
    <row r="398" spans="1:4">
      <c r="A398" s="2">
        <v>4.097300000000001</v>
      </c>
      <c r="B398" t="s">
        <v>523</v>
      </c>
      <c r="C398" t="s">
        <v>557</v>
      </c>
      <c r="D398" t="s">
        <v>557</v>
      </c>
    </row>
    <row r="399" spans="1:4">
      <c r="A399" s="2">
        <v>5.4632000000000005</v>
      </c>
      <c r="B399" t="s">
        <v>524</v>
      </c>
      <c r="C399" t="s">
        <v>557</v>
      </c>
      <c r="D399" t="s">
        <v>557</v>
      </c>
    </row>
    <row r="400" spans="1:4">
      <c r="A400" s="2">
        <v>8.8751</v>
      </c>
      <c r="B400" t="s">
        <v>525</v>
      </c>
      <c r="C400" t="s">
        <v>557</v>
      </c>
      <c r="D400" t="s">
        <v>557</v>
      </c>
    </row>
    <row r="401" spans="1:4">
      <c r="A401" s="2">
        <v>5.120299999999999</v>
      </c>
      <c r="B401" t="s">
        <v>526</v>
      </c>
      <c r="C401" t="s">
        <v>557</v>
      </c>
      <c r="D401" t="s">
        <v>557</v>
      </c>
    </row>
    <row r="402" spans="1:4">
      <c r="A402" s="2">
        <v>0.8807468733485996</v>
      </c>
      <c r="B402" t="s">
        <v>527</v>
      </c>
      <c r="C402" t="s">
        <v>557</v>
      </c>
      <c r="D402" t="s">
        <v>557</v>
      </c>
    </row>
    <row r="403" spans="1:4">
      <c r="A403" s="2">
        <v>1.7182721055706385</v>
      </c>
      <c r="B403" t="s">
        <v>528</v>
      </c>
      <c r="C403" t="s">
        <v>557</v>
      </c>
      <c r="D403" t="s">
        <v>557</v>
      </c>
    </row>
    <row r="404" spans="1:4">
      <c r="A404" s="2">
        <v>0.08840560491535163</v>
      </c>
      <c r="B404" t="s">
        <v>529</v>
      </c>
      <c r="C404" t="s">
        <v>557</v>
      </c>
      <c r="D404" t="s">
        <v>557</v>
      </c>
    </row>
    <row r="405" spans="1:4">
      <c r="A405" s="2">
        <v>0.4184625685232456</v>
      </c>
      <c r="B405" t="s">
        <v>530</v>
      </c>
      <c r="C405" t="s">
        <v>557</v>
      </c>
      <c r="D405" t="s">
        <v>557</v>
      </c>
    </row>
    <row r="406" spans="1:4">
      <c r="A406" s="2">
        <v>0.0047920260686218135</v>
      </c>
      <c r="B406" t="s">
        <v>531</v>
      </c>
      <c r="C406" t="s">
        <v>557</v>
      </c>
      <c r="D406" t="s">
        <v>557</v>
      </c>
    </row>
    <row r="407" spans="1:4">
      <c r="A407" s="2">
        <v>1.9204916458613408</v>
      </c>
      <c r="B407" t="s">
        <v>532</v>
      </c>
      <c r="C407" t="s">
        <v>557</v>
      </c>
      <c r="D407" t="s">
        <v>557</v>
      </c>
    </row>
    <row r="408" spans="1:4">
      <c r="A408" s="2">
        <v>1.8795579279753405</v>
      </c>
      <c r="B408" t="s">
        <v>533</v>
      </c>
      <c r="C408" t="s">
        <v>557</v>
      </c>
      <c r="D408" t="s">
        <v>557</v>
      </c>
    </row>
    <row r="409" spans="1:4">
      <c r="A409" s="2">
        <v>0.021625315459289265</v>
      </c>
      <c r="B409" t="s">
        <v>534</v>
      </c>
      <c r="C409" t="s">
        <v>557</v>
      </c>
      <c r="D409" t="s">
        <v>557</v>
      </c>
    </row>
    <row r="410" spans="1:4">
      <c r="A410" s="2">
        <v>1.959938849907883</v>
      </c>
      <c r="B410" t="s">
        <v>535</v>
      </c>
      <c r="C410" t="s">
        <v>557</v>
      </c>
      <c r="D410" t="s">
        <v>557</v>
      </c>
    </row>
    <row r="411" spans="1:4">
      <c r="A411" s="2">
        <v>1.1086474501108647</v>
      </c>
      <c r="B411" t="s">
        <v>536</v>
      </c>
      <c r="C411" t="s">
        <v>557</v>
      </c>
      <c r="D411" t="s">
        <v>557</v>
      </c>
    </row>
    <row r="412" spans="1:4">
      <c r="A412" s="2">
        <v>0.7625438462711607</v>
      </c>
      <c r="B412" t="s">
        <v>537</v>
      </c>
      <c r="C412" t="s">
        <v>557</v>
      </c>
      <c r="D412" t="s">
        <v>557</v>
      </c>
    </row>
    <row r="413" spans="1:4">
      <c r="A413" s="2">
        <v>0.7007217433956975</v>
      </c>
      <c r="B413" t="s">
        <v>538</v>
      </c>
      <c r="C413" t="s">
        <v>557</v>
      </c>
      <c r="D413" t="s">
        <v>557</v>
      </c>
    </row>
    <row r="414" spans="1:4">
      <c r="A414" s="2">
        <v>0.16542323534763692</v>
      </c>
      <c r="B414" t="s">
        <v>539</v>
      </c>
      <c r="C414" t="s">
        <v>557</v>
      </c>
      <c r="D414" t="s">
        <v>557</v>
      </c>
    </row>
    <row r="415" spans="1:4">
      <c r="A415" s="2">
        <v>0.39128223187385064</v>
      </c>
      <c r="B415" t="s">
        <v>540</v>
      </c>
      <c r="C415" t="s">
        <v>557</v>
      </c>
      <c r="D415" t="s">
        <v>557</v>
      </c>
    </row>
    <row r="416" spans="1:4">
      <c r="A416" s="2">
        <v>0.22291076881924168</v>
      </c>
      <c r="B416" t="s">
        <v>541</v>
      </c>
      <c r="C416" t="s">
        <v>557</v>
      </c>
      <c r="D416" t="s">
        <v>557</v>
      </c>
    </row>
    <row r="417" spans="1:4">
      <c r="A417" s="2">
        <v>1</v>
      </c>
      <c r="B417" t="s">
        <v>542</v>
      </c>
      <c r="C417" t="s">
        <v>557</v>
      </c>
      <c r="D417" t="s">
        <v>557</v>
      </c>
    </row>
    <row r="418" spans="1:4">
      <c r="A418" s="2">
        <v>7.0638</v>
      </c>
      <c r="B418" t="s">
        <v>364</v>
      </c>
      <c r="C418" t="s">
        <v>557</v>
      </c>
      <c r="D418" t="s">
        <v>558</v>
      </c>
    </row>
    <row r="419" spans="1:4">
      <c r="A419" s="2">
        <v>8.2842</v>
      </c>
      <c r="B419" t="s">
        <v>373</v>
      </c>
      <c r="C419" t="s">
        <v>557</v>
      </c>
      <c r="D419" t="s">
        <v>558</v>
      </c>
    </row>
    <row r="420" spans="1:4">
      <c r="A420" s="2">
        <v>0.045343999999999995</v>
      </c>
      <c r="B420" t="s">
        <v>520</v>
      </c>
      <c r="C420" t="s">
        <v>557</v>
      </c>
      <c r="D420" t="s">
        <v>558</v>
      </c>
    </row>
    <row r="421" spans="1:4">
      <c r="A421" s="2">
        <v>0.90779</v>
      </c>
      <c r="B421" t="s">
        <v>370</v>
      </c>
      <c r="C421" t="s">
        <v>557</v>
      </c>
      <c r="D421" t="s">
        <v>558</v>
      </c>
    </row>
    <row r="422" spans="1:4">
      <c r="A422" s="2">
        <v>9.4468</v>
      </c>
      <c r="B422" t="s">
        <v>521</v>
      </c>
      <c r="C422" t="s">
        <v>557</v>
      </c>
      <c r="D422" t="s">
        <v>558</v>
      </c>
    </row>
    <row r="423" spans="1:4">
      <c r="A423" s="2">
        <v>4.6996</v>
      </c>
      <c r="B423" t="s">
        <v>522</v>
      </c>
      <c r="C423" t="s">
        <v>557</v>
      </c>
      <c r="D423" t="s">
        <v>558</v>
      </c>
    </row>
    <row r="424" spans="1:4">
      <c r="A424" s="2">
        <v>4.097300000000001</v>
      </c>
      <c r="B424" t="s">
        <v>523</v>
      </c>
      <c r="C424" t="s">
        <v>557</v>
      </c>
      <c r="D424" t="s">
        <v>558</v>
      </c>
    </row>
    <row r="425" spans="1:4">
      <c r="A425" s="2">
        <v>5.4632000000000005</v>
      </c>
      <c r="B425" t="s">
        <v>524</v>
      </c>
      <c r="C425" t="s">
        <v>557</v>
      </c>
      <c r="D425" t="s">
        <v>558</v>
      </c>
    </row>
    <row r="426" spans="1:4">
      <c r="A426" s="2">
        <v>8.8751</v>
      </c>
      <c r="B426" t="s">
        <v>525</v>
      </c>
      <c r="C426" t="s">
        <v>557</v>
      </c>
      <c r="D426" t="s">
        <v>558</v>
      </c>
    </row>
    <row r="427" spans="1:4">
      <c r="A427" s="2">
        <v>5.120299999999999</v>
      </c>
      <c r="B427" t="s">
        <v>526</v>
      </c>
      <c r="C427" t="s">
        <v>557</v>
      </c>
      <c r="D427" t="s">
        <v>558</v>
      </c>
    </row>
    <row r="428" spans="1:4">
      <c r="A428" s="2">
        <v>0.8807468733485996</v>
      </c>
      <c r="B428" t="s">
        <v>527</v>
      </c>
      <c r="C428" t="s">
        <v>557</v>
      </c>
      <c r="D428" t="s">
        <v>558</v>
      </c>
    </row>
    <row r="429" spans="1:4">
      <c r="A429" s="2">
        <v>1.7182721055706385</v>
      </c>
      <c r="B429" t="s">
        <v>528</v>
      </c>
      <c r="C429" t="s">
        <v>557</v>
      </c>
      <c r="D429" t="s">
        <v>558</v>
      </c>
    </row>
    <row r="430" spans="1:4">
      <c r="A430" s="2">
        <v>0.08840560491535163</v>
      </c>
      <c r="B430" t="s">
        <v>529</v>
      </c>
      <c r="C430" t="s">
        <v>557</v>
      </c>
      <c r="D430" t="s">
        <v>558</v>
      </c>
    </row>
    <row r="431" spans="1:4">
      <c r="A431" s="2">
        <v>0.4184625685232456</v>
      </c>
      <c r="B431" t="s">
        <v>530</v>
      </c>
      <c r="C431" t="s">
        <v>557</v>
      </c>
      <c r="D431" t="s">
        <v>558</v>
      </c>
    </row>
    <row r="432" spans="1:4">
      <c r="A432" s="2">
        <v>0.0047920260686218135</v>
      </c>
      <c r="B432" t="s">
        <v>531</v>
      </c>
      <c r="C432" t="s">
        <v>557</v>
      </c>
      <c r="D432" t="s">
        <v>558</v>
      </c>
    </row>
    <row r="433" spans="1:4">
      <c r="A433" s="2">
        <v>1.9204916458613408</v>
      </c>
      <c r="B433" t="s">
        <v>532</v>
      </c>
      <c r="C433" t="s">
        <v>557</v>
      </c>
      <c r="D433" t="s">
        <v>558</v>
      </c>
    </row>
    <row r="434" spans="1:4">
      <c r="A434" s="2">
        <v>1.8795579279753405</v>
      </c>
      <c r="B434" t="s">
        <v>533</v>
      </c>
      <c r="C434" t="s">
        <v>557</v>
      </c>
      <c r="D434" t="s">
        <v>558</v>
      </c>
    </row>
    <row r="435" spans="1:4">
      <c r="A435" s="2">
        <v>0.021625315459289265</v>
      </c>
      <c r="B435" t="s">
        <v>534</v>
      </c>
      <c r="C435" t="s">
        <v>557</v>
      </c>
      <c r="D435" t="s">
        <v>558</v>
      </c>
    </row>
    <row r="436" spans="1:4">
      <c r="A436" s="2">
        <v>1.959938849907883</v>
      </c>
      <c r="B436" t="s">
        <v>535</v>
      </c>
      <c r="C436" t="s">
        <v>557</v>
      </c>
      <c r="D436" t="s">
        <v>558</v>
      </c>
    </row>
    <row r="437" spans="1:4">
      <c r="A437" s="2">
        <v>1.1086474501108647</v>
      </c>
      <c r="B437" t="s">
        <v>536</v>
      </c>
      <c r="C437" t="s">
        <v>557</v>
      </c>
      <c r="D437" t="s">
        <v>558</v>
      </c>
    </row>
    <row r="438" spans="1:4">
      <c r="A438" s="2">
        <v>0.7625438462711607</v>
      </c>
      <c r="B438" t="s">
        <v>537</v>
      </c>
      <c r="C438" t="s">
        <v>557</v>
      </c>
      <c r="D438" t="s">
        <v>558</v>
      </c>
    </row>
    <row r="439" spans="1:4">
      <c r="A439" s="2">
        <v>0.7007217433956975</v>
      </c>
      <c r="B439" t="s">
        <v>538</v>
      </c>
      <c r="C439" t="s">
        <v>557</v>
      </c>
      <c r="D439" t="s">
        <v>558</v>
      </c>
    </row>
    <row r="440" spans="1:4">
      <c r="A440" s="2">
        <v>0.16542323534763692</v>
      </c>
      <c r="B440" t="s">
        <v>539</v>
      </c>
      <c r="C440" t="s">
        <v>557</v>
      </c>
      <c r="D440" t="s">
        <v>558</v>
      </c>
    </row>
    <row r="441" spans="1:4">
      <c r="A441" s="2">
        <v>0.39128223187385064</v>
      </c>
      <c r="B441" t="s">
        <v>540</v>
      </c>
      <c r="C441" t="s">
        <v>557</v>
      </c>
      <c r="D441" t="s">
        <v>558</v>
      </c>
    </row>
    <row r="442" spans="1:4">
      <c r="A442" s="2">
        <v>0.22291076881924168</v>
      </c>
      <c r="B442" t="s">
        <v>541</v>
      </c>
      <c r="C442" t="s">
        <v>557</v>
      </c>
      <c r="D442" t="s">
        <v>558</v>
      </c>
    </row>
    <row r="443" spans="1:4">
      <c r="A443" s="2">
        <v>1</v>
      </c>
      <c r="B443" t="s">
        <v>542</v>
      </c>
      <c r="C443" t="s">
        <v>558</v>
      </c>
      <c r="D443" t="s">
        <v>558</v>
      </c>
    </row>
    <row r="444" spans="1:4">
      <c r="A444" s="2">
        <v>7.0638</v>
      </c>
      <c r="B444" t="s">
        <v>364</v>
      </c>
      <c r="C444" t="s">
        <v>557</v>
      </c>
      <c r="D444" t="s">
        <v>559</v>
      </c>
    </row>
    <row r="445" spans="1:4">
      <c r="A445" s="2">
        <v>8.2842</v>
      </c>
      <c r="B445" t="s">
        <v>373</v>
      </c>
      <c r="C445" t="s">
        <v>557</v>
      </c>
      <c r="D445" t="s">
        <v>559</v>
      </c>
    </row>
    <row r="446" spans="1:4">
      <c r="A446" s="2">
        <v>0.045343999999999995</v>
      </c>
      <c r="B446" t="s">
        <v>520</v>
      </c>
      <c r="C446" t="s">
        <v>557</v>
      </c>
      <c r="D446" t="s">
        <v>559</v>
      </c>
    </row>
    <row r="447" spans="1:4">
      <c r="A447" s="2">
        <v>0.90779</v>
      </c>
      <c r="B447" t="s">
        <v>370</v>
      </c>
      <c r="C447" t="s">
        <v>557</v>
      </c>
      <c r="D447" t="s">
        <v>559</v>
      </c>
    </row>
    <row r="448" spans="1:4">
      <c r="A448" s="2">
        <v>9.4468</v>
      </c>
      <c r="B448" t="s">
        <v>521</v>
      </c>
      <c r="C448" t="s">
        <v>557</v>
      </c>
      <c r="D448" t="s">
        <v>559</v>
      </c>
    </row>
    <row r="449" spans="1:4">
      <c r="A449" s="2">
        <v>4.6996</v>
      </c>
      <c r="B449" t="s">
        <v>522</v>
      </c>
      <c r="C449" t="s">
        <v>557</v>
      </c>
      <c r="D449" t="s">
        <v>559</v>
      </c>
    </row>
    <row r="450" spans="1:4">
      <c r="A450" s="2">
        <v>4.097300000000001</v>
      </c>
      <c r="B450" t="s">
        <v>523</v>
      </c>
      <c r="C450" t="s">
        <v>557</v>
      </c>
      <c r="D450" t="s">
        <v>559</v>
      </c>
    </row>
    <row r="451" spans="1:4">
      <c r="A451" s="2">
        <v>5.4632000000000005</v>
      </c>
      <c r="B451" t="s">
        <v>524</v>
      </c>
      <c r="C451" t="s">
        <v>557</v>
      </c>
      <c r="D451" t="s">
        <v>559</v>
      </c>
    </row>
    <row r="452" spans="1:4">
      <c r="A452" s="2">
        <v>8.8751</v>
      </c>
      <c r="B452" t="s">
        <v>525</v>
      </c>
      <c r="C452" t="s">
        <v>557</v>
      </c>
      <c r="D452" t="s">
        <v>559</v>
      </c>
    </row>
    <row r="453" spans="1:4">
      <c r="A453" s="2">
        <v>5.120299999999999</v>
      </c>
      <c r="B453" t="s">
        <v>526</v>
      </c>
      <c r="C453" t="s">
        <v>557</v>
      </c>
      <c r="D453" t="s">
        <v>559</v>
      </c>
    </row>
    <row r="454" spans="1:4">
      <c r="A454" s="2">
        <v>0.8807468733485996</v>
      </c>
      <c r="B454" t="s">
        <v>527</v>
      </c>
      <c r="C454" t="s">
        <v>557</v>
      </c>
      <c r="D454" t="s">
        <v>559</v>
      </c>
    </row>
    <row r="455" spans="1:4">
      <c r="A455" s="2">
        <v>1.7182721055706385</v>
      </c>
      <c r="B455" t="s">
        <v>528</v>
      </c>
      <c r="C455" t="s">
        <v>557</v>
      </c>
      <c r="D455" t="s">
        <v>559</v>
      </c>
    </row>
    <row r="456" spans="1:4">
      <c r="A456" s="2">
        <v>0.08840560491535163</v>
      </c>
      <c r="B456" t="s">
        <v>529</v>
      </c>
      <c r="C456" t="s">
        <v>557</v>
      </c>
      <c r="D456" t="s">
        <v>559</v>
      </c>
    </row>
    <row r="457" spans="1:4">
      <c r="A457" s="2">
        <v>0.4184625685232456</v>
      </c>
      <c r="B457" t="s">
        <v>530</v>
      </c>
      <c r="C457" t="s">
        <v>557</v>
      </c>
      <c r="D457" t="s">
        <v>559</v>
      </c>
    </row>
    <row r="458" spans="1:4">
      <c r="A458" s="2">
        <v>0.0047920260686218135</v>
      </c>
      <c r="B458" t="s">
        <v>531</v>
      </c>
      <c r="C458" t="s">
        <v>557</v>
      </c>
      <c r="D458" t="s">
        <v>559</v>
      </c>
    </row>
    <row r="459" spans="1:4">
      <c r="A459" s="2">
        <v>1.9204916458613408</v>
      </c>
      <c r="B459" t="s">
        <v>532</v>
      </c>
      <c r="C459" t="s">
        <v>557</v>
      </c>
      <c r="D459" t="s">
        <v>559</v>
      </c>
    </row>
    <row r="460" spans="1:4">
      <c r="A460" s="2">
        <v>1.8795579279753405</v>
      </c>
      <c r="B460" t="s">
        <v>533</v>
      </c>
      <c r="C460" t="s">
        <v>557</v>
      </c>
      <c r="D460" t="s">
        <v>559</v>
      </c>
    </row>
    <row r="461" spans="1:4">
      <c r="A461" s="2">
        <v>0.021625315459289265</v>
      </c>
      <c r="B461" t="s">
        <v>534</v>
      </c>
      <c r="C461" t="s">
        <v>557</v>
      </c>
      <c r="D461" t="s">
        <v>559</v>
      </c>
    </row>
    <row r="462" spans="1:4">
      <c r="A462" s="2">
        <v>1.959938849907883</v>
      </c>
      <c r="B462" t="s">
        <v>535</v>
      </c>
      <c r="C462" t="s">
        <v>557</v>
      </c>
      <c r="D462" t="s">
        <v>559</v>
      </c>
    </row>
    <row r="463" spans="1:4">
      <c r="A463" s="2">
        <v>1.1086474501108647</v>
      </c>
      <c r="B463" t="s">
        <v>536</v>
      </c>
      <c r="C463" t="s">
        <v>557</v>
      </c>
      <c r="D463" t="s">
        <v>559</v>
      </c>
    </row>
    <row r="464" spans="1:4">
      <c r="A464" s="2">
        <v>0.7625438462711607</v>
      </c>
      <c r="B464" t="s">
        <v>537</v>
      </c>
      <c r="C464" t="s">
        <v>557</v>
      </c>
      <c r="D464" t="s">
        <v>559</v>
      </c>
    </row>
    <row r="465" spans="1:4">
      <c r="A465" s="2">
        <v>0.7007217433956975</v>
      </c>
      <c r="B465" t="s">
        <v>538</v>
      </c>
      <c r="C465" t="s">
        <v>557</v>
      </c>
      <c r="D465" t="s">
        <v>559</v>
      </c>
    </row>
    <row r="466" spans="1:4">
      <c r="A466" s="2">
        <v>0.16542323534763692</v>
      </c>
      <c r="B466" t="s">
        <v>539</v>
      </c>
      <c r="C466" t="s">
        <v>557</v>
      </c>
      <c r="D466" t="s">
        <v>559</v>
      </c>
    </row>
    <row r="467" spans="1:4">
      <c r="A467" s="2">
        <v>0.39128223187385064</v>
      </c>
      <c r="B467" t="s">
        <v>540</v>
      </c>
      <c r="C467" t="s">
        <v>557</v>
      </c>
      <c r="D467" t="s">
        <v>559</v>
      </c>
    </row>
    <row r="468" spans="1:4">
      <c r="A468" s="2">
        <v>0.22291076881924168</v>
      </c>
      <c r="B468" t="s">
        <v>541</v>
      </c>
      <c r="C468" t="s">
        <v>557</v>
      </c>
      <c r="D468" t="s">
        <v>559</v>
      </c>
    </row>
    <row r="469" spans="1:4">
      <c r="A469" s="2">
        <v>1</v>
      </c>
      <c r="B469" t="s">
        <v>542</v>
      </c>
      <c r="C469" t="s">
        <v>559</v>
      </c>
      <c r="D469" t="s">
        <v>559</v>
      </c>
    </row>
    <row r="470" spans="1:4">
      <c r="A470" s="2">
        <v>7.0656</v>
      </c>
      <c r="B470" t="s">
        <v>364</v>
      </c>
      <c r="C470" t="s">
        <v>560</v>
      </c>
      <c r="D470" t="s">
        <v>560</v>
      </c>
    </row>
    <row r="471" spans="1:4">
      <c r="A471" s="2">
        <v>8.285499999999999</v>
      </c>
      <c r="B471" t="s">
        <v>373</v>
      </c>
      <c r="C471" t="s">
        <v>560</v>
      </c>
      <c r="D471" t="s">
        <v>560</v>
      </c>
    </row>
    <row r="472" spans="1:4">
      <c r="A472" s="2">
        <v>0.045303</v>
      </c>
      <c r="B472" t="s">
        <v>520</v>
      </c>
      <c r="C472" t="s">
        <v>560</v>
      </c>
      <c r="D472" t="s">
        <v>560</v>
      </c>
    </row>
    <row r="473" spans="1:4">
      <c r="A473" s="2">
        <v>0.90776</v>
      </c>
      <c r="B473" t="s">
        <v>370</v>
      </c>
      <c r="C473" t="s">
        <v>560</v>
      </c>
      <c r="D473" t="s">
        <v>560</v>
      </c>
    </row>
    <row r="474" spans="1:4">
      <c r="A474" s="2">
        <v>9.4357</v>
      </c>
      <c r="B474" t="s">
        <v>521</v>
      </c>
      <c r="C474" t="s">
        <v>560</v>
      </c>
      <c r="D474" t="s">
        <v>560</v>
      </c>
    </row>
    <row r="475" spans="1:4">
      <c r="A475" s="2">
        <v>4.6919</v>
      </c>
      <c r="B475" t="s">
        <v>522</v>
      </c>
      <c r="C475" t="s">
        <v>560</v>
      </c>
      <c r="D475" t="s">
        <v>560</v>
      </c>
    </row>
    <row r="476" spans="1:4">
      <c r="A476" s="2">
        <v>4.0944</v>
      </c>
      <c r="B476" t="s">
        <v>523</v>
      </c>
      <c r="C476" t="s">
        <v>560</v>
      </c>
      <c r="D476" t="s">
        <v>560</v>
      </c>
    </row>
    <row r="477" spans="1:4">
      <c r="A477" s="2">
        <v>5.4653</v>
      </c>
      <c r="B477" t="s">
        <v>524</v>
      </c>
      <c r="C477" t="s">
        <v>560</v>
      </c>
      <c r="D477" t="s">
        <v>560</v>
      </c>
    </row>
    <row r="478" spans="1:4">
      <c r="A478" s="2">
        <v>8.8702</v>
      </c>
      <c r="B478" t="s">
        <v>525</v>
      </c>
      <c r="C478" t="s">
        <v>560</v>
      </c>
      <c r="D478" t="s">
        <v>560</v>
      </c>
    </row>
    <row r="479" spans="1:4">
      <c r="A479" s="2">
        <v>5.1278</v>
      </c>
      <c r="B479" t="s">
        <v>526</v>
      </c>
      <c r="C479" t="s">
        <v>560</v>
      </c>
      <c r="D479" t="s">
        <v>560</v>
      </c>
    </row>
    <row r="480" spans="1:4">
      <c r="A480" s="2">
        <v>0.8807468733485996</v>
      </c>
      <c r="B480" t="s">
        <v>527</v>
      </c>
      <c r="C480" t="s">
        <v>560</v>
      </c>
      <c r="D480" t="s">
        <v>560</v>
      </c>
    </row>
    <row r="481" spans="1:4">
      <c r="A481" s="2">
        <v>1.7230684402784475</v>
      </c>
      <c r="B481" t="s">
        <v>528</v>
      </c>
      <c r="C481" t="s">
        <v>560</v>
      </c>
      <c r="D481" t="s">
        <v>560</v>
      </c>
    </row>
    <row r="482" spans="1:4">
      <c r="A482" s="2">
        <v>0.08816398501212255</v>
      </c>
      <c r="B482" t="s">
        <v>529</v>
      </c>
      <c r="C482" t="s">
        <v>560</v>
      </c>
      <c r="D482" t="s">
        <v>560</v>
      </c>
    </row>
    <row r="483" spans="1:4">
      <c r="A483" s="2">
        <v>0.4184625685232456</v>
      </c>
      <c r="B483" t="s">
        <v>530</v>
      </c>
      <c r="C483" t="s">
        <v>560</v>
      </c>
      <c r="D483" t="s">
        <v>560</v>
      </c>
    </row>
    <row r="484" spans="1:4">
      <c r="A484" s="2">
        <v>0.004780114722753346</v>
      </c>
      <c r="B484" t="s">
        <v>531</v>
      </c>
      <c r="C484" t="s">
        <v>560</v>
      </c>
      <c r="D484" t="s">
        <v>560</v>
      </c>
    </row>
    <row r="485" spans="1:4">
      <c r="A485" s="2">
        <v>1.921931156425977</v>
      </c>
      <c r="B485" t="s">
        <v>532</v>
      </c>
      <c r="C485" t="s">
        <v>560</v>
      </c>
      <c r="D485" t="s">
        <v>560</v>
      </c>
    </row>
    <row r="486" spans="1:4">
      <c r="A486" s="2">
        <v>1.8812197829072372</v>
      </c>
      <c r="B486" t="s">
        <v>533</v>
      </c>
      <c r="C486" t="s">
        <v>560</v>
      </c>
      <c r="D486" t="s">
        <v>560</v>
      </c>
    </row>
    <row r="487" spans="1:4">
      <c r="A487" s="2">
        <v>0.021537752449380897</v>
      </c>
      <c r="B487" t="s">
        <v>534</v>
      </c>
      <c r="C487" t="s">
        <v>560</v>
      </c>
      <c r="D487" t="s">
        <v>560</v>
      </c>
    </row>
    <row r="488" spans="1:4">
      <c r="A488" s="2">
        <v>1.9615535504119264</v>
      </c>
      <c r="B488" t="s">
        <v>535</v>
      </c>
      <c r="C488" t="s">
        <v>560</v>
      </c>
      <c r="D488" t="s">
        <v>560</v>
      </c>
    </row>
    <row r="489" spans="1:4">
      <c r="A489" s="2">
        <v>1.1092623405435384</v>
      </c>
      <c r="B489" t="s">
        <v>536</v>
      </c>
      <c r="C489" t="s">
        <v>560</v>
      </c>
      <c r="D489" t="s">
        <v>560</v>
      </c>
    </row>
    <row r="490" spans="1:4">
      <c r="A490" s="2">
        <v>0.7614986293024673</v>
      </c>
      <c r="B490" t="s">
        <v>537</v>
      </c>
      <c r="C490" t="s">
        <v>560</v>
      </c>
      <c r="D490" t="s">
        <v>560</v>
      </c>
    </row>
    <row r="491" spans="1:4">
      <c r="A491" s="2">
        <v>0.6975933031042902</v>
      </c>
      <c r="B491" t="s">
        <v>538</v>
      </c>
      <c r="C491" t="s">
        <v>560</v>
      </c>
      <c r="D491" t="s">
        <v>560</v>
      </c>
    </row>
    <row r="492" spans="1:4">
      <c r="A492" s="2">
        <v>0.16534473550629383</v>
      </c>
      <c r="B492" t="s">
        <v>539</v>
      </c>
      <c r="C492" t="s">
        <v>560</v>
      </c>
      <c r="D492" t="s">
        <v>560</v>
      </c>
    </row>
    <row r="493" spans="1:4">
      <c r="A493" s="2">
        <v>0.39192631785224374</v>
      </c>
      <c r="B493" t="s">
        <v>540</v>
      </c>
      <c r="C493" t="s">
        <v>560</v>
      </c>
      <c r="D493" t="s">
        <v>560</v>
      </c>
    </row>
    <row r="494" spans="1:4">
      <c r="A494" s="2">
        <v>0.22356360384529397</v>
      </c>
      <c r="B494" t="s">
        <v>541</v>
      </c>
      <c r="C494" t="s">
        <v>560</v>
      </c>
      <c r="D494" t="s">
        <v>560</v>
      </c>
    </row>
    <row r="495" spans="1:4">
      <c r="A495" s="2">
        <v>1</v>
      </c>
      <c r="B495" t="s">
        <v>542</v>
      </c>
      <c r="C495" t="s">
        <v>560</v>
      </c>
      <c r="D495" t="s">
        <v>560</v>
      </c>
    </row>
    <row r="496" spans="1:4">
      <c r="A496" s="2">
        <v>7.0602</v>
      </c>
      <c r="B496" t="s">
        <v>364</v>
      </c>
      <c r="C496" t="s">
        <v>561</v>
      </c>
      <c r="D496" t="s">
        <v>561</v>
      </c>
    </row>
    <row r="497" spans="1:4">
      <c r="A497" s="2">
        <v>8.2899</v>
      </c>
      <c r="B497" t="s">
        <v>373</v>
      </c>
      <c r="C497" t="s">
        <v>561</v>
      </c>
      <c r="D497" t="s">
        <v>561</v>
      </c>
    </row>
    <row r="498" spans="1:4">
      <c r="A498" s="2">
        <v>0.045466</v>
      </c>
      <c r="B498" t="s">
        <v>520</v>
      </c>
      <c r="C498" t="s">
        <v>561</v>
      </c>
      <c r="D498" t="s">
        <v>561</v>
      </c>
    </row>
    <row r="499" spans="1:4">
      <c r="A499" s="2">
        <v>0.90733</v>
      </c>
      <c r="B499" t="s">
        <v>370</v>
      </c>
      <c r="C499" t="s">
        <v>561</v>
      </c>
      <c r="D499" t="s">
        <v>561</v>
      </c>
    </row>
    <row r="500" spans="1:4">
      <c r="A500" s="2">
        <v>9.4333</v>
      </c>
      <c r="B500" t="s">
        <v>521</v>
      </c>
      <c r="C500" t="s">
        <v>561</v>
      </c>
      <c r="D500" t="s">
        <v>561</v>
      </c>
    </row>
    <row r="501" spans="1:4">
      <c r="A501" s="2">
        <v>4.684200000000001</v>
      </c>
      <c r="B501" t="s">
        <v>522</v>
      </c>
      <c r="C501" t="s">
        <v>561</v>
      </c>
      <c r="D501" t="s">
        <v>561</v>
      </c>
    </row>
    <row r="502" spans="1:4">
      <c r="A502" s="2">
        <v>4.0774</v>
      </c>
      <c r="B502" t="s">
        <v>523</v>
      </c>
      <c r="C502" t="s">
        <v>561</v>
      </c>
      <c r="D502" t="s">
        <v>561</v>
      </c>
    </row>
    <row r="503" spans="1:4">
      <c r="A503" s="2">
        <v>5.470599999999999</v>
      </c>
      <c r="B503" t="s">
        <v>524</v>
      </c>
      <c r="C503" t="s">
        <v>561</v>
      </c>
      <c r="D503" t="s">
        <v>561</v>
      </c>
    </row>
    <row r="504" spans="1:4">
      <c r="A504" s="2">
        <v>8.857899999999999</v>
      </c>
      <c r="B504" t="s">
        <v>525</v>
      </c>
      <c r="C504" t="s">
        <v>561</v>
      </c>
      <c r="D504" t="s">
        <v>561</v>
      </c>
    </row>
    <row r="505" spans="1:4">
      <c r="A505" s="2">
        <v>5.1208</v>
      </c>
      <c r="B505" t="s">
        <v>526</v>
      </c>
      <c r="C505" t="s">
        <v>561</v>
      </c>
      <c r="D505" t="s">
        <v>561</v>
      </c>
    </row>
    <row r="506" spans="1:4">
      <c r="A506" s="2">
        <v>0.880514220304658</v>
      </c>
      <c r="B506" t="s">
        <v>527</v>
      </c>
      <c r="C506" t="s">
        <v>561</v>
      </c>
      <c r="D506" t="s">
        <v>561</v>
      </c>
    </row>
    <row r="507" spans="1:4">
      <c r="A507" s="2">
        <v>1.7244947230461476</v>
      </c>
      <c r="B507" t="s">
        <v>528</v>
      </c>
      <c r="C507" t="s">
        <v>561</v>
      </c>
      <c r="D507" t="s">
        <v>561</v>
      </c>
    </row>
    <row r="508" spans="1:4">
      <c r="A508" s="2">
        <v>0.08872484650601555</v>
      </c>
      <c r="B508" t="s">
        <v>529</v>
      </c>
      <c r="C508" t="s">
        <v>561</v>
      </c>
      <c r="D508" t="s">
        <v>561</v>
      </c>
    </row>
    <row r="509" spans="1:4">
      <c r="A509" s="2">
        <v>0.4200445247196203</v>
      </c>
      <c r="B509" t="s">
        <v>530</v>
      </c>
      <c r="C509" t="s">
        <v>561</v>
      </c>
      <c r="D509" t="s">
        <v>561</v>
      </c>
    </row>
    <row r="510" spans="1:4">
      <c r="A510" s="2">
        <v>0.004798925040790863</v>
      </c>
      <c r="B510" t="s">
        <v>531</v>
      </c>
      <c r="C510" t="s">
        <v>561</v>
      </c>
      <c r="D510" t="s">
        <v>561</v>
      </c>
    </row>
    <row r="511" spans="1:4">
      <c r="A511" s="2">
        <v>1.9197174175961296</v>
      </c>
      <c r="B511" t="s">
        <v>532</v>
      </c>
      <c r="C511" t="s">
        <v>561</v>
      </c>
      <c r="D511" t="s">
        <v>561</v>
      </c>
    </row>
    <row r="512" spans="1:4">
      <c r="A512" s="2">
        <v>1.8792047205622584</v>
      </c>
      <c r="B512" t="s">
        <v>533</v>
      </c>
      <c r="C512" t="s">
        <v>561</v>
      </c>
      <c r="D512" t="s">
        <v>561</v>
      </c>
    </row>
    <row r="513" spans="1:4">
      <c r="A513" s="2">
        <v>0.021562644874020247</v>
      </c>
      <c r="B513" t="s">
        <v>534</v>
      </c>
      <c r="C513" t="s">
        <v>561</v>
      </c>
      <c r="D513" t="s">
        <v>561</v>
      </c>
    </row>
    <row r="514" spans="1:4">
      <c r="A514" s="2">
        <v>1.9660657059158917</v>
      </c>
      <c r="B514" t="s">
        <v>535</v>
      </c>
      <c r="C514" t="s">
        <v>561</v>
      </c>
      <c r="D514" t="s">
        <v>561</v>
      </c>
    </row>
    <row r="515" spans="1:4">
      <c r="A515" s="2">
        <v>1.1096316023080337</v>
      </c>
      <c r="B515" t="s">
        <v>536</v>
      </c>
      <c r="C515" t="s">
        <v>561</v>
      </c>
      <c r="D515" t="s">
        <v>561</v>
      </c>
    </row>
    <row r="516" spans="1:4">
      <c r="A516" s="2">
        <v>0.7597052343690648</v>
      </c>
      <c r="B516" t="s">
        <v>537</v>
      </c>
      <c r="C516" t="s">
        <v>561</v>
      </c>
      <c r="D516" t="s">
        <v>561</v>
      </c>
    </row>
    <row r="517" spans="1:4">
      <c r="A517" s="2">
        <v>0.6950719399457843</v>
      </c>
      <c r="B517" t="s">
        <v>538</v>
      </c>
      <c r="C517" t="s">
        <v>561</v>
      </c>
      <c r="D517" t="s">
        <v>561</v>
      </c>
    </row>
    <row r="518" spans="1:4">
      <c r="A518" s="2">
        <v>0.16516476837292882</v>
      </c>
      <c r="B518" t="s">
        <v>539</v>
      </c>
      <c r="C518" t="s">
        <v>561</v>
      </c>
      <c r="D518" t="s">
        <v>561</v>
      </c>
    </row>
    <row r="519" spans="1:4">
      <c r="A519" s="2">
        <v>0.3924030764401193</v>
      </c>
      <c r="B519" t="s">
        <v>540</v>
      </c>
      <c r="C519" t="s">
        <v>561</v>
      </c>
      <c r="D519" t="s">
        <v>561</v>
      </c>
    </row>
    <row r="520" spans="1:4">
      <c r="A520" s="2">
        <v>0.22407457201756745</v>
      </c>
      <c r="B520" t="s">
        <v>541</v>
      </c>
      <c r="C520" t="s">
        <v>561</v>
      </c>
      <c r="D520" t="s">
        <v>561</v>
      </c>
    </row>
    <row r="521" spans="1:4">
      <c r="A521" s="2">
        <v>1</v>
      </c>
      <c r="B521" t="s">
        <v>542</v>
      </c>
      <c r="C521" t="s">
        <v>561</v>
      </c>
      <c r="D521" t="s">
        <v>561</v>
      </c>
    </row>
    <row r="522" spans="1:4">
      <c r="A522" s="2">
        <v>7.057300000000001</v>
      </c>
      <c r="B522" t="s">
        <v>364</v>
      </c>
      <c r="C522" t="s">
        <v>562</v>
      </c>
      <c r="D522" t="s">
        <v>562</v>
      </c>
    </row>
    <row r="523" spans="1:4">
      <c r="A523" s="2">
        <v>8.2803</v>
      </c>
      <c r="B523" t="s">
        <v>373</v>
      </c>
      <c r="C523" t="s">
        <v>562</v>
      </c>
      <c r="D523" t="s">
        <v>562</v>
      </c>
    </row>
    <row r="524" spans="1:4">
      <c r="A524" s="2">
        <v>0.045515999999999994</v>
      </c>
      <c r="B524" t="s">
        <v>520</v>
      </c>
      <c r="C524" t="s">
        <v>562</v>
      </c>
      <c r="D524" t="s">
        <v>562</v>
      </c>
    </row>
    <row r="525" spans="1:4">
      <c r="A525" s="2">
        <v>0.90719</v>
      </c>
      <c r="B525" t="s">
        <v>370</v>
      </c>
      <c r="C525" t="s">
        <v>562</v>
      </c>
      <c r="D525" t="s">
        <v>562</v>
      </c>
    </row>
    <row r="526" spans="1:4">
      <c r="A526" s="2">
        <v>9.4581</v>
      </c>
      <c r="B526" t="s">
        <v>521</v>
      </c>
      <c r="C526" t="s">
        <v>562</v>
      </c>
      <c r="D526" t="s">
        <v>562</v>
      </c>
    </row>
    <row r="527" spans="1:4">
      <c r="A527" s="2">
        <v>4.67</v>
      </c>
      <c r="B527" t="s">
        <v>522</v>
      </c>
      <c r="C527" t="s">
        <v>562</v>
      </c>
      <c r="D527" t="s">
        <v>562</v>
      </c>
    </row>
    <row r="528" spans="1:4">
      <c r="A528" s="2">
        <v>4.0709</v>
      </c>
      <c r="B528" t="s">
        <v>523</v>
      </c>
      <c r="C528" t="s">
        <v>562</v>
      </c>
      <c r="D528" t="s">
        <v>562</v>
      </c>
    </row>
    <row r="529" spans="1:4">
      <c r="A529" s="2">
        <v>5.468</v>
      </c>
      <c r="B529" t="s">
        <v>524</v>
      </c>
      <c r="C529" t="s">
        <v>562</v>
      </c>
      <c r="D529" t="s">
        <v>562</v>
      </c>
    </row>
    <row r="530" spans="1:4">
      <c r="A530" s="2">
        <v>8.8606</v>
      </c>
      <c r="B530" t="s">
        <v>525</v>
      </c>
      <c r="C530" t="s">
        <v>562</v>
      </c>
      <c r="D530" t="s">
        <v>562</v>
      </c>
    </row>
    <row r="531" spans="1:4">
      <c r="A531" s="2">
        <v>5.1213999999999995</v>
      </c>
      <c r="B531" t="s">
        <v>526</v>
      </c>
      <c r="C531" t="s">
        <v>562</v>
      </c>
      <c r="D531" t="s">
        <v>562</v>
      </c>
    </row>
    <row r="532" spans="1:4">
      <c r="A532" s="2">
        <v>0.8800492827598346</v>
      </c>
      <c r="B532" t="s">
        <v>527</v>
      </c>
      <c r="C532" t="s">
        <v>562</v>
      </c>
      <c r="D532" t="s">
        <v>562</v>
      </c>
    </row>
    <row r="533" spans="1:4">
      <c r="A533" s="2">
        <v>1.7270858879812092</v>
      </c>
      <c r="B533" t="s">
        <v>528</v>
      </c>
      <c r="C533" t="s">
        <v>562</v>
      </c>
      <c r="D533" t="s">
        <v>562</v>
      </c>
    </row>
    <row r="534" spans="1:4">
      <c r="A534" s="2">
        <v>0.0890242056815248</v>
      </c>
      <c r="B534" t="s">
        <v>529</v>
      </c>
      <c r="C534" t="s">
        <v>562</v>
      </c>
      <c r="D534" t="s">
        <v>562</v>
      </c>
    </row>
    <row r="535" spans="1:4">
      <c r="A535" s="2">
        <v>0.42075146211133085</v>
      </c>
      <c r="B535" t="s">
        <v>530</v>
      </c>
      <c r="C535" t="s">
        <v>562</v>
      </c>
      <c r="D535" t="s">
        <v>562</v>
      </c>
    </row>
    <row r="536" spans="1:4">
      <c r="A536" s="2">
        <v>0.0047794293361372656</v>
      </c>
      <c r="B536" t="s">
        <v>531</v>
      </c>
      <c r="C536" t="s">
        <v>562</v>
      </c>
      <c r="D536" t="s">
        <v>562</v>
      </c>
    </row>
    <row r="537" spans="1:4">
      <c r="A537" s="2">
        <v>1.9178765271091849</v>
      </c>
      <c r="B537" t="s">
        <v>532</v>
      </c>
      <c r="C537" t="s">
        <v>562</v>
      </c>
      <c r="D537" t="s">
        <v>562</v>
      </c>
    </row>
    <row r="538" spans="1:4">
      <c r="A538" s="2">
        <v>1.878181169355596</v>
      </c>
      <c r="B538" t="s">
        <v>533</v>
      </c>
      <c r="C538" t="s">
        <v>562</v>
      </c>
      <c r="D538" t="s">
        <v>562</v>
      </c>
    </row>
    <row r="539" spans="1:4">
      <c r="A539" s="2">
        <v>0.0214826924688125</v>
      </c>
      <c r="B539" t="s">
        <v>534</v>
      </c>
      <c r="C539" t="s">
        <v>562</v>
      </c>
      <c r="D539" t="s">
        <v>562</v>
      </c>
    </row>
    <row r="540" spans="1:4">
      <c r="A540" s="2">
        <v>1.9653315514327268</v>
      </c>
      <c r="B540" t="s">
        <v>535</v>
      </c>
      <c r="C540" t="s">
        <v>562</v>
      </c>
      <c r="D540" t="s">
        <v>562</v>
      </c>
    </row>
    <row r="541" spans="1:4">
      <c r="A541" s="2">
        <v>1.1079104808331486</v>
      </c>
      <c r="B541" t="s">
        <v>536</v>
      </c>
      <c r="C541" t="s">
        <v>562</v>
      </c>
      <c r="D541" t="s">
        <v>562</v>
      </c>
    </row>
    <row r="542" spans="1:4">
      <c r="A542" s="2">
        <v>0.7575183698204682</v>
      </c>
      <c r="B542" t="s">
        <v>537</v>
      </c>
      <c r="C542" t="s">
        <v>562</v>
      </c>
      <c r="D542" t="s">
        <v>562</v>
      </c>
    </row>
    <row r="543" spans="1:4">
      <c r="A543" s="2">
        <v>0.6915629322268326</v>
      </c>
      <c r="B543" t="s">
        <v>538</v>
      </c>
      <c r="C543" t="s">
        <v>562</v>
      </c>
      <c r="D543" t="s">
        <v>562</v>
      </c>
    </row>
    <row r="544" spans="1:4">
      <c r="A544" s="2">
        <v>0.16493947545948015</v>
      </c>
      <c r="B544" t="s">
        <v>539</v>
      </c>
      <c r="C544" t="s">
        <v>562</v>
      </c>
      <c r="D544" t="s">
        <v>562</v>
      </c>
    </row>
    <row r="545" spans="1:4">
      <c r="A545" s="2">
        <v>0.39227993095873215</v>
      </c>
      <c r="B545" t="s">
        <v>540</v>
      </c>
      <c r="C545" t="s">
        <v>562</v>
      </c>
      <c r="D545" t="s">
        <v>562</v>
      </c>
    </row>
    <row r="546" spans="1:4">
      <c r="A546" s="2">
        <v>0.22398924851607124</v>
      </c>
      <c r="B546" t="s">
        <v>541</v>
      </c>
      <c r="C546" t="s">
        <v>562</v>
      </c>
      <c r="D546" t="s">
        <v>562</v>
      </c>
    </row>
    <row r="547" spans="1:4">
      <c r="A547" s="2">
        <v>1</v>
      </c>
      <c r="B547" t="s">
        <v>542</v>
      </c>
      <c r="C547" t="s">
        <v>562</v>
      </c>
      <c r="D547" t="s">
        <v>562</v>
      </c>
    </row>
    <row r="548" spans="1:4">
      <c r="A548" s="2">
        <v>7.0583</v>
      </c>
      <c r="B548" t="s">
        <v>364</v>
      </c>
      <c r="C548" t="s">
        <v>563</v>
      </c>
      <c r="D548" t="s">
        <v>563</v>
      </c>
    </row>
    <row r="549" spans="1:4">
      <c r="A549" s="2">
        <v>8.2759</v>
      </c>
      <c r="B549" t="s">
        <v>373</v>
      </c>
      <c r="C549" t="s">
        <v>563</v>
      </c>
      <c r="D549" t="s">
        <v>563</v>
      </c>
    </row>
    <row r="550" spans="1:4">
      <c r="A550" s="2">
        <v>0.045299</v>
      </c>
      <c r="B550" t="s">
        <v>520</v>
      </c>
      <c r="C550" t="s">
        <v>563</v>
      </c>
      <c r="D550" t="s">
        <v>563</v>
      </c>
    </row>
    <row r="551" spans="1:4">
      <c r="A551" s="2">
        <v>0.90736</v>
      </c>
      <c r="B551" t="s">
        <v>370</v>
      </c>
      <c r="C551" t="s">
        <v>563</v>
      </c>
      <c r="D551" t="s">
        <v>563</v>
      </c>
    </row>
    <row r="552" spans="1:4">
      <c r="A552" s="2">
        <v>9.4251</v>
      </c>
      <c r="B552" t="s">
        <v>521</v>
      </c>
      <c r="C552" t="s">
        <v>563</v>
      </c>
      <c r="D552" t="s">
        <v>563</v>
      </c>
    </row>
    <row r="553" spans="1:4">
      <c r="A553" s="2">
        <v>4.6525</v>
      </c>
      <c r="B553" t="s">
        <v>522</v>
      </c>
      <c r="C553" t="s">
        <v>563</v>
      </c>
      <c r="D553" t="s">
        <v>563</v>
      </c>
    </row>
    <row r="554" spans="1:4">
      <c r="A554" s="2">
        <v>4.0645</v>
      </c>
      <c r="B554" t="s">
        <v>523</v>
      </c>
      <c r="C554" t="s">
        <v>563</v>
      </c>
      <c r="D554" t="s">
        <v>563</v>
      </c>
    </row>
    <row r="555" spans="1:4">
      <c r="A555" s="2">
        <v>5.459700000000001</v>
      </c>
      <c r="B555" t="s">
        <v>524</v>
      </c>
      <c r="C555" t="s">
        <v>563</v>
      </c>
      <c r="D555" t="s">
        <v>563</v>
      </c>
    </row>
    <row r="556" spans="1:4">
      <c r="A556" s="2">
        <v>8.8612</v>
      </c>
      <c r="B556" t="s">
        <v>525</v>
      </c>
      <c r="C556" t="s">
        <v>563</v>
      </c>
      <c r="D556" t="s">
        <v>563</v>
      </c>
    </row>
    <row r="557" spans="1:4">
      <c r="A557" s="2">
        <v>5.1126</v>
      </c>
      <c r="B557" t="s">
        <v>526</v>
      </c>
      <c r="C557" t="s">
        <v>563</v>
      </c>
      <c r="D557" t="s">
        <v>563</v>
      </c>
    </row>
    <row r="558" spans="1:4">
      <c r="A558" s="2">
        <v>0.880514220304658</v>
      </c>
      <c r="B558" t="s">
        <v>527</v>
      </c>
      <c r="C558" t="s">
        <v>563</v>
      </c>
      <c r="D558" t="s">
        <v>563</v>
      </c>
    </row>
    <row r="559" spans="1:4">
      <c r="A559" s="2">
        <v>1.7241082050309475</v>
      </c>
      <c r="B559" t="s">
        <v>528</v>
      </c>
      <c r="C559" t="s">
        <v>563</v>
      </c>
      <c r="D559" t="s">
        <v>563</v>
      </c>
    </row>
    <row r="560" spans="1:4">
      <c r="A560" s="2">
        <v>0.0876055647054701</v>
      </c>
      <c r="B560" t="s">
        <v>529</v>
      </c>
      <c r="C560" t="s">
        <v>563</v>
      </c>
      <c r="D560" t="s">
        <v>563</v>
      </c>
    </row>
    <row r="561" spans="1:4">
      <c r="A561" s="2">
        <v>0.4203623523477238</v>
      </c>
      <c r="B561" t="s">
        <v>530</v>
      </c>
      <c r="C561" t="s">
        <v>563</v>
      </c>
      <c r="D561" t="s">
        <v>563</v>
      </c>
    </row>
    <row r="562" spans="1:4">
      <c r="A562" s="2">
        <v>0.004775093114315729</v>
      </c>
      <c r="B562" t="s">
        <v>531</v>
      </c>
      <c r="C562" t="s">
        <v>563</v>
      </c>
      <c r="D562" t="s">
        <v>563</v>
      </c>
    </row>
    <row r="563" spans="1:4">
      <c r="A563" s="2">
        <v>1.9186492709132772</v>
      </c>
      <c r="B563" t="s">
        <v>532</v>
      </c>
      <c r="C563" t="s">
        <v>563</v>
      </c>
      <c r="D563" t="s">
        <v>563</v>
      </c>
    </row>
    <row r="564" spans="1:4">
      <c r="A564" s="2">
        <v>1.878675158278382</v>
      </c>
      <c r="B564" t="s">
        <v>533</v>
      </c>
      <c r="C564" t="s">
        <v>563</v>
      </c>
      <c r="D564" t="s">
        <v>563</v>
      </c>
    </row>
    <row r="565" spans="1:4">
      <c r="A565" s="2">
        <v>0.02128071605353377</v>
      </c>
      <c r="B565" t="s">
        <v>534</v>
      </c>
      <c r="C565" t="s">
        <v>563</v>
      </c>
      <c r="D565" t="s">
        <v>563</v>
      </c>
    </row>
    <row r="566" spans="1:4">
      <c r="A566" s="2">
        <v>1.9648295510364475</v>
      </c>
      <c r="B566" t="s">
        <v>535</v>
      </c>
      <c r="C566" t="s">
        <v>563</v>
      </c>
      <c r="D566" t="s">
        <v>563</v>
      </c>
    </row>
    <row r="567" spans="1:4">
      <c r="A567" s="2">
        <v>1.1074197120708749</v>
      </c>
      <c r="B567" t="s">
        <v>536</v>
      </c>
      <c r="C567" t="s">
        <v>563</v>
      </c>
      <c r="D567" t="s">
        <v>563</v>
      </c>
    </row>
    <row r="568" spans="1:4">
      <c r="A568" s="2">
        <v>0.7576331540268202</v>
      </c>
      <c r="B568" t="s">
        <v>537</v>
      </c>
      <c r="C568" t="s">
        <v>563</v>
      </c>
      <c r="D568" t="s">
        <v>563</v>
      </c>
    </row>
    <row r="569" spans="1:4">
      <c r="A569" s="2">
        <v>0.6906077348066297</v>
      </c>
      <c r="B569" t="s">
        <v>538</v>
      </c>
      <c r="C569" t="s">
        <v>563</v>
      </c>
      <c r="D569" t="s">
        <v>563</v>
      </c>
    </row>
    <row r="570" spans="1:4">
      <c r="A570" s="2">
        <v>0.16492941021242907</v>
      </c>
      <c r="B570" t="s">
        <v>539</v>
      </c>
      <c r="C570" t="s">
        <v>563</v>
      </c>
      <c r="D570" t="s">
        <v>563</v>
      </c>
    </row>
    <row r="571" spans="1:4">
      <c r="A571" s="2">
        <v>0.39145071635481093</v>
      </c>
      <c r="B571" t="s">
        <v>540</v>
      </c>
      <c r="C571" t="s">
        <v>563</v>
      </c>
      <c r="D571" t="s">
        <v>563</v>
      </c>
    </row>
    <row r="572" spans="1:4">
      <c r="A572" s="2">
        <v>0.22378373539811125</v>
      </c>
      <c r="B572" t="s">
        <v>541</v>
      </c>
      <c r="C572" t="s">
        <v>563</v>
      </c>
      <c r="D572" t="s">
        <v>563</v>
      </c>
    </row>
    <row r="573" spans="1:4">
      <c r="A573" s="2">
        <v>1</v>
      </c>
      <c r="B573" t="s">
        <v>542</v>
      </c>
      <c r="C573" t="s">
        <v>563</v>
      </c>
      <c r="D573" t="s">
        <v>563</v>
      </c>
    </row>
    <row r="574" spans="1:4">
      <c r="A574" s="2">
        <v>7.055</v>
      </c>
      <c r="B574" t="s">
        <v>364</v>
      </c>
      <c r="C574" t="s">
        <v>564</v>
      </c>
      <c r="D574" t="s">
        <v>564</v>
      </c>
    </row>
    <row r="575" spans="1:4">
      <c r="A575" s="2">
        <v>8.2616</v>
      </c>
      <c r="B575" t="s">
        <v>373</v>
      </c>
      <c r="C575" t="s">
        <v>564</v>
      </c>
      <c r="D575" t="s">
        <v>564</v>
      </c>
    </row>
    <row r="576" spans="1:4">
      <c r="A576" s="2">
        <v>0.045274</v>
      </c>
      <c r="B576" t="s">
        <v>520</v>
      </c>
      <c r="C576" t="s">
        <v>564</v>
      </c>
      <c r="D576" t="s">
        <v>564</v>
      </c>
    </row>
    <row r="577" spans="1:4">
      <c r="A577" s="2">
        <v>0.90675</v>
      </c>
      <c r="B577" t="s">
        <v>370</v>
      </c>
      <c r="C577" t="s">
        <v>564</v>
      </c>
      <c r="D577" t="s">
        <v>564</v>
      </c>
    </row>
    <row r="578" spans="1:4">
      <c r="A578" s="2">
        <v>9.4267</v>
      </c>
      <c r="B578" t="s">
        <v>521</v>
      </c>
      <c r="C578" t="s">
        <v>564</v>
      </c>
      <c r="D578" t="s">
        <v>564</v>
      </c>
    </row>
    <row r="579" spans="1:4">
      <c r="A579" s="2">
        <v>4.6578</v>
      </c>
      <c r="B579" t="s">
        <v>522</v>
      </c>
      <c r="C579" t="s">
        <v>564</v>
      </c>
      <c r="D579" t="s">
        <v>564</v>
      </c>
    </row>
    <row r="580" spans="1:4">
      <c r="A580" s="2">
        <v>4.0655</v>
      </c>
      <c r="B580" t="s">
        <v>523</v>
      </c>
      <c r="C580" t="s">
        <v>564</v>
      </c>
      <c r="D580" t="s">
        <v>564</v>
      </c>
    </row>
    <row r="581" spans="1:4">
      <c r="A581" s="2">
        <v>5.4639</v>
      </c>
      <c r="B581" t="s">
        <v>524</v>
      </c>
      <c r="C581" t="s">
        <v>564</v>
      </c>
      <c r="D581" t="s">
        <v>564</v>
      </c>
    </row>
    <row r="582" spans="1:4">
      <c r="A582" s="2">
        <v>8.87</v>
      </c>
      <c r="B582" t="s">
        <v>525</v>
      </c>
      <c r="C582" t="s">
        <v>564</v>
      </c>
      <c r="D582" t="s">
        <v>564</v>
      </c>
    </row>
    <row r="583" spans="1:4">
      <c r="A583" s="2">
        <v>5.1131</v>
      </c>
      <c r="B583" t="s">
        <v>526</v>
      </c>
      <c r="C583" t="s">
        <v>564</v>
      </c>
      <c r="D583" t="s">
        <v>564</v>
      </c>
    </row>
    <row r="584" spans="1:4">
      <c r="A584" s="2">
        <v>0.8798944126704795</v>
      </c>
      <c r="B584" t="s">
        <v>527</v>
      </c>
      <c r="C584" t="s">
        <v>564</v>
      </c>
      <c r="D584" t="s">
        <v>564</v>
      </c>
    </row>
    <row r="585" spans="1:4">
      <c r="A585" s="2">
        <v>1.725744658820281</v>
      </c>
      <c r="B585" t="s">
        <v>528</v>
      </c>
      <c r="C585" t="s">
        <v>564</v>
      </c>
      <c r="D585" t="s">
        <v>564</v>
      </c>
    </row>
    <row r="586" spans="1:4">
      <c r="A586" s="2">
        <v>0.08809951721464566</v>
      </c>
      <c r="B586" t="s">
        <v>529</v>
      </c>
      <c r="C586" t="s">
        <v>564</v>
      </c>
      <c r="D586" t="s">
        <v>564</v>
      </c>
    </row>
    <row r="587" spans="1:4">
      <c r="A587" s="2">
        <v>0.4212477357934201</v>
      </c>
      <c r="B587" t="s">
        <v>530</v>
      </c>
      <c r="C587" t="s">
        <v>564</v>
      </c>
      <c r="D587" t="s">
        <v>564</v>
      </c>
    </row>
    <row r="588" spans="1:4">
      <c r="A588" s="2">
        <v>0.004774181227919412</v>
      </c>
      <c r="B588" t="s">
        <v>531</v>
      </c>
      <c r="C588" t="s">
        <v>564</v>
      </c>
      <c r="D588" t="s">
        <v>564</v>
      </c>
    </row>
    <row r="589" spans="1:4">
      <c r="A589" s="2">
        <v>1.9176558574798168</v>
      </c>
      <c r="B589" t="s">
        <v>532</v>
      </c>
      <c r="C589" t="s">
        <v>564</v>
      </c>
      <c r="D589" t="s">
        <v>564</v>
      </c>
    </row>
    <row r="590" spans="1:4">
      <c r="A590" s="2">
        <v>1.8779342723004695</v>
      </c>
      <c r="B590" t="s">
        <v>533</v>
      </c>
      <c r="C590" t="s">
        <v>564</v>
      </c>
      <c r="D590" t="s">
        <v>564</v>
      </c>
    </row>
    <row r="591" spans="1:4">
      <c r="A591" s="2">
        <v>0.021313599781748738</v>
      </c>
      <c r="B591" t="s">
        <v>534</v>
      </c>
      <c r="C591" t="s">
        <v>564</v>
      </c>
      <c r="D591" t="s">
        <v>564</v>
      </c>
    </row>
    <row r="592" spans="1:4">
      <c r="A592" s="2">
        <v>1.9656406022722803</v>
      </c>
      <c r="B592" t="s">
        <v>535</v>
      </c>
      <c r="C592" t="s">
        <v>564</v>
      </c>
      <c r="D592" t="s">
        <v>564</v>
      </c>
    </row>
    <row r="593" spans="1:4">
      <c r="A593" s="2">
        <v>1.1053387863380126</v>
      </c>
      <c r="B593" t="s">
        <v>536</v>
      </c>
      <c r="C593" t="s">
        <v>564</v>
      </c>
      <c r="D593" t="s">
        <v>564</v>
      </c>
    </row>
    <row r="594" spans="1:4">
      <c r="A594" s="2">
        <v>0.7590708972218004</v>
      </c>
      <c r="B594" t="s">
        <v>537</v>
      </c>
      <c r="C594" t="s">
        <v>564</v>
      </c>
      <c r="D594" t="s">
        <v>564</v>
      </c>
    </row>
    <row r="595" spans="1:4">
      <c r="A595" s="2">
        <v>0.6935293709688606</v>
      </c>
      <c r="B595" t="s">
        <v>538</v>
      </c>
      <c r="C595" t="s">
        <v>564</v>
      </c>
      <c r="D595" t="s">
        <v>564</v>
      </c>
    </row>
    <row r="596" spans="1:4">
      <c r="A596" s="2">
        <v>0.16464320171755786</v>
      </c>
      <c r="B596" t="s">
        <v>539</v>
      </c>
      <c r="C596" t="s">
        <v>564</v>
      </c>
      <c r="D596" t="s">
        <v>564</v>
      </c>
    </row>
    <row r="597" spans="1:4">
      <c r="A597" s="2">
        <v>0.3917113870500216</v>
      </c>
      <c r="B597" t="s">
        <v>540</v>
      </c>
      <c r="C597" t="s">
        <v>564</v>
      </c>
      <c r="D597" t="s">
        <v>564</v>
      </c>
    </row>
    <row r="598" spans="1:4">
      <c r="A598" s="2">
        <v>0.2240946575833632</v>
      </c>
      <c r="B598" t="s">
        <v>541</v>
      </c>
      <c r="C598" t="s">
        <v>564</v>
      </c>
      <c r="D598" t="s">
        <v>564</v>
      </c>
    </row>
    <row r="599" spans="1:4">
      <c r="A599" s="2">
        <v>1</v>
      </c>
      <c r="B599" t="s">
        <v>542</v>
      </c>
      <c r="C599" t="s">
        <v>564</v>
      </c>
      <c r="D599" t="s">
        <v>564</v>
      </c>
    </row>
    <row r="600" spans="1:4">
      <c r="A600" s="2">
        <v>7.055</v>
      </c>
      <c r="B600" t="s">
        <v>364</v>
      </c>
      <c r="C600" t="s">
        <v>564</v>
      </c>
      <c r="D600" t="s">
        <v>565</v>
      </c>
    </row>
    <row r="601" spans="1:4">
      <c r="A601" s="2">
        <v>8.2616</v>
      </c>
      <c r="B601" t="s">
        <v>373</v>
      </c>
      <c r="C601" t="s">
        <v>564</v>
      </c>
      <c r="D601" t="s">
        <v>565</v>
      </c>
    </row>
    <row r="602" spans="1:4">
      <c r="A602" s="2">
        <v>0.045274</v>
      </c>
      <c r="B602" t="s">
        <v>520</v>
      </c>
      <c r="C602" t="s">
        <v>564</v>
      </c>
      <c r="D602" t="s">
        <v>565</v>
      </c>
    </row>
    <row r="603" spans="1:4">
      <c r="A603" s="2">
        <v>0.90675</v>
      </c>
      <c r="B603" t="s">
        <v>370</v>
      </c>
      <c r="C603" t="s">
        <v>564</v>
      </c>
      <c r="D603" t="s">
        <v>565</v>
      </c>
    </row>
    <row r="604" spans="1:4">
      <c r="A604" s="2">
        <v>9.4267</v>
      </c>
      <c r="B604" t="s">
        <v>521</v>
      </c>
      <c r="C604" t="s">
        <v>564</v>
      </c>
      <c r="D604" t="s">
        <v>565</v>
      </c>
    </row>
    <row r="605" spans="1:4">
      <c r="A605" s="2">
        <v>4.6578</v>
      </c>
      <c r="B605" t="s">
        <v>522</v>
      </c>
      <c r="C605" t="s">
        <v>564</v>
      </c>
      <c r="D605" t="s">
        <v>565</v>
      </c>
    </row>
    <row r="606" spans="1:4">
      <c r="A606" s="2">
        <v>4.0655</v>
      </c>
      <c r="B606" t="s">
        <v>523</v>
      </c>
      <c r="C606" t="s">
        <v>564</v>
      </c>
      <c r="D606" t="s">
        <v>565</v>
      </c>
    </row>
    <row r="607" spans="1:4">
      <c r="A607" s="2">
        <v>5.4639</v>
      </c>
      <c r="B607" t="s">
        <v>524</v>
      </c>
      <c r="C607" t="s">
        <v>564</v>
      </c>
      <c r="D607" t="s">
        <v>565</v>
      </c>
    </row>
    <row r="608" spans="1:4">
      <c r="A608" s="2">
        <v>8.87</v>
      </c>
      <c r="B608" t="s">
        <v>525</v>
      </c>
      <c r="C608" t="s">
        <v>564</v>
      </c>
      <c r="D608" t="s">
        <v>565</v>
      </c>
    </row>
    <row r="609" spans="1:4">
      <c r="A609" s="2">
        <v>5.1131</v>
      </c>
      <c r="B609" t="s">
        <v>526</v>
      </c>
      <c r="C609" t="s">
        <v>564</v>
      </c>
      <c r="D609" t="s">
        <v>565</v>
      </c>
    </row>
    <row r="610" spans="1:4">
      <c r="A610" s="2">
        <v>0.8798944126704795</v>
      </c>
      <c r="B610" t="s">
        <v>527</v>
      </c>
      <c r="C610" t="s">
        <v>564</v>
      </c>
      <c r="D610" t="s">
        <v>565</v>
      </c>
    </row>
    <row r="611" spans="1:4">
      <c r="A611" s="2">
        <v>1.725744658820281</v>
      </c>
      <c r="B611" t="s">
        <v>528</v>
      </c>
      <c r="C611" t="s">
        <v>564</v>
      </c>
      <c r="D611" t="s">
        <v>565</v>
      </c>
    </row>
    <row r="612" spans="1:4">
      <c r="A612" s="2">
        <v>0.08809951721464566</v>
      </c>
      <c r="B612" t="s">
        <v>529</v>
      </c>
      <c r="C612" t="s">
        <v>564</v>
      </c>
      <c r="D612" t="s">
        <v>565</v>
      </c>
    </row>
    <row r="613" spans="1:4">
      <c r="A613" s="2">
        <v>0.4212477357934201</v>
      </c>
      <c r="B613" t="s">
        <v>530</v>
      </c>
      <c r="C613" t="s">
        <v>564</v>
      </c>
      <c r="D613" t="s">
        <v>565</v>
      </c>
    </row>
    <row r="614" spans="1:4">
      <c r="A614" s="2">
        <v>0.004774181227919412</v>
      </c>
      <c r="B614" t="s">
        <v>531</v>
      </c>
      <c r="C614" t="s">
        <v>564</v>
      </c>
      <c r="D614" t="s">
        <v>565</v>
      </c>
    </row>
    <row r="615" spans="1:4">
      <c r="A615" s="2">
        <v>1.9176558574798168</v>
      </c>
      <c r="B615" t="s">
        <v>532</v>
      </c>
      <c r="C615" t="s">
        <v>564</v>
      </c>
      <c r="D615" t="s">
        <v>565</v>
      </c>
    </row>
    <row r="616" spans="1:4">
      <c r="A616" s="2">
        <v>1.8779342723004695</v>
      </c>
      <c r="B616" t="s">
        <v>533</v>
      </c>
      <c r="C616" t="s">
        <v>564</v>
      </c>
      <c r="D616" t="s">
        <v>565</v>
      </c>
    </row>
    <row r="617" spans="1:4">
      <c r="A617" s="2">
        <v>0.021313599781748738</v>
      </c>
      <c r="B617" t="s">
        <v>534</v>
      </c>
      <c r="C617" t="s">
        <v>564</v>
      </c>
      <c r="D617" t="s">
        <v>565</v>
      </c>
    </row>
    <row r="618" spans="1:4">
      <c r="A618" s="2">
        <v>1.9656406022722803</v>
      </c>
      <c r="B618" t="s">
        <v>535</v>
      </c>
      <c r="C618" t="s">
        <v>564</v>
      </c>
      <c r="D618" t="s">
        <v>565</v>
      </c>
    </row>
    <row r="619" spans="1:4">
      <c r="A619" s="2">
        <v>1.1053387863380126</v>
      </c>
      <c r="B619" t="s">
        <v>536</v>
      </c>
      <c r="C619" t="s">
        <v>564</v>
      </c>
      <c r="D619" t="s">
        <v>565</v>
      </c>
    </row>
    <row r="620" spans="1:4">
      <c r="A620" s="2">
        <v>0.7590708972218004</v>
      </c>
      <c r="B620" t="s">
        <v>537</v>
      </c>
      <c r="C620" t="s">
        <v>564</v>
      </c>
      <c r="D620" t="s">
        <v>565</v>
      </c>
    </row>
    <row r="621" spans="1:4">
      <c r="A621" s="2">
        <v>0.6935293709688606</v>
      </c>
      <c r="B621" t="s">
        <v>538</v>
      </c>
      <c r="C621" t="s">
        <v>564</v>
      </c>
      <c r="D621" t="s">
        <v>565</v>
      </c>
    </row>
    <row r="622" spans="1:4">
      <c r="A622" s="2">
        <v>0.16464320171755786</v>
      </c>
      <c r="B622" t="s">
        <v>539</v>
      </c>
      <c r="C622" t="s">
        <v>564</v>
      </c>
      <c r="D622" t="s">
        <v>565</v>
      </c>
    </row>
    <row r="623" spans="1:4">
      <c r="A623" s="2">
        <v>0.3917113870500216</v>
      </c>
      <c r="B623" t="s">
        <v>540</v>
      </c>
      <c r="C623" t="s">
        <v>564</v>
      </c>
      <c r="D623" t="s">
        <v>565</v>
      </c>
    </row>
    <row r="624" spans="1:4">
      <c r="A624" s="2">
        <v>0.2240946575833632</v>
      </c>
      <c r="B624" t="s">
        <v>541</v>
      </c>
      <c r="C624" t="s">
        <v>564</v>
      </c>
      <c r="D624" t="s">
        <v>565</v>
      </c>
    </row>
    <row r="625" spans="1:4">
      <c r="A625" s="2">
        <v>1</v>
      </c>
      <c r="B625" t="s">
        <v>542</v>
      </c>
      <c r="C625" t="s">
        <v>565</v>
      </c>
      <c r="D625" t="s">
        <v>565</v>
      </c>
    </row>
    <row r="626" spans="1:4">
      <c r="A626" s="2">
        <v>7.055</v>
      </c>
      <c r="B626" t="s">
        <v>364</v>
      </c>
      <c r="C626" t="s">
        <v>564</v>
      </c>
      <c r="D626" t="s">
        <v>566</v>
      </c>
    </row>
    <row r="627" spans="1:4">
      <c r="A627" s="2">
        <v>8.2616</v>
      </c>
      <c r="B627" t="s">
        <v>373</v>
      </c>
      <c r="C627" t="s">
        <v>564</v>
      </c>
      <c r="D627" t="s">
        <v>566</v>
      </c>
    </row>
    <row r="628" spans="1:4">
      <c r="A628" s="2">
        <v>0.045274</v>
      </c>
      <c r="B628" t="s">
        <v>520</v>
      </c>
      <c r="C628" t="s">
        <v>564</v>
      </c>
      <c r="D628" t="s">
        <v>566</v>
      </c>
    </row>
    <row r="629" spans="1:4">
      <c r="A629" s="2">
        <v>0.90675</v>
      </c>
      <c r="B629" t="s">
        <v>370</v>
      </c>
      <c r="C629" t="s">
        <v>564</v>
      </c>
      <c r="D629" t="s">
        <v>566</v>
      </c>
    </row>
    <row r="630" spans="1:4">
      <c r="A630" s="2">
        <v>9.4267</v>
      </c>
      <c r="B630" t="s">
        <v>521</v>
      </c>
      <c r="C630" t="s">
        <v>564</v>
      </c>
      <c r="D630" t="s">
        <v>566</v>
      </c>
    </row>
    <row r="631" spans="1:4">
      <c r="A631" s="2">
        <v>4.6578</v>
      </c>
      <c r="B631" t="s">
        <v>522</v>
      </c>
      <c r="C631" t="s">
        <v>564</v>
      </c>
      <c r="D631" t="s">
        <v>566</v>
      </c>
    </row>
    <row r="632" spans="1:4">
      <c r="A632" s="2">
        <v>4.0655</v>
      </c>
      <c r="B632" t="s">
        <v>523</v>
      </c>
      <c r="C632" t="s">
        <v>564</v>
      </c>
      <c r="D632" t="s">
        <v>566</v>
      </c>
    </row>
    <row r="633" spans="1:4">
      <c r="A633" s="2">
        <v>5.4639</v>
      </c>
      <c r="B633" t="s">
        <v>524</v>
      </c>
      <c r="C633" t="s">
        <v>564</v>
      </c>
      <c r="D633" t="s">
        <v>566</v>
      </c>
    </row>
    <row r="634" spans="1:4">
      <c r="A634" s="2">
        <v>8.87</v>
      </c>
      <c r="B634" t="s">
        <v>525</v>
      </c>
      <c r="C634" t="s">
        <v>564</v>
      </c>
      <c r="D634" t="s">
        <v>566</v>
      </c>
    </row>
    <row r="635" spans="1:4">
      <c r="A635" s="2">
        <v>5.1131</v>
      </c>
      <c r="B635" t="s">
        <v>526</v>
      </c>
      <c r="C635" t="s">
        <v>564</v>
      </c>
      <c r="D635" t="s">
        <v>566</v>
      </c>
    </row>
    <row r="636" spans="1:4">
      <c r="A636" s="2">
        <v>0.8798944126704795</v>
      </c>
      <c r="B636" t="s">
        <v>527</v>
      </c>
      <c r="C636" t="s">
        <v>564</v>
      </c>
      <c r="D636" t="s">
        <v>566</v>
      </c>
    </row>
    <row r="637" spans="1:4">
      <c r="A637" s="2">
        <v>1.725744658820281</v>
      </c>
      <c r="B637" t="s">
        <v>528</v>
      </c>
      <c r="C637" t="s">
        <v>564</v>
      </c>
      <c r="D637" t="s">
        <v>566</v>
      </c>
    </row>
    <row r="638" spans="1:4">
      <c r="A638" s="2">
        <v>0.08809951721464566</v>
      </c>
      <c r="B638" t="s">
        <v>529</v>
      </c>
      <c r="C638" t="s">
        <v>564</v>
      </c>
      <c r="D638" t="s">
        <v>566</v>
      </c>
    </row>
    <row r="639" spans="1:4">
      <c r="A639" s="2">
        <v>0.4212477357934201</v>
      </c>
      <c r="B639" t="s">
        <v>530</v>
      </c>
      <c r="C639" t="s">
        <v>564</v>
      </c>
      <c r="D639" t="s">
        <v>566</v>
      </c>
    </row>
    <row r="640" spans="1:4">
      <c r="A640" s="2">
        <v>0.004774181227919412</v>
      </c>
      <c r="B640" t="s">
        <v>531</v>
      </c>
      <c r="C640" t="s">
        <v>564</v>
      </c>
      <c r="D640" t="s">
        <v>566</v>
      </c>
    </row>
    <row r="641" spans="1:4">
      <c r="A641" s="2">
        <v>1.9176558574798168</v>
      </c>
      <c r="B641" t="s">
        <v>532</v>
      </c>
      <c r="C641" t="s">
        <v>564</v>
      </c>
      <c r="D641" t="s">
        <v>566</v>
      </c>
    </row>
    <row r="642" spans="1:4">
      <c r="A642" s="2">
        <v>1.8779342723004695</v>
      </c>
      <c r="B642" t="s">
        <v>533</v>
      </c>
      <c r="C642" t="s">
        <v>564</v>
      </c>
      <c r="D642" t="s">
        <v>566</v>
      </c>
    </row>
    <row r="643" spans="1:4">
      <c r="A643" s="2">
        <v>0.021313599781748738</v>
      </c>
      <c r="B643" t="s">
        <v>534</v>
      </c>
      <c r="C643" t="s">
        <v>564</v>
      </c>
      <c r="D643" t="s">
        <v>566</v>
      </c>
    </row>
    <row r="644" spans="1:4">
      <c r="A644" s="2">
        <v>1.9656406022722803</v>
      </c>
      <c r="B644" t="s">
        <v>535</v>
      </c>
      <c r="C644" t="s">
        <v>564</v>
      </c>
      <c r="D644" t="s">
        <v>566</v>
      </c>
    </row>
    <row r="645" spans="1:4">
      <c r="A645" s="2">
        <v>1.1053387863380126</v>
      </c>
      <c r="B645" t="s">
        <v>536</v>
      </c>
      <c r="C645" t="s">
        <v>564</v>
      </c>
      <c r="D645" t="s">
        <v>566</v>
      </c>
    </row>
    <row r="646" spans="1:4">
      <c r="A646" s="2">
        <v>0.7590708972218004</v>
      </c>
      <c r="B646" t="s">
        <v>537</v>
      </c>
      <c r="C646" t="s">
        <v>564</v>
      </c>
      <c r="D646" t="s">
        <v>566</v>
      </c>
    </row>
    <row r="647" spans="1:4">
      <c r="A647" s="2">
        <v>0.6935293709688606</v>
      </c>
      <c r="B647" t="s">
        <v>538</v>
      </c>
      <c r="C647" t="s">
        <v>564</v>
      </c>
      <c r="D647" t="s">
        <v>566</v>
      </c>
    </row>
    <row r="648" spans="1:4">
      <c r="A648" s="2">
        <v>0.16464320171755786</v>
      </c>
      <c r="B648" t="s">
        <v>539</v>
      </c>
      <c r="C648" t="s">
        <v>564</v>
      </c>
      <c r="D648" t="s">
        <v>566</v>
      </c>
    </row>
    <row r="649" spans="1:4">
      <c r="A649" s="2">
        <v>0.3917113870500216</v>
      </c>
      <c r="B649" t="s">
        <v>540</v>
      </c>
      <c r="C649" t="s">
        <v>564</v>
      </c>
      <c r="D649" t="s">
        <v>566</v>
      </c>
    </row>
    <row r="650" spans="1:4">
      <c r="A650" s="2">
        <v>0.2240946575833632</v>
      </c>
      <c r="B650" t="s">
        <v>541</v>
      </c>
      <c r="C650" t="s">
        <v>564</v>
      </c>
      <c r="D650" t="s">
        <v>566</v>
      </c>
    </row>
    <row r="651" spans="1:4">
      <c r="A651" s="2">
        <v>1</v>
      </c>
      <c r="B651" t="s">
        <v>542</v>
      </c>
      <c r="C651" t="s">
        <v>566</v>
      </c>
      <c r="D651" t="s">
        <v>566</v>
      </c>
    </row>
    <row r="652" spans="1:4">
      <c r="A652" s="2">
        <v>7.0572</v>
      </c>
      <c r="B652" t="s">
        <v>364</v>
      </c>
      <c r="C652" t="s">
        <v>567</v>
      </c>
      <c r="D652" t="s">
        <v>567</v>
      </c>
    </row>
    <row r="653" spans="1:4">
      <c r="A653" s="2">
        <v>8.2531</v>
      </c>
      <c r="B653" t="s">
        <v>373</v>
      </c>
      <c r="C653" t="s">
        <v>567</v>
      </c>
      <c r="D653" t="s">
        <v>567</v>
      </c>
    </row>
    <row r="654" spans="1:4">
      <c r="A654" s="2">
        <v>0.044699</v>
      </c>
      <c r="B654" t="s">
        <v>520</v>
      </c>
      <c r="C654" t="s">
        <v>567</v>
      </c>
      <c r="D654" t="s">
        <v>567</v>
      </c>
    </row>
    <row r="655" spans="1:4">
      <c r="A655" s="2">
        <v>0.90699</v>
      </c>
      <c r="B655" t="s">
        <v>370</v>
      </c>
      <c r="C655" t="s">
        <v>567</v>
      </c>
      <c r="D655" t="s">
        <v>567</v>
      </c>
    </row>
    <row r="656" spans="1:4">
      <c r="A656" s="2">
        <v>9.4289</v>
      </c>
      <c r="B656" t="s">
        <v>521</v>
      </c>
      <c r="C656" t="s">
        <v>567</v>
      </c>
      <c r="D656" t="s">
        <v>567</v>
      </c>
    </row>
    <row r="657" spans="1:4">
      <c r="A657" s="2">
        <v>4.6575999999999995</v>
      </c>
      <c r="B657" t="s">
        <v>522</v>
      </c>
      <c r="C657" t="s">
        <v>567</v>
      </c>
      <c r="D657" t="s">
        <v>567</v>
      </c>
    </row>
    <row r="658" spans="1:4">
      <c r="A658" s="2">
        <v>4.0553</v>
      </c>
      <c r="B658" t="s">
        <v>523</v>
      </c>
      <c r="C658" t="s">
        <v>567</v>
      </c>
      <c r="D658" t="s">
        <v>567</v>
      </c>
    </row>
    <row r="659" spans="1:4">
      <c r="A659" s="2">
        <v>5.4511</v>
      </c>
      <c r="B659" t="s">
        <v>524</v>
      </c>
      <c r="C659" t="s">
        <v>567</v>
      </c>
      <c r="D659" t="s">
        <v>567</v>
      </c>
    </row>
    <row r="660" spans="1:4">
      <c r="A660" s="2">
        <v>8.8599</v>
      </c>
      <c r="B660" t="s">
        <v>525</v>
      </c>
      <c r="C660" t="s">
        <v>567</v>
      </c>
      <c r="D660" t="s">
        <v>567</v>
      </c>
    </row>
    <row r="661" spans="1:4">
      <c r="A661" s="2">
        <v>5.1071</v>
      </c>
      <c r="B661" t="s">
        <v>526</v>
      </c>
      <c r="C661" t="s">
        <v>567</v>
      </c>
      <c r="D661" t="s">
        <v>567</v>
      </c>
    </row>
    <row r="662" spans="1:4">
      <c r="A662" s="2">
        <v>0.8805917576611483</v>
      </c>
      <c r="B662" t="s">
        <v>527</v>
      </c>
      <c r="C662" t="s">
        <v>567</v>
      </c>
      <c r="D662" t="s">
        <v>567</v>
      </c>
    </row>
    <row r="663" spans="1:4">
      <c r="A663" s="2">
        <v>1.7287578874578615</v>
      </c>
      <c r="B663" t="s">
        <v>528</v>
      </c>
      <c r="C663" t="s">
        <v>567</v>
      </c>
      <c r="D663" t="s">
        <v>567</v>
      </c>
    </row>
    <row r="664" spans="1:4">
      <c r="A664" s="2">
        <v>0.08753501400560224</v>
      </c>
      <c r="B664" t="s">
        <v>529</v>
      </c>
      <c r="C664" t="s">
        <v>567</v>
      </c>
      <c r="D664" t="s">
        <v>567</v>
      </c>
    </row>
    <row r="665" spans="1:4">
      <c r="A665" s="2">
        <v>0.42038002354128134</v>
      </c>
      <c r="B665" t="s">
        <v>530</v>
      </c>
      <c r="C665" t="s">
        <v>567</v>
      </c>
      <c r="D665" t="s">
        <v>567</v>
      </c>
    </row>
    <row r="666" spans="1:4">
      <c r="A666" s="2">
        <v>0.004767125899795013</v>
      </c>
      <c r="B666" t="s">
        <v>531</v>
      </c>
      <c r="C666" t="s">
        <v>567</v>
      </c>
      <c r="D666" t="s">
        <v>567</v>
      </c>
    </row>
    <row r="667" spans="1:4">
      <c r="A667" s="2">
        <v>1.9179500949385295</v>
      </c>
      <c r="B667" t="s">
        <v>532</v>
      </c>
      <c r="C667" t="s">
        <v>567</v>
      </c>
      <c r="D667" t="s">
        <v>567</v>
      </c>
    </row>
    <row r="668" spans="1:4">
      <c r="A668" s="2">
        <v>1.878075348382977</v>
      </c>
      <c r="B668" t="s">
        <v>533</v>
      </c>
      <c r="C668" t="s">
        <v>567</v>
      </c>
      <c r="D668" t="s">
        <v>567</v>
      </c>
    </row>
    <row r="669" spans="1:4">
      <c r="A669" s="2">
        <v>0.02134048097176014</v>
      </c>
      <c r="B669" t="s">
        <v>534</v>
      </c>
      <c r="C669" t="s">
        <v>567</v>
      </c>
      <c r="D669" t="s">
        <v>567</v>
      </c>
    </row>
    <row r="670" spans="1:4">
      <c r="A670" s="2">
        <v>1.9625929778423252</v>
      </c>
      <c r="B670" t="s">
        <v>535</v>
      </c>
      <c r="C670" t="s">
        <v>567</v>
      </c>
      <c r="D670" t="s">
        <v>567</v>
      </c>
    </row>
    <row r="671" spans="1:4">
      <c r="A671" s="2">
        <v>1.104728236853734</v>
      </c>
      <c r="B671" t="s">
        <v>536</v>
      </c>
      <c r="C671" t="s">
        <v>567</v>
      </c>
      <c r="D671" t="s">
        <v>567</v>
      </c>
    </row>
    <row r="672" spans="1:4">
      <c r="A672" s="2">
        <v>0.7601672367920942</v>
      </c>
      <c r="B672" t="s">
        <v>537</v>
      </c>
      <c r="C672" t="s">
        <v>567</v>
      </c>
      <c r="D672" t="s">
        <v>567</v>
      </c>
    </row>
    <row r="673" spans="1:4">
      <c r="A673" s="2">
        <v>0.6951685783802573</v>
      </c>
      <c r="B673" t="s">
        <v>538</v>
      </c>
      <c r="C673" t="s">
        <v>567</v>
      </c>
      <c r="D673" t="s">
        <v>567</v>
      </c>
    </row>
    <row r="674" spans="1:4">
      <c r="A674" s="2">
        <v>0.16455758692754527</v>
      </c>
      <c r="B674" t="s">
        <v>539</v>
      </c>
      <c r="C674" t="s">
        <v>567</v>
      </c>
      <c r="D674" t="s">
        <v>567</v>
      </c>
    </row>
    <row r="675" spans="1:4">
      <c r="A675" s="2">
        <v>0.39094569764259746</v>
      </c>
      <c r="B675" t="s">
        <v>540</v>
      </c>
      <c r="C675" t="s">
        <v>567</v>
      </c>
      <c r="D675" t="s">
        <v>567</v>
      </c>
    </row>
    <row r="676" spans="1:4">
      <c r="A676" s="2">
        <v>0.2241901132160072</v>
      </c>
      <c r="B676" t="s">
        <v>541</v>
      </c>
      <c r="C676" t="s">
        <v>567</v>
      </c>
      <c r="D676" t="s">
        <v>567</v>
      </c>
    </row>
    <row r="677" spans="1:4">
      <c r="A677" s="2">
        <v>1</v>
      </c>
      <c r="B677" t="s">
        <v>542</v>
      </c>
      <c r="C677" t="s">
        <v>567</v>
      </c>
      <c r="D677" t="s">
        <v>567</v>
      </c>
    </row>
    <row r="678" spans="1:4">
      <c r="A678" s="2">
        <v>7.0523</v>
      </c>
      <c r="B678" t="s">
        <v>364</v>
      </c>
      <c r="C678" t="s">
        <v>568</v>
      </c>
      <c r="D678" t="s">
        <v>568</v>
      </c>
    </row>
    <row r="679" spans="1:4">
      <c r="A679" s="2">
        <v>8.2828</v>
      </c>
      <c r="B679" t="s">
        <v>373</v>
      </c>
      <c r="C679" t="s">
        <v>568</v>
      </c>
      <c r="D679" t="s">
        <v>568</v>
      </c>
    </row>
    <row r="680" spans="1:4">
      <c r="A680" s="2">
        <v>0.044846</v>
      </c>
      <c r="B680" t="s">
        <v>520</v>
      </c>
      <c r="C680" t="s">
        <v>568</v>
      </c>
      <c r="D680" t="s">
        <v>568</v>
      </c>
    </row>
    <row r="681" spans="1:4">
      <c r="A681" s="2">
        <v>0.90673</v>
      </c>
      <c r="B681" t="s">
        <v>370</v>
      </c>
      <c r="C681" t="s">
        <v>568</v>
      </c>
      <c r="D681" t="s">
        <v>568</v>
      </c>
    </row>
    <row r="682" spans="1:4">
      <c r="A682" s="2">
        <v>9.4771</v>
      </c>
      <c r="B682" t="s">
        <v>521</v>
      </c>
      <c r="C682" t="s">
        <v>568</v>
      </c>
      <c r="D682" t="s">
        <v>568</v>
      </c>
    </row>
    <row r="683" spans="1:4">
      <c r="A683" s="2">
        <v>4.6841</v>
      </c>
      <c r="B683" t="s">
        <v>522</v>
      </c>
      <c r="C683" t="s">
        <v>568</v>
      </c>
      <c r="D683" t="s">
        <v>568</v>
      </c>
    </row>
    <row r="684" spans="1:4">
      <c r="A684" s="2">
        <v>4.0766</v>
      </c>
      <c r="B684" t="s">
        <v>523</v>
      </c>
      <c r="C684" t="s">
        <v>568</v>
      </c>
      <c r="D684" t="s">
        <v>568</v>
      </c>
    </row>
    <row r="685" spans="1:4">
      <c r="A685" s="2">
        <v>5.4663</v>
      </c>
      <c r="B685" t="s">
        <v>524</v>
      </c>
      <c r="C685" t="s">
        <v>568</v>
      </c>
      <c r="D685" t="s">
        <v>568</v>
      </c>
    </row>
    <row r="686" spans="1:4">
      <c r="A686" s="2">
        <v>8.891</v>
      </c>
      <c r="B686" t="s">
        <v>525</v>
      </c>
      <c r="C686" t="s">
        <v>568</v>
      </c>
      <c r="D686" t="s">
        <v>568</v>
      </c>
    </row>
    <row r="687" spans="1:4">
      <c r="A687" s="2">
        <v>5.1172</v>
      </c>
      <c r="B687" t="s">
        <v>526</v>
      </c>
      <c r="C687" t="s">
        <v>568</v>
      </c>
      <c r="D687" t="s">
        <v>568</v>
      </c>
    </row>
    <row r="688" spans="1:4">
      <c r="A688" s="2">
        <v>0.8798169980644026</v>
      </c>
      <c r="B688" t="s">
        <v>527</v>
      </c>
      <c r="C688" t="s">
        <v>568</v>
      </c>
      <c r="D688" t="s">
        <v>568</v>
      </c>
    </row>
    <row r="689" spans="1:4">
      <c r="A689" s="2">
        <v>1.72869811744775</v>
      </c>
      <c r="B689" t="s">
        <v>528</v>
      </c>
      <c r="C689" t="s">
        <v>568</v>
      </c>
      <c r="D689" t="s">
        <v>568</v>
      </c>
    </row>
    <row r="690" spans="1:4">
      <c r="A690" s="2">
        <v>0.08924826189009968</v>
      </c>
      <c r="B690" t="s">
        <v>529</v>
      </c>
      <c r="C690" t="s">
        <v>568</v>
      </c>
      <c r="D690" t="s">
        <v>568</v>
      </c>
    </row>
    <row r="691" spans="1:4">
      <c r="A691" s="2">
        <v>0.42138974337364626</v>
      </c>
      <c r="B691" t="s">
        <v>530</v>
      </c>
      <c r="C691" t="s">
        <v>568</v>
      </c>
      <c r="D691" t="s">
        <v>568</v>
      </c>
    </row>
    <row r="692" spans="1:4">
      <c r="A692" s="2">
        <v>0.004752174119659744</v>
      </c>
      <c r="B692" t="s">
        <v>531</v>
      </c>
      <c r="C692" t="s">
        <v>568</v>
      </c>
      <c r="D692" t="s">
        <v>568</v>
      </c>
    </row>
    <row r="693" spans="1:4">
      <c r="A693" s="2">
        <v>1.9155253328225263</v>
      </c>
      <c r="B693" t="s">
        <v>532</v>
      </c>
      <c r="C693" t="s">
        <v>568</v>
      </c>
      <c r="D693" t="s">
        <v>568</v>
      </c>
    </row>
    <row r="694" spans="1:4">
      <c r="A694" s="2">
        <v>1.875891048247918</v>
      </c>
      <c r="B694" t="s">
        <v>533</v>
      </c>
      <c r="C694" t="s">
        <v>568</v>
      </c>
      <c r="D694" t="s">
        <v>568</v>
      </c>
    </row>
    <row r="695" spans="1:4">
      <c r="A695" s="2">
        <v>0.02130696950972663</v>
      </c>
      <c r="B695" t="s">
        <v>534</v>
      </c>
      <c r="C695" t="s">
        <v>568</v>
      </c>
      <c r="D695" t="s">
        <v>568</v>
      </c>
    </row>
    <row r="696" spans="1:4">
      <c r="A696" s="2">
        <v>1.9645593493379432</v>
      </c>
      <c r="B696" t="s">
        <v>535</v>
      </c>
      <c r="C696" t="s">
        <v>568</v>
      </c>
      <c r="D696" t="s">
        <v>568</v>
      </c>
    </row>
    <row r="697" spans="1:4">
      <c r="A697" s="2">
        <v>1.10803324099723</v>
      </c>
      <c r="B697" t="s">
        <v>536</v>
      </c>
      <c r="C697" t="s">
        <v>568</v>
      </c>
      <c r="D697" t="s">
        <v>568</v>
      </c>
    </row>
    <row r="698" spans="1:4">
      <c r="A698" s="2">
        <v>0.7623113279463333</v>
      </c>
      <c r="B698" t="s">
        <v>537</v>
      </c>
      <c r="C698" t="s">
        <v>568</v>
      </c>
      <c r="D698" t="s">
        <v>568</v>
      </c>
    </row>
    <row r="699" spans="1:4">
      <c r="A699" s="2">
        <v>0.6959910913140311</v>
      </c>
      <c r="B699" t="s">
        <v>538</v>
      </c>
      <c r="C699" t="s">
        <v>568</v>
      </c>
      <c r="D699" t="s">
        <v>568</v>
      </c>
    </row>
    <row r="700" spans="1:4">
      <c r="A700" s="2">
        <v>0.1643352965923433</v>
      </c>
      <c r="B700" t="s">
        <v>539</v>
      </c>
      <c r="C700" t="s">
        <v>568</v>
      </c>
      <c r="D700" t="s">
        <v>568</v>
      </c>
    </row>
    <row r="701" spans="1:4">
      <c r="A701" s="2">
        <v>0.39166536111546296</v>
      </c>
      <c r="B701" t="s">
        <v>540</v>
      </c>
      <c r="C701" t="s">
        <v>568</v>
      </c>
      <c r="D701" t="s">
        <v>568</v>
      </c>
    </row>
    <row r="702" spans="1:4">
      <c r="A702" s="2">
        <v>0.2259835935911053</v>
      </c>
      <c r="B702" t="s">
        <v>541</v>
      </c>
      <c r="C702" t="s">
        <v>568</v>
      </c>
      <c r="D702" t="s">
        <v>568</v>
      </c>
    </row>
    <row r="703" spans="1:4">
      <c r="A703" s="2">
        <v>1</v>
      </c>
      <c r="B703" t="s">
        <v>542</v>
      </c>
      <c r="C703" t="s">
        <v>568</v>
      </c>
      <c r="D703" t="s">
        <v>568</v>
      </c>
    </row>
    <row r="704" spans="1:4">
      <c r="A704" s="2">
        <v>7.0471</v>
      </c>
      <c r="B704" t="s">
        <v>364</v>
      </c>
      <c r="C704" t="s">
        <v>569</v>
      </c>
      <c r="D704" t="s">
        <v>569</v>
      </c>
    </row>
    <row r="705" spans="1:4">
      <c r="A705" s="2">
        <v>8.2969</v>
      </c>
      <c r="B705" t="s">
        <v>373</v>
      </c>
      <c r="C705" t="s">
        <v>569</v>
      </c>
      <c r="D705" t="s">
        <v>569</v>
      </c>
    </row>
    <row r="706" spans="1:4">
      <c r="A706" s="2">
        <v>0.045016999999999995</v>
      </c>
      <c r="B706" t="s">
        <v>520</v>
      </c>
      <c r="C706" t="s">
        <v>569</v>
      </c>
      <c r="D706" t="s">
        <v>569</v>
      </c>
    </row>
    <row r="707" spans="1:4">
      <c r="A707" s="2">
        <v>0.90623</v>
      </c>
      <c r="B707" t="s">
        <v>370</v>
      </c>
      <c r="C707" t="s">
        <v>569</v>
      </c>
      <c r="D707" t="s">
        <v>569</v>
      </c>
    </row>
    <row r="708" spans="1:4">
      <c r="A708" s="2">
        <v>9.5009</v>
      </c>
      <c r="B708" t="s">
        <v>521</v>
      </c>
      <c r="C708" t="s">
        <v>569</v>
      </c>
      <c r="D708" t="s">
        <v>569</v>
      </c>
    </row>
    <row r="709" spans="1:4">
      <c r="A709" s="2">
        <v>4.7108</v>
      </c>
      <c r="B709" t="s">
        <v>522</v>
      </c>
      <c r="C709" t="s">
        <v>569</v>
      </c>
      <c r="D709" t="s">
        <v>569</v>
      </c>
    </row>
    <row r="710" spans="1:4">
      <c r="A710" s="2">
        <v>4.1038</v>
      </c>
      <c r="B710" t="s">
        <v>523</v>
      </c>
      <c r="C710" t="s">
        <v>569</v>
      </c>
      <c r="D710" t="s">
        <v>569</v>
      </c>
    </row>
    <row r="711" spans="1:4">
      <c r="A711" s="2">
        <v>5.4762</v>
      </c>
      <c r="B711" t="s">
        <v>524</v>
      </c>
      <c r="C711" t="s">
        <v>569</v>
      </c>
      <c r="D711" t="s">
        <v>569</v>
      </c>
    </row>
    <row r="712" spans="1:4">
      <c r="A712" s="2">
        <v>8.9312</v>
      </c>
      <c r="B712" t="s">
        <v>525</v>
      </c>
      <c r="C712" t="s">
        <v>569</v>
      </c>
      <c r="D712" t="s">
        <v>569</v>
      </c>
    </row>
    <row r="713" spans="1:4">
      <c r="A713" s="2">
        <v>5.1364</v>
      </c>
      <c r="B713" t="s">
        <v>526</v>
      </c>
      <c r="C713" t="s">
        <v>569</v>
      </c>
      <c r="D713" t="s">
        <v>569</v>
      </c>
    </row>
    <row r="714" spans="1:4">
      <c r="A714" s="2">
        <v>0.8798169980644026</v>
      </c>
      <c r="B714" t="s">
        <v>527</v>
      </c>
      <c r="C714" t="s">
        <v>569</v>
      </c>
      <c r="D714" t="s">
        <v>569</v>
      </c>
    </row>
    <row r="715" spans="1:4">
      <c r="A715" s="2">
        <v>1.7336731332674538</v>
      </c>
      <c r="B715" t="s">
        <v>528</v>
      </c>
      <c r="C715" t="s">
        <v>569</v>
      </c>
      <c r="D715" t="s">
        <v>569</v>
      </c>
    </row>
    <row r="716" spans="1:4">
      <c r="A716" s="2">
        <v>0.08994180765045016</v>
      </c>
      <c r="B716" t="s">
        <v>529</v>
      </c>
      <c r="C716" t="s">
        <v>569</v>
      </c>
      <c r="D716" t="s">
        <v>569</v>
      </c>
    </row>
    <row r="717" spans="1:4">
      <c r="A717" s="2">
        <v>0.421674045962471</v>
      </c>
      <c r="B717" t="s">
        <v>530</v>
      </c>
      <c r="C717" t="s">
        <v>569</v>
      </c>
      <c r="D717" t="s">
        <v>569</v>
      </c>
    </row>
    <row r="718" spans="1:4">
      <c r="A718" s="2">
        <v>0.004765762760329791</v>
      </c>
      <c r="B718" t="s">
        <v>531</v>
      </c>
      <c r="C718" t="s">
        <v>569</v>
      </c>
      <c r="D718" t="s">
        <v>569</v>
      </c>
    </row>
    <row r="719" spans="1:4">
      <c r="A719" s="2">
        <v>1.9142053176623728</v>
      </c>
      <c r="B719" t="s">
        <v>532</v>
      </c>
      <c r="C719" t="s">
        <v>569</v>
      </c>
      <c r="D719" t="s">
        <v>569</v>
      </c>
    </row>
    <row r="720" spans="1:4">
      <c r="A720" s="2">
        <v>1.8744142455482664</v>
      </c>
      <c r="B720" t="s">
        <v>533</v>
      </c>
      <c r="C720" t="s">
        <v>569</v>
      </c>
      <c r="D720" t="s">
        <v>569</v>
      </c>
    </row>
    <row r="721" spans="1:4">
      <c r="A721" s="2">
        <v>0.02124328446669797</v>
      </c>
      <c r="B721" t="s">
        <v>534</v>
      </c>
      <c r="C721" t="s">
        <v>569</v>
      </c>
      <c r="D721" t="s">
        <v>569</v>
      </c>
    </row>
    <row r="722" spans="1:4">
      <c r="A722" s="2">
        <v>1.9647909462433195</v>
      </c>
      <c r="B722" t="s">
        <v>535</v>
      </c>
      <c r="C722" t="s">
        <v>569</v>
      </c>
      <c r="D722" t="s">
        <v>569</v>
      </c>
    </row>
    <row r="723" spans="1:4">
      <c r="A723" s="2">
        <v>1.1102475852115024</v>
      </c>
      <c r="B723" t="s">
        <v>536</v>
      </c>
      <c r="C723" t="s">
        <v>569</v>
      </c>
      <c r="D723" t="s">
        <v>569</v>
      </c>
    </row>
    <row r="724" spans="1:4">
      <c r="A724" s="2">
        <v>0.7672241829062452</v>
      </c>
      <c r="B724" t="s">
        <v>537</v>
      </c>
      <c r="C724" t="s">
        <v>569</v>
      </c>
      <c r="D724" t="s">
        <v>569</v>
      </c>
    </row>
    <row r="725" spans="1:4">
      <c r="A725" s="2">
        <v>0.7009182028457279</v>
      </c>
      <c r="B725" t="s">
        <v>538</v>
      </c>
      <c r="C725" t="s">
        <v>569</v>
      </c>
      <c r="D725" t="s">
        <v>569</v>
      </c>
    </row>
    <row r="726" spans="1:4">
      <c r="A726" s="2">
        <v>0.16414216024214254</v>
      </c>
      <c r="B726" t="s">
        <v>539</v>
      </c>
      <c r="C726" t="s">
        <v>569</v>
      </c>
      <c r="D726" t="s">
        <v>569</v>
      </c>
    </row>
    <row r="727" spans="1:4">
      <c r="A727" s="2">
        <v>0.3930354124906654</v>
      </c>
      <c r="B727" t="s">
        <v>540</v>
      </c>
      <c r="C727" t="s">
        <v>569</v>
      </c>
      <c r="D727" t="s">
        <v>569</v>
      </c>
    </row>
    <row r="728" spans="1:4">
      <c r="A728" s="2">
        <v>0.22589681033703804</v>
      </c>
      <c r="B728" t="s">
        <v>541</v>
      </c>
      <c r="C728" t="s">
        <v>569</v>
      </c>
      <c r="D728" t="s">
        <v>569</v>
      </c>
    </row>
    <row r="729" spans="1:4">
      <c r="A729" s="2">
        <v>1</v>
      </c>
      <c r="B729" t="s">
        <v>542</v>
      </c>
      <c r="C729" t="s">
        <v>569</v>
      </c>
      <c r="D729" t="s">
        <v>569</v>
      </c>
    </row>
    <row r="730" spans="1:4">
      <c r="A730" s="2">
        <v>7.039199999999999</v>
      </c>
      <c r="B730" t="s">
        <v>364</v>
      </c>
      <c r="C730" t="s">
        <v>570</v>
      </c>
      <c r="D730" t="s">
        <v>570</v>
      </c>
    </row>
    <row r="731" spans="1:4">
      <c r="A731" s="2">
        <v>8.2825</v>
      </c>
      <c r="B731" t="s">
        <v>373</v>
      </c>
      <c r="C731" t="s">
        <v>570</v>
      </c>
      <c r="D731" t="s">
        <v>570</v>
      </c>
    </row>
    <row r="732" spans="1:4">
      <c r="A732" s="2">
        <v>0.045047</v>
      </c>
      <c r="B732" t="s">
        <v>520</v>
      </c>
      <c r="C732" t="s">
        <v>570</v>
      </c>
      <c r="D732" t="s">
        <v>570</v>
      </c>
    </row>
    <row r="733" spans="1:4">
      <c r="A733" s="2">
        <v>0.90526</v>
      </c>
      <c r="B733" t="s">
        <v>370</v>
      </c>
      <c r="C733" t="s">
        <v>570</v>
      </c>
      <c r="D733" t="s">
        <v>570</v>
      </c>
    </row>
    <row r="734" spans="1:4">
      <c r="A734" s="2">
        <v>9.4877</v>
      </c>
      <c r="B734" t="s">
        <v>521</v>
      </c>
      <c r="C734" t="s">
        <v>570</v>
      </c>
      <c r="D734" t="s">
        <v>570</v>
      </c>
    </row>
    <row r="735" spans="1:4">
      <c r="A735" s="2">
        <v>4.7120999999999995</v>
      </c>
      <c r="B735" t="s">
        <v>522</v>
      </c>
      <c r="C735" t="s">
        <v>570</v>
      </c>
      <c r="D735" t="s">
        <v>570</v>
      </c>
    </row>
    <row r="736" spans="1:4">
      <c r="A736" s="2">
        <v>4.1006</v>
      </c>
      <c r="B736" t="s">
        <v>523</v>
      </c>
      <c r="C736" t="s">
        <v>570</v>
      </c>
      <c r="D736" t="s">
        <v>570</v>
      </c>
    </row>
    <row r="737" spans="1:4">
      <c r="A737" s="2">
        <v>5.474</v>
      </c>
      <c r="B737" t="s">
        <v>524</v>
      </c>
      <c r="C737" t="s">
        <v>570</v>
      </c>
      <c r="D737" t="s">
        <v>570</v>
      </c>
    </row>
    <row r="738" spans="1:4">
      <c r="A738" s="2">
        <v>8.9163</v>
      </c>
      <c r="B738" t="s">
        <v>525</v>
      </c>
      <c r="C738" t="s">
        <v>570</v>
      </c>
      <c r="D738" t="s">
        <v>570</v>
      </c>
    </row>
    <row r="739" spans="1:4">
      <c r="A739" s="2">
        <v>5.1366</v>
      </c>
      <c r="B739" t="s">
        <v>526</v>
      </c>
      <c r="C739" t="s">
        <v>570</v>
      </c>
      <c r="D739" t="s">
        <v>570</v>
      </c>
    </row>
    <row r="740" spans="1:4">
      <c r="A740" s="2">
        <v>0.8788890841975743</v>
      </c>
      <c r="B740" t="s">
        <v>527</v>
      </c>
      <c r="C740" t="s">
        <v>570</v>
      </c>
      <c r="D740" t="s">
        <v>570</v>
      </c>
    </row>
    <row r="741" spans="1:4">
      <c r="A741" s="2">
        <v>1.7388280299078422</v>
      </c>
      <c r="B741" t="s">
        <v>528</v>
      </c>
      <c r="C741" t="s">
        <v>570</v>
      </c>
      <c r="D741" t="s">
        <v>570</v>
      </c>
    </row>
    <row r="742" spans="1:4">
      <c r="A742" s="2">
        <v>0.08881625692766804</v>
      </c>
      <c r="B742" t="s">
        <v>529</v>
      </c>
      <c r="C742" t="s">
        <v>570</v>
      </c>
      <c r="D742" t="s">
        <v>570</v>
      </c>
    </row>
    <row r="743" spans="1:4">
      <c r="A743" s="2">
        <v>0.4218697266284171</v>
      </c>
      <c r="B743" t="s">
        <v>530</v>
      </c>
      <c r="C743" t="s">
        <v>570</v>
      </c>
      <c r="D743" t="s">
        <v>570</v>
      </c>
    </row>
    <row r="744" spans="1:4">
      <c r="A744" s="2">
        <v>0.0048454307587944565</v>
      </c>
      <c r="B744" t="s">
        <v>531</v>
      </c>
      <c r="C744" t="s">
        <v>570</v>
      </c>
      <c r="D744" t="s">
        <v>570</v>
      </c>
    </row>
    <row r="745" spans="1:4">
      <c r="A745" s="2">
        <v>1.9121555729774176</v>
      </c>
      <c r="B745" t="s">
        <v>532</v>
      </c>
      <c r="C745" t="s">
        <v>570</v>
      </c>
      <c r="D745" t="s">
        <v>570</v>
      </c>
    </row>
    <row r="746" spans="1:4">
      <c r="A746" s="2">
        <v>1.872378669862193</v>
      </c>
      <c r="B746" t="s">
        <v>533</v>
      </c>
      <c r="C746" t="s">
        <v>570</v>
      </c>
      <c r="D746" t="s">
        <v>570</v>
      </c>
    </row>
    <row r="747" spans="1:4">
      <c r="A747" s="2">
        <v>0.02128035376460098</v>
      </c>
      <c r="B747" t="s">
        <v>534</v>
      </c>
      <c r="C747" t="s">
        <v>570</v>
      </c>
      <c r="D747" t="s">
        <v>570</v>
      </c>
    </row>
    <row r="748" spans="1:4">
      <c r="A748" s="2">
        <v>1.9635563933396167</v>
      </c>
      <c r="B748" t="s">
        <v>535</v>
      </c>
      <c r="C748" t="s">
        <v>570</v>
      </c>
      <c r="D748" t="s">
        <v>570</v>
      </c>
    </row>
    <row r="749" spans="1:4">
      <c r="A749" s="2">
        <v>1.1085245538188673</v>
      </c>
      <c r="B749" t="s">
        <v>536</v>
      </c>
      <c r="C749" t="s">
        <v>570</v>
      </c>
      <c r="D749" t="s">
        <v>570</v>
      </c>
    </row>
    <row r="750" spans="1:4">
      <c r="A750" s="2">
        <v>0.7665772326561902</v>
      </c>
      <c r="B750" t="s">
        <v>537</v>
      </c>
      <c r="C750" t="s">
        <v>570</v>
      </c>
      <c r="D750" t="s">
        <v>570</v>
      </c>
    </row>
    <row r="751" spans="1:4">
      <c r="A751" s="2">
        <v>0.7029382820188388</v>
      </c>
      <c r="B751" t="s">
        <v>538</v>
      </c>
      <c r="C751" t="s">
        <v>570</v>
      </c>
      <c r="D751" t="s">
        <v>570</v>
      </c>
    </row>
    <row r="752" spans="1:4">
      <c r="A752" s="2">
        <v>0.1642068480823924</v>
      </c>
      <c r="B752" t="s">
        <v>539</v>
      </c>
      <c r="C752" t="s">
        <v>570</v>
      </c>
      <c r="D752" t="s">
        <v>570</v>
      </c>
    </row>
    <row r="753" spans="1:4">
      <c r="A753" s="2">
        <v>0.3924030764401193</v>
      </c>
      <c r="B753" t="s">
        <v>540</v>
      </c>
      <c r="C753" t="s">
        <v>570</v>
      </c>
      <c r="D753" t="s">
        <v>570</v>
      </c>
    </row>
    <row r="754" spans="1:4">
      <c r="A754" s="2">
        <v>0.2258202922114581</v>
      </c>
      <c r="B754" t="s">
        <v>541</v>
      </c>
      <c r="C754" t="s">
        <v>570</v>
      </c>
      <c r="D754" t="s">
        <v>570</v>
      </c>
    </row>
    <row r="755" spans="1:4">
      <c r="A755" s="2">
        <v>1</v>
      </c>
      <c r="B755" t="s">
        <v>542</v>
      </c>
      <c r="C755" t="s">
        <v>570</v>
      </c>
      <c r="D755" t="s">
        <v>570</v>
      </c>
    </row>
    <row r="756" spans="1:4">
      <c r="A756" s="2">
        <v>7.0358</v>
      </c>
      <c r="B756" t="s">
        <v>364</v>
      </c>
      <c r="C756" t="s">
        <v>571</v>
      </c>
      <c r="D756" t="s">
        <v>571</v>
      </c>
    </row>
    <row r="757" spans="1:4">
      <c r="A757" s="2">
        <v>8.274700000000001</v>
      </c>
      <c r="B757" t="s">
        <v>373</v>
      </c>
      <c r="C757" t="s">
        <v>571</v>
      </c>
      <c r="D757" t="s">
        <v>571</v>
      </c>
    </row>
    <row r="758" spans="1:4">
      <c r="A758" s="2">
        <v>0.044998</v>
      </c>
      <c r="B758" t="s">
        <v>520</v>
      </c>
      <c r="C758" t="s">
        <v>571</v>
      </c>
      <c r="D758" t="s">
        <v>571</v>
      </c>
    </row>
    <row r="759" spans="1:4">
      <c r="A759" s="2">
        <v>0.90486</v>
      </c>
      <c r="B759" t="s">
        <v>370</v>
      </c>
      <c r="C759" t="s">
        <v>571</v>
      </c>
      <c r="D759" t="s">
        <v>571</v>
      </c>
    </row>
    <row r="760" spans="1:4">
      <c r="A760" s="2">
        <v>9.4767</v>
      </c>
      <c r="B760" t="s">
        <v>521</v>
      </c>
      <c r="C760" t="s">
        <v>571</v>
      </c>
      <c r="D760" t="s">
        <v>571</v>
      </c>
    </row>
    <row r="761" spans="1:4">
      <c r="A761" s="2">
        <v>4.7057</v>
      </c>
      <c r="B761" t="s">
        <v>522</v>
      </c>
      <c r="C761" t="s">
        <v>571</v>
      </c>
      <c r="D761" t="s">
        <v>571</v>
      </c>
    </row>
    <row r="762" spans="1:4">
      <c r="A762" s="2">
        <v>4.0938</v>
      </c>
      <c r="B762" t="s">
        <v>523</v>
      </c>
      <c r="C762" t="s">
        <v>571</v>
      </c>
      <c r="D762" t="s">
        <v>571</v>
      </c>
    </row>
    <row r="763" spans="1:4">
      <c r="A763" s="2">
        <v>5.4655</v>
      </c>
      <c r="B763" t="s">
        <v>524</v>
      </c>
      <c r="C763" t="s">
        <v>571</v>
      </c>
      <c r="D763" t="s">
        <v>571</v>
      </c>
    </row>
    <row r="764" spans="1:4">
      <c r="A764" s="2">
        <v>8.903500000000001</v>
      </c>
      <c r="B764" t="s">
        <v>525</v>
      </c>
      <c r="C764" t="s">
        <v>571</v>
      </c>
      <c r="D764" t="s">
        <v>571</v>
      </c>
    </row>
    <row r="765" spans="1:4">
      <c r="A765" s="2">
        <v>5.1292</v>
      </c>
      <c r="B765" t="s">
        <v>526</v>
      </c>
      <c r="C765" t="s">
        <v>571</v>
      </c>
      <c r="D765" t="s">
        <v>571</v>
      </c>
    </row>
    <row r="766" spans="1:4">
      <c r="A766" s="2">
        <v>0.8785802143735724</v>
      </c>
      <c r="B766" t="s">
        <v>527</v>
      </c>
      <c r="C766" t="s">
        <v>571</v>
      </c>
      <c r="D766" t="s">
        <v>571</v>
      </c>
    </row>
    <row r="767" spans="1:4">
      <c r="A767" s="2">
        <v>1.7367744624683037</v>
      </c>
      <c r="B767" t="s">
        <v>528</v>
      </c>
      <c r="C767" t="s">
        <v>571</v>
      </c>
      <c r="D767" t="s">
        <v>571</v>
      </c>
    </row>
    <row r="768" spans="1:4">
      <c r="A768" s="2">
        <v>0.08972230945224531</v>
      </c>
      <c r="B768" t="s">
        <v>529</v>
      </c>
      <c r="C768" t="s">
        <v>571</v>
      </c>
      <c r="D768" t="s">
        <v>571</v>
      </c>
    </row>
    <row r="769" spans="1:4">
      <c r="A769" s="2">
        <v>0.4220299641274531</v>
      </c>
      <c r="B769" t="s">
        <v>530</v>
      </c>
      <c r="C769" t="s">
        <v>571</v>
      </c>
      <c r="D769" t="s">
        <v>571</v>
      </c>
    </row>
    <row r="770" spans="1:4">
      <c r="A770" s="2">
        <v>0.004840974003969599</v>
      </c>
      <c r="B770" t="s">
        <v>531</v>
      </c>
      <c r="C770" t="s">
        <v>571</v>
      </c>
      <c r="D770" t="s">
        <v>571</v>
      </c>
    </row>
    <row r="771" spans="1:4">
      <c r="A771" s="2">
        <v>1.9094901661256445</v>
      </c>
      <c r="B771" t="s">
        <v>532</v>
      </c>
      <c r="C771" t="s">
        <v>571</v>
      </c>
      <c r="D771" t="s">
        <v>571</v>
      </c>
    </row>
    <row r="772" spans="1:4">
      <c r="A772" s="2">
        <v>1.8697530056279563</v>
      </c>
      <c r="B772" t="s">
        <v>533</v>
      </c>
      <c r="C772" t="s">
        <v>571</v>
      </c>
      <c r="D772" t="s">
        <v>571</v>
      </c>
    </row>
    <row r="773" spans="1:4">
      <c r="A773" s="2">
        <v>0.021216827490219043</v>
      </c>
      <c r="B773" t="s">
        <v>534</v>
      </c>
      <c r="C773" t="s">
        <v>571</v>
      </c>
      <c r="D773" t="s">
        <v>571</v>
      </c>
    </row>
    <row r="774" spans="1:4">
      <c r="A774" s="2">
        <v>1.9614381264343017</v>
      </c>
      <c r="B774" t="s">
        <v>535</v>
      </c>
      <c r="C774" t="s">
        <v>571</v>
      </c>
      <c r="D774" t="s">
        <v>571</v>
      </c>
    </row>
    <row r="775" spans="1:4">
      <c r="A775" s="2">
        <v>1.1076650420912717</v>
      </c>
      <c r="B775" t="s">
        <v>536</v>
      </c>
      <c r="C775" t="s">
        <v>571</v>
      </c>
      <c r="D775" t="s">
        <v>571</v>
      </c>
    </row>
    <row r="776" spans="1:4">
      <c r="A776" s="2">
        <v>0.7651109410864576</v>
      </c>
      <c r="B776" t="s">
        <v>537</v>
      </c>
      <c r="C776" t="s">
        <v>571</v>
      </c>
      <c r="D776" t="s">
        <v>571</v>
      </c>
    </row>
    <row r="777" spans="1:4">
      <c r="A777" s="2">
        <v>0.7016559079427448</v>
      </c>
      <c r="B777" t="s">
        <v>538</v>
      </c>
      <c r="C777" t="s">
        <v>571</v>
      </c>
      <c r="D777" t="s">
        <v>571</v>
      </c>
    </row>
    <row r="778" spans="1:4">
      <c r="A778" s="2">
        <v>0.16365594283825227</v>
      </c>
      <c r="B778" t="s">
        <v>539</v>
      </c>
      <c r="C778" t="s">
        <v>571</v>
      </c>
      <c r="D778" t="s">
        <v>571</v>
      </c>
    </row>
    <row r="779" spans="1:4">
      <c r="A779" s="2">
        <v>0.3913741145160659</v>
      </c>
      <c r="B779" t="s">
        <v>540</v>
      </c>
      <c r="C779" t="s">
        <v>571</v>
      </c>
      <c r="D779" t="s">
        <v>571</v>
      </c>
    </row>
    <row r="780" spans="1:4">
      <c r="A780" s="2">
        <v>0.22578969947391</v>
      </c>
      <c r="B780" t="s">
        <v>541</v>
      </c>
      <c r="C780" t="s">
        <v>571</v>
      </c>
      <c r="D780" t="s">
        <v>571</v>
      </c>
    </row>
    <row r="781" spans="1:4">
      <c r="A781" s="2">
        <v>1</v>
      </c>
      <c r="B781" t="s">
        <v>542</v>
      </c>
      <c r="C781" t="s">
        <v>571</v>
      </c>
      <c r="D781" t="s">
        <v>571</v>
      </c>
    </row>
    <row r="782" spans="1:4">
      <c r="A782" s="2">
        <v>7.0358</v>
      </c>
      <c r="B782" t="s">
        <v>364</v>
      </c>
      <c r="C782" t="s">
        <v>571</v>
      </c>
      <c r="D782" t="s">
        <v>572</v>
      </c>
    </row>
    <row r="783" spans="1:4">
      <c r="A783" s="2">
        <v>8.274700000000001</v>
      </c>
      <c r="B783" t="s">
        <v>373</v>
      </c>
      <c r="C783" t="s">
        <v>571</v>
      </c>
      <c r="D783" t="s">
        <v>572</v>
      </c>
    </row>
    <row r="784" spans="1:4">
      <c r="A784" s="2">
        <v>0.044998</v>
      </c>
      <c r="B784" t="s">
        <v>520</v>
      </c>
      <c r="C784" t="s">
        <v>571</v>
      </c>
      <c r="D784" t="s">
        <v>572</v>
      </c>
    </row>
    <row r="785" spans="1:4">
      <c r="A785" s="2">
        <v>0.90486</v>
      </c>
      <c r="B785" t="s">
        <v>370</v>
      </c>
      <c r="C785" t="s">
        <v>571</v>
      </c>
      <c r="D785" t="s">
        <v>572</v>
      </c>
    </row>
    <row r="786" spans="1:4">
      <c r="A786" s="2">
        <v>9.4767</v>
      </c>
      <c r="B786" t="s">
        <v>521</v>
      </c>
      <c r="C786" t="s">
        <v>571</v>
      </c>
      <c r="D786" t="s">
        <v>572</v>
      </c>
    </row>
    <row r="787" spans="1:4">
      <c r="A787" s="2">
        <v>4.7057</v>
      </c>
      <c r="B787" t="s">
        <v>522</v>
      </c>
      <c r="C787" t="s">
        <v>571</v>
      </c>
      <c r="D787" t="s">
        <v>572</v>
      </c>
    </row>
    <row r="788" spans="1:4">
      <c r="A788" s="2">
        <v>4.0938</v>
      </c>
      <c r="B788" t="s">
        <v>523</v>
      </c>
      <c r="C788" t="s">
        <v>571</v>
      </c>
      <c r="D788" t="s">
        <v>572</v>
      </c>
    </row>
    <row r="789" spans="1:4">
      <c r="A789" s="2">
        <v>5.4655</v>
      </c>
      <c r="B789" t="s">
        <v>524</v>
      </c>
      <c r="C789" t="s">
        <v>571</v>
      </c>
      <c r="D789" t="s">
        <v>572</v>
      </c>
    </row>
    <row r="790" spans="1:4">
      <c r="A790" s="2">
        <v>8.903500000000001</v>
      </c>
      <c r="B790" t="s">
        <v>525</v>
      </c>
      <c r="C790" t="s">
        <v>571</v>
      </c>
      <c r="D790" t="s">
        <v>572</v>
      </c>
    </row>
    <row r="791" spans="1:4">
      <c r="A791" s="2">
        <v>5.1292</v>
      </c>
      <c r="B791" t="s">
        <v>526</v>
      </c>
      <c r="C791" t="s">
        <v>571</v>
      </c>
      <c r="D791" t="s">
        <v>572</v>
      </c>
    </row>
    <row r="792" spans="1:4">
      <c r="A792" s="2">
        <v>0.8785802143735724</v>
      </c>
      <c r="B792" t="s">
        <v>527</v>
      </c>
      <c r="C792" t="s">
        <v>571</v>
      </c>
      <c r="D792" t="s">
        <v>572</v>
      </c>
    </row>
    <row r="793" spans="1:4">
      <c r="A793" s="2">
        <v>1.7367744624683037</v>
      </c>
      <c r="B793" t="s">
        <v>528</v>
      </c>
      <c r="C793" t="s">
        <v>571</v>
      </c>
      <c r="D793" t="s">
        <v>572</v>
      </c>
    </row>
    <row r="794" spans="1:4">
      <c r="A794" s="2">
        <v>0.08972230945224531</v>
      </c>
      <c r="B794" t="s">
        <v>529</v>
      </c>
      <c r="C794" t="s">
        <v>571</v>
      </c>
      <c r="D794" t="s">
        <v>572</v>
      </c>
    </row>
    <row r="795" spans="1:4">
      <c r="A795" s="2">
        <v>0.4220299641274531</v>
      </c>
      <c r="B795" t="s">
        <v>530</v>
      </c>
      <c r="C795" t="s">
        <v>571</v>
      </c>
      <c r="D795" t="s">
        <v>572</v>
      </c>
    </row>
    <row r="796" spans="1:4">
      <c r="A796" s="2">
        <v>0.004840974003969599</v>
      </c>
      <c r="B796" t="s">
        <v>531</v>
      </c>
      <c r="C796" t="s">
        <v>571</v>
      </c>
      <c r="D796" t="s">
        <v>572</v>
      </c>
    </row>
    <row r="797" spans="1:4">
      <c r="A797" s="2">
        <v>1.9094901661256445</v>
      </c>
      <c r="B797" t="s">
        <v>532</v>
      </c>
      <c r="C797" t="s">
        <v>571</v>
      </c>
      <c r="D797" t="s">
        <v>572</v>
      </c>
    </row>
    <row r="798" spans="1:4">
      <c r="A798" s="2">
        <v>1.8697530056279563</v>
      </c>
      <c r="B798" t="s">
        <v>533</v>
      </c>
      <c r="C798" t="s">
        <v>571</v>
      </c>
      <c r="D798" t="s">
        <v>572</v>
      </c>
    </row>
    <row r="799" spans="1:4">
      <c r="A799" s="2">
        <v>0.021216827490219043</v>
      </c>
      <c r="B799" t="s">
        <v>534</v>
      </c>
      <c r="C799" t="s">
        <v>571</v>
      </c>
      <c r="D799" t="s">
        <v>572</v>
      </c>
    </row>
    <row r="800" spans="1:4">
      <c r="A800" s="2">
        <v>1.9614381264343017</v>
      </c>
      <c r="B800" t="s">
        <v>535</v>
      </c>
      <c r="C800" t="s">
        <v>571</v>
      </c>
      <c r="D800" t="s">
        <v>572</v>
      </c>
    </row>
    <row r="801" spans="1:4">
      <c r="A801" s="2">
        <v>1.1076650420912717</v>
      </c>
      <c r="B801" t="s">
        <v>536</v>
      </c>
      <c r="C801" t="s">
        <v>571</v>
      </c>
      <c r="D801" t="s">
        <v>572</v>
      </c>
    </row>
    <row r="802" spans="1:4">
      <c r="A802" s="2">
        <v>0.7651109410864576</v>
      </c>
      <c r="B802" t="s">
        <v>537</v>
      </c>
      <c r="C802" t="s">
        <v>571</v>
      </c>
      <c r="D802" t="s">
        <v>572</v>
      </c>
    </row>
    <row r="803" spans="1:4">
      <c r="A803" s="2">
        <v>0.7016559079427448</v>
      </c>
      <c r="B803" t="s">
        <v>538</v>
      </c>
      <c r="C803" t="s">
        <v>571</v>
      </c>
      <c r="D803" t="s">
        <v>572</v>
      </c>
    </row>
    <row r="804" spans="1:4">
      <c r="A804" s="2">
        <v>0.16365594283825227</v>
      </c>
      <c r="B804" t="s">
        <v>539</v>
      </c>
      <c r="C804" t="s">
        <v>571</v>
      </c>
      <c r="D804" t="s">
        <v>572</v>
      </c>
    </row>
    <row r="805" spans="1:4">
      <c r="A805" s="2">
        <v>0.3913741145160659</v>
      </c>
      <c r="B805" t="s">
        <v>540</v>
      </c>
      <c r="C805" t="s">
        <v>571</v>
      </c>
      <c r="D805" t="s">
        <v>572</v>
      </c>
    </row>
    <row r="806" spans="1:4">
      <c r="A806" s="2">
        <v>0.22578969947391</v>
      </c>
      <c r="B806" t="s">
        <v>541</v>
      </c>
      <c r="C806" t="s">
        <v>571</v>
      </c>
      <c r="D806" t="s">
        <v>572</v>
      </c>
    </row>
    <row r="807" spans="1:4">
      <c r="A807" s="2">
        <v>1</v>
      </c>
      <c r="B807" t="s">
        <v>542</v>
      </c>
      <c r="C807" t="s">
        <v>572</v>
      </c>
      <c r="D807" t="s">
        <v>572</v>
      </c>
    </row>
    <row r="808" spans="1:4">
      <c r="A808" s="2">
        <v>7.0358</v>
      </c>
      <c r="B808" t="s">
        <v>364</v>
      </c>
      <c r="C808" t="s">
        <v>571</v>
      </c>
      <c r="D808" t="s">
        <v>573</v>
      </c>
    </row>
    <row r="809" spans="1:4">
      <c r="A809" s="2">
        <v>8.274700000000001</v>
      </c>
      <c r="B809" t="s">
        <v>373</v>
      </c>
      <c r="C809" t="s">
        <v>571</v>
      </c>
      <c r="D809" t="s">
        <v>573</v>
      </c>
    </row>
    <row r="810" spans="1:4">
      <c r="A810" s="2">
        <v>0.044998</v>
      </c>
      <c r="B810" t="s">
        <v>520</v>
      </c>
      <c r="C810" t="s">
        <v>571</v>
      </c>
      <c r="D810" t="s">
        <v>573</v>
      </c>
    </row>
    <row r="811" spans="1:4">
      <c r="A811" s="2">
        <v>0.90486</v>
      </c>
      <c r="B811" t="s">
        <v>370</v>
      </c>
      <c r="C811" t="s">
        <v>571</v>
      </c>
      <c r="D811" t="s">
        <v>573</v>
      </c>
    </row>
    <row r="812" spans="1:4">
      <c r="A812" s="2">
        <v>9.4767</v>
      </c>
      <c r="B812" t="s">
        <v>521</v>
      </c>
      <c r="C812" t="s">
        <v>571</v>
      </c>
      <c r="D812" t="s">
        <v>573</v>
      </c>
    </row>
    <row r="813" spans="1:4">
      <c r="A813" s="2">
        <v>4.7057</v>
      </c>
      <c r="B813" t="s">
        <v>522</v>
      </c>
      <c r="C813" t="s">
        <v>571</v>
      </c>
      <c r="D813" t="s">
        <v>573</v>
      </c>
    </row>
    <row r="814" spans="1:4">
      <c r="A814" s="2">
        <v>4.0938</v>
      </c>
      <c r="B814" t="s">
        <v>523</v>
      </c>
      <c r="C814" t="s">
        <v>571</v>
      </c>
      <c r="D814" t="s">
        <v>573</v>
      </c>
    </row>
    <row r="815" spans="1:4">
      <c r="A815" s="2">
        <v>5.4655</v>
      </c>
      <c r="B815" t="s">
        <v>524</v>
      </c>
      <c r="C815" t="s">
        <v>571</v>
      </c>
      <c r="D815" t="s">
        <v>573</v>
      </c>
    </row>
    <row r="816" spans="1:4">
      <c r="A816" s="2">
        <v>8.903500000000001</v>
      </c>
      <c r="B816" t="s">
        <v>525</v>
      </c>
      <c r="C816" t="s">
        <v>571</v>
      </c>
      <c r="D816" t="s">
        <v>573</v>
      </c>
    </row>
    <row r="817" spans="1:4">
      <c r="A817" s="2">
        <v>5.1292</v>
      </c>
      <c r="B817" t="s">
        <v>526</v>
      </c>
      <c r="C817" t="s">
        <v>571</v>
      </c>
      <c r="D817" t="s">
        <v>573</v>
      </c>
    </row>
    <row r="818" spans="1:4">
      <c r="A818" s="2">
        <v>0.8785802143735724</v>
      </c>
      <c r="B818" t="s">
        <v>527</v>
      </c>
      <c r="C818" t="s">
        <v>571</v>
      </c>
      <c r="D818" t="s">
        <v>573</v>
      </c>
    </row>
    <row r="819" spans="1:4">
      <c r="A819" s="2">
        <v>1.7367744624683037</v>
      </c>
      <c r="B819" t="s">
        <v>528</v>
      </c>
      <c r="C819" t="s">
        <v>571</v>
      </c>
      <c r="D819" t="s">
        <v>573</v>
      </c>
    </row>
    <row r="820" spans="1:4">
      <c r="A820" s="2">
        <v>0.08972230945224531</v>
      </c>
      <c r="B820" t="s">
        <v>529</v>
      </c>
      <c r="C820" t="s">
        <v>571</v>
      </c>
      <c r="D820" t="s">
        <v>573</v>
      </c>
    </row>
    <row r="821" spans="1:4">
      <c r="A821" s="2">
        <v>0.4220299641274531</v>
      </c>
      <c r="B821" t="s">
        <v>530</v>
      </c>
      <c r="C821" t="s">
        <v>571</v>
      </c>
      <c r="D821" t="s">
        <v>573</v>
      </c>
    </row>
    <row r="822" spans="1:4">
      <c r="A822" s="2">
        <v>0.004840974003969599</v>
      </c>
      <c r="B822" t="s">
        <v>531</v>
      </c>
      <c r="C822" t="s">
        <v>571</v>
      </c>
      <c r="D822" t="s">
        <v>573</v>
      </c>
    </row>
    <row r="823" spans="1:4">
      <c r="A823" s="2">
        <v>1.9094901661256445</v>
      </c>
      <c r="B823" t="s">
        <v>532</v>
      </c>
      <c r="C823" t="s">
        <v>571</v>
      </c>
      <c r="D823" t="s">
        <v>573</v>
      </c>
    </row>
    <row r="824" spans="1:4">
      <c r="A824" s="2">
        <v>1.8697530056279563</v>
      </c>
      <c r="B824" t="s">
        <v>533</v>
      </c>
      <c r="C824" t="s">
        <v>571</v>
      </c>
      <c r="D824" t="s">
        <v>573</v>
      </c>
    </row>
    <row r="825" spans="1:4">
      <c r="A825" s="2">
        <v>0.021216827490219043</v>
      </c>
      <c r="B825" t="s">
        <v>534</v>
      </c>
      <c r="C825" t="s">
        <v>571</v>
      </c>
      <c r="D825" t="s">
        <v>573</v>
      </c>
    </row>
    <row r="826" spans="1:4">
      <c r="A826" s="2">
        <v>1.9614381264343017</v>
      </c>
      <c r="B826" t="s">
        <v>535</v>
      </c>
      <c r="C826" t="s">
        <v>571</v>
      </c>
      <c r="D826" t="s">
        <v>573</v>
      </c>
    </row>
    <row r="827" spans="1:4">
      <c r="A827" s="2">
        <v>1.1076650420912717</v>
      </c>
      <c r="B827" t="s">
        <v>536</v>
      </c>
      <c r="C827" t="s">
        <v>571</v>
      </c>
      <c r="D827" t="s">
        <v>573</v>
      </c>
    </row>
    <row r="828" spans="1:4">
      <c r="A828" s="2">
        <v>0.7651109410864576</v>
      </c>
      <c r="B828" t="s">
        <v>537</v>
      </c>
      <c r="C828" t="s">
        <v>571</v>
      </c>
      <c r="D828" t="s">
        <v>573</v>
      </c>
    </row>
    <row r="829" spans="1:4">
      <c r="A829" s="2">
        <v>0.7016559079427448</v>
      </c>
      <c r="B829" t="s">
        <v>538</v>
      </c>
      <c r="C829" t="s">
        <v>571</v>
      </c>
      <c r="D829" t="s">
        <v>573</v>
      </c>
    </row>
    <row r="830" spans="1:4">
      <c r="A830" s="2">
        <v>0.16365594283825227</v>
      </c>
      <c r="B830" t="s">
        <v>539</v>
      </c>
      <c r="C830" t="s">
        <v>571</v>
      </c>
      <c r="D830" t="s">
        <v>573</v>
      </c>
    </row>
    <row r="831" spans="1:4">
      <c r="A831" s="2">
        <v>0.3913741145160659</v>
      </c>
      <c r="B831" t="s">
        <v>540</v>
      </c>
      <c r="C831" t="s">
        <v>571</v>
      </c>
      <c r="D831" t="s">
        <v>573</v>
      </c>
    </row>
    <row r="832" spans="1:4">
      <c r="A832" s="2">
        <v>0.22578969947391</v>
      </c>
      <c r="B832" t="s">
        <v>541</v>
      </c>
      <c r="C832" t="s">
        <v>571</v>
      </c>
      <c r="D832" t="s">
        <v>573</v>
      </c>
    </row>
    <row r="833" spans="1:4">
      <c r="A833" s="2">
        <v>1</v>
      </c>
      <c r="B833" t="s">
        <v>542</v>
      </c>
      <c r="C833" t="s">
        <v>573</v>
      </c>
      <c r="D833" t="s">
        <v>573</v>
      </c>
    </row>
    <row r="834" spans="1:4">
      <c r="A834" s="2">
        <v>7.033099999999999</v>
      </c>
      <c r="B834" t="s">
        <v>364</v>
      </c>
      <c r="C834" t="s">
        <v>574</v>
      </c>
      <c r="D834" t="s">
        <v>574</v>
      </c>
    </row>
    <row r="835" spans="1:4">
      <c r="A835" s="2">
        <v>8.263</v>
      </c>
      <c r="B835" t="s">
        <v>373</v>
      </c>
      <c r="C835" t="s">
        <v>574</v>
      </c>
      <c r="D835" t="s">
        <v>574</v>
      </c>
    </row>
    <row r="836" spans="1:4">
      <c r="A836" s="2">
        <v>0.044833</v>
      </c>
      <c r="B836" t="s">
        <v>520</v>
      </c>
      <c r="C836" t="s">
        <v>574</v>
      </c>
      <c r="D836" t="s">
        <v>574</v>
      </c>
    </row>
    <row r="837" spans="1:4">
      <c r="A837" s="2">
        <v>0.90494</v>
      </c>
      <c r="B837" t="s">
        <v>370</v>
      </c>
      <c r="C837" t="s">
        <v>574</v>
      </c>
      <c r="D837" t="s">
        <v>574</v>
      </c>
    </row>
    <row r="838" spans="1:4">
      <c r="A838" s="2">
        <v>9.4661</v>
      </c>
      <c r="B838" t="s">
        <v>521</v>
      </c>
      <c r="C838" t="s">
        <v>574</v>
      </c>
      <c r="D838" t="s">
        <v>574</v>
      </c>
    </row>
    <row r="839" spans="1:4">
      <c r="A839" s="2">
        <v>4.7061</v>
      </c>
      <c r="B839" t="s">
        <v>522</v>
      </c>
      <c r="C839" t="s">
        <v>574</v>
      </c>
      <c r="D839" t="s">
        <v>574</v>
      </c>
    </row>
    <row r="840" spans="1:4">
      <c r="A840" s="2">
        <v>4.0819</v>
      </c>
      <c r="B840" t="s">
        <v>523</v>
      </c>
      <c r="C840" t="s">
        <v>574</v>
      </c>
      <c r="D840" t="s">
        <v>574</v>
      </c>
    </row>
    <row r="841" spans="1:4">
      <c r="A841" s="2">
        <v>5.4633</v>
      </c>
      <c r="B841" t="s">
        <v>524</v>
      </c>
      <c r="C841" t="s">
        <v>574</v>
      </c>
      <c r="D841" t="s">
        <v>574</v>
      </c>
    </row>
    <row r="842" spans="1:4">
      <c r="A842" s="2">
        <v>8.8904</v>
      </c>
      <c r="B842" t="s">
        <v>525</v>
      </c>
      <c r="C842" t="s">
        <v>574</v>
      </c>
      <c r="D842" t="s">
        <v>574</v>
      </c>
    </row>
    <row r="843" spans="1:4">
      <c r="A843" s="2">
        <v>5.1305</v>
      </c>
      <c r="B843" t="s">
        <v>526</v>
      </c>
      <c r="C843" t="s">
        <v>574</v>
      </c>
      <c r="D843" t="s">
        <v>574</v>
      </c>
    </row>
    <row r="844" spans="1:4">
      <c r="A844" s="2">
        <v>0.8781944322472995</v>
      </c>
      <c r="B844" t="s">
        <v>527</v>
      </c>
      <c r="C844" t="s">
        <v>574</v>
      </c>
      <c r="D844" t="s">
        <v>574</v>
      </c>
    </row>
    <row r="845" spans="1:4">
      <c r="A845" s="2">
        <v>1.7358398861289035</v>
      </c>
      <c r="B845" t="s">
        <v>528</v>
      </c>
      <c r="C845" t="s">
        <v>574</v>
      </c>
      <c r="D845" t="s">
        <v>574</v>
      </c>
    </row>
    <row r="846" spans="1:4">
      <c r="A846" s="2">
        <v>0.0906947215672048</v>
      </c>
      <c r="B846" t="s">
        <v>529</v>
      </c>
      <c r="C846" t="s">
        <v>574</v>
      </c>
      <c r="D846" t="s">
        <v>574</v>
      </c>
    </row>
    <row r="847" spans="1:4">
      <c r="A847" s="2">
        <v>0.4211058238935445</v>
      </c>
      <c r="B847" t="s">
        <v>530</v>
      </c>
      <c r="C847" t="s">
        <v>574</v>
      </c>
      <c r="D847" t="s">
        <v>574</v>
      </c>
    </row>
    <row r="848" spans="1:4">
      <c r="A848" s="2">
        <v>0.004871395167575994</v>
      </c>
      <c r="B848" t="s">
        <v>531</v>
      </c>
      <c r="C848" t="s">
        <v>574</v>
      </c>
      <c r="D848" t="s">
        <v>574</v>
      </c>
    </row>
    <row r="849" spans="1:4">
      <c r="A849" s="2">
        <v>1.9088340841414064</v>
      </c>
      <c r="B849" t="s">
        <v>532</v>
      </c>
      <c r="C849" t="s">
        <v>574</v>
      </c>
      <c r="D849" t="s">
        <v>574</v>
      </c>
    </row>
    <row r="850" spans="1:4">
      <c r="A850" s="2">
        <v>1.8695083193120208</v>
      </c>
      <c r="B850" t="s">
        <v>533</v>
      </c>
      <c r="C850" t="s">
        <v>574</v>
      </c>
      <c r="D850" t="s">
        <v>574</v>
      </c>
    </row>
    <row r="851" spans="1:4">
      <c r="A851" s="2">
        <v>0.02133269619680692</v>
      </c>
      <c r="B851" t="s">
        <v>534</v>
      </c>
      <c r="C851" t="s">
        <v>574</v>
      </c>
      <c r="D851" t="s">
        <v>574</v>
      </c>
    </row>
    <row r="852" spans="1:4">
      <c r="A852" s="2">
        <v>1.9602846333287591</v>
      </c>
      <c r="B852" t="s">
        <v>535</v>
      </c>
      <c r="C852" t="s">
        <v>574</v>
      </c>
      <c r="D852" t="s">
        <v>574</v>
      </c>
    </row>
    <row r="853" spans="1:4">
      <c r="A853" s="2">
        <v>1.105583195135434</v>
      </c>
      <c r="B853" t="s">
        <v>536</v>
      </c>
      <c r="C853" t="s">
        <v>574</v>
      </c>
      <c r="D853" t="s">
        <v>574</v>
      </c>
    </row>
    <row r="854" spans="1:4">
      <c r="A854" s="2">
        <v>0.7659900421294522</v>
      </c>
      <c r="B854" t="s">
        <v>537</v>
      </c>
      <c r="C854" t="s">
        <v>574</v>
      </c>
      <c r="D854" t="s">
        <v>574</v>
      </c>
    </row>
    <row r="855" spans="1:4">
      <c r="A855" s="2">
        <v>0.7006726457399103</v>
      </c>
      <c r="B855" t="s">
        <v>538</v>
      </c>
      <c r="C855" t="s">
        <v>574</v>
      </c>
      <c r="D855" t="s">
        <v>574</v>
      </c>
    </row>
    <row r="856" spans="1:4">
      <c r="A856" s="2">
        <v>0.16341097533474738</v>
      </c>
      <c r="B856" t="s">
        <v>539</v>
      </c>
      <c r="C856" t="s">
        <v>574</v>
      </c>
      <c r="D856" t="s">
        <v>574</v>
      </c>
    </row>
    <row r="857" spans="1:4">
      <c r="A857" s="2">
        <v>0.3922030042750128</v>
      </c>
      <c r="B857" t="s">
        <v>540</v>
      </c>
      <c r="C857" t="s">
        <v>574</v>
      </c>
      <c r="D857" t="s">
        <v>574</v>
      </c>
    </row>
    <row r="858" spans="1:4">
      <c r="A858" s="2">
        <v>0.22565213466919395</v>
      </c>
      <c r="B858" t="s">
        <v>541</v>
      </c>
      <c r="C858" t="s">
        <v>574</v>
      </c>
      <c r="D858" t="s">
        <v>574</v>
      </c>
    </row>
    <row r="859" spans="1:4">
      <c r="A859" s="2">
        <v>1</v>
      </c>
      <c r="B859" t="s">
        <v>542</v>
      </c>
      <c r="C859" t="s">
        <v>574</v>
      </c>
      <c r="D859" t="s">
        <v>574</v>
      </c>
    </row>
    <row r="860" spans="1:4">
      <c r="A860" s="2">
        <v>7.034800000000001</v>
      </c>
      <c r="B860" t="s">
        <v>364</v>
      </c>
      <c r="C860" t="s">
        <v>575</v>
      </c>
      <c r="D860" t="s">
        <v>575</v>
      </c>
    </row>
    <row r="861" spans="1:4">
      <c r="A861" s="2">
        <v>8.268099999999999</v>
      </c>
      <c r="B861" t="s">
        <v>373</v>
      </c>
      <c r="C861" t="s">
        <v>575</v>
      </c>
      <c r="D861" t="s">
        <v>575</v>
      </c>
    </row>
    <row r="862" spans="1:4">
      <c r="A862" s="2">
        <v>0.044969</v>
      </c>
      <c r="B862" t="s">
        <v>520</v>
      </c>
      <c r="C862" t="s">
        <v>575</v>
      </c>
      <c r="D862" t="s">
        <v>575</v>
      </c>
    </row>
    <row r="863" spans="1:4">
      <c r="A863" s="2">
        <v>0.90447</v>
      </c>
      <c r="B863" t="s">
        <v>370</v>
      </c>
      <c r="C863" t="s">
        <v>575</v>
      </c>
      <c r="D863" t="s">
        <v>575</v>
      </c>
    </row>
    <row r="864" spans="1:4">
      <c r="A864" s="2">
        <v>9.4836</v>
      </c>
      <c r="B864" t="s">
        <v>521</v>
      </c>
      <c r="C864" t="s">
        <v>575</v>
      </c>
      <c r="D864" t="s">
        <v>575</v>
      </c>
    </row>
    <row r="865" spans="1:4">
      <c r="A865" s="2">
        <v>4.6986</v>
      </c>
      <c r="B865" t="s">
        <v>522</v>
      </c>
      <c r="C865" t="s">
        <v>575</v>
      </c>
      <c r="D865" t="s">
        <v>575</v>
      </c>
    </row>
    <row r="866" spans="1:4">
      <c r="A866" s="2">
        <v>4.0741000000000005</v>
      </c>
      <c r="B866" t="s">
        <v>523</v>
      </c>
      <c r="C866" t="s">
        <v>575</v>
      </c>
      <c r="D866" t="s">
        <v>575</v>
      </c>
    </row>
    <row r="867" spans="1:4">
      <c r="A867" s="2">
        <v>5.462999999999999</v>
      </c>
      <c r="B867" t="s">
        <v>524</v>
      </c>
      <c r="C867" t="s">
        <v>575</v>
      </c>
      <c r="D867" t="s">
        <v>575</v>
      </c>
    </row>
    <row r="868" spans="1:4">
      <c r="A868" s="2">
        <v>8.8995</v>
      </c>
      <c r="B868" t="s">
        <v>525</v>
      </c>
      <c r="C868" t="s">
        <v>575</v>
      </c>
      <c r="D868" t="s">
        <v>575</v>
      </c>
    </row>
    <row r="869" spans="1:4">
      <c r="A869" s="2">
        <v>5.1284</v>
      </c>
      <c r="B869" t="s">
        <v>526</v>
      </c>
      <c r="C869" t="s">
        <v>575</v>
      </c>
      <c r="D869" t="s">
        <v>575</v>
      </c>
    </row>
    <row r="870" spans="1:4">
      <c r="A870" s="2">
        <v>0.8777319406653208</v>
      </c>
      <c r="B870" t="s">
        <v>527</v>
      </c>
      <c r="C870" t="s">
        <v>575</v>
      </c>
      <c r="D870" t="s">
        <v>575</v>
      </c>
    </row>
    <row r="871" spans="1:4">
      <c r="A871" s="2">
        <v>1.7317516668109794</v>
      </c>
      <c r="B871" t="s">
        <v>528</v>
      </c>
      <c r="C871" t="s">
        <v>575</v>
      </c>
      <c r="D871" t="s">
        <v>575</v>
      </c>
    </row>
    <row r="872" spans="1:4">
      <c r="A872" s="2">
        <v>0.08951028920774443</v>
      </c>
      <c r="B872" t="s">
        <v>529</v>
      </c>
      <c r="C872" t="s">
        <v>575</v>
      </c>
      <c r="D872" t="s">
        <v>575</v>
      </c>
    </row>
    <row r="873" spans="1:4">
      <c r="A873" s="2">
        <v>0.42096400757735214</v>
      </c>
      <c r="B873" t="s">
        <v>530</v>
      </c>
      <c r="C873" t="s">
        <v>575</v>
      </c>
      <c r="D873" t="s">
        <v>575</v>
      </c>
    </row>
    <row r="874" spans="1:4">
      <c r="A874" s="2">
        <v>0.004889497359671426</v>
      </c>
      <c r="B874" t="s">
        <v>531</v>
      </c>
      <c r="C874" t="s">
        <v>575</v>
      </c>
      <c r="D874" t="s">
        <v>575</v>
      </c>
    </row>
    <row r="875" spans="1:4">
      <c r="A875" s="2">
        <v>1.9112419250028667</v>
      </c>
      <c r="B875" t="s">
        <v>532</v>
      </c>
      <c r="C875" t="s">
        <v>575</v>
      </c>
      <c r="D875" t="s">
        <v>575</v>
      </c>
    </row>
    <row r="876" spans="1:4">
      <c r="A876" s="2">
        <v>1.8719931110653512</v>
      </c>
      <c r="B876" t="s">
        <v>533</v>
      </c>
      <c r="C876" t="s">
        <v>575</v>
      </c>
      <c r="D876" t="s">
        <v>575</v>
      </c>
    </row>
    <row r="877" spans="1:4">
      <c r="A877" s="2">
        <v>0.02139531699301657</v>
      </c>
      <c r="B877" t="s">
        <v>534</v>
      </c>
      <c r="C877" t="s">
        <v>575</v>
      </c>
      <c r="D877" t="s">
        <v>575</v>
      </c>
    </row>
    <row r="878" spans="1:4">
      <c r="A878" s="2">
        <v>1.9557606931215896</v>
      </c>
      <c r="B878" t="s">
        <v>535</v>
      </c>
      <c r="C878" t="s">
        <v>575</v>
      </c>
      <c r="D878" t="s">
        <v>575</v>
      </c>
    </row>
    <row r="879" spans="1:4">
      <c r="A879" s="2">
        <v>1.1068068622025458</v>
      </c>
      <c r="B879" t="s">
        <v>536</v>
      </c>
      <c r="C879" t="s">
        <v>575</v>
      </c>
      <c r="D879" t="s">
        <v>575</v>
      </c>
    </row>
    <row r="880" spans="1:4">
      <c r="A880" s="2">
        <v>0.7648183556405354</v>
      </c>
      <c r="B880" t="s">
        <v>537</v>
      </c>
      <c r="C880" t="s">
        <v>575</v>
      </c>
      <c r="D880" t="s">
        <v>575</v>
      </c>
    </row>
    <row r="881" spans="1:4">
      <c r="A881" s="2">
        <v>0.6991051454138703</v>
      </c>
      <c r="B881" t="s">
        <v>538</v>
      </c>
      <c r="C881" t="s">
        <v>575</v>
      </c>
      <c r="D881" t="s">
        <v>575</v>
      </c>
    </row>
    <row r="882" spans="1:4">
      <c r="A882" s="2">
        <v>0.16352454258097326</v>
      </c>
      <c r="B882" t="s">
        <v>539</v>
      </c>
      <c r="C882" t="s">
        <v>575</v>
      </c>
      <c r="D882" t="s">
        <v>575</v>
      </c>
    </row>
    <row r="883" spans="1:4">
      <c r="A883" s="2">
        <v>0.39080819133969047</v>
      </c>
      <c r="B883" t="s">
        <v>540</v>
      </c>
      <c r="C883" t="s">
        <v>575</v>
      </c>
      <c r="D883" t="s">
        <v>575</v>
      </c>
    </row>
    <row r="884" spans="1:4">
      <c r="A884" s="2">
        <v>0.22197558268590456</v>
      </c>
      <c r="B884" t="s">
        <v>541</v>
      </c>
      <c r="C884" t="s">
        <v>575</v>
      </c>
      <c r="D884" t="s">
        <v>575</v>
      </c>
    </row>
    <row r="885" spans="1:4">
      <c r="A885" s="2">
        <v>1</v>
      </c>
      <c r="B885" t="s">
        <v>542</v>
      </c>
      <c r="C885" t="s">
        <v>575</v>
      </c>
      <c r="D885" t="s">
        <v>575</v>
      </c>
    </row>
    <row r="886" spans="1:4">
      <c r="A886" s="2">
        <v>7.0288</v>
      </c>
      <c r="B886" t="s">
        <v>364</v>
      </c>
      <c r="C886" t="s">
        <v>576</v>
      </c>
      <c r="D886" t="s">
        <v>576</v>
      </c>
    </row>
    <row r="887" spans="1:4">
      <c r="A887" s="2">
        <v>8.2355</v>
      </c>
      <c r="B887" t="s">
        <v>373</v>
      </c>
      <c r="C887" t="s">
        <v>576</v>
      </c>
      <c r="D887" t="s">
        <v>576</v>
      </c>
    </row>
    <row r="888" spans="1:4">
      <c r="A888" s="2">
        <v>0.044797</v>
      </c>
      <c r="B888" t="s">
        <v>520</v>
      </c>
      <c r="C888" t="s">
        <v>576</v>
      </c>
      <c r="D888" t="s">
        <v>576</v>
      </c>
    </row>
    <row r="889" spans="1:4">
      <c r="A889" s="2">
        <v>0.90322</v>
      </c>
      <c r="B889" t="s">
        <v>370</v>
      </c>
      <c r="C889" t="s">
        <v>576</v>
      </c>
      <c r="D889" t="s">
        <v>576</v>
      </c>
    </row>
    <row r="890" spans="1:4">
      <c r="A890" s="2">
        <v>9.4346</v>
      </c>
      <c r="B890" t="s">
        <v>521</v>
      </c>
      <c r="C890" t="s">
        <v>576</v>
      </c>
      <c r="D890" t="s">
        <v>576</v>
      </c>
    </row>
    <row r="891" spans="1:4">
      <c r="A891" s="2">
        <v>4.6892000000000005</v>
      </c>
      <c r="B891" t="s">
        <v>522</v>
      </c>
      <c r="C891" t="s">
        <v>576</v>
      </c>
      <c r="D891" t="s">
        <v>576</v>
      </c>
    </row>
    <row r="892" spans="1:4">
      <c r="A892" s="2">
        <v>4.052</v>
      </c>
      <c r="B892" t="s">
        <v>523</v>
      </c>
      <c r="C892" t="s">
        <v>576</v>
      </c>
      <c r="D892" t="s">
        <v>576</v>
      </c>
    </row>
    <row r="893" spans="1:4">
      <c r="A893" s="2">
        <v>5.458600000000001</v>
      </c>
      <c r="B893" t="s">
        <v>524</v>
      </c>
      <c r="C893" t="s">
        <v>576</v>
      </c>
      <c r="D893" t="s">
        <v>576</v>
      </c>
    </row>
    <row r="894" spans="1:4">
      <c r="A894" s="2">
        <v>8.851</v>
      </c>
      <c r="B894" t="s">
        <v>525</v>
      </c>
      <c r="C894" t="s">
        <v>576</v>
      </c>
      <c r="D894" t="s">
        <v>576</v>
      </c>
    </row>
    <row r="895" spans="1:4">
      <c r="A895" s="2">
        <v>5.1142</v>
      </c>
      <c r="B895" t="s">
        <v>526</v>
      </c>
      <c r="C895" t="s">
        <v>576</v>
      </c>
      <c r="D895" t="s">
        <v>576</v>
      </c>
    </row>
    <row r="896" spans="1:4">
      <c r="A896" s="2">
        <v>0.8762705923589204</v>
      </c>
      <c r="B896" t="s">
        <v>527</v>
      </c>
      <c r="C896" t="s">
        <v>576</v>
      </c>
      <c r="D896" t="s">
        <v>576</v>
      </c>
    </row>
    <row r="897" spans="1:4">
      <c r="A897" s="2">
        <v>1.7319316233395106</v>
      </c>
      <c r="B897" t="s">
        <v>528</v>
      </c>
      <c r="C897" t="s">
        <v>576</v>
      </c>
      <c r="D897" t="s">
        <v>576</v>
      </c>
    </row>
    <row r="898" spans="1:4">
      <c r="A898" s="2">
        <v>0.08805297266835728</v>
      </c>
      <c r="B898" t="s">
        <v>529</v>
      </c>
      <c r="C898" t="s">
        <v>576</v>
      </c>
      <c r="D898" t="s">
        <v>576</v>
      </c>
    </row>
    <row r="899" spans="1:4">
      <c r="A899" s="2">
        <v>0.4224400135180804</v>
      </c>
      <c r="B899" t="s">
        <v>530</v>
      </c>
      <c r="C899" t="s">
        <v>576</v>
      </c>
      <c r="D899" t="s">
        <v>576</v>
      </c>
    </row>
    <row r="900" spans="1:4">
      <c r="A900" s="2">
        <v>0.004860267314702308</v>
      </c>
      <c r="B900" t="s">
        <v>531</v>
      </c>
      <c r="C900" t="s">
        <v>576</v>
      </c>
      <c r="D900" t="s">
        <v>576</v>
      </c>
    </row>
    <row r="901" spans="1:4">
      <c r="A901" s="2">
        <v>1.907086734304676</v>
      </c>
      <c r="B901" t="s">
        <v>532</v>
      </c>
      <c r="C901" t="s">
        <v>576</v>
      </c>
      <c r="D901" t="s">
        <v>576</v>
      </c>
    </row>
    <row r="902" spans="1:4">
      <c r="A902" s="2">
        <v>1.8680415452439665</v>
      </c>
      <c r="B902" t="s">
        <v>533</v>
      </c>
      <c r="C902" t="s">
        <v>576</v>
      </c>
      <c r="D902" t="s">
        <v>576</v>
      </c>
    </row>
    <row r="903" spans="1:4">
      <c r="A903" s="2">
        <v>0.021338750530801417</v>
      </c>
      <c r="B903" t="s">
        <v>534</v>
      </c>
      <c r="C903" t="s">
        <v>576</v>
      </c>
      <c r="D903" t="s">
        <v>576</v>
      </c>
    </row>
    <row r="904" spans="1:4">
      <c r="A904" s="2">
        <v>1.9497358107976368</v>
      </c>
      <c r="B904" t="s">
        <v>535</v>
      </c>
      <c r="C904" t="s">
        <v>576</v>
      </c>
      <c r="D904" t="s">
        <v>576</v>
      </c>
    </row>
    <row r="905" spans="1:4">
      <c r="A905" s="2">
        <v>1.1018069634200087</v>
      </c>
      <c r="B905" t="s">
        <v>536</v>
      </c>
      <c r="C905" t="s">
        <v>576</v>
      </c>
      <c r="D905" t="s">
        <v>576</v>
      </c>
    </row>
    <row r="906" spans="1:4">
      <c r="A906" s="2">
        <v>0.7616726331022927</v>
      </c>
      <c r="B906" t="s">
        <v>537</v>
      </c>
      <c r="C906" t="s">
        <v>576</v>
      </c>
      <c r="D906" t="s">
        <v>576</v>
      </c>
    </row>
    <row r="907" spans="1:4">
      <c r="A907" s="2">
        <v>0.6968155529231412</v>
      </c>
      <c r="B907" t="s">
        <v>538</v>
      </c>
      <c r="C907" t="s">
        <v>576</v>
      </c>
      <c r="D907" t="s">
        <v>576</v>
      </c>
    </row>
    <row r="908" spans="1:4">
      <c r="A908" s="2">
        <v>0.16314358103423243</v>
      </c>
      <c r="B908" t="s">
        <v>539</v>
      </c>
      <c r="C908" t="s">
        <v>576</v>
      </c>
      <c r="D908" t="s">
        <v>576</v>
      </c>
    </row>
    <row r="909" spans="1:4">
      <c r="A909" s="2">
        <v>0.38987874770946235</v>
      </c>
      <c r="B909" t="s">
        <v>540</v>
      </c>
      <c r="C909" t="s">
        <v>576</v>
      </c>
      <c r="D909" t="s">
        <v>576</v>
      </c>
    </row>
    <row r="910" spans="1:4">
      <c r="A910" s="2">
        <v>0.22251891410769917</v>
      </c>
      <c r="B910" t="s">
        <v>541</v>
      </c>
      <c r="C910" t="s">
        <v>576</v>
      </c>
      <c r="D910" t="s">
        <v>576</v>
      </c>
    </row>
    <row r="911" spans="1:4">
      <c r="A911" s="2">
        <v>1</v>
      </c>
      <c r="B911" t="s">
        <v>542</v>
      </c>
      <c r="C911" t="s">
        <v>576</v>
      </c>
      <c r="D911" t="s">
        <v>576</v>
      </c>
    </row>
    <row r="912" spans="1:4">
      <c r="A912" s="2">
        <v>7.0288</v>
      </c>
      <c r="B912" t="s">
        <v>364</v>
      </c>
      <c r="C912" t="s">
        <v>576</v>
      </c>
      <c r="D912" t="s">
        <v>436</v>
      </c>
    </row>
    <row r="913" spans="1:4">
      <c r="A913" s="2">
        <v>8.2355</v>
      </c>
      <c r="B913" t="s">
        <v>373</v>
      </c>
      <c r="C913" t="s">
        <v>576</v>
      </c>
      <c r="D913" t="s">
        <v>436</v>
      </c>
    </row>
    <row r="914" spans="1:4">
      <c r="A914" s="2">
        <v>0.044797</v>
      </c>
      <c r="B914" t="s">
        <v>520</v>
      </c>
      <c r="C914" t="s">
        <v>576</v>
      </c>
      <c r="D914" t="s">
        <v>436</v>
      </c>
    </row>
    <row r="915" spans="1:4">
      <c r="A915" s="2">
        <v>0.90322</v>
      </c>
      <c r="B915" t="s">
        <v>370</v>
      </c>
      <c r="C915" t="s">
        <v>576</v>
      </c>
      <c r="D915" t="s">
        <v>436</v>
      </c>
    </row>
    <row r="916" spans="1:4">
      <c r="A916" s="2">
        <v>9.4346</v>
      </c>
      <c r="B916" t="s">
        <v>521</v>
      </c>
      <c r="C916" t="s">
        <v>576</v>
      </c>
      <c r="D916" t="s">
        <v>436</v>
      </c>
    </row>
    <row r="917" spans="1:4">
      <c r="A917" s="2">
        <v>4.6892000000000005</v>
      </c>
      <c r="B917" t="s">
        <v>522</v>
      </c>
      <c r="C917" t="s">
        <v>576</v>
      </c>
      <c r="D917" t="s">
        <v>436</v>
      </c>
    </row>
    <row r="918" spans="1:4">
      <c r="A918" s="2">
        <v>4.052</v>
      </c>
      <c r="B918" t="s">
        <v>523</v>
      </c>
      <c r="C918" t="s">
        <v>576</v>
      </c>
      <c r="D918" t="s">
        <v>436</v>
      </c>
    </row>
    <row r="919" spans="1:4">
      <c r="A919" s="2">
        <v>5.458600000000001</v>
      </c>
      <c r="B919" t="s">
        <v>524</v>
      </c>
      <c r="C919" t="s">
        <v>576</v>
      </c>
      <c r="D919" t="s">
        <v>436</v>
      </c>
    </row>
    <row r="920" spans="1:4">
      <c r="A920" s="2">
        <v>8.851</v>
      </c>
      <c r="B920" t="s">
        <v>525</v>
      </c>
      <c r="C920" t="s">
        <v>576</v>
      </c>
      <c r="D920" t="s">
        <v>436</v>
      </c>
    </row>
    <row r="921" spans="1:4">
      <c r="A921" s="2">
        <v>5.1142</v>
      </c>
      <c r="B921" t="s">
        <v>526</v>
      </c>
      <c r="C921" t="s">
        <v>576</v>
      </c>
      <c r="D921" t="s">
        <v>436</v>
      </c>
    </row>
    <row r="922" spans="1:4">
      <c r="A922" s="2">
        <v>0.8762705923589204</v>
      </c>
      <c r="B922" t="s">
        <v>527</v>
      </c>
      <c r="C922" t="s">
        <v>576</v>
      </c>
      <c r="D922" t="s">
        <v>436</v>
      </c>
    </row>
    <row r="923" spans="1:4">
      <c r="A923" s="2">
        <v>1.7319316233395106</v>
      </c>
      <c r="B923" t="s">
        <v>528</v>
      </c>
      <c r="C923" t="s">
        <v>576</v>
      </c>
      <c r="D923" t="s">
        <v>436</v>
      </c>
    </row>
    <row r="924" spans="1:4">
      <c r="A924" s="2">
        <v>0.08805297266835728</v>
      </c>
      <c r="B924" t="s">
        <v>529</v>
      </c>
      <c r="C924" t="s">
        <v>576</v>
      </c>
      <c r="D924" t="s">
        <v>436</v>
      </c>
    </row>
    <row r="925" spans="1:4">
      <c r="A925" s="2">
        <v>0.4224400135180804</v>
      </c>
      <c r="B925" t="s">
        <v>530</v>
      </c>
      <c r="C925" t="s">
        <v>576</v>
      </c>
      <c r="D925" t="s">
        <v>436</v>
      </c>
    </row>
    <row r="926" spans="1:4">
      <c r="A926" s="2">
        <v>0.004860267314702308</v>
      </c>
      <c r="B926" t="s">
        <v>531</v>
      </c>
      <c r="C926" t="s">
        <v>576</v>
      </c>
      <c r="D926" t="s">
        <v>436</v>
      </c>
    </row>
    <row r="927" spans="1:4">
      <c r="A927" s="2">
        <v>1.907086734304676</v>
      </c>
      <c r="B927" t="s">
        <v>532</v>
      </c>
      <c r="C927" t="s">
        <v>576</v>
      </c>
      <c r="D927" t="s">
        <v>436</v>
      </c>
    </row>
    <row r="928" spans="1:4">
      <c r="A928" s="2">
        <v>1.8680415452439665</v>
      </c>
      <c r="B928" t="s">
        <v>533</v>
      </c>
      <c r="C928" t="s">
        <v>576</v>
      </c>
      <c r="D928" t="s">
        <v>436</v>
      </c>
    </row>
    <row r="929" spans="1:4">
      <c r="A929" s="2">
        <v>0.021338750530801417</v>
      </c>
      <c r="B929" t="s">
        <v>534</v>
      </c>
      <c r="C929" t="s">
        <v>576</v>
      </c>
      <c r="D929" t="s">
        <v>436</v>
      </c>
    </row>
    <row r="930" spans="1:4">
      <c r="A930" s="2">
        <v>1.9497358107976368</v>
      </c>
      <c r="B930" t="s">
        <v>535</v>
      </c>
      <c r="C930" t="s">
        <v>576</v>
      </c>
      <c r="D930" t="s">
        <v>436</v>
      </c>
    </row>
    <row r="931" spans="1:4">
      <c r="A931" s="2">
        <v>1.1018069634200087</v>
      </c>
      <c r="B931" t="s">
        <v>536</v>
      </c>
      <c r="C931" t="s">
        <v>576</v>
      </c>
      <c r="D931" t="s">
        <v>436</v>
      </c>
    </row>
    <row r="932" spans="1:4">
      <c r="A932" s="2">
        <v>0.7616726331022927</v>
      </c>
      <c r="B932" t="s">
        <v>537</v>
      </c>
      <c r="C932" t="s">
        <v>576</v>
      </c>
      <c r="D932" t="s">
        <v>436</v>
      </c>
    </row>
    <row r="933" spans="1:4">
      <c r="A933" s="2">
        <v>0.6968155529231412</v>
      </c>
      <c r="B933" t="s">
        <v>538</v>
      </c>
      <c r="C933" t="s">
        <v>576</v>
      </c>
      <c r="D933" t="s">
        <v>436</v>
      </c>
    </row>
    <row r="934" spans="1:4">
      <c r="A934" s="2">
        <v>0.16314358103423243</v>
      </c>
      <c r="B934" t="s">
        <v>539</v>
      </c>
      <c r="C934" t="s">
        <v>576</v>
      </c>
      <c r="D934" t="s">
        <v>436</v>
      </c>
    </row>
    <row r="935" spans="1:4">
      <c r="A935" s="2">
        <v>0.38987874770946235</v>
      </c>
      <c r="B935" t="s">
        <v>540</v>
      </c>
      <c r="C935" t="s">
        <v>576</v>
      </c>
      <c r="D935" t="s">
        <v>436</v>
      </c>
    </row>
    <row r="936" spans="1:4">
      <c r="A936" s="2">
        <v>0.22251891410769917</v>
      </c>
      <c r="B936" t="s">
        <v>541</v>
      </c>
      <c r="C936" t="s">
        <v>576</v>
      </c>
      <c r="D936" t="s">
        <v>436</v>
      </c>
    </row>
    <row r="937" spans="1:4">
      <c r="A937" s="2">
        <v>1</v>
      </c>
      <c r="B937" t="s">
        <v>542</v>
      </c>
      <c r="C937" t="s">
        <v>436</v>
      </c>
      <c r="D937" t="s">
        <v>436</v>
      </c>
    </row>
    <row r="938" spans="1:4">
      <c r="A938" s="2">
        <v>7.0288</v>
      </c>
      <c r="B938" t="s">
        <v>364</v>
      </c>
      <c r="C938" t="s">
        <v>576</v>
      </c>
      <c r="D938" t="s">
        <v>577</v>
      </c>
    </row>
    <row r="939" spans="1:4">
      <c r="A939" s="2">
        <v>8.2355</v>
      </c>
      <c r="B939" t="s">
        <v>373</v>
      </c>
      <c r="C939" t="s">
        <v>576</v>
      </c>
      <c r="D939" t="s">
        <v>577</v>
      </c>
    </row>
    <row r="940" spans="1:4">
      <c r="A940" s="2">
        <v>0.044797</v>
      </c>
      <c r="B940" t="s">
        <v>520</v>
      </c>
      <c r="C940" t="s">
        <v>576</v>
      </c>
      <c r="D940" t="s">
        <v>577</v>
      </c>
    </row>
    <row r="941" spans="1:4">
      <c r="A941" s="2">
        <v>0.90322</v>
      </c>
      <c r="B941" t="s">
        <v>370</v>
      </c>
      <c r="C941" t="s">
        <v>576</v>
      </c>
      <c r="D941" t="s">
        <v>577</v>
      </c>
    </row>
    <row r="942" spans="1:4">
      <c r="A942" s="2">
        <v>9.4346</v>
      </c>
      <c r="B942" t="s">
        <v>521</v>
      </c>
      <c r="C942" t="s">
        <v>576</v>
      </c>
      <c r="D942" t="s">
        <v>577</v>
      </c>
    </row>
    <row r="943" spans="1:4">
      <c r="A943" s="2">
        <v>4.6892000000000005</v>
      </c>
      <c r="B943" t="s">
        <v>522</v>
      </c>
      <c r="C943" t="s">
        <v>576</v>
      </c>
      <c r="D943" t="s">
        <v>577</v>
      </c>
    </row>
    <row r="944" spans="1:4">
      <c r="A944" s="2">
        <v>4.052</v>
      </c>
      <c r="B944" t="s">
        <v>523</v>
      </c>
      <c r="C944" t="s">
        <v>576</v>
      </c>
      <c r="D944" t="s">
        <v>577</v>
      </c>
    </row>
    <row r="945" spans="1:4">
      <c r="A945" s="2">
        <v>5.458600000000001</v>
      </c>
      <c r="B945" t="s">
        <v>524</v>
      </c>
      <c r="C945" t="s">
        <v>576</v>
      </c>
      <c r="D945" t="s">
        <v>577</v>
      </c>
    </row>
    <row r="946" spans="1:4">
      <c r="A946" s="2">
        <v>8.851</v>
      </c>
      <c r="B946" t="s">
        <v>525</v>
      </c>
      <c r="C946" t="s">
        <v>576</v>
      </c>
      <c r="D946" t="s">
        <v>577</v>
      </c>
    </row>
    <row r="947" spans="1:4">
      <c r="A947" s="2">
        <v>5.1142</v>
      </c>
      <c r="B947" t="s">
        <v>526</v>
      </c>
      <c r="C947" t="s">
        <v>576</v>
      </c>
      <c r="D947" t="s">
        <v>577</v>
      </c>
    </row>
    <row r="948" spans="1:4">
      <c r="A948" s="2">
        <v>0.8762705923589204</v>
      </c>
      <c r="B948" t="s">
        <v>527</v>
      </c>
      <c r="C948" t="s">
        <v>576</v>
      </c>
      <c r="D948" t="s">
        <v>577</v>
      </c>
    </row>
    <row r="949" spans="1:4">
      <c r="A949" s="2">
        <v>1.7319316233395106</v>
      </c>
      <c r="B949" t="s">
        <v>528</v>
      </c>
      <c r="C949" t="s">
        <v>576</v>
      </c>
      <c r="D949" t="s">
        <v>577</v>
      </c>
    </row>
    <row r="950" spans="1:4">
      <c r="A950" s="2">
        <v>0.08805297266835728</v>
      </c>
      <c r="B950" t="s">
        <v>529</v>
      </c>
      <c r="C950" t="s">
        <v>576</v>
      </c>
      <c r="D950" t="s">
        <v>577</v>
      </c>
    </row>
    <row r="951" spans="1:4">
      <c r="A951" s="2">
        <v>0.4224400135180804</v>
      </c>
      <c r="B951" t="s">
        <v>530</v>
      </c>
      <c r="C951" t="s">
        <v>576</v>
      </c>
      <c r="D951" t="s">
        <v>577</v>
      </c>
    </row>
    <row r="952" spans="1:4">
      <c r="A952" s="2">
        <v>0.004860267314702308</v>
      </c>
      <c r="B952" t="s">
        <v>531</v>
      </c>
      <c r="C952" t="s">
        <v>576</v>
      </c>
      <c r="D952" t="s">
        <v>577</v>
      </c>
    </row>
    <row r="953" spans="1:4">
      <c r="A953" s="2">
        <v>1.907086734304676</v>
      </c>
      <c r="B953" t="s">
        <v>532</v>
      </c>
      <c r="C953" t="s">
        <v>576</v>
      </c>
      <c r="D953" t="s">
        <v>577</v>
      </c>
    </row>
    <row r="954" spans="1:4">
      <c r="A954" s="2">
        <v>1.8680415452439665</v>
      </c>
      <c r="B954" t="s">
        <v>533</v>
      </c>
      <c r="C954" t="s">
        <v>576</v>
      </c>
      <c r="D954" t="s">
        <v>577</v>
      </c>
    </row>
    <row r="955" spans="1:4">
      <c r="A955" s="2">
        <v>0.021338750530801417</v>
      </c>
      <c r="B955" t="s">
        <v>534</v>
      </c>
      <c r="C955" t="s">
        <v>576</v>
      </c>
      <c r="D955" t="s">
        <v>577</v>
      </c>
    </row>
    <row r="956" spans="1:4">
      <c r="A956" s="2">
        <v>1.9497358107976368</v>
      </c>
      <c r="B956" t="s">
        <v>535</v>
      </c>
      <c r="C956" t="s">
        <v>576</v>
      </c>
      <c r="D956" t="s">
        <v>577</v>
      </c>
    </row>
    <row r="957" spans="1:4">
      <c r="A957" s="2">
        <v>1.1018069634200087</v>
      </c>
      <c r="B957" t="s">
        <v>536</v>
      </c>
      <c r="C957" t="s">
        <v>576</v>
      </c>
      <c r="D957" t="s">
        <v>577</v>
      </c>
    </row>
    <row r="958" spans="1:4">
      <c r="A958" s="2">
        <v>0.7616726331022927</v>
      </c>
      <c r="B958" t="s">
        <v>537</v>
      </c>
      <c r="C958" t="s">
        <v>576</v>
      </c>
      <c r="D958" t="s">
        <v>577</v>
      </c>
    </row>
    <row r="959" spans="1:4">
      <c r="A959" s="2">
        <v>0.6968155529231412</v>
      </c>
      <c r="B959" t="s">
        <v>538</v>
      </c>
      <c r="C959" t="s">
        <v>576</v>
      </c>
      <c r="D959" t="s">
        <v>577</v>
      </c>
    </row>
    <row r="960" spans="1:4">
      <c r="A960" s="2">
        <v>0.16314358103423243</v>
      </c>
      <c r="B960" t="s">
        <v>539</v>
      </c>
      <c r="C960" t="s">
        <v>576</v>
      </c>
      <c r="D960" t="s">
        <v>577</v>
      </c>
    </row>
    <row r="961" spans="1:4">
      <c r="A961" s="2">
        <v>0.38987874770946235</v>
      </c>
      <c r="B961" t="s">
        <v>540</v>
      </c>
      <c r="C961" t="s">
        <v>576</v>
      </c>
      <c r="D961" t="s">
        <v>577</v>
      </c>
    </row>
    <row r="962" spans="1:4">
      <c r="A962" s="2">
        <v>0.22251891410769917</v>
      </c>
      <c r="B962" t="s">
        <v>541</v>
      </c>
      <c r="C962" t="s">
        <v>576</v>
      </c>
      <c r="D962" t="s">
        <v>577</v>
      </c>
    </row>
    <row r="963" spans="1:4">
      <c r="A963" s="2">
        <v>1</v>
      </c>
      <c r="B963" t="s">
        <v>542</v>
      </c>
      <c r="C963" t="s">
        <v>577</v>
      </c>
      <c r="D963" t="s">
        <v>577</v>
      </c>
    </row>
    <row r="964" spans="1:4">
      <c r="A964" s="2">
        <v>7.0288</v>
      </c>
      <c r="B964" t="s">
        <v>364</v>
      </c>
      <c r="C964" t="s">
        <v>576</v>
      </c>
      <c r="D964" t="s">
        <v>578</v>
      </c>
    </row>
    <row r="965" spans="1:4">
      <c r="A965" s="2">
        <v>8.2355</v>
      </c>
      <c r="B965" t="s">
        <v>373</v>
      </c>
      <c r="C965" t="s">
        <v>576</v>
      </c>
      <c r="D965" t="s">
        <v>578</v>
      </c>
    </row>
    <row r="966" spans="1:4">
      <c r="A966" s="2">
        <v>0.044797</v>
      </c>
      <c r="B966" t="s">
        <v>520</v>
      </c>
      <c r="C966" t="s">
        <v>576</v>
      </c>
      <c r="D966" t="s">
        <v>578</v>
      </c>
    </row>
    <row r="967" spans="1:4">
      <c r="A967" s="2">
        <v>0.90322</v>
      </c>
      <c r="B967" t="s">
        <v>370</v>
      </c>
      <c r="C967" t="s">
        <v>576</v>
      </c>
      <c r="D967" t="s">
        <v>578</v>
      </c>
    </row>
    <row r="968" spans="1:4">
      <c r="A968" s="2">
        <v>9.4346</v>
      </c>
      <c r="B968" t="s">
        <v>521</v>
      </c>
      <c r="C968" t="s">
        <v>576</v>
      </c>
      <c r="D968" t="s">
        <v>578</v>
      </c>
    </row>
    <row r="969" spans="1:4">
      <c r="A969" s="2">
        <v>4.6892000000000005</v>
      </c>
      <c r="B969" t="s">
        <v>522</v>
      </c>
      <c r="C969" t="s">
        <v>576</v>
      </c>
      <c r="D969" t="s">
        <v>578</v>
      </c>
    </row>
    <row r="970" spans="1:4">
      <c r="A970" s="2">
        <v>4.052</v>
      </c>
      <c r="B970" t="s">
        <v>523</v>
      </c>
      <c r="C970" t="s">
        <v>576</v>
      </c>
      <c r="D970" t="s">
        <v>578</v>
      </c>
    </row>
    <row r="971" spans="1:4">
      <c r="A971" s="2">
        <v>5.458600000000001</v>
      </c>
      <c r="B971" t="s">
        <v>524</v>
      </c>
      <c r="C971" t="s">
        <v>576</v>
      </c>
      <c r="D971" t="s">
        <v>578</v>
      </c>
    </row>
    <row r="972" spans="1:4">
      <c r="A972" s="2">
        <v>8.851</v>
      </c>
      <c r="B972" t="s">
        <v>525</v>
      </c>
      <c r="C972" t="s">
        <v>576</v>
      </c>
      <c r="D972" t="s">
        <v>578</v>
      </c>
    </row>
    <row r="973" spans="1:4">
      <c r="A973" s="2">
        <v>5.1142</v>
      </c>
      <c r="B973" t="s">
        <v>526</v>
      </c>
      <c r="C973" t="s">
        <v>576</v>
      </c>
      <c r="D973" t="s">
        <v>578</v>
      </c>
    </row>
    <row r="974" spans="1:4">
      <c r="A974" s="2">
        <v>0.8762705923589204</v>
      </c>
      <c r="B974" t="s">
        <v>527</v>
      </c>
      <c r="C974" t="s">
        <v>576</v>
      </c>
      <c r="D974" t="s">
        <v>578</v>
      </c>
    </row>
    <row r="975" spans="1:4">
      <c r="A975" s="2">
        <v>1.7319316233395106</v>
      </c>
      <c r="B975" t="s">
        <v>528</v>
      </c>
      <c r="C975" t="s">
        <v>576</v>
      </c>
      <c r="D975" t="s">
        <v>578</v>
      </c>
    </row>
    <row r="976" spans="1:4">
      <c r="A976" s="2">
        <v>0.08805297266835728</v>
      </c>
      <c r="B976" t="s">
        <v>529</v>
      </c>
      <c r="C976" t="s">
        <v>576</v>
      </c>
      <c r="D976" t="s">
        <v>578</v>
      </c>
    </row>
    <row r="977" spans="1:4">
      <c r="A977" s="2">
        <v>0.4224400135180804</v>
      </c>
      <c r="B977" t="s">
        <v>530</v>
      </c>
      <c r="C977" t="s">
        <v>576</v>
      </c>
      <c r="D977" t="s">
        <v>578</v>
      </c>
    </row>
    <row r="978" spans="1:4">
      <c r="A978" s="2">
        <v>0.004860267314702308</v>
      </c>
      <c r="B978" t="s">
        <v>531</v>
      </c>
      <c r="C978" t="s">
        <v>576</v>
      </c>
      <c r="D978" t="s">
        <v>578</v>
      </c>
    </row>
    <row r="979" spans="1:4">
      <c r="A979" s="2">
        <v>1.907086734304676</v>
      </c>
      <c r="B979" t="s">
        <v>532</v>
      </c>
      <c r="C979" t="s">
        <v>576</v>
      </c>
      <c r="D979" t="s">
        <v>578</v>
      </c>
    </row>
    <row r="980" spans="1:4">
      <c r="A980" s="2">
        <v>1.8680415452439665</v>
      </c>
      <c r="B980" t="s">
        <v>533</v>
      </c>
      <c r="C980" t="s">
        <v>576</v>
      </c>
      <c r="D980" t="s">
        <v>578</v>
      </c>
    </row>
    <row r="981" spans="1:4">
      <c r="A981" s="2">
        <v>0.021338750530801417</v>
      </c>
      <c r="B981" t="s">
        <v>534</v>
      </c>
      <c r="C981" t="s">
        <v>576</v>
      </c>
      <c r="D981" t="s">
        <v>578</v>
      </c>
    </row>
    <row r="982" spans="1:4">
      <c r="A982" s="2">
        <v>1.9497358107976368</v>
      </c>
      <c r="B982" t="s">
        <v>535</v>
      </c>
      <c r="C982" t="s">
        <v>576</v>
      </c>
      <c r="D982" t="s">
        <v>578</v>
      </c>
    </row>
    <row r="983" spans="1:4">
      <c r="A983" s="2">
        <v>1.1018069634200087</v>
      </c>
      <c r="B983" t="s">
        <v>536</v>
      </c>
      <c r="C983" t="s">
        <v>576</v>
      </c>
      <c r="D983" t="s">
        <v>578</v>
      </c>
    </row>
    <row r="984" spans="1:4">
      <c r="A984" s="2">
        <v>0.7616726331022927</v>
      </c>
      <c r="B984" t="s">
        <v>537</v>
      </c>
      <c r="C984" t="s">
        <v>576</v>
      </c>
      <c r="D984" t="s">
        <v>578</v>
      </c>
    </row>
    <row r="985" spans="1:4">
      <c r="A985" s="2">
        <v>0.6968155529231412</v>
      </c>
      <c r="B985" t="s">
        <v>538</v>
      </c>
      <c r="C985" t="s">
        <v>576</v>
      </c>
      <c r="D985" t="s">
        <v>578</v>
      </c>
    </row>
    <row r="986" spans="1:4">
      <c r="A986" s="2">
        <v>0.16314358103423243</v>
      </c>
      <c r="B986" t="s">
        <v>539</v>
      </c>
      <c r="C986" t="s">
        <v>576</v>
      </c>
      <c r="D986" t="s">
        <v>578</v>
      </c>
    </row>
    <row r="987" spans="1:4">
      <c r="A987" s="2">
        <v>0.38987874770946235</v>
      </c>
      <c r="B987" t="s">
        <v>540</v>
      </c>
      <c r="C987" t="s">
        <v>576</v>
      </c>
      <c r="D987" t="s">
        <v>578</v>
      </c>
    </row>
    <row r="988" spans="1:4">
      <c r="A988" s="2">
        <v>0.22251891410769917</v>
      </c>
      <c r="B988" t="s">
        <v>541</v>
      </c>
      <c r="C988" t="s">
        <v>576</v>
      </c>
      <c r="D988" t="s">
        <v>578</v>
      </c>
    </row>
    <row r="989" spans="1:4">
      <c r="A989" s="2">
        <v>1</v>
      </c>
      <c r="B989" t="s">
        <v>542</v>
      </c>
      <c r="C989" t="s">
        <v>578</v>
      </c>
      <c r="D989" t="s">
        <v>578</v>
      </c>
    </row>
    <row r="990" spans="1:4">
      <c r="A990" s="2">
        <v>7.0288</v>
      </c>
      <c r="B990" t="s">
        <v>364</v>
      </c>
      <c r="C990" t="s">
        <v>576</v>
      </c>
      <c r="D990" t="s">
        <v>579</v>
      </c>
    </row>
    <row r="991" spans="1:4">
      <c r="A991" s="2">
        <v>8.2355</v>
      </c>
      <c r="B991" t="s">
        <v>373</v>
      </c>
      <c r="C991" t="s">
        <v>576</v>
      </c>
      <c r="D991" t="s">
        <v>579</v>
      </c>
    </row>
    <row r="992" spans="1:4">
      <c r="A992" s="2">
        <v>0.044797</v>
      </c>
      <c r="B992" t="s">
        <v>520</v>
      </c>
      <c r="C992" t="s">
        <v>576</v>
      </c>
      <c r="D992" t="s">
        <v>579</v>
      </c>
    </row>
    <row r="993" spans="1:4">
      <c r="A993" s="2">
        <v>0.90322</v>
      </c>
      <c r="B993" t="s">
        <v>370</v>
      </c>
      <c r="C993" t="s">
        <v>576</v>
      </c>
      <c r="D993" t="s">
        <v>579</v>
      </c>
    </row>
    <row r="994" spans="1:4">
      <c r="A994" s="2">
        <v>9.4346</v>
      </c>
      <c r="B994" t="s">
        <v>521</v>
      </c>
      <c r="C994" t="s">
        <v>576</v>
      </c>
      <c r="D994" t="s">
        <v>579</v>
      </c>
    </row>
    <row r="995" spans="1:4">
      <c r="A995" s="2">
        <v>4.6892000000000005</v>
      </c>
      <c r="B995" t="s">
        <v>522</v>
      </c>
      <c r="C995" t="s">
        <v>576</v>
      </c>
      <c r="D995" t="s">
        <v>579</v>
      </c>
    </row>
    <row r="996" spans="1:4">
      <c r="A996" s="2">
        <v>4.052</v>
      </c>
      <c r="B996" t="s">
        <v>523</v>
      </c>
      <c r="C996" t="s">
        <v>576</v>
      </c>
      <c r="D996" t="s">
        <v>579</v>
      </c>
    </row>
    <row r="997" spans="1:4">
      <c r="A997" s="2">
        <v>5.458600000000001</v>
      </c>
      <c r="B997" t="s">
        <v>524</v>
      </c>
      <c r="C997" t="s">
        <v>576</v>
      </c>
      <c r="D997" t="s">
        <v>579</v>
      </c>
    </row>
    <row r="998" spans="1:4">
      <c r="A998" s="2">
        <v>8.851</v>
      </c>
      <c r="B998" t="s">
        <v>525</v>
      </c>
      <c r="C998" t="s">
        <v>576</v>
      </c>
      <c r="D998" t="s">
        <v>579</v>
      </c>
    </row>
    <row r="999" spans="1:4">
      <c r="A999" s="2">
        <v>5.1142</v>
      </c>
      <c r="B999" t="s">
        <v>526</v>
      </c>
      <c r="C999" t="s">
        <v>576</v>
      </c>
      <c r="D999" t="s">
        <v>579</v>
      </c>
    </row>
    <row r="1000" spans="1:4">
      <c r="A1000" s="2">
        <v>0.8762705923589204</v>
      </c>
      <c r="B1000" t="s">
        <v>527</v>
      </c>
      <c r="C1000" t="s">
        <v>576</v>
      </c>
      <c r="D1000" t="s">
        <v>579</v>
      </c>
    </row>
    <row r="1001" spans="1:4">
      <c r="A1001" s="2">
        <v>1.7319316233395106</v>
      </c>
      <c r="B1001" t="s">
        <v>528</v>
      </c>
      <c r="C1001" t="s">
        <v>576</v>
      </c>
      <c r="D1001" t="s">
        <v>579</v>
      </c>
    </row>
    <row r="1002" spans="1:4">
      <c r="A1002" s="2">
        <v>0.08805297266835728</v>
      </c>
      <c r="B1002" t="s">
        <v>529</v>
      </c>
      <c r="C1002" t="s">
        <v>576</v>
      </c>
      <c r="D1002" t="s">
        <v>579</v>
      </c>
    </row>
    <row r="1003" spans="1:4">
      <c r="A1003" s="2">
        <v>0.4224400135180804</v>
      </c>
      <c r="B1003" t="s">
        <v>530</v>
      </c>
      <c r="C1003" t="s">
        <v>576</v>
      </c>
      <c r="D1003" t="s">
        <v>579</v>
      </c>
    </row>
    <row r="1004" spans="1:4">
      <c r="A1004" s="2">
        <v>0.004860267314702308</v>
      </c>
      <c r="B1004" t="s">
        <v>531</v>
      </c>
      <c r="C1004" t="s">
        <v>576</v>
      </c>
      <c r="D1004" t="s">
        <v>579</v>
      </c>
    </row>
    <row r="1005" spans="1:4">
      <c r="A1005" s="2">
        <v>1.907086734304676</v>
      </c>
      <c r="B1005" t="s">
        <v>532</v>
      </c>
      <c r="C1005" t="s">
        <v>576</v>
      </c>
      <c r="D1005" t="s">
        <v>579</v>
      </c>
    </row>
    <row r="1006" spans="1:4">
      <c r="A1006" s="2">
        <v>1.8680415452439665</v>
      </c>
      <c r="B1006" t="s">
        <v>533</v>
      </c>
      <c r="C1006" t="s">
        <v>576</v>
      </c>
      <c r="D1006" t="s">
        <v>579</v>
      </c>
    </row>
    <row r="1007" spans="1:4">
      <c r="A1007" s="2">
        <v>0.021338750530801417</v>
      </c>
      <c r="B1007" t="s">
        <v>534</v>
      </c>
      <c r="C1007" t="s">
        <v>576</v>
      </c>
      <c r="D1007" t="s">
        <v>579</v>
      </c>
    </row>
    <row r="1008" spans="1:4">
      <c r="A1008" s="2">
        <v>1.9497358107976368</v>
      </c>
      <c r="B1008" t="s">
        <v>535</v>
      </c>
      <c r="C1008" t="s">
        <v>576</v>
      </c>
      <c r="D1008" t="s">
        <v>579</v>
      </c>
    </row>
    <row r="1009" spans="1:4">
      <c r="A1009" s="2">
        <v>1.1018069634200087</v>
      </c>
      <c r="B1009" t="s">
        <v>536</v>
      </c>
      <c r="C1009" t="s">
        <v>576</v>
      </c>
      <c r="D1009" t="s">
        <v>579</v>
      </c>
    </row>
    <row r="1010" spans="1:4">
      <c r="A1010" s="2">
        <v>0.7616726331022927</v>
      </c>
      <c r="B1010" t="s">
        <v>537</v>
      </c>
      <c r="C1010" t="s">
        <v>576</v>
      </c>
      <c r="D1010" t="s">
        <v>579</v>
      </c>
    </row>
    <row r="1011" spans="1:4">
      <c r="A1011" s="2">
        <v>0.6968155529231412</v>
      </c>
      <c r="B1011" t="s">
        <v>538</v>
      </c>
      <c r="C1011" t="s">
        <v>576</v>
      </c>
      <c r="D1011" t="s">
        <v>579</v>
      </c>
    </row>
    <row r="1012" spans="1:4">
      <c r="A1012" s="2">
        <v>0.16314358103423243</v>
      </c>
      <c r="B1012" t="s">
        <v>539</v>
      </c>
      <c r="C1012" t="s">
        <v>576</v>
      </c>
      <c r="D1012" t="s">
        <v>579</v>
      </c>
    </row>
    <row r="1013" spans="1:4">
      <c r="A1013" s="2">
        <v>0.38987874770946235</v>
      </c>
      <c r="B1013" t="s">
        <v>540</v>
      </c>
      <c r="C1013" t="s">
        <v>576</v>
      </c>
      <c r="D1013" t="s">
        <v>579</v>
      </c>
    </row>
    <row r="1014" spans="1:4">
      <c r="A1014" s="2">
        <v>0.22251891410769917</v>
      </c>
      <c r="B1014" t="s">
        <v>541</v>
      </c>
      <c r="C1014" t="s">
        <v>576</v>
      </c>
      <c r="D1014" t="s">
        <v>579</v>
      </c>
    </row>
    <row r="1015" spans="1:4">
      <c r="A1015" s="2">
        <v>1</v>
      </c>
      <c r="B1015" t="s">
        <v>542</v>
      </c>
      <c r="C1015" t="s">
        <v>579</v>
      </c>
      <c r="D1015" t="s">
        <v>579</v>
      </c>
    </row>
    <row r="1016" spans="1:4">
      <c r="A1016" s="2">
        <v>7.023</v>
      </c>
      <c r="B1016" t="s">
        <v>364</v>
      </c>
      <c r="C1016" t="s">
        <v>580</v>
      </c>
      <c r="D1016" t="s">
        <v>580</v>
      </c>
    </row>
    <row r="1017" spans="1:4">
      <c r="A1017" s="2">
        <v>8.2027</v>
      </c>
      <c r="B1017" t="s">
        <v>373</v>
      </c>
      <c r="C1017" t="s">
        <v>580</v>
      </c>
      <c r="D1017" t="s">
        <v>580</v>
      </c>
    </row>
    <row r="1018" spans="1:4">
      <c r="A1018" s="2">
        <v>0.044660000000000005</v>
      </c>
      <c r="B1018" t="s">
        <v>520</v>
      </c>
      <c r="C1018" t="s">
        <v>580</v>
      </c>
      <c r="D1018" t="s">
        <v>580</v>
      </c>
    </row>
    <row r="1019" spans="1:4">
      <c r="A1019" s="2">
        <v>0.90141</v>
      </c>
      <c r="B1019" t="s">
        <v>370</v>
      </c>
      <c r="C1019" t="s">
        <v>580</v>
      </c>
      <c r="D1019" t="s">
        <v>580</v>
      </c>
    </row>
    <row r="1020" spans="1:4">
      <c r="A1020" s="2">
        <v>9.4168</v>
      </c>
      <c r="B1020" t="s">
        <v>521</v>
      </c>
      <c r="C1020" t="s">
        <v>580</v>
      </c>
      <c r="D1020" t="s">
        <v>580</v>
      </c>
    </row>
    <row r="1021" spans="1:4">
      <c r="A1021" s="2">
        <v>4.6817</v>
      </c>
      <c r="B1021" t="s">
        <v>522</v>
      </c>
      <c r="C1021" t="s">
        <v>580</v>
      </c>
      <c r="D1021" t="s">
        <v>580</v>
      </c>
    </row>
    <row r="1022" spans="1:4">
      <c r="A1022" s="2">
        <v>4.0306999999999995</v>
      </c>
      <c r="B1022" t="s">
        <v>523</v>
      </c>
      <c r="C1022" t="s">
        <v>580</v>
      </c>
      <c r="D1022" t="s">
        <v>580</v>
      </c>
    </row>
    <row r="1023" spans="1:4">
      <c r="A1023" s="2">
        <v>5.4428</v>
      </c>
      <c r="B1023" t="s">
        <v>524</v>
      </c>
      <c r="C1023" t="s">
        <v>580</v>
      </c>
      <c r="D1023" t="s">
        <v>580</v>
      </c>
    </row>
    <row r="1024" spans="1:4">
      <c r="A1024" s="2">
        <v>8.8342</v>
      </c>
      <c r="B1024" t="s">
        <v>525</v>
      </c>
      <c r="C1024" t="s">
        <v>580</v>
      </c>
      <c r="D1024" t="s">
        <v>580</v>
      </c>
    </row>
    <row r="1025" spans="1:4">
      <c r="A1025" s="2">
        <v>5.0945</v>
      </c>
      <c r="B1025" t="s">
        <v>526</v>
      </c>
      <c r="C1025" t="s">
        <v>580</v>
      </c>
      <c r="D1025" t="s">
        <v>580</v>
      </c>
    </row>
    <row r="1026" spans="1:4">
      <c r="A1026" s="2">
        <v>0.8745080891998251</v>
      </c>
      <c r="B1026" t="s">
        <v>527</v>
      </c>
      <c r="C1026" t="s">
        <v>580</v>
      </c>
      <c r="D1026" t="s">
        <v>580</v>
      </c>
    </row>
    <row r="1027" spans="1:4">
      <c r="A1027" s="2">
        <v>1.727652810891123</v>
      </c>
      <c r="B1027" t="s">
        <v>528</v>
      </c>
      <c r="C1027" t="s">
        <v>580</v>
      </c>
      <c r="D1027" t="s">
        <v>580</v>
      </c>
    </row>
    <row r="1028" spans="1:4">
      <c r="A1028" s="2">
        <v>0.08701402666109777</v>
      </c>
      <c r="B1028" t="s">
        <v>529</v>
      </c>
      <c r="C1028" t="s">
        <v>580</v>
      </c>
      <c r="D1028" t="s">
        <v>580</v>
      </c>
    </row>
    <row r="1029" spans="1:4">
      <c r="A1029" s="2">
        <v>0.42482688304515914</v>
      </c>
      <c r="B1029" t="s">
        <v>530</v>
      </c>
      <c r="C1029" t="s">
        <v>580</v>
      </c>
      <c r="D1029" t="s">
        <v>580</v>
      </c>
    </row>
    <row r="1030" spans="1:4">
      <c r="A1030" s="2">
        <v>0.0048430840759395586</v>
      </c>
      <c r="B1030" t="s">
        <v>531</v>
      </c>
      <c r="C1030" t="s">
        <v>580</v>
      </c>
      <c r="D1030" t="s">
        <v>580</v>
      </c>
    </row>
    <row r="1031" spans="1:4">
      <c r="A1031" s="2">
        <v>1.9062142584826536</v>
      </c>
      <c r="B1031" t="s">
        <v>532</v>
      </c>
      <c r="C1031" t="s">
        <v>580</v>
      </c>
      <c r="D1031" t="s">
        <v>580</v>
      </c>
    </row>
    <row r="1032" spans="1:4">
      <c r="A1032" s="2">
        <v>1.8667861409796895</v>
      </c>
      <c r="B1032" t="s">
        <v>533</v>
      </c>
      <c r="C1032" t="s">
        <v>580</v>
      </c>
      <c r="D1032" t="s">
        <v>580</v>
      </c>
    </row>
    <row r="1033" spans="1:4">
      <c r="A1033" s="2">
        <v>0.021374966067241367</v>
      </c>
      <c r="B1033" t="s">
        <v>534</v>
      </c>
      <c r="C1033" t="s">
        <v>580</v>
      </c>
      <c r="D1033" t="s">
        <v>580</v>
      </c>
    </row>
    <row r="1034" spans="1:4">
      <c r="A1034" s="2">
        <v>1.9481025481181329</v>
      </c>
      <c r="B1034" t="s">
        <v>535</v>
      </c>
      <c r="C1034" t="s">
        <v>580</v>
      </c>
      <c r="D1034" t="s">
        <v>580</v>
      </c>
    </row>
    <row r="1035" spans="1:4">
      <c r="A1035" s="2">
        <v>1.0974539069359086</v>
      </c>
      <c r="B1035" t="s">
        <v>536</v>
      </c>
      <c r="C1035" t="s">
        <v>580</v>
      </c>
      <c r="D1035" t="s">
        <v>580</v>
      </c>
    </row>
    <row r="1036" spans="1:4">
      <c r="A1036" s="2">
        <v>0.7588980799878575</v>
      </c>
      <c r="B1036" t="s">
        <v>537</v>
      </c>
      <c r="C1036" t="s">
        <v>580</v>
      </c>
      <c r="D1036" t="s">
        <v>580</v>
      </c>
    </row>
    <row r="1037" spans="1:4">
      <c r="A1037" s="2">
        <v>0.6953619358876295</v>
      </c>
      <c r="B1037" t="s">
        <v>538</v>
      </c>
      <c r="C1037" t="s">
        <v>580</v>
      </c>
      <c r="D1037" t="s">
        <v>580</v>
      </c>
    </row>
    <row r="1038" spans="1:4">
      <c r="A1038" s="2">
        <v>0.16272598571265845</v>
      </c>
      <c r="B1038" t="s">
        <v>539</v>
      </c>
      <c r="C1038" t="s">
        <v>580</v>
      </c>
      <c r="D1038" t="s">
        <v>580</v>
      </c>
    </row>
    <row r="1039" spans="1:4">
      <c r="A1039" s="2">
        <v>0.39128223187385064</v>
      </c>
      <c r="B1039" t="s">
        <v>540</v>
      </c>
      <c r="C1039" t="s">
        <v>580</v>
      </c>
      <c r="D1039" t="s">
        <v>580</v>
      </c>
    </row>
    <row r="1040" spans="1:4">
      <c r="A1040" s="2">
        <v>0.222182723071454</v>
      </c>
      <c r="B1040" t="s">
        <v>541</v>
      </c>
      <c r="C1040" t="s">
        <v>580</v>
      </c>
      <c r="D1040" t="s">
        <v>580</v>
      </c>
    </row>
    <row r="1041" spans="1:4">
      <c r="A1041" s="2">
        <v>1</v>
      </c>
      <c r="B1041" t="s">
        <v>542</v>
      </c>
      <c r="C1041" t="s">
        <v>580</v>
      </c>
      <c r="D1041" t="s">
        <v>580</v>
      </c>
    </row>
    <row r="1042" spans="1:4">
      <c r="A1042" s="2">
        <v>7.0173000000000005</v>
      </c>
      <c r="B1042" t="s">
        <v>364</v>
      </c>
      <c r="C1042" t="s">
        <v>581</v>
      </c>
      <c r="D1042" t="s">
        <v>581</v>
      </c>
    </row>
    <row r="1043" spans="1:4">
      <c r="A1043" s="2">
        <v>8.1919</v>
      </c>
      <c r="B1043" t="s">
        <v>373</v>
      </c>
      <c r="C1043" t="s">
        <v>581</v>
      </c>
      <c r="D1043" t="s">
        <v>581</v>
      </c>
    </row>
    <row r="1044" spans="1:4">
      <c r="A1044" s="2">
        <v>0.044664</v>
      </c>
      <c r="B1044" t="s">
        <v>520</v>
      </c>
      <c r="C1044" t="s">
        <v>581</v>
      </c>
      <c r="D1044" t="s">
        <v>581</v>
      </c>
    </row>
    <row r="1045" spans="1:4">
      <c r="A1045" s="2">
        <v>0.90161</v>
      </c>
      <c r="B1045" t="s">
        <v>370</v>
      </c>
      <c r="C1045" t="s">
        <v>581</v>
      </c>
      <c r="D1045" t="s">
        <v>581</v>
      </c>
    </row>
    <row r="1046" spans="1:4">
      <c r="A1046" s="2">
        <v>9.4562</v>
      </c>
      <c r="B1046" t="s">
        <v>521</v>
      </c>
      <c r="C1046" t="s">
        <v>581</v>
      </c>
      <c r="D1046" t="s">
        <v>581</v>
      </c>
    </row>
    <row r="1047" spans="1:4">
      <c r="A1047" s="2">
        <v>4.6862</v>
      </c>
      <c r="B1047" t="s">
        <v>522</v>
      </c>
      <c r="C1047" t="s">
        <v>581</v>
      </c>
      <c r="D1047" t="s">
        <v>581</v>
      </c>
    </row>
    <row r="1048" spans="1:4">
      <c r="A1048" s="2">
        <v>4.0347</v>
      </c>
      <c r="B1048" t="s">
        <v>523</v>
      </c>
      <c r="C1048" t="s">
        <v>581</v>
      </c>
      <c r="D1048" t="s">
        <v>581</v>
      </c>
    </row>
    <row r="1049" spans="1:4">
      <c r="A1049" s="2">
        <v>5.4517999999999995</v>
      </c>
      <c r="B1049" t="s">
        <v>524</v>
      </c>
      <c r="C1049" t="s">
        <v>581</v>
      </c>
      <c r="D1049" t="s">
        <v>581</v>
      </c>
    </row>
    <row r="1050" spans="1:4">
      <c r="A1050" s="2">
        <v>8.8224</v>
      </c>
      <c r="B1050" t="s">
        <v>525</v>
      </c>
      <c r="C1050" t="s">
        <v>581</v>
      </c>
      <c r="D1050" t="s">
        <v>581</v>
      </c>
    </row>
    <row r="1051" spans="1:4">
      <c r="A1051" s="2">
        <v>5.0742</v>
      </c>
      <c r="B1051" t="s">
        <v>526</v>
      </c>
      <c r="C1051" t="s">
        <v>581</v>
      </c>
      <c r="D1051" t="s">
        <v>581</v>
      </c>
    </row>
    <row r="1052" spans="1:4">
      <c r="A1052" s="2">
        <v>0.8747375787263821</v>
      </c>
      <c r="B1052" t="s">
        <v>527</v>
      </c>
      <c r="C1052" t="s">
        <v>581</v>
      </c>
      <c r="D1052" t="s">
        <v>581</v>
      </c>
    </row>
    <row r="1053" spans="1:4">
      <c r="A1053" s="2">
        <v>1.722504521574369</v>
      </c>
      <c r="B1053" t="s">
        <v>528</v>
      </c>
      <c r="C1053" t="s">
        <v>581</v>
      </c>
      <c r="D1053" t="s">
        <v>581</v>
      </c>
    </row>
    <row r="1054" spans="1:4">
      <c r="A1054" s="2">
        <v>0.08616975441619991</v>
      </c>
      <c r="B1054" t="s">
        <v>529</v>
      </c>
      <c r="C1054" t="s">
        <v>581</v>
      </c>
      <c r="D1054" t="s">
        <v>581</v>
      </c>
    </row>
    <row r="1055" spans="1:4">
      <c r="A1055" s="2">
        <v>0.42725913266396065</v>
      </c>
      <c r="B1055" t="s">
        <v>530</v>
      </c>
      <c r="C1055" t="s">
        <v>581</v>
      </c>
      <c r="D1055" t="s">
        <v>581</v>
      </c>
    </row>
    <row r="1056" spans="1:4">
      <c r="A1056" s="2">
        <v>0.004826487764853516</v>
      </c>
      <c r="B1056" t="s">
        <v>531</v>
      </c>
      <c r="C1056" t="s">
        <v>581</v>
      </c>
      <c r="D1056" t="s">
        <v>581</v>
      </c>
    </row>
    <row r="1057" spans="1:4">
      <c r="A1057" s="2">
        <v>1.90171915411532</v>
      </c>
      <c r="B1057" t="s">
        <v>532</v>
      </c>
      <c r="C1057" t="s">
        <v>581</v>
      </c>
      <c r="D1057" t="s">
        <v>581</v>
      </c>
    </row>
    <row r="1058" spans="1:4">
      <c r="A1058" s="2">
        <v>1.8625789267820223</v>
      </c>
      <c r="B1058" t="s">
        <v>533</v>
      </c>
      <c r="C1058" t="s">
        <v>581</v>
      </c>
      <c r="D1058" t="s">
        <v>581</v>
      </c>
    </row>
    <row r="1059" spans="1:4">
      <c r="A1059" s="2">
        <v>0.021329784057266207</v>
      </c>
      <c r="B1059" t="s">
        <v>534</v>
      </c>
      <c r="C1059" t="s">
        <v>581</v>
      </c>
      <c r="D1059" t="s">
        <v>581</v>
      </c>
    </row>
    <row r="1060" spans="1:4">
      <c r="A1060" s="2">
        <v>1.9445416715280208</v>
      </c>
      <c r="B1060" t="s">
        <v>535</v>
      </c>
      <c r="C1060" t="s">
        <v>581</v>
      </c>
      <c r="D1060" t="s">
        <v>581</v>
      </c>
    </row>
    <row r="1061" spans="1:4">
      <c r="A1061" s="2">
        <v>1.0955302366345312</v>
      </c>
      <c r="B1061" t="s">
        <v>536</v>
      </c>
      <c r="C1061" t="s">
        <v>581</v>
      </c>
      <c r="D1061" t="s">
        <v>581</v>
      </c>
    </row>
    <row r="1062" spans="1:4">
      <c r="A1062" s="2">
        <v>0.761266747868453</v>
      </c>
      <c r="B1062" t="s">
        <v>537</v>
      </c>
      <c r="C1062" t="s">
        <v>581</v>
      </c>
      <c r="D1062" t="s">
        <v>581</v>
      </c>
    </row>
    <row r="1063" spans="1:4">
      <c r="A1063" s="2">
        <v>0.6957489737702638</v>
      </c>
      <c r="B1063" t="s">
        <v>538</v>
      </c>
      <c r="C1063" t="s">
        <v>581</v>
      </c>
      <c r="D1063" t="s">
        <v>581</v>
      </c>
    </row>
    <row r="1064" spans="1:4">
      <c r="A1064" s="2">
        <v>0.16233766233766234</v>
      </c>
      <c r="B1064" t="s">
        <v>539</v>
      </c>
      <c r="C1064" t="s">
        <v>581</v>
      </c>
      <c r="D1064" t="s">
        <v>581</v>
      </c>
    </row>
    <row r="1065" spans="1:4">
      <c r="A1065" s="2">
        <v>0.3905334687182691</v>
      </c>
      <c r="B1065" t="s">
        <v>540</v>
      </c>
      <c r="C1065" t="s">
        <v>581</v>
      </c>
      <c r="D1065" t="s">
        <v>581</v>
      </c>
    </row>
    <row r="1066" spans="1:4">
      <c r="A1066" s="2">
        <v>0.2231246374224642</v>
      </c>
      <c r="B1066" t="s">
        <v>541</v>
      </c>
      <c r="C1066" t="s">
        <v>581</v>
      </c>
      <c r="D1066" t="s">
        <v>581</v>
      </c>
    </row>
    <row r="1067" spans="1:4">
      <c r="A1067" s="2">
        <v>1</v>
      </c>
      <c r="B1067" t="s">
        <v>542</v>
      </c>
      <c r="C1067" t="s">
        <v>581</v>
      </c>
      <c r="D1067" t="s">
        <v>581</v>
      </c>
    </row>
    <row r="1068" spans="1:4">
      <c r="A1068" s="2">
        <v>7.0187</v>
      </c>
      <c r="B1068" t="s">
        <v>364</v>
      </c>
      <c r="C1068" t="s">
        <v>582</v>
      </c>
      <c r="D1068" t="s">
        <v>582</v>
      </c>
    </row>
    <row r="1069" spans="1:4">
      <c r="A1069" s="2">
        <v>8.1822</v>
      </c>
      <c r="B1069" t="s">
        <v>373</v>
      </c>
      <c r="C1069" t="s">
        <v>582</v>
      </c>
      <c r="D1069" t="s">
        <v>582</v>
      </c>
    </row>
    <row r="1070" spans="1:4">
      <c r="A1070" s="2">
        <v>0.044662</v>
      </c>
      <c r="B1070" t="s">
        <v>520</v>
      </c>
      <c r="C1070" t="s">
        <v>582</v>
      </c>
      <c r="D1070" t="s">
        <v>582</v>
      </c>
    </row>
    <row r="1071" spans="1:4">
      <c r="A1071" s="2">
        <v>0.90131</v>
      </c>
      <c r="B1071" t="s">
        <v>370</v>
      </c>
      <c r="C1071" t="s">
        <v>582</v>
      </c>
      <c r="D1071" t="s">
        <v>582</v>
      </c>
    </row>
    <row r="1072" spans="1:4">
      <c r="A1072" s="2">
        <v>9.447</v>
      </c>
      <c r="B1072" t="s">
        <v>521</v>
      </c>
      <c r="C1072" t="s">
        <v>582</v>
      </c>
      <c r="D1072" t="s">
        <v>582</v>
      </c>
    </row>
    <row r="1073" spans="1:4">
      <c r="A1073" s="2">
        <v>4.711</v>
      </c>
      <c r="B1073" t="s">
        <v>522</v>
      </c>
      <c r="C1073" t="s">
        <v>582</v>
      </c>
      <c r="D1073" t="s">
        <v>582</v>
      </c>
    </row>
    <row r="1074" spans="1:4">
      <c r="A1074" s="2">
        <v>4.0423</v>
      </c>
      <c r="B1074" t="s">
        <v>523</v>
      </c>
      <c r="C1074" t="s">
        <v>582</v>
      </c>
      <c r="D1074" t="s">
        <v>582</v>
      </c>
    </row>
    <row r="1075" spans="1:4">
      <c r="A1075" s="2">
        <v>5.465199999999999</v>
      </c>
      <c r="B1075" t="s">
        <v>524</v>
      </c>
      <c r="C1075" t="s">
        <v>582</v>
      </c>
      <c r="D1075" t="s">
        <v>582</v>
      </c>
    </row>
    <row r="1076" spans="1:4">
      <c r="A1076" s="2">
        <v>8.7953</v>
      </c>
      <c r="B1076" t="s">
        <v>525</v>
      </c>
      <c r="C1076" t="s">
        <v>582</v>
      </c>
      <c r="D1076" t="s">
        <v>582</v>
      </c>
    </row>
    <row r="1077" spans="1:4">
      <c r="A1077" s="2">
        <v>5.0637</v>
      </c>
      <c r="B1077" t="s">
        <v>526</v>
      </c>
      <c r="C1077" t="s">
        <v>582</v>
      </c>
      <c r="D1077" t="s">
        <v>582</v>
      </c>
    </row>
    <row r="1078" spans="1:4">
      <c r="A1078" s="2">
        <v>0.8746610688358262</v>
      </c>
      <c r="B1078" t="s">
        <v>527</v>
      </c>
      <c r="C1078" t="s">
        <v>582</v>
      </c>
      <c r="D1078" t="s">
        <v>582</v>
      </c>
    </row>
    <row r="1079" spans="1:4">
      <c r="A1079" s="2">
        <v>1.7308524448290783</v>
      </c>
      <c r="B1079" t="s">
        <v>528</v>
      </c>
      <c r="C1079" t="s">
        <v>582</v>
      </c>
      <c r="D1079" t="s">
        <v>582</v>
      </c>
    </row>
    <row r="1080" spans="1:4">
      <c r="A1080" s="2">
        <v>0.08666487559257109</v>
      </c>
      <c r="B1080" t="s">
        <v>529</v>
      </c>
      <c r="C1080" t="s">
        <v>582</v>
      </c>
      <c r="D1080" t="s">
        <v>582</v>
      </c>
    </row>
    <row r="1081" spans="1:4">
      <c r="A1081" s="2">
        <v>0.42773429145814623</v>
      </c>
      <c r="B1081" t="s">
        <v>530</v>
      </c>
      <c r="C1081" t="s">
        <v>582</v>
      </c>
      <c r="D1081" t="s">
        <v>582</v>
      </c>
    </row>
    <row r="1082" spans="1:4">
      <c r="A1082" s="2">
        <v>0.004826720725938797</v>
      </c>
      <c r="B1082" t="s">
        <v>531</v>
      </c>
      <c r="C1082" t="s">
        <v>582</v>
      </c>
      <c r="D1082" t="s">
        <v>582</v>
      </c>
    </row>
    <row r="1083" spans="1:4">
      <c r="A1083" s="2">
        <v>1.9043266301035953</v>
      </c>
      <c r="B1083" t="s">
        <v>532</v>
      </c>
      <c r="C1083" t="s">
        <v>582</v>
      </c>
      <c r="D1083" t="s">
        <v>582</v>
      </c>
    </row>
    <row r="1084" spans="1:4">
      <c r="A1084" s="2">
        <v>1.8651844667437611</v>
      </c>
      <c r="B1084" t="s">
        <v>533</v>
      </c>
      <c r="C1084" t="s">
        <v>582</v>
      </c>
      <c r="D1084" t="s">
        <v>582</v>
      </c>
    </row>
    <row r="1085" spans="1:4">
      <c r="A1085" s="2">
        <v>0.02126252628579812</v>
      </c>
      <c r="B1085" t="s">
        <v>534</v>
      </c>
      <c r="C1085" t="s">
        <v>582</v>
      </c>
      <c r="D1085" t="s">
        <v>582</v>
      </c>
    </row>
    <row r="1086" spans="1:4">
      <c r="A1086" s="2">
        <v>1.943294661769564</v>
      </c>
      <c r="B1086" t="s">
        <v>535</v>
      </c>
      <c r="C1086" t="s">
        <v>582</v>
      </c>
      <c r="D1086" t="s">
        <v>582</v>
      </c>
    </row>
    <row r="1087" spans="1:4">
      <c r="A1087" s="2">
        <v>1.0944511327569224</v>
      </c>
      <c r="B1087" t="s">
        <v>536</v>
      </c>
      <c r="C1087" t="s">
        <v>582</v>
      </c>
      <c r="D1087" t="s">
        <v>582</v>
      </c>
    </row>
    <row r="1088" spans="1:4">
      <c r="A1088" s="2">
        <v>0.7605141075366948</v>
      </c>
      <c r="B1088" t="s">
        <v>537</v>
      </c>
      <c r="C1088" t="s">
        <v>582</v>
      </c>
      <c r="D1088" t="s">
        <v>582</v>
      </c>
    </row>
    <row r="1089" spans="1:4">
      <c r="A1089" s="2">
        <v>0.6960395350455907</v>
      </c>
      <c r="B1089" t="s">
        <v>538</v>
      </c>
      <c r="C1089" t="s">
        <v>582</v>
      </c>
      <c r="D1089" t="s">
        <v>582</v>
      </c>
    </row>
    <row r="1090" spans="1:4">
      <c r="A1090" s="2">
        <v>0.16253898903999597</v>
      </c>
      <c r="B1090" t="s">
        <v>539</v>
      </c>
      <c r="C1090" t="s">
        <v>582</v>
      </c>
      <c r="D1090" t="s">
        <v>582</v>
      </c>
    </row>
    <row r="1091" spans="1:4">
      <c r="A1091" s="2">
        <v>0.38930198154708606</v>
      </c>
      <c r="B1091" t="s">
        <v>540</v>
      </c>
      <c r="C1091" t="s">
        <v>582</v>
      </c>
      <c r="D1091" t="s">
        <v>582</v>
      </c>
    </row>
    <row r="1092" spans="1:4">
      <c r="A1092" s="2">
        <v>0.22415996054784693</v>
      </c>
      <c r="B1092" t="s">
        <v>541</v>
      </c>
      <c r="C1092" t="s">
        <v>582</v>
      </c>
      <c r="D1092" t="s">
        <v>582</v>
      </c>
    </row>
    <row r="1093" spans="1:4">
      <c r="A1093" s="2">
        <v>1</v>
      </c>
      <c r="B1093" t="s">
        <v>542</v>
      </c>
      <c r="C1093" t="s">
        <v>582</v>
      </c>
      <c r="D1093" t="s">
        <v>582</v>
      </c>
    </row>
    <row r="1094" spans="1:4">
      <c r="A1094" s="2">
        <v>7.0197</v>
      </c>
      <c r="B1094" t="s">
        <v>364</v>
      </c>
      <c r="C1094" t="s">
        <v>583</v>
      </c>
      <c r="D1094" t="s">
        <v>583</v>
      </c>
    </row>
    <row r="1095" spans="1:4">
      <c r="A1095" s="2">
        <v>8.1769</v>
      </c>
      <c r="B1095" t="s">
        <v>373</v>
      </c>
      <c r="C1095" t="s">
        <v>583</v>
      </c>
      <c r="D1095" t="s">
        <v>583</v>
      </c>
    </row>
    <row r="1096" spans="1:4">
      <c r="A1096" s="2">
        <v>0.044674</v>
      </c>
      <c r="B1096" t="s">
        <v>520</v>
      </c>
      <c r="C1096" t="s">
        <v>583</v>
      </c>
      <c r="D1096" t="s">
        <v>583</v>
      </c>
    </row>
    <row r="1097" spans="1:4">
      <c r="A1097" s="2">
        <v>0.90146</v>
      </c>
      <c r="B1097" t="s">
        <v>370</v>
      </c>
      <c r="C1097" t="s">
        <v>583</v>
      </c>
      <c r="D1097" t="s">
        <v>583</v>
      </c>
    </row>
    <row r="1098" spans="1:4">
      <c r="A1098" s="2">
        <v>9.4207</v>
      </c>
      <c r="B1098" t="s">
        <v>521</v>
      </c>
      <c r="C1098" t="s">
        <v>583</v>
      </c>
      <c r="D1098" t="s">
        <v>583</v>
      </c>
    </row>
    <row r="1099" spans="1:4">
      <c r="A1099" s="2">
        <v>4.7027</v>
      </c>
      <c r="B1099" t="s">
        <v>522</v>
      </c>
      <c r="C1099" t="s">
        <v>583</v>
      </c>
      <c r="D1099" t="s">
        <v>583</v>
      </c>
    </row>
    <row r="1100" spans="1:4">
      <c r="A1100" s="2">
        <v>4.0371</v>
      </c>
      <c r="B1100" t="s">
        <v>523</v>
      </c>
      <c r="C1100" t="s">
        <v>583</v>
      </c>
      <c r="D1100" t="s">
        <v>583</v>
      </c>
    </row>
    <row r="1101" spans="1:4">
      <c r="A1101" s="2">
        <v>5.4595</v>
      </c>
      <c r="B1101" t="s">
        <v>524</v>
      </c>
      <c r="C1101" t="s">
        <v>583</v>
      </c>
      <c r="D1101" t="s">
        <v>583</v>
      </c>
    </row>
    <row r="1102" spans="1:4">
      <c r="A1102" s="2">
        <v>8.7774</v>
      </c>
      <c r="B1102" t="s">
        <v>525</v>
      </c>
      <c r="C1102" t="s">
        <v>583</v>
      </c>
      <c r="D1102" t="s">
        <v>583</v>
      </c>
    </row>
    <row r="1103" spans="1:4">
      <c r="A1103" s="2">
        <v>5.0502</v>
      </c>
      <c r="B1103" t="s">
        <v>526</v>
      </c>
      <c r="C1103" t="s">
        <v>583</v>
      </c>
      <c r="D1103" t="s">
        <v>583</v>
      </c>
    </row>
    <row r="1104" spans="1:4">
      <c r="A1104" s="2">
        <v>0.8748141020033243</v>
      </c>
      <c r="B1104" t="s">
        <v>527</v>
      </c>
      <c r="C1104" t="s">
        <v>583</v>
      </c>
      <c r="D1104" t="s">
        <v>583</v>
      </c>
    </row>
    <row r="1105" spans="1:4">
      <c r="A1105" s="2">
        <v>1.7277125086385623</v>
      </c>
      <c r="B1105" t="s">
        <v>528</v>
      </c>
      <c r="C1105" t="s">
        <v>583</v>
      </c>
      <c r="D1105" t="s">
        <v>583</v>
      </c>
    </row>
    <row r="1106" spans="1:4">
      <c r="A1106" s="2">
        <v>0.0868507903421921</v>
      </c>
      <c r="B1106" t="s">
        <v>529</v>
      </c>
      <c r="C1106" t="s">
        <v>583</v>
      </c>
      <c r="D1106" t="s">
        <v>583</v>
      </c>
    </row>
    <row r="1107" spans="1:4">
      <c r="A1107" s="2">
        <v>0.42589437819420783</v>
      </c>
      <c r="B1107" t="s">
        <v>530</v>
      </c>
      <c r="C1107" t="s">
        <v>583</v>
      </c>
      <c r="D1107" t="s">
        <v>583</v>
      </c>
    </row>
    <row r="1108" spans="1:4">
      <c r="A1108" s="2">
        <v>0.004829984544049459</v>
      </c>
      <c r="B1108" t="s">
        <v>531</v>
      </c>
      <c r="C1108" t="s">
        <v>583</v>
      </c>
      <c r="D1108" t="s">
        <v>583</v>
      </c>
    </row>
    <row r="1109" spans="1:4">
      <c r="A1109" s="2">
        <v>1.905560425321087</v>
      </c>
      <c r="B1109" t="s">
        <v>532</v>
      </c>
      <c r="C1109" t="s">
        <v>583</v>
      </c>
      <c r="D1109" t="s">
        <v>583</v>
      </c>
    </row>
    <row r="1110" spans="1:4">
      <c r="A1110" s="2">
        <v>1.8664377169733848</v>
      </c>
      <c r="B1110" t="s">
        <v>533</v>
      </c>
      <c r="C1110" t="s">
        <v>583</v>
      </c>
      <c r="D1110" t="s">
        <v>583</v>
      </c>
    </row>
    <row r="1111" spans="1:4">
      <c r="A1111" s="2">
        <v>0.021253533399927735</v>
      </c>
      <c r="B1111" t="s">
        <v>534</v>
      </c>
      <c r="C1111" t="s">
        <v>583</v>
      </c>
      <c r="D1111" t="s">
        <v>583</v>
      </c>
    </row>
    <row r="1112" spans="1:4">
      <c r="A1112" s="2">
        <v>1.9425774117098569</v>
      </c>
      <c r="B1112" t="s">
        <v>535</v>
      </c>
      <c r="C1112" t="s">
        <v>583</v>
      </c>
      <c r="D1112" t="s">
        <v>583</v>
      </c>
    </row>
    <row r="1113" spans="1:4">
      <c r="A1113" s="2">
        <v>1.0937329104232745</v>
      </c>
      <c r="B1113" t="s">
        <v>536</v>
      </c>
      <c r="C1113" t="s">
        <v>583</v>
      </c>
      <c r="D1113" t="s">
        <v>583</v>
      </c>
    </row>
    <row r="1114" spans="1:4">
      <c r="A1114" s="2">
        <v>0.7620789513793629</v>
      </c>
      <c r="B1114" t="s">
        <v>537</v>
      </c>
      <c r="C1114" t="s">
        <v>583</v>
      </c>
      <c r="D1114" t="s">
        <v>583</v>
      </c>
    </row>
    <row r="1115" spans="1:4">
      <c r="A1115" s="2">
        <v>0.6942997986530584</v>
      </c>
      <c r="B1115" t="s">
        <v>538</v>
      </c>
      <c r="C1115" t="s">
        <v>583</v>
      </c>
      <c r="D1115" t="s">
        <v>583</v>
      </c>
    </row>
    <row r="1116" spans="1:4">
      <c r="A1116" s="2">
        <v>0.1626637820955975</v>
      </c>
      <c r="B1116" t="s">
        <v>539</v>
      </c>
      <c r="C1116" t="s">
        <v>583</v>
      </c>
      <c r="D1116" t="s">
        <v>583</v>
      </c>
    </row>
    <row r="1117" spans="1:4">
      <c r="A1117" s="2">
        <v>0.3895901511609786</v>
      </c>
      <c r="B1117" t="s">
        <v>540</v>
      </c>
      <c r="C1117" t="s">
        <v>583</v>
      </c>
      <c r="D1117" t="s">
        <v>583</v>
      </c>
    </row>
    <row r="1118" spans="1:4">
      <c r="A1118" s="2">
        <v>0.223254152527237</v>
      </c>
      <c r="B1118" t="s">
        <v>541</v>
      </c>
      <c r="C1118" t="s">
        <v>583</v>
      </c>
      <c r="D1118" t="s">
        <v>583</v>
      </c>
    </row>
    <row r="1119" spans="1:4">
      <c r="A1119" s="2">
        <v>1</v>
      </c>
      <c r="B1119" t="s">
        <v>542</v>
      </c>
      <c r="C1119" t="s">
        <v>583</v>
      </c>
      <c r="D1119" t="s">
        <v>583</v>
      </c>
    </row>
    <row r="1120" spans="1:4">
      <c r="A1120" s="2">
        <v>7.0127999999999995</v>
      </c>
      <c r="B1120" t="s">
        <v>364</v>
      </c>
      <c r="C1120" t="s">
        <v>584</v>
      </c>
      <c r="D1120" t="s">
        <v>584</v>
      </c>
    </row>
    <row r="1121" spans="1:4">
      <c r="A1121" s="2">
        <v>8.1556</v>
      </c>
      <c r="B1121" t="s">
        <v>373</v>
      </c>
      <c r="C1121" t="s">
        <v>584</v>
      </c>
      <c r="D1121" t="s">
        <v>584</v>
      </c>
    </row>
    <row r="1122" spans="1:4">
      <c r="A1122" s="2">
        <v>0.044592</v>
      </c>
      <c r="B1122" t="s">
        <v>520</v>
      </c>
      <c r="C1122" t="s">
        <v>584</v>
      </c>
      <c r="D1122" t="s">
        <v>584</v>
      </c>
    </row>
    <row r="1123" spans="1:4">
      <c r="A1123" s="2">
        <v>0.89973</v>
      </c>
      <c r="B1123" t="s">
        <v>370</v>
      </c>
      <c r="C1123" t="s">
        <v>584</v>
      </c>
      <c r="D1123" t="s">
        <v>584</v>
      </c>
    </row>
    <row r="1124" spans="1:4">
      <c r="A1124" s="2">
        <v>9.3961</v>
      </c>
      <c r="B1124" t="s">
        <v>521</v>
      </c>
      <c r="C1124" t="s">
        <v>584</v>
      </c>
      <c r="D1124" t="s">
        <v>584</v>
      </c>
    </row>
    <row r="1125" spans="1:4">
      <c r="A1125" s="2">
        <v>4.6825</v>
      </c>
      <c r="B1125" t="s">
        <v>522</v>
      </c>
      <c r="C1125" t="s">
        <v>584</v>
      </c>
      <c r="D1125" t="s">
        <v>584</v>
      </c>
    </row>
    <row r="1126" spans="1:4">
      <c r="A1126" s="2">
        <v>4.0163</v>
      </c>
      <c r="B1126" t="s">
        <v>523</v>
      </c>
      <c r="C1126" t="s">
        <v>584</v>
      </c>
      <c r="D1126" t="s">
        <v>584</v>
      </c>
    </row>
    <row r="1127" spans="1:4">
      <c r="A1127" s="2">
        <v>5.4456</v>
      </c>
      <c r="B1127" t="s">
        <v>524</v>
      </c>
      <c r="C1127" t="s">
        <v>584</v>
      </c>
      <c r="D1127" t="s">
        <v>584</v>
      </c>
    </row>
    <row r="1128" spans="1:4">
      <c r="A1128" s="2">
        <v>8.7537</v>
      </c>
      <c r="B1128" t="s">
        <v>525</v>
      </c>
      <c r="C1128" t="s">
        <v>584</v>
      </c>
      <c r="D1128" t="s">
        <v>584</v>
      </c>
    </row>
    <row r="1129" spans="1:4">
      <c r="A1129" s="2">
        <v>5.0426</v>
      </c>
      <c r="B1129" t="s">
        <v>526</v>
      </c>
      <c r="C1129" t="s">
        <v>584</v>
      </c>
      <c r="D1129" t="s">
        <v>584</v>
      </c>
    </row>
    <row r="1130" spans="1:4">
      <c r="A1130" s="2">
        <v>0.8740494712000699</v>
      </c>
      <c r="B1130" t="s">
        <v>527</v>
      </c>
      <c r="C1130" t="s">
        <v>584</v>
      </c>
      <c r="D1130" t="s">
        <v>584</v>
      </c>
    </row>
    <row r="1131" spans="1:4">
      <c r="A1131" s="2">
        <v>1.7240784800524118</v>
      </c>
      <c r="B1131" t="s">
        <v>528</v>
      </c>
      <c r="C1131" t="s">
        <v>584</v>
      </c>
      <c r="D1131" t="s">
        <v>584</v>
      </c>
    </row>
    <row r="1132" spans="1:4">
      <c r="A1132" s="2">
        <v>0.08698450805911466</v>
      </c>
      <c r="B1132" t="s">
        <v>529</v>
      </c>
      <c r="C1132" t="s">
        <v>584</v>
      </c>
      <c r="D1132" t="s">
        <v>584</v>
      </c>
    </row>
    <row r="1133" spans="1:4">
      <c r="A1133" s="2">
        <v>0.4236031685517008</v>
      </c>
      <c r="B1133" t="s">
        <v>530</v>
      </c>
      <c r="C1133" t="s">
        <v>584</v>
      </c>
      <c r="D1133" t="s">
        <v>584</v>
      </c>
    </row>
    <row r="1134" spans="1:4">
      <c r="A1134" s="2">
        <v>0.004809542131589073</v>
      </c>
      <c r="B1134" t="s">
        <v>531</v>
      </c>
      <c r="C1134" t="s">
        <v>584</v>
      </c>
      <c r="D1134" t="s">
        <v>584</v>
      </c>
    </row>
    <row r="1135" spans="1:4">
      <c r="A1135" s="2">
        <v>1.90352914303118</v>
      </c>
      <c r="B1135" t="s">
        <v>532</v>
      </c>
      <c r="C1135" t="s">
        <v>584</v>
      </c>
      <c r="D1135" t="s">
        <v>584</v>
      </c>
    </row>
    <row r="1136" spans="1:4">
      <c r="A1136" s="2">
        <v>1.864349901189455</v>
      </c>
      <c r="B1136" t="s">
        <v>533</v>
      </c>
      <c r="C1136" t="s">
        <v>584</v>
      </c>
      <c r="D1136" t="s">
        <v>584</v>
      </c>
    </row>
    <row r="1137" spans="1:4">
      <c r="A1137" s="2">
        <v>0.021176390865352036</v>
      </c>
      <c r="B1137" t="s">
        <v>534</v>
      </c>
      <c r="C1137" t="s">
        <v>584</v>
      </c>
      <c r="D1137" t="s">
        <v>584</v>
      </c>
    </row>
    <row r="1138" spans="1:4">
      <c r="A1138" s="2">
        <v>1.9357336430507164</v>
      </c>
      <c r="B1138" t="s">
        <v>535</v>
      </c>
      <c r="C1138" t="s">
        <v>584</v>
      </c>
      <c r="D1138" t="s">
        <v>584</v>
      </c>
    </row>
    <row r="1139" spans="1:4">
      <c r="A1139" s="2">
        <v>1.0907504363001743</v>
      </c>
      <c r="B1139" t="s">
        <v>536</v>
      </c>
      <c r="C1139" t="s">
        <v>584</v>
      </c>
      <c r="D1139" t="s">
        <v>584</v>
      </c>
    </row>
    <row r="1140" spans="1:4">
      <c r="A1140" s="2">
        <v>0.7584951456310679</v>
      </c>
      <c r="B1140" t="s">
        <v>537</v>
      </c>
      <c r="C1140" t="s">
        <v>584</v>
      </c>
      <c r="D1140" t="s">
        <v>584</v>
      </c>
    </row>
    <row r="1141" spans="1:4">
      <c r="A1141" s="2">
        <v>0.6933851060879213</v>
      </c>
      <c r="B1141" t="s">
        <v>538</v>
      </c>
      <c r="C1141" t="s">
        <v>584</v>
      </c>
      <c r="D1141" t="s">
        <v>584</v>
      </c>
    </row>
    <row r="1142" spans="1:4">
      <c r="A1142" s="2">
        <v>0.16217259380468255</v>
      </c>
      <c r="B1142" t="s">
        <v>539</v>
      </c>
      <c r="C1142" t="s">
        <v>584</v>
      </c>
      <c r="D1142" t="s">
        <v>584</v>
      </c>
    </row>
    <row r="1143" spans="1:4">
      <c r="A1143" s="2">
        <v>0.38943842978425114</v>
      </c>
      <c r="B1143" t="s">
        <v>540</v>
      </c>
      <c r="C1143" t="s">
        <v>584</v>
      </c>
      <c r="D1143" t="s">
        <v>584</v>
      </c>
    </row>
    <row r="1144" spans="1:4">
      <c r="A1144" s="2">
        <v>0.222246916324036</v>
      </c>
      <c r="B1144" t="s">
        <v>541</v>
      </c>
      <c r="C1144" t="s">
        <v>584</v>
      </c>
      <c r="D1144" t="s">
        <v>584</v>
      </c>
    </row>
    <row r="1145" spans="1:4">
      <c r="A1145" s="2">
        <v>1</v>
      </c>
      <c r="B1145" t="s">
        <v>542</v>
      </c>
      <c r="C1145" t="s">
        <v>584</v>
      </c>
      <c r="D1145" t="s">
        <v>584</v>
      </c>
    </row>
    <row r="1146" spans="1:4">
      <c r="A1146" s="2">
        <v>7.0127999999999995</v>
      </c>
      <c r="B1146" t="s">
        <v>364</v>
      </c>
      <c r="C1146" t="s">
        <v>584</v>
      </c>
      <c r="D1146" t="s">
        <v>585</v>
      </c>
    </row>
    <row r="1147" spans="1:4">
      <c r="A1147" s="2">
        <v>8.1556</v>
      </c>
      <c r="B1147" t="s">
        <v>373</v>
      </c>
      <c r="C1147" t="s">
        <v>584</v>
      </c>
      <c r="D1147" t="s">
        <v>585</v>
      </c>
    </row>
    <row r="1148" spans="1:4">
      <c r="A1148" s="2">
        <v>0.044592</v>
      </c>
      <c r="B1148" t="s">
        <v>520</v>
      </c>
      <c r="C1148" t="s">
        <v>584</v>
      </c>
      <c r="D1148" t="s">
        <v>585</v>
      </c>
    </row>
    <row r="1149" spans="1:4">
      <c r="A1149" s="2">
        <v>0.89973</v>
      </c>
      <c r="B1149" t="s">
        <v>370</v>
      </c>
      <c r="C1149" t="s">
        <v>584</v>
      </c>
      <c r="D1149" t="s">
        <v>585</v>
      </c>
    </row>
    <row r="1150" spans="1:4">
      <c r="A1150" s="2">
        <v>9.3961</v>
      </c>
      <c r="B1150" t="s">
        <v>521</v>
      </c>
      <c r="C1150" t="s">
        <v>584</v>
      </c>
      <c r="D1150" t="s">
        <v>585</v>
      </c>
    </row>
    <row r="1151" spans="1:4">
      <c r="A1151" s="2">
        <v>4.6825</v>
      </c>
      <c r="B1151" t="s">
        <v>522</v>
      </c>
      <c r="C1151" t="s">
        <v>584</v>
      </c>
      <c r="D1151" t="s">
        <v>585</v>
      </c>
    </row>
    <row r="1152" spans="1:4">
      <c r="A1152" s="2">
        <v>4.0163</v>
      </c>
      <c r="B1152" t="s">
        <v>523</v>
      </c>
      <c r="C1152" t="s">
        <v>584</v>
      </c>
      <c r="D1152" t="s">
        <v>585</v>
      </c>
    </row>
    <row r="1153" spans="1:4">
      <c r="A1153" s="2">
        <v>5.4456</v>
      </c>
      <c r="B1153" t="s">
        <v>524</v>
      </c>
      <c r="C1153" t="s">
        <v>584</v>
      </c>
      <c r="D1153" t="s">
        <v>585</v>
      </c>
    </row>
    <row r="1154" spans="1:4">
      <c r="A1154" s="2">
        <v>8.7537</v>
      </c>
      <c r="B1154" t="s">
        <v>525</v>
      </c>
      <c r="C1154" t="s">
        <v>584</v>
      </c>
      <c r="D1154" t="s">
        <v>585</v>
      </c>
    </row>
    <row r="1155" spans="1:4">
      <c r="A1155" s="2">
        <v>5.0426</v>
      </c>
      <c r="B1155" t="s">
        <v>526</v>
      </c>
      <c r="C1155" t="s">
        <v>584</v>
      </c>
      <c r="D1155" t="s">
        <v>585</v>
      </c>
    </row>
    <row r="1156" spans="1:4">
      <c r="A1156" s="2">
        <v>0.8740494712000699</v>
      </c>
      <c r="B1156" t="s">
        <v>527</v>
      </c>
      <c r="C1156" t="s">
        <v>584</v>
      </c>
      <c r="D1156" t="s">
        <v>585</v>
      </c>
    </row>
    <row r="1157" spans="1:4">
      <c r="A1157" s="2">
        <v>1.7240784800524118</v>
      </c>
      <c r="B1157" t="s">
        <v>528</v>
      </c>
      <c r="C1157" t="s">
        <v>584</v>
      </c>
      <c r="D1157" t="s">
        <v>585</v>
      </c>
    </row>
    <row r="1158" spans="1:4">
      <c r="A1158" s="2">
        <v>0.08698450805911466</v>
      </c>
      <c r="B1158" t="s">
        <v>529</v>
      </c>
      <c r="C1158" t="s">
        <v>584</v>
      </c>
      <c r="D1158" t="s">
        <v>585</v>
      </c>
    </row>
    <row r="1159" spans="1:4">
      <c r="A1159" s="2">
        <v>0.4236031685517008</v>
      </c>
      <c r="B1159" t="s">
        <v>530</v>
      </c>
      <c r="C1159" t="s">
        <v>584</v>
      </c>
      <c r="D1159" t="s">
        <v>585</v>
      </c>
    </row>
    <row r="1160" spans="1:4">
      <c r="A1160" s="2">
        <v>0.004809542131589073</v>
      </c>
      <c r="B1160" t="s">
        <v>531</v>
      </c>
      <c r="C1160" t="s">
        <v>584</v>
      </c>
      <c r="D1160" t="s">
        <v>585</v>
      </c>
    </row>
    <row r="1161" spans="1:4">
      <c r="A1161" s="2">
        <v>1.90352914303118</v>
      </c>
      <c r="B1161" t="s">
        <v>532</v>
      </c>
      <c r="C1161" t="s">
        <v>584</v>
      </c>
      <c r="D1161" t="s">
        <v>585</v>
      </c>
    </row>
    <row r="1162" spans="1:4">
      <c r="A1162" s="2">
        <v>1.864349901189455</v>
      </c>
      <c r="B1162" t="s">
        <v>533</v>
      </c>
      <c r="C1162" t="s">
        <v>584</v>
      </c>
      <c r="D1162" t="s">
        <v>585</v>
      </c>
    </row>
    <row r="1163" spans="1:4">
      <c r="A1163" s="2">
        <v>0.021176390865352036</v>
      </c>
      <c r="B1163" t="s">
        <v>534</v>
      </c>
      <c r="C1163" t="s">
        <v>584</v>
      </c>
      <c r="D1163" t="s">
        <v>585</v>
      </c>
    </row>
    <row r="1164" spans="1:4">
      <c r="A1164" s="2">
        <v>1.9357336430507164</v>
      </c>
      <c r="B1164" t="s">
        <v>535</v>
      </c>
      <c r="C1164" t="s">
        <v>584</v>
      </c>
      <c r="D1164" t="s">
        <v>585</v>
      </c>
    </row>
    <row r="1165" spans="1:4">
      <c r="A1165" s="2">
        <v>1.0907504363001743</v>
      </c>
      <c r="B1165" t="s">
        <v>536</v>
      </c>
      <c r="C1165" t="s">
        <v>584</v>
      </c>
      <c r="D1165" t="s">
        <v>585</v>
      </c>
    </row>
    <row r="1166" spans="1:4">
      <c r="A1166" s="2">
        <v>0.7584951456310679</v>
      </c>
      <c r="B1166" t="s">
        <v>537</v>
      </c>
      <c r="C1166" t="s">
        <v>584</v>
      </c>
      <c r="D1166" t="s">
        <v>585</v>
      </c>
    </row>
    <row r="1167" spans="1:4">
      <c r="A1167" s="2">
        <v>0.6933851060879213</v>
      </c>
      <c r="B1167" t="s">
        <v>538</v>
      </c>
      <c r="C1167" t="s">
        <v>584</v>
      </c>
      <c r="D1167" t="s">
        <v>585</v>
      </c>
    </row>
    <row r="1168" spans="1:4">
      <c r="A1168" s="2">
        <v>0.16217259380468255</v>
      </c>
      <c r="B1168" t="s">
        <v>539</v>
      </c>
      <c r="C1168" t="s">
        <v>584</v>
      </c>
      <c r="D1168" t="s">
        <v>585</v>
      </c>
    </row>
    <row r="1169" spans="1:4">
      <c r="A1169" s="2">
        <v>0.38943842978425114</v>
      </c>
      <c r="B1169" t="s">
        <v>540</v>
      </c>
      <c r="C1169" t="s">
        <v>584</v>
      </c>
      <c r="D1169" t="s">
        <v>585</v>
      </c>
    </row>
    <row r="1170" spans="1:4">
      <c r="A1170" s="2">
        <v>0.222246916324036</v>
      </c>
      <c r="B1170" t="s">
        <v>541</v>
      </c>
      <c r="C1170" t="s">
        <v>584</v>
      </c>
      <c r="D1170" t="s">
        <v>585</v>
      </c>
    </row>
    <row r="1171" spans="1:4">
      <c r="A1171" s="2">
        <v>1</v>
      </c>
      <c r="B1171" t="s">
        <v>542</v>
      </c>
      <c r="C1171" t="s">
        <v>585</v>
      </c>
      <c r="D1171" t="s">
        <v>585</v>
      </c>
    </row>
    <row r="1172" spans="1:4">
      <c r="A1172" s="2">
        <v>7.0127999999999995</v>
      </c>
      <c r="B1172" t="s">
        <v>364</v>
      </c>
      <c r="C1172" t="s">
        <v>584</v>
      </c>
      <c r="D1172" t="s">
        <v>586</v>
      </c>
    </row>
    <row r="1173" spans="1:4">
      <c r="A1173" s="2">
        <v>8.1556</v>
      </c>
      <c r="B1173" t="s">
        <v>373</v>
      </c>
      <c r="C1173" t="s">
        <v>584</v>
      </c>
      <c r="D1173" t="s">
        <v>586</v>
      </c>
    </row>
    <row r="1174" spans="1:4">
      <c r="A1174" s="2">
        <v>0.044592</v>
      </c>
      <c r="B1174" t="s">
        <v>520</v>
      </c>
      <c r="C1174" t="s">
        <v>584</v>
      </c>
      <c r="D1174" t="s">
        <v>586</v>
      </c>
    </row>
    <row r="1175" spans="1:4">
      <c r="A1175" s="2">
        <v>0.89973</v>
      </c>
      <c r="B1175" t="s">
        <v>370</v>
      </c>
      <c r="C1175" t="s">
        <v>584</v>
      </c>
      <c r="D1175" t="s">
        <v>586</v>
      </c>
    </row>
    <row r="1176" spans="1:4">
      <c r="A1176" s="2">
        <v>9.3961</v>
      </c>
      <c r="B1176" t="s">
        <v>521</v>
      </c>
      <c r="C1176" t="s">
        <v>584</v>
      </c>
      <c r="D1176" t="s">
        <v>586</v>
      </c>
    </row>
    <row r="1177" spans="1:4">
      <c r="A1177" s="2">
        <v>4.6825</v>
      </c>
      <c r="B1177" t="s">
        <v>522</v>
      </c>
      <c r="C1177" t="s">
        <v>584</v>
      </c>
      <c r="D1177" t="s">
        <v>586</v>
      </c>
    </row>
    <row r="1178" spans="1:4">
      <c r="A1178" s="2">
        <v>4.0163</v>
      </c>
      <c r="B1178" t="s">
        <v>523</v>
      </c>
      <c r="C1178" t="s">
        <v>584</v>
      </c>
      <c r="D1178" t="s">
        <v>586</v>
      </c>
    </row>
    <row r="1179" spans="1:4">
      <c r="A1179" s="2">
        <v>5.4456</v>
      </c>
      <c r="B1179" t="s">
        <v>524</v>
      </c>
      <c r="C1179" t="s">
        <v>584</v>
      </c>
      <c r="D1179" t="s">
        <v>586</v>
      </c>
    </row>
    <row r="1180" spans="1:4">
      <c r="A1180" s="2">
        <v>8.7537</v>
      </c>
      <c r="B1180" t="s">
        <v>525</v>
      </c>
      <c r="C1180" t="s">
        <v>584</v>
      </c>
      <c r="D1180" t="s">
        <v>586</v>
      </c>
    </row>
    <row r="1181" spans="1:4">
      <c r="A1181" s="2">
        <v>5.0426</v>
      </c>
      <c r="B1181" t="s">
        <v>526</v>
      </c>
      <c r="C1181" t="s">
        <v>584</v>
      </c>
      <c r="D1181" t="s">
        <v>586</v>
      </c>
    </row>
    <row r="1182" spans="1:4">
      <c r="A1182" s="2">
        <v>0.8740494712000699</v>
      </c>
      <c r="B1182" t="s">
        <v>527</v>
      </c>
      <c r="C1182" t="s">
        <v>584</v>
      </c>
      <c r="D1182" t="s">
        <v>586</v>
      </c>
    </row>
    <row r="1183" spans="1:4">
      <c r="A1183" s="2">
        <v>1.7240784800524118</v>
      </c>
      <c r="B1183" t="s">
        <v>528</v>
      </c>
      <c r="C1183" t="s">
        <v>584</v>
      </c>
      <c r="D1183" t="s">
        <v>586</v>
      </c>
    </row>
    <row r="1184" spans="1:4">
      <c r="A1184" s="2">
        <v>0.08698450805911466</v>
      </c>
      <c r="B1184" t="s">
        <v>529</v>
      </c>
      <c r="C1184" t="s">
        <v>584</v>
      </c>
      <c r="D1184" t="s">
        <v>586</v>
      </c>
    </row>
    <row r="1185" spans="1:4">
      <c r="A1185" s="2">
        <v>0.4236031685517008</v>
      </c>
      <c r="B1185" t="s">
        <v>530</v>
      </c>
      <c r="C1185" t="s">
        <v>584</v>
      </c>
      <c r="D1185" t="s">
        <v>586</v>
      </c>
    </row>
    <row r="1186" spans="1:4">
      <c r="A1186" s="2">
        <v>0.004809542131589073</v>
      </c>
      <c r="B1186" t="s">
        <v>531</v>
      </c>
      <c r="C1186" t="s">
        <v>584</v>
      </c>
      <c r="D1186" t="s">
        <v>586</v>
      </c>
    </row>
    <row r="1187" spans="1:4">
      <c r="A1187" s="2">
        <v>1.90352914303118</v>
      </c>
      <c r="B1187" t="s">
        <v>532</v>
      </c>
      <c r="C1187" t="s">
        <v>584</v>
      </c>
      <c r="D1187" t="s">
        <v>586</v>
      </c>
    </row>
    <row r="1188" spans="1:4">
      <c r="A1188" s="2">
        <v>1.864349901189455</v>
      </c>
      <c r="B1188" t="s">
        <v>533</v>
      </c>
      <c r="C1188" t="s">
        <v>584</v>
      </c>
      <c r="D1188" t="s">
        <v>586</v>
      </c>
    </row>
    <row r="1189" spans="1:4">
      <c r="A1189" s="2">
        <v>0.021176390865352036</v>
      </c>
      <c r="B1189" t="s">
        <v>534</v>
      </c>
      <c r="C1189" t="s">
        <v>584</v>
      </c>
      <c r="D1189" t="s">
        <v>586</v>
      </c>
    </row>
    <row r="1190" spans="1:4">
      <c r="A1190" s="2">
        <v>1.9357336430507164</v>
      </c>
      <c r="B1190" t="s">
        <v>535</v>
      </c>
      <c r="C1190" t="s">
        <v>584</v>
      </c>
      <c r="D1190" t="s">
        <v>586</v>
      </c>
    </row>
    <row r="1191" spans="1:4">
      <c r="A1191" s="2">
        <v>1.0907504363001743</v>
      </c>
      <c r="B1191" t="s">
        <v>536</v>
      </c>
      <c r="C1191" t="s">
        <v>584</v>
      </c>
      <c r="D1191" t="s">
        <v>586</v>
      </c>
    </row>
    <row r="1192" spans="1:4">
      <c r="A1192" s="2">
        <v>0.7584951456310679</v>
      </c>
      <c r="B1192" t="s">
        <v>537</v>
      </c>
      <c r="C1192" t="s">
        <v>584</v>
      </c>
      <c r="D1192" t="s">
        <v>586</v>
      </c>
    </row>
    <row r="1193" spans="1:4">
      <c r="A1193" s="2">
        <v>0.6933851060879213</v>
      </c>
      <c r="B1193" t="s">
        <v>538</v>
      </c>
      <c r="C1193" t="s">
        <v>584</v>
      </c>
      <c r="D1193" t="s">
        <v>586</v>
      </c>
    </row>
    <row r="1194" spans="1:4">
      <c r="A1194" s="2">
        <v>0.16217259380468255</v>
      </c>
      <c r="B1194" t="s">
        <v>539</v>
      </c>
      <c r="C1194" t="s">
        <v>584</v>
      </c>
      <c r="D1194" t="s">
        <v>586</v>
      </c>
    </row>
    <row r="1195" spans="1:4">
      <c r="A1195" s="2">
        <v>0.38943842978425114</v>
      </c>
      <c r="B1195" t="s">
        <v>540</v>
      </c>
      <c r="C1195" t="s">
        <v>584</v>
      </c>
      <c r="D1195" t="s">
        <v>586</v>
      </c>
    </row>
    <row r="1196" spans="1:4">
      <c r="A1196" s="2">
        <v>0.222246916324036</v>
      </c>
      <c r="B1196" t="s">
        <v>541</v>
      </c>
      <c r="C1196" t="s">
        <v>584</v>
      </c>
      <c r="D1196" t="s">
        <v>586</v>
      </c>
    </row>
    <row r="1197" spans="1:4">
      <c r="A1197" s="2">
        <v>1</v>
      </c>
      <c r="B1197" t="s">
        <v>542</v>
      </c>
      <c r="C1197" t="s">
        <v>586</v>
      </c>
      <c r="D1197" t="s">
        <v>586</v>
      </c>
    </row>
    <row r="1198" spans="1:4">
      <c r="A1198" s="2">
        <v>7.010800000000001</v>
      </c>
      <c r="B1198" t="s">
        <v>364</v>
      </c>
      <c r="C1198" t="s">
        <v>47</v>
      </c>
      <c r="D1198" t="s">
        <v>47</v>
      </c>
    </row>
    <row r="1199" spans="1:4">
      <c r="A1199" s="2">
        <v>8.14</v>
      </c>
      <c r="B1199" t="s">
        <v>373</v>
      </c>
      <c r="C1199" t="s">
        <v>47</v>
      </c>
      <c r="D1199" t="s">
        <v>47</v>
      </c>
    </row>
    <row r="1200" spans="1:4">
      <c r="A1200" s="2">
        <v>0.044267</v>
      </c>
      <c r="B1200" t="s">
        <v>520</v>
      </c>
      <c r="C1200" t="s">
        <v>47</v>
      </c>
      <c r="D1200" t="s">
        <v>47</v>
      </c>
    </row>
    <row r="1201" spans="1:4">
      <c r="A1201" s="2">
        <v>0.89959</v>
      </c>
      <c r="B1201" t="s">
        <v>370</v>
      </c>
      <c r="C1201" t="s">
        <v>47</v>
      </c>
      <c r="D1201" t="s">
        <v>47</v>
      </c>
    </row>
    <row r="1202" spans="1:4">
      <c r="A1202" s="2">
        <v>9.3699</v>
      </c>
      <c r="B1202" t="s">
        <v>521</v>
      </c>
      <c r="C1202" t="s">
        <v>47</v>
      </c>
      <c r="D1202" t="s">
        <v>47</v>
      </c>
    </row>
    <row r="1203" spans="1:4">
      <c r="A1203" s="2">
        <v>4.6758999999999995</v>
      </c>
      <c r="B1203" t="s">
        <v>522</v>
      </c>
      <c r="C1203" t="s">
        <v>47</v>
      </c>
      <c r="D1203" t="s">
        <v>47</v>
      </c>
    </row>
    <row r="1204" spans="1:4">
      <c r="A1204" s="2">
        <v>4.0056</v>
      </c>
      <c r="B1204" t="s">
        <v>523</v>
      </c>
      <c r="C1204" t="s">
        <v>47</v>
      </c>
      <c r="D1204" t="s">
        <v>47</v>
      </c>
    </row>
    <row r="1205" spans="1:4">
      <c r="A1205" s="2">
        <v>5.434500000000001</v>
      </c>
      <c r="B1205" t="s">
        <v>524</v>
      </c>
      <c r="C1205" t="s">
        <v>47</v>
      </c>
      <c r="D1205" t="s">
        <v>47</v>
      </c>
    </row>
    <row r="1206" spans="1:4">
      <c r="A1206" s="2">
        <v>8.726</v>
      </c>
      <c r="B1206" t="s">
        <v>525</v>
      </c>
      <c r="C1206" t="s">
        <v>47</v>
      </c>
      <c r="D1206" t="s">
        <v>47</v>
      </c>
    </row>
    <row r="1207" spans="1:4">
      <c r="A1207" s="2">
        <v>5.024100000000001</v>
      </c>
      <c r="B1207" t="s">
        <v>526</v>
      </c>
      <c r="C1207" t="s">
        <v>47</v>
      </c>
      <c r="D1207" t="s">
        <v>47</v>
      </c>
    </row>
    <row r="1208" spans="1:4">
      <c r="A1208" s="2">
        <v>0.8729812309035356</v>
      </c>
      <c r="B1208" t="s">
        <v>527</v>
      </c>
      <c r="C1208" t="s">
        <v>47</v>
      </c>
      <c r="D1208" t="s">
        <v>47</v>
      </c>
    </row>
    <row r="1209" spans="1:4">
      <c r="A1209" s="2">
        <v>1.7184788025639703</v>
      </c>
      <c r="B1209" t="s">
        <v>528</v>
      </c>
      <c r="C1209" t="s">
        <v>47</v>
      </c>
      <c r="D1209" t="s">
        <v>47</v>
      </c>
    </row>
    <row r="1210" spans="1:4">
      <c r="A1210" s="2">
        <v>0.08840091583348803</v>
      </c>
      <c r="B1210" t="s">
        <v>529</v>
      </c>
      <c r="C1210" t="s">
        <v>47</v>
      </c>
      <c r="D1210" t="s">
        <v>47</v>
      </c>
    </row>
    <row r="1211" spans="1:4">
      <c r="A1211" s="2">
        <v>0.42434015106509376</v>
      </c>
      <c r="B1211" t="s">
        <v>530</v>
      </c>
      <c r="C1211" t="s">
        <v>47</v>
      </c>
      <c r="D1211" t="s">
        <v>47</v>
      </c>
    </row>
    <row r="1212" spans="1:4">
      <c r="A1212" s="2">
        <v>0.004789272030651341</v>
      </c>
      <c r="B1212" t="s">
        <v>531</v>
      </c>
      <c r="C1212" t="s">
        <v>47</v>
      </c>
      <c r="D1212" t="s">
        <v>47</v>
      </c>
    </row>
    <row r="1213" spans="1:4">
      <c r="A1213" s="2">
        <v>1.9030944315456932</v>
      </c>
      <c r="B1213" t="s">
        <v>532</v>
      </c>
      <c r="C1213" t="s">
        <v>47</v>
      </c>
      <c r="D1213" t="s">
        <v>47</v>
      </c>
    </row>
    <row r="1214" spans="1:4">
      <c r="A1214" s="2">
        <v>1.8641066268990585</v>
      </c>
      <c r="B1214" t="s">
        <v>533</v>
      </c>
      <c r="C1214" t="s">
        <v>47</v>
      </c>
      <c r="D1214" t="s">
        <v>47</v>
      </c>
    </row>
    <row r="1215" spans="1:4">
      <c r="A1215" s="2">
        <v>0.02109477672233578</v>
      </c>
      <c r="B1215" t="s">
        <v>534</v>
      </c>
      <c r="C1215" t="s">
        <v>47</v>
      </c>
      <c r="D1215" t="s">
        <v>47</v>
      </c>
    </row>
    <row r="1216" spans="1:4">
      <c r="A1216" s="2">
        <v>1.9313594839407455</v>
      </c>
      <c r="B1216" t="s">
        <v>535</v>
      </c>
      <c r="C1216" t="s">
        <v>47</v>
      </c>
      <c r="D1216" t="s">
        <v>47</v>
      </c>
    </row>
    <row r="1217" spans="1:4">
      <c r="A1217" s="2">
        <v>1.0887316276537835</v>
      </c>
      <c r="B1217" t="s">
        <v>536</v>
      </c>
      <c r="C1217" t="s">
        <v>47</v>
      </c>
      <c r="D1217" t="s">
        <v>47</v>
      </c>
    </row>
    <row r="1218" spans="1:4">
      <c r="A1218" s="2">
        <v>0.7591861524445794</v>
      </c>
      <c r="B1218" t="s">
        <v>537</v>
      </c>
      <c r="C1218" t="s">
        <v>47</v>
      </c>
      <c r="D1218" t="s">
        <v>47</v>
      </c>
    </row>
    <row r="1219" spans="1:4">
      <c r="A1219" s="2">
        <v>0.6931447979482913</v>
      </c>
      <c r="B1219" t="s">
        <v>538</v>
      </c>
      <c r="C1219" t="s">
        <v>47</v>
      </c>
      <c r="D1219" t="s">
        <v>47</v>
      </c>
    </row>
    <row r="1220" spans="1:4">
      <c r="A1220" s="2">
        <v>0.16207980809750722</v>
      </c>
      <c r="B1220" t="s">
        <v>539</v>
      </c>
      <c r="C1220" t="s">
        <v>47</v>
      </c>
      <c r="D1220" t="s">
        <v>47</v>
      </c>
    </row>
    <row r="1221" spans="1:4">
      <c r="A1221" s="2">
        <v>0.3894080996884735</v>
      </c>
      <c r="B1221" t="s">
        <v>540</v>
      </c>
      <c r="C1221" t="s">
        <v>47</v>
      </c>
      <c r="D1221" t="s">
        <v>47</v>
      </c>
    </row>
    <row r="1222" spans="1:4">
      <c r="A1222" s="2">
        <v>0.2228759917981635</v>
      </c>
      <c r="B1222" t="s">
        <v>541</v>
      </c>
      <c r="C1222" t="s">
        <v>47</v>
      </c>
      <c r="D1222" t="s">
        <v>47</v>
      </c>
    </row>
    <row r="1223" spans="1:4">
      <c r="A1223" s="2">
        <v>1</v>
      </c>
      <c r="B1223" t="s">
        <v>542</v>
      </c>
      <c r="C1223" t="s">
        <v>47</v>
      </c>
      <c r="D1223" t="s">
        <v>47</v>
      </c>
    </row>
    <row r="1224" spans="1:4">
      <c r="A1224" s="2">
        <v>7.0103</v>
      </c>
      <c r="B1224" t="s">
        <v>364</v>
      </c>
      <c r="C1224" t="s">
        <v>587</v>
      </c>
      <c r="D1224" t="s">
        <v>587</v>
      </c>
    </row>
    <row r="1225" spans="1:4">
      <c r="A1225" s="2">
        <v>8.1463</v>
      </c>
      <c r="B1225" t="s">
        <v>373</v>
      </c>
      <c r="C1225" t="s">
        <v>587</v>
      </c>
      <c r="D1225" t="s">
        <v>587</v>
      </c>
    </row>
    <row r="1226" spans="1:4">
      <c r="A1226" s="2">
        <v>0.044222</v>
      </c>
      <c r="B1226" t="s">
        <v>520</v>
      </c>
      <c r="C1226" t="s">
        <v>587</v>
      </c>
      <c r="D1226" t="s">
        <v>587</v>
      </c>
    </row>
    <row r="1227" spans="1:4">
      <c r="A1227" s="2">
        <v>0.89914</v>
      </c>
      <c r="B1227" t="s">
        <v>370</v>
      </c>
      <c r="C1227" t="s">
        <v>587</v>
      </c>
      <c r="D1227" t="s">
        <v>587</v>
      </c>
    </row>
    <row r="1228" spans="1:4">
      <c r="A1228" s="2">
        <v>9.4038</v>
      </c>
      <c r="B1228" t="s">
        <v>521</v>
      </c>
      <c r="C1228" t="s">
        <v>587</v>
      </c>
      <c r="D1228" t="s">
        <v>587</v>
      </c>
    </row>
    <row r="1229" spans="1:4">
      <c r="A1229" s="2">
        <v>4.6827</v>
      </c>
      <c r="B1229" t="s">
        <v>522</v>
      </c>
      <c r="C1229" t="s">
        <v>587</v>
      </c>
      <c r="D1229" t="s">
        <v>587</v>
      </c>
    </row>
    <row r="1230" spans="1:4">
      <c r="A1230" s="2">
        <v>4.026</v>
      </c>
      <c r="B1230" t="s">
        <v>523</v>
      </c>
      <c r="C1230" t="s">
        <v>587</v>
      </c>
      <c r="D1230" t="s">
        <v>587</v>
      </c>
    </row>
    <row r="1231" spans="1:4">
      <c r="A1231" s="2">
        <v>5.4368</v>
      </c>
      <c r="B1231" t="s">
        <v>524</v>
      </c>
      <c r="C1231" t="s">
        <v>587</v>
      </c>
      <c r="D1231" t="s">
        <v>587</v>
      </c>
    </row>
    <row r="1232" spans="1:4">
      <c r="A1232" s="2">
        <v>8.7582</v>
      </c>
      <c r="B1232" t="s">
        <v>525</v>
      </c>
      <c r="C1232" t="s">
        <v>587</v>
      </c>
      <c r="D1232" t="s">
        <v>587</v>
      </c>
    </row>
    <row r="1233" spans="1:4">
      <c r="A1233" s="2">
        <v>5.0308</v>
      </c>
      <c r="B1233" t="s">
        <v>526</v>
      </c>
      <c r="C1233" t="s">
        <v>587</v>
      </c>
      <c r="D1233" t="s">
        <v>587</v>
      </c>
    </row>
    <row r="1234" spans="1:4">
      <c r="A1234" s="2">
        <v>0.8726003490401396</v>
      </c>
      <c r="B1234" t="s">
        <v>527</v>
      </c>
      <c r="C1234" t="s">
        <v>587</v>
      </c>
      <c r="D1234" t="s">
        <v>587</v>
      </c>
    </row>
    <row r="1235" spans="1:4">
      <c r="A1235" s="2">
        <v>1.7230684402784475</v>
      </c>
      <c r="B1235" t="s">
        <v>528</v>
      </c>
      <c r="C1235" t="s">
        <v>587</v>
      </c>
      <c r="D1235" t="s">
        <v>587</v>
      </c>
    </row>
    <row r="1236" spans="1:4">
      <c r="A1236" s="2">
        <v>0.08898301314279104</v>
      </c>
      <c r="B1236" t="s">
        <v>529</v>
      </c>
      <c r="C1236" t="s">
        <v>587</v>
      </c>
      <c r="D1236" t="s">
        <v>587</v>
      </c>
    </row>
    <row r="1237" spans="1:4">
      <c r="A1237" s="2">
        <v>0.4265119849867781</v>
      </c>
      <c r="B1237" t="s">
        <v>530</v>
      </c>
      <c r="C1237" t="s">
        <v>587</v>
      </c>
      <c r="D1237" t="s">
        <v>587</v>
      </c>
    </row>
    <row r="1238" spans="1:4">
      <c r="A1238" s="2">
        <v>0.004751045229950589</v>
      </c>
      <c r="B1238" t="s">
        <v>531</v>
      </c>
      <c r="C1238" t="s">
        <v>587</v>
      </c>
      <c r="D1238" t="s">
        <v>587</v>
      </c>
    </row>
    <row r="1239" spans="1:4">
      <c r="A1239" s="2">
        <v>1.9006709368407049</v>
      </c>
      <c r="B1239" t="s">
        <v>532</v>
      </c>
      <c r="C1239" t="s">
        <v>587</v>
      </c>
      <c r="D1239" t="s">
        <v>587</v>
      </c>
    </row>
    <row r="1240" spans="1:4">
      <c r="A1240" s="2">
        <v>1.8616773713115515</v>
      </c>
      <c r="B1240" t="s">
        <v>533</v>
      </c>
      <c r="C1240" t="s">
        <v>587</v>
      </c>
      <c r="D1240" t="s">
        <v>587</v>
      </c>
    </row>
    <row r="1241" spans="1:4">
      <c r="A1241" s="2">
        <v>0.02105945927732359</v>
      </c>
      <c r="B1241" t="s">
        <v>534</v>
      </c>
      <c r="C1241" t="s">
        <v>587</v>
      </c>
      <c r="D1241" t="s">
        <v>587</v>
      </c>
    </row>
    <row r="1242" spans="1:4">
      <c r="A1242" s="2">
        <v>1.934984520123839</v>
      </c>
      <c r="B1242" t="s">
        <v>535</v>
      </c>
      <c r="C1242" t="s">
        <v>587</v>
      </c>
      <c r="D1242" t="s">
        <v>587</v>
      </c>
    </row>
    <row r="1243" spans="1:4">
      <c r="A1243" s="2">
        <v>1.090037061260083</v>
      </c>
      <c r="B1243" t="s">
        <v>536</v>
      </c>
      <c r="C1243" t="s">
        <v>587</v>
      </c>
      <c r="D1243" t="s">
        <v>587</v>
      </c>
    </row>
    <row r="1244" spans="1:4">
      <c r="A1244" s="2">
        <v>0.7617886798202178</v>
      </c>
      <c r="B1244" t="s">
        <v>537</v>
      </c>
      <c r="C1244" t="s">
        <v>587</v>
      </c>
      <c r="D1244" t="s">
        <v>587</v>
      </c>
    </row>
    <row r="1245" spans="1:4">
      <c r="A1245" s="2">
        <v>0.6934812760055479</v>
      </c>
      <c r="B1245" t="s">
        <v>538</v>
      </c>
      <c r="C1245" t="s">
        <v>587</v>
      </c>
      <c r="D1245" t="s">
        <v>587</v>
      </c>
    </row>
    <row r="1246" spans="1:4">
      <c r="A1246" s="2">
        <v>0.16186572914036348</v>
      </c>
      <c r="B1246" t="s">
        <v>539</v>
      </c>
      <c r="C1246" t="s">
        <v>587</v>
      </c>
      <c r="D1246" t="s">
        <v>587</v>
      </c>
    </row>
    <row r="1247" spans="1:4">
      <c r="A1247" s="2">
        <v>0.3900308124341823</v>
      </c>
      <c r="B1247" t="s">
        <v>540</v>
      </c>
      <c r="C1247" t="s">
        <v>587</v>
      </c>
      <c r="D1247" t="s">
        <v>587</v>
      </c>
    </row>
    <row r="1248" spans="1:4">
      <c r="A1248" s="2">
        <v>0.22345370039327853</v>
      </c>
      <c r="B1248" t="s">
        <v>541</v>
      </c>
      <c r="C1248" t="s">
        <v>587</v>
      </c>
      <c r="D1248" t="s">
        <v>587</v>
      </c>
    </row>
    <row r="1249" spans="1:4">
      <c r="A1249" s="2">
        <v>1</v>
      </c>
      <c r="B1249" t="s">
        <v>542</v>
      </c>
      <c r="C1249" t="s">
        <v>587</v>
      </c>
      <c r="D1249" t="s">
        <v>587</v>
      </c>
    </row>
    <row r="1250" spans="1:4">
      <c r="A1250" s="2">
        <v>7.0120000000000005</v>
      </c>
      <c r="B1250" t="s">
        <v>364</v>
      </c>
      <c r="C1250" t="s">
        <v>588</v>
      </c>
      <c r="D1250" t="s">
        <v>588</v>
      </c>
    </row>
    <row r="1251" spans="1:4">
      <c r="A1251" s="2">
        <v>8.1423</v>
      </c>
      <c r="B1251" t="s">
        <v>373</v>
      </c>
      <c r="C1251" t="s">
        <v>588</v>
      </c>
      <c r="D1251" t="s">
        <v>588</v>
      </c>
    </row>
    <row r="1252" spans="1:4">
      <c r="A1252" s="2">
        <v>0.043958</v>
      </c>
      <c r="B1252" t="s">
        <v>520</v>
      </c>
      <c r="C1252" t="s">
        <v>588</v>
      </c>
      <c r="D1252" t="s">
        <v>588</v>
      </c>
    </row>
    <row r="1253" spans="1:4">
      <c r="A1253" s="2">
        <v>0.89884</v>
      </c>
      <c r="B1253" t="s">
        <v>370</v>
      </c>
      <c r="C1253" t="s">
        <v>588</v>
      </c>
      <c r="D1253" t="s">
        <v>588</v>
      </c>
    </row>
    <row r="1254" spans="1:4">
      <c r="A1254" s="2">
        <v>9.385</v>
      </c>
      <c r="B1254" t="s">
        <v>521</v>
      </c>
      <c r="C1254" t="s">
        <v>588</v>
      </c>
      <c r="D1254" t="s">
        <v>588</v>
      </c>
    </row>
    <row r="1255" spans="1:4">
      <c r="A1255" s="2">
        <v>4.6712</v>
      </c>
      <c r="B1255" t="s">
        <v>522</v>
      </c>
      <c r="C1255" t="s">
        <v>588</v>
      </c>
      <c r="D1255" t="s">
        <v>588</v>
      </c>
    </row>
    <row r="1256" spans="1:4">
      <c r="A1256" s="2">
        <v>4.0086</v>
      </c>
      <c r="B1256" t="s">
        <v>523</v>
      </c>
      <c r="C1256" t="s">
        <v>588</v>
      </c>
      <c r="D1256" t="s">
        <v>588</v>
      </c>
    </row>
    <row r="1257" spans="1:4">
      <c r="A1257" s="2">
        <v>5.4261</v>
      </c>
      <c r="B1257" t="s">
        <v>524</v>
      </c>
      <c r="C1257" t="s">
        <v>588</v>
      </c>
      <c r="D1257" t="s">
        <v>588</v>
      </c>
    </row>
    <row r="1258" spans="1:4">
      <c r="A1258" s="2">
        <v>8.7281</v>
      </c>
      <c r="B1258" t="s">
        <v>525</v>
      </c>
      <c r="C1258" t="s">
        <v>588</v>
      </c>
      <c r="D1258" t="s">
        <v>588</v>
      </c>
    </row>
    <row r="1259" spans="1:4">
      <c r="A1259" s="2">
        <v>5.0328</v>
      </c>
      <c r="B1259" t="s">
        <v>526</v>
      </c>
      <c r="C1259" t="s">
        <v>588</v>
      </c>
      <c r="D1259" t="s">
        <v>588</v>
      </c>
    </row>
    <row r="1260" spans="1:4">
      <c r="A1260" s="2">
        <v>0.8730574471800244</v>
      </c>
      <c r="B1260" t="s">
        <v>527</v>
      </c>
      <c r="C1260" t="s">
        <v>588</v>
      </c>
      <c r="D1260" t="s">
        <v>588</v>
      </c>
    </row>
    <row r="1261" spans="1:4">
      <c r="A1261" s="2">
        <v>1.7254468907447027</v>
      </c>
      <c r="B1261" t="s">
        <v>528</v>
      </c>
      <c r="C1261" t="s">
        <v>588</v>
      </c>
      <c r="D1261" t="s">
        <v>588</v>
      </c>
    </row>
    <row r="1262" spans="1:4">
      <c r="A1262" s="2">
        <v>0.08858180529719195</v>
      </c>
      <c r="B1262" t="s">
        <v>529</v>
      </c>
      <c r="C1262" t="s">
        <v>588</v>
      </c>
      <c r="D1262" t="s">
        <v>588</v>
      </c>
    </row>
    <row r="1263" spans="1:4">
      <c r="A1263" s="2">
        <v>0.4266939750810718</v>
      </c>
      <c r="B1263" t="s">
        <v>530</v>
      </c>
      <c r="C1263" t="s">
        <v>588</v>
      </c>
      <c r="D1263" t="s">
        <v>588</v>
      </c>
    </row>
    <row r="1264" spans="1:4">
      <c r="A1264" s="2">
        <v>0.00473260766682442</v>
      </c>
      <c r="B1264" t="s">
        <v>531</v>
      </c>
      <c r="C1264" t="s">
        <v>588</v>
      </c>
      <c r="D1264" t="s">
        <v>588</v>
      </c>
    </row>
    <row r="1265" spans="1:4">
      <c r="A1265" s="2">
        <v>1.9026599185661557</v>
      </c>
      <c r="B1265" t="s">
        <v>532</v>
      </c>
      <c r="C1265" t="s">
        <v>588</v>
      </c>
      <c r="D1265" t="s">
        <v>588</v>
      </c>
    </row>
    <row r="1266" spans="1:4">
      <c r="A1266" s="2">
        <v>1.8636550001863657</v>
      </c>
      <c r="B1266" t="s">
        <v>533</v>
      </c>
      <c r="C1266" t="s">
        <v>588</v>
      </c>
      <c r="D1266" t="s">
        <v>588</v>
      </c>
    </row>
    <row r="1267" spans="1:4">
      <c r="A1267" s="2">
        <v>0.021078813684365844</v>
      </c>
      <c r="B1267" t="s">
        <v>534</v>
      </c>
      <c r="C1267" t="s">
        <v>588</v>
      </c>
      <c r="D1267" t="s">
        <v>588</v>
      </c>
    </row>
    <row r="1268" spans="1:4">
      <c r="A1268" s="2">
        <v>1.932665919369178</v>
      </c>
      <c r="B1268" t="s">
        <v>535</v>
      </c>
      <c r="C1268" t="s">
        <v>588</v>
      </c>
      <c r="D1268" t="s">
        <v>588</v>
      </c>
    </row>
    <row r="1269" spans="1:4">
      <c r="A1269" s="2">
        <v>1.0890873448050535</v>
      </c>
      <c r="B1269" t="s">
        <v>536</v>
      </c>
      <c r="C1269" t="s">
        <v>588</v>
      </c>
      <c r="D1269" t="s">
        <v>588</v>
      </c>
    </row>
    <row r="1270" spans="1:4">
      <c r="A1270" s="2">
        <v>0.7579777154551656</v>
      </c>
      <c r="B1270" t="s">
        <v>537</v>
      </c>
      <c r="C1270" t="s">
        <v>588</v>
      </c>
      <c r="D1270" t="s">
        <v>588</v>
      </c>
    </row>
    <row r="1271" spans="1:4">
      <c r="A1271" s="2">
        <v>0.6928566479595372</v>
      </c>
      <c r="B1271" t="s">
        <v>538</v>
      </c>
      <c r="C1271" t="s">
        <v>588</v>
      </c>
      <c r="D1271" t="s">
        <v>588</v>
      </c>
    </row>
    <row r="1272" spans="1:4">
      <c r="A1272" s="2">
        <v>0.16197453436370737</v>
      </c>
      <c r="B1272" t="s">
        <v>539</v>
      </c>
      <c r="C1272" t="s">
        <v>588</v>
      </c>
      <c r="D1272" t="s">
        <v>588</v>
      </c>
    </row>
    <row r="1273" spans="1:4">
      <c r="A1273" s="2">
        <v>0.39251089217725793</v>
      </c>
      <c r="B1273" t="s">
        <v>540</v>
      </c>
      <c r="C1273" t="s">
        <v>588</v>
      </c>
      <c r="D1273" t="s">
        <v>588</v>
      </c>
    </row>
    <row r="1274" spans="1:4">
      <c r="A1274" s="2">
        <v>0.22158209616662977</v>
      </c>
      <c r="B1274" t="s">
        <v>541</v>
      </c>
      <c r="C1274" t="s">
        <v>588</v>
      </c>
      <c r="D1274" t="s">
        <v>588</v>
      </c>
    </row>
    <row r="1275" spans="1:4">
      <c r="A1275" s="2">
        <v>1</v>
      </c>
      <c r="B1275" t="s">
        <v>542</v>
      </c>
      <c r="C1275" t="s">
        <v>588</v>
      </c>
      <c r="D1275" t="s">
        <v>588</v>
      </c>
    </row>
    <row r="1276" spans="1:4">
      <c r="A1276" s="2">
        <v>7.0064</v>
      </c>
      <c r="B1276" t="s">
        <v>364</v>
      </c>
      <c r="C1276" t="s">
        <v>589</v>
      </c>
      <c r="D1276" t="s">
        <v>589</v>
      </c>
    </row>
    <row r="1277" spans="1:4">
      <c r="A1277" s="2">
        <v>8.1312</v>
      </c>
      <c r="B1277" t="s">
        <v>373</v>
      </c>
      <c r="C1277" t="s">
        <v>589</v>
      </c>
      <c r="D1277" t="s">
        <v>589</v>
      </c>
    </row>
    <row r="1278" spans="1:4">
      <c r="A1278" s="2">
        <v>0.044086</v>
      </c>
      <c r="B1278" t="s">
        <v>520</v>
      </c>
      <c r="C1278" t="s">
        <v>589</v>
      </c>
      <c r="D1278" t="s">
        <v>589</v>
      </c>
    </row>
    <row r="1279" spans="1:4">
      <c r="A1279" s="2">
        <v>0.8987999999999999</v>
      </c>
      <c r="B1279" t="s">
        <v>370</v>
      </c>
      <c r="C1279" t="s">
        <v>589</v>
      </c>
      <c r="D1279" t="s">
        <v>589</v>
      </c>
    </row>
    <row r="1280" spans="1:4">
      <c r="A1280" s="2">
        <v>9.3786</v>
      </c>
      <c r="B1280" t="s">
        <v>521</v>
      </c>
      <c r="C1280" t="s">
        <v>589</v>
      </c>
      <c r="D1280" t="s">
        <v>589</v>
      </c>
    </row>
    <row r="1281" spans="1:4">
      <c r="A1281" s="2">
        <v>4.6593</v>
      </c>
      <c r="B1281" t="s">
        <v>522</v>
      </c>
      <c r="C1281" t="s">
        <v>589</v>
      </c>
      <c r="D1281" t="s">
        <v>589</v>
      </c>
    </row>
    <row r="1282" spans="1:4">
      <c r="A1282" s="2">
        <v>4.0009</v>
      </c>
      <c r="B1282" t="s">
        <v>523</v>
      </c>
      <c r="C1282" t="s">
        <v>589</v>
      </c>
      <c r="D1282" t="s">
        <v>589</v>
      </c>
    </row>
    <row r="1283" spans="1:4">
      <c r="A1283" s="2">
        <v>5.4231</v>
      </c>
      <c r="B1283" t="s">
        <v>524</v>
      </c>
      <c r="C1283" t="s">
        <v>589</v>
      </c>
      <c r="D1283" t="s">
        <v>589</v>
      </c>
    </row>
    <row r="1284" spans="1:4">
      <c r="A1284" s="2">
        <v>8.729800000000001</v>
      </c>
      <c r="B1284" t="s">
        <v>525</v>
      </c>
      <c r="C1284" t="s">
        <v>589</v>
      </c>
      <c r="D1284" t="s">
        <v>589</v>
      </c>
    </row>
    <row r="1285" spans="1:4">
      <c r="A1285" s="2">
        <v>5.0254</v>
      </c>
      <c r="B1285" t="s">
        <v>526</v>
      </c>
      <c r="C1285" t="s">
        <v>589</v>
      </c>
      <c r="D1285" t="s">
        <v>589</v>
      </c>
    </row>
    <row r="1286" spans="1:4">
      <c r="A1286" s="2">
        <v>0.872219799389446</v>
      </c>
      <c r="B1286" t="s">
        <v>527</v>
      </c>
      <c r="C1286" t="s">
        <v>589</v>
      </c>
      <c r="D1286" t="s">
        <v>589</v>
      </c>
    </row>
    <row r="1287" spans="1:4">
      <c r="A1287" s="2">
        <v>1.7279811995645489</v>
      </c>
      <c r="B1287" t="s">
        <v>528</v>
      </c>
      <c r="C1287" t="s">
        <v>589</v>
      </c>
      <c r="D1287" t="s">
        <v>589</v>
      </c>
    </row>
    <row r="1288" spans="1:4">
      <c r="A1288" s="2">
        <v>0.08880915800037299</v>
      </c>
      <c r="B1288" t="s">
        <v>529</v>
      </c>
      <c r="C1288" t="s">
        <v>589</v>
      </c>
      <c r="D1288" t="s">
        <v>589</v>
      </c>
    </row>
    <row r="1289" spans="1:4">
      <c r="A1289" s="2">
        <v>0.425930658488798</v>
      </c>
      <c r="B1289" t="s">
        <v>530</v>
      </c>
      <c r="C1289" t="s">
        <v>589</v>
      </c>
      <c r="D1289" t="s">
        <v>589</v>
      </c>
    </row>
    <row r="1290" spans="1:4">
      <c r="A1290" s="2">
        <v>0.004762811964183654</v>
      </c>
      <c r="B1290" t="s">
        <v>531</v>
      </c>
      <c r="C1290" t="s">
        <v>589</v>
      </c>
      <c r="D1290" t="s">
        <v>589</v>
      </c>
    </row>
    <row r="1291" spans="1:4">
      <c r="A1291" s="2">
        <v>1.8996599608670048</v>
      </c>
      <c r="B1291" t="s">
        <v>532</v>
      </c>
      <c r="C1291" t="s">
        <v>589</v>
      </c>
      <c r="D1291" t="s">
        <v>589</v>
      </c>
    </row>
    <row r="1292" spans="1:4">
      <c r="A1292" s="2">
        <v>1.86039589224587</v>
      </c>
      <c r="B1292" t="s">
        <v>533</v>
      </c>
      <c r="C1292" t="s">
        <v>589</v>
      </c>
      <c r="D1292" t="s">
        <v>589</v>
      </c>
    </row>
    <row r="1293" spans="1:4">
      <c r="A1293" s="2">
        <v>0.02105772976615391</v>
      </c>
      <c r="B1293" t="s">
        <v>534</v>
      </c>
      <c r="C1293" t="s">
        <v>589</v>
      </c>
      <c r="D1293" t="s">
        <v>589</v>
      </c>
    </row>
    <row r="1294" spans="1:4">
      <c r="A1294" s="2">
        <v>1.931322183166596</v>
      </c>
      <c r="B1294" t="s">
        <v>535</v>
      </c>
      <c r="C1294" t="s">
        <v>589</v>
      </c>
      <c r="D1294" t="s">
        <v>589</v>
      </c>
    </row>
    <row r="1295" spans="1:4">
      <c r="A1295" s="2">
        <v>1.087547580206634</v>
      </c>
      <c r="B1295" t="s">
        <v>536</v>
      </c>
      <c r="C1295" t="s">
        <v>589</v>
      </c>
      <c r="D1295" t="s">
        <v>589</v>
      </c>
    </row>
    <row r="1296" spans="1:4">
      <c r="A1296" s="2">
        <v>0.7590132827324478</v>
      </c>
      <c r="B1296" t="s">
        <v>537</v>
      </c>
      <c r="C1296" t="s">
        <v>589</v>
      </c>
      <c r="D1296" t="s">
        <v>589</v>
      </c>
    </row>
    <row r="1297" spans="1:4">
      <c r="A1297" s="2">
        <v>0.6936736958934517</v>
      </c>
      <c r="B1297" t="s">
        <v>538</v>
      </c>
      <c r="C1297" t="s">
        <v>589</v>
      </c>
      <c r="D1297" t="s">
        <v>589</v>
      </c>
    </row>
    <row r="1298" spans="1:4">
      <c r="A1298" s="2">
        <v>0.16166815670817763</v>
      </c>
      <c r="B1298" t="s">
        <v>539</v>
      </c>
      <c r="C1298" t="s">
        <v>589</v>
      </c>
      <c r="D1298" t="s">
        <v>589</v>
      </c>
    </row>
    <row r="1299" spans="1:4">
      <c r="A1299" s="2">
        <v>0.3926650174735933</v>
      </c>
      <c r="B1299" t="s">
        <v>540</v>
      </c>
      <c r="C1299" t="s">
        <v>589</v>
      </c>
      <c r="D1299" t="s">
        <v>589</v>
      </c>
    </row>
    <row r="1300" spans="1:4">
      <c r="A1300" s="2">
        <v>0.2215526409074796</v>
      </c>
      <c r="B1300" t="s">
        <v>541</v>
      </c>
      <c r="C1300" t="s">
        <v>589</v>
      </c>
      <c r="D1300" t="s">
        <v>589</v>
      </c>
    </row>
    <row r="1301" spans="1:4">
      <c r="A1301" s="2">
        <v>1</v>
      </c>
      <c r="B1301" t="s">
        <v>542</v>
      </c>
      <c r="C1301" t="s">
        <v>589</v>
      </c>
      <c r="D1301" t="s">
        <v>589</v>
      </c>
    </row>
    <row r="1302" spans="1:4">
      <c r="A1302" s="2">
        <v>7.0078</v>
      </c>
      <c r="B1302" t="s">
        <v>364</v>
      </c>
      <c r="C1302" t="s">
        <v>590</v>
      </c>
      <c r="D1302" t="s">
        <v>590</v>
      </c>
    </row>
    <row r="1303" spans="1:4">
      <c r="A1303" s="2">
        <v>8.1067</v>
      </c>
      <c r="B1303" t="s">
        <v>373</v>
      </c>
      <c r="C1303" t="s">
        <v>590</v>
      </c>
      <c r="D1303" t="s">
        <v>590</v>
      </c>
    </row>
    <row r="1304" spans="1:4">
      <c r="A1304" s="2">
        <v>0.044041</v>
      </c>
      <c r="B1304" t="s">
        <v>520</v>
      </c>
      <c r="C1304" t="s">
        <v>590</v>
      </c>
      <c r="D1304" t="s">
        <v>590</v>
      </c>
    </row>
    <row r="1305" spans="1:4">
      <c r="A1305" s="2">
        <v>0.89877</v>
      </c>
      <c r="B1305" t="s">
        <v>370</v>
      </c>
      <c r="C1305" t="s">
        <v>590</v>
      </c>
      <c r="D1305" t="s">
        <v>590</v>
      </c>
    </row>
    <row r="1306" spans="1:4">
      <c r="A1306" s="2">
        <v>9.3404</v>
      </c>
      <c r="B1306" t="s">
        <v>521</v>
      </c>
      <c r="C1306" t="s">
        <v>590</v>
      </c>
      <c r="D1306" t="s">
        <v>590</v>
      </c>
    </row>
    <row r="1307" spans="1:4">
      <c r="A1307" s="2">
        <v>4.6745</v>
      </c>
      <c r="B1307" t="s">
        <v>522</v>
      </c>
      <c r="C1307" t="s">
        <v>590</v>
      </c>
      <c r="D1307" t="s">
        <v>590</v>
      </c>
    </row>
    <row r="1308" spans="1:4">
      <c r="A1308" s="2">
        <v>4.0042</v>
      </c>
      <c r="B1308" t="s">
        <v>523</v>
      </c>
      <c r="C1308" t="s">
        <v>590</v>
      </c>
      <c r="D1308" t="s">
        <v>590</v>
      </c>
    </row>
    <row r="1309" spans="1:4">
      <c r="A1309" s="2">
        <v>5.4238</v>
      </c>
      <c r="B1309" t="s">
        <v>524</v>
      </c>
      <c r="C1309" t="s">
        <v>590</v>
      </c>
      <c r="D1309" t="s">
        <v>590</v>
      </c>
    </row>
    <row r="1310" spans="1:4">
      <c r="A1310" s="2">
        <v>8.690800000000001</v>
      </c>
      <c r="B1310" t="s">
        <v>525</v>
      </c>
      <c r="C1310" t="s">
        <v>590</v>
      </c>
      <c r="D1310" t="s">
        <v>590</v>
      </c>
    </row>
    <row r="1311" spans="1:4">
      <c r="A1311" s="2">
        <v>5.0245</v>
      </c>
      <c r="B1311" t="s">
        <v>526</v>
      </c>
      <c r="C1311" t="s">
        <v>590</v>
      </c>
      <c r="D1311" t="s">
        <v>590</v>
      </c>
    </row>
    <row r="1312" spans="1:4">
      <c r="A1312" s="2">
        <v>0.8719916288803627</v>
      </c>
      <c r="B1312" t="s">
        <v>527</v>
      </c>
      <c r="C1312" t="s">
        <v>590</v>
      </c>
      <c r="D1312" t="s">
        <v>590</v>
      </c>
    </row>
    <row r="1313" spans="1:4">
      <c r="A1313" s="2">
        <v>1.724673174433445</v>
      </c>
      <c r="B1313" t="s">
        <v>528</v>
      </c>
      <c r="C1313" t="s">
        <v>590</v>
      </c>
      <c r="D1313" t="s">
        <v>590</v>
      </c>
    </row>
    <row r="1314" spans="1:4">
      <c r="A1314" s="2">
        <v>0.08908765334212332</v>
      </c>
      <c r="B1314" t="s">
        <v>529</v>
      </c>
      <c r="C1314" t="s">
        <v>590</v>
      </c>
      <c r="D1314" t="s">
        <v>590</v>
      </c>
    </row>
    <row r="1315" spans="1:4">
      <c r="A1315" s="2">
        <v>0.4275879762261085</v>
      </c>
      <c r="B1315" t="s">
        <v>530</v>
      </c>
      <c r="C1315" t="s">
        <v>590</v>
      </c>
      <c r="D1315" t="s">
        <v>590</v>
      </c>
    </row>
    <row r="1316" spans="1:4">
      <c r="A1316" s="2">
        <v>0.004742483164184767</v>
      </c>
      <c r="B1316" t="s">
        <v>531</v>
      </c>
      <c r="C1316" t="s">
        <v>590</v>
      </c>
      <c r="D1316" t="s">
        <v>590</v>
      </c>
    </row>
    <row r="1317" spans="1:4">
      <c r="A1317" s="2">
        <v>1.9000931045621237</v>
      </c>
      <c r="B1317" t="s">
        <v>532</v>
      </c>
      <c r="C1317" t="s">
        <v>590</v>
      </c>
      <c r="D1317" t="s">
        <v>590</v>
      </c>
    </row>
    <row r="1318" spans="1:4">
      <c r="A1318" s="2">
        <v>1.8611230016191769</v>
      </c>
      <c r="B1318" t="s">
        <v>533</v>
      </c>
      <c r="C1318" t="s">
        <v>590</v>
      </c>
      <c r="D1318" t="s">
        <v>590</v>
      </c>
    </row>
    <row r="1319" spans="1:4">
      <c r="A1319" s="2">
        <v>0.02104053880611775</v>
      </c>
      <c r="B1319" t="s">
        <v>534</v>
      </c>
      <c r="C1319" t="s">
        <v>590</v>
      </c>
      <c r="D1319" t="s">
        <v>590</v>
      </c>
    </row>
    <row r="1320" spans="1:4">
      <c r="A1320" s="2">
        <v>1.924668475855034</v>
      </c>
      <c r="B1320" t="s">
        <v>535</v>
      </c>
      <c r="C1320" t="s">
        <v>590</v>
      </c>
      <c r="D1320" t="s">
        <v>590</v>
      </c>
    </row>
    <row r="1321" spans="1:4">
      <c r="A1321" s="2">
        <v>1.0844810758052272</v>
      </c>
      <c r="B1321" t="s">
        <v>536</v>
      </c>
      <c r="C1321" t="s">
        <v>590</v>
      </c>
      <c r="D1321" t="s">
        <v>590</v>
      </c>
    </row>
    <row r="1322" spans="1:4">
      <c r="A1322" s="2">
        <v>0.7574036203893054</v>
      </c>
      <c r="B1322" t="s">
        <v>537</v>
      </c>
      <c r="C1322" t="s">
        <v>590</v>
      </c>
      <c r="D1322" t="s">
        <v>590</v>
      </c>
    </row>
    <row r="1323" spans="1:4">
      <c r="A1323" s="2">
        <v>0.6900835001035125</v>
      </c>
      <c r="B1323" t="s">
        <v>538</v>
      </c>
      <c r="C1323" t="s">
        <v>590</v>
      </c>
      <c r="D1323" t="s">
        <v>590</v>
      </c>
    </row>
    <row r="1324" spans="1:4">
      <c r="A1324" s="2">
        <v>0.16131634134537828</v>
      </c>
      <c r="B1324" t="s">
        <v>539</v>
      </c>
      <c r="C1324" t="s">
        <v>590</v>
      </c>
      <c r="D1324" t="s">
        <v>590</v>
      </c>
    </row>
    <row r="1325" spans="1:4">
      <c r="A1325" s="2">
        <v>0.3957104981995172</v>
      </c>
      <c r="B1325" t="s">
        <v>540</v>
      </c>
      <c r="C1325" t="s">
        <v>590</v>
      </c>
      <c r="D1325" t="s">
        <v>590</v>
      </c>
    </row>
    <row r="1326" spans="1:4">
      <c r="A1326" s="2">
        <v>0.22213830330763937</v>
      </c>
      <c r="B1326" t="s">
        <v>541</v>
      </c>
      <c r="C1326" t="s">
        <v>590</v>
      </c>
      <c r="D1326" t="s">
        <v>590</v>
      </c>
    </row>
    <row r="1327" spans="1:4">
      <c r="A1327" s="2">
        <v>1</v>
      </c>
      <c r="B1327" t="s">
        <v>542</v>
      </c>
      <c r="C1327" t="s">
        <v>590</v>
      </c>
      <c r="D1327" t="s">
        <v>590</v>
      </c>
    </row>
    <row r="1328" spans="1:4">
      <c r="A1328" s="2">
        <v>7.0078</v>
      </c>
      <c r="B1328" t="s">
        <v>364</v>
      </c>
      <c r="C1328" t="s">
        <v>590</v>
      </c>
      <c r="D1328" t="s">
        <v>591</v>
      </c>
    </row>
    <row r="1329" spans="1:4">
      <c r="A1329" s="2">
        <v>8.1067</v>
      </c>
      <c r="B1329" t="s">
        <v>373</v>
      </c>
      <c r="C1329" t="s">
        <v>590</v>
      </c>
      <c r="D1329" t="s">
        <v>591</v>
      </c>
    </row>
    <row r="1330" spans="1:4">
      <c r="A1330" s="2">
        <v>0.044041</v>
      </c>
      <c r="B1330" t="s">
        <v>520</v>
      </c>
      <c r="C1330" t="s">
        <v>590</v>
      </c>
      <c r="D1330" t="s">
        <v>591</v>
      </c>
    </row>
    <row r="1331" spans="1:4">
      <c r="A1331" s="2">
        <v>0.89877</v>
      </c>
      <c r="B1331" t="s">
        <v>370</v>
      </c>
      <c r="C1331" t="s">
        <v>590</v>
      </c>
      <c r="D1331" t="s">
        <v>591</v>
      </c>
    </row>
    <row r="1332" spans="1:4">
      <c r="A1332" s="2">
        <v>9.3404</v>
      </c>
      <c r="B1332" t="s">
        <v>521</v>
      </c>
      <c r="C1332" t="s">
        <v>590</v>
      </c>
      <c r="D1332" t="s">
        <v>591</v>
      </c>
    </row>
    <row r="1333" spans="1:4">
      <c r="A1333" s="2">
        <v>4.6745</v>
      </c>
      <c r="B1333" t="s">
        <v>522</v>
      </c>
      <c r="C1333" t="s">
        <v>590</v>
      </c>
      <c r="D1333" t="s">
        <v>591</v>
      </c>
    </row>
    <row r="1334" spans="1:4">
      <c r="A1334" s="2">
        <v>4.0042</v>
      </c>
      <c r="B1334" t="s">
        <v>523</v>
      </c>
      <c r="C1334" t="s">
        <v>590</v>
      </c>
      <c r="D1334" t="s">
        <v>591</v>
      </c>
    </row>
    <row r="1335" spans="1:4">
      <c r="A1335" s="2">
        <v>5.4238</v>
      </c>
      <c r="B1335" t="s">
        <v>524</v>
      </c>
      <c r="C1335" t="s">
        <v>590</v>
      </c>
      <c r="D1335" t="s">
        <v>591</v>
      </c>
    </row>
    <row r="1336" spans="1:4">
      <c r="A1336" s="2">
        <v>8.690800000000001</v>
      </c>
      <c r="B1336" t="s">
        <v>525</v>
      </c>
      <c r="C1336" t="s">
        <v>590</v>
      </c>
      <c r="D1336" t="s">
        <v>591</v>
      </c>
    </row>
    <row r="1337" spans="1:4">
      <c r="A1337" s="2">
        <v>5.0245</v>
      </c>
      <c r="B1337" t="s">
        <v>526</v>
      </c>
      <c r="C1337" t="s">
        <v>590</v>
      </c>
      <c r="D1337" t="s">
        <v>591</v>
      </c>
    </row>
    <row r="1338" spans="1:4">
      <c r="A1338" s="2">
        <v>0.8719916288803627</v>
      </c>
      <c r="B1338" t="s">
        <v>527</v>
      </c>
      <c r="C1338" t="s">
        <v>590</v>
      </c>
      <c r="D1338" t="s">
        <v>591</v>
      </c>
    </row>
    <row r="1339" spans="1:4">
      <c r="A1339" s="2">
        <v>1.724673174433445</v>
      </c>
      <c r="B1339" t="s">
        <v>528</v>
      </c>
      <c r="C1339" t="s">
        <v>590</v>
      </c>
      <c r="D1339" t="s">
        <v>591</v>
      </c>
    </row>
    <row r="1340" spans="1:4">
      <c r="A1340" s="2">
        <v>0.08908765334212332</v>
      </c>
      <c r="B1340" t="s">
        <v>529</v>
      </c>
      <c r="C1340" t="s">
        <v>590</v>
      </c>
      <c r="D1340" t="s">
        <v>591</v>
      </c>
    </row>
    <row r="1341" spans="1:4">
      <c r="A1341" s="2">
        <v>0.4275879762261085</v>
      </c>
      <c r="B1341" t="s">
        <v>530</v>
      </c>
      <c r="C1341" t="s">
        <v>590</v>
      </c>
      <c r="D1341" t="s">
        <v>591</v>
      </c>
    </row>
    <row r="1342" spans="1:4">
      <c r="A1342" s="2">
        <v>0.004742483164184767</v>
      </c>
      <c r="B1342" t="s">
        <v>531</v>
      </c>
      <c r="C1342" t="s">
        <v>590</v>
      </c>
      <c r="D1342" t="s">
        <v>591</v>
      </c>
    </row>
    <row r="1343" spans="1:4">
      <c r="A1343" s="2">
        <v>1.9000931045621237</v>
      </c>
      <c r="B1343" t="s">
        <v>532</v>
      </c>
      <c r="C1343" t="s">
        <v>590</v>
      </c>
      <c r="D1343" t="s">
        <v>591</v>
      </c>
    </row>
    <row r="1344" spans="1:4">
      <c r="A1344" s="2">
        <v>1.8611230016191769</v>
      </c>
      <c r="B1344" t="s">
        <v>533</v>
      </c>
      <c r="C1344" t="s">
        <v>590</v>
      </c>
      <c r="D1344" t="s">
        <v>591</v>
      </c>
    </row>
    <row r="1345" spans="1:4">
      <c r="A1345" s="2">
        <v>0.02104053880611775</v>
      </c>
      <c r="B1345" t="s">
        <v>534</v>
      </c>
      <c r="C1345" t="s">
        <v>590</v>
      </c>
      <c r="D1345" t="s">
        <v>591</v>
      </c>
    </row>
    <row r="1346" spans="1:4">
      <c r="A1346" s="2">
        <v>1.924668475855034</v>
      </c>
      <c r="B1346" t="s">
        <v>535</v>
      </c>
      <c r="C1346" t="s">
        <v>590</v>
      </c>
      <c r="D1346" t="s">
        <v>591</v>
      </c>
    </row>
    <row r="1347" spans="1:4">
      <c r="A1347" s="2">
        <v>1.0844810758052272</v>
      </c>
      <c r="B1347" t="s">
        <v>536</v>
      </c>
      <c r="C1347" t="s">
        <v>590</v>
      </c>
      <c r="D1347" t="s">
        <v>591</v>
      </c>
    </row>
    <row r="1348" spans="1:4">
      <c r="A1348" s="2">
        <v>0.7574036203893054</v>
      </c>
      <c r="B1348" t="s">
        <v>537</v>
      </c>
      <c r="C1348" t="s">
        <v>590</v>
      </c>
      <c r="D1348" t="s">
        <v>591</v>
      </c>
    </row>
    <row r="1349" spans="1:4">
      <c r="A1349" s="2">
        <v>0.6900835001035125</v>
      </c>
      <c r="B1349" t="s">
        <v>538</v>
      </c>
      <c r="C1349" t="s">
        <v>590</v>
      </c>
      <c r="D1349" t="s">
        <v>591</v>
      </c>
    </row>
    <row r="1350" spans="1:4">
      <c r="A1350" s="2">
        <v>0.16131634134537828</v>
      </c>
      <c r="B1350" t="s">
        <v>539</v>
      </c>
      <c r="C1350" t="s">
        <v>590</v>
      </c>
      <c r="D1350" t="s">
        <v>591</v>
      </c>
    </row>
    <row r="1351" spans="1:4">
      <c r="A1351" s="2">
        <v>0.3957104981995172</v>
      </c>
      <c r="B1351" t="s">
        <v>540</v>
      </c>
      <c r="C1351" t="s">
        <v>590</v>
      </c>
      <c r="D1351" t="s">
        <v>591</v>
      </c>
    </row>
    <row r="1352" spans="1:4">
      <c r="A1352" s="2">
        <v>0.22213830330763937</v>
      </c>
      <c r="B1352" t="s">
        <v>541</v>
      </c>
      <c r="C1352" t="s">
        <v>590</v>
      </c>
      <c r="D1352" t="s">
        <v>591</v>
      </c>
    </row>
    <row r="1353" spans="1:4">
      <c r="A1353" s="2">
        <v>1</v>
      </c>
      <c r="B1353" t="s">
        <v>542</v>
      </c>
      <c r="C1353" t="s">
        <v>591</v>
      </c>
      <c r="D1353" t="s">
        <v>591</v>
      </c>
    </row>
    <row r="1354" spans="1:4">
      <c r="A1354" s="2">
        <v>7.0078</v>
      </c>
      <c r="B1354" t="s">
        <v>364</v>
      </c>
      <c r="C1354" t="s">
        <v>590</v>
      </c>
      <c r="D1354" t="s">
        <v>592</v>
      </c>
    </row>
    <row r="1355" spans="1:4">
      <c r="A1355" s="2">
        <v>8.1067</v>
      </c>
      <c r="B1355" t="s">
        <v>373</v>
      </c>
      <c r="C1355" t="s">
        <v>590</v>
      </c>
      <c r="D1355" t="s">
        <v>592</v>
      </c>
    </row>
    <row r="1356" spans="1:4">
      <c r="A1356" s="2">
        <v>0.044041</v>
      </c>
      <c r="B1356" t="s">
        <v>520</v>
      </c>
      <c r="C1356" t="s">
        <v>590</v>
      </c>
      <c r="D1356" t="s">
        <v>592</v>
      </c>
    </row>
    <row r="1357" spans="1:4">
      <c r="A1357" s="2">
        <v>0.89877</v>
      </c>
      <c r="B1357" t="s">
        <v>370</v>
      </c>
      <c r="C1357" t="s">
        <v>590</v>
      </c>
      <c r="D1357" t="s">
        <v>592</v>
      </c>
    </row>
    <row r="1358" spans="1:4">
      <c r="A1358" s="2">
        <v>9.3404</v>
      </c>
      <c r="B1358" t="s">
        <v>521</v>
      </c>
      <c r="C1358" t="s">
        <v>590</v>
      </c>
      <c r="D1358" t="s">
        <v>592</v>
      </c>
    </row>
    <row r="1359" spans="1:4">
      <c r="A1359" s="2">
        <v>4.6745</v>
      </c>
      <c r="B1359" t="s">
        <v>522</v>
      </c>
      <c r="C1359" t="s">
        <v>590</v>
      </c>
      <c r="D1359" t="s">
        <v>592</v>
      </c>
    </row>
    <row r="1360" spans="1:4">
      <c r="A1360" s="2">
        <v>4.0042</v>
      </c>
      <c r="B1360" t="s">
        <v>523</v>
      </c>
      <c r="C1360" t="s">
        <v>590</v>
      </c>
      <c r="D1360" t="s">
        <v>592</v>
      </c>
    </row>
    <row r="1361" spans="1:4">
      <c r="A1361" s="2">
        <v>5.4238</v>
      </c>
      <c r="B1361" t="s">
        <v>524</v>
      </c>
      <c r="C1361" t="s">
        <v>590</v>
      </c>
      <c r="D1361" t="s">
        <v>592</v>
      </c>
    </row>
    <row r="1362" spans="1:4">
      <c r="A1362" s="2">
        <v>8.690800000000001</v>
      </c>
      <c r="B1362" t="s">
        <v>525</v>
      </c>
      <c r="C1362" t="s">
        <v>590</v>
      </c>
      <c r="D1362" t="s">
        <v>592</v>
      </c>
    </row>
    <row r="1363" spans="1:4">
      <c r="A1363" s="2">
        <v>5.0245</v>
      </c>
      <c r="B1363" t="s">
        <v>526</v>
      </c>
      <c r="C1363" t="s">
        <v>590</v>
      </c>
      <c r="D1363" t="s">
        <v>592</v>
      </c>
    </row>
    <row r="1364" spans="1:4">
      <c r="A1364" s="2">
        <v>0.8719916288803627</v>
      </c>
      <c r="B1364" t="s">
        <v>527</v>
      </c>
      <c r="C1364" t="s">
        <v>590</v>
      </c>
      <c r="D1364" t="s">
        <v>592</v>
      </c>
    </row>
    <row r="1365" spans="1:4">
      <c r="A1365" s="2">
        <v>1.724673174433445</v>
      </c>
      <c r="B1365" t="s">
        <v>528</v>
      </c>
      <c r="C1365" t="s">
        <v>590</v>
      </c>
      <c r="D1365" t="s">
        <v>592</v>
      </c>
    </row>
    <row r="1366" spans="1:4">
      <c r="A1366" s="2">
        <v>0.08908765334212332</v>
      </c>
      <c r="B1366" t="s">
        <v>529</v>
      </c>
      <c r="C1366" t="s">
        <v>590</v>
      </c>
      <c r="D1366" t="s">
        <v>592</v>
      </c>
    </row>
    <row r="1367" spans="1:4">
      <c r="A1367" s="2">
        <v>0.4275879762261085</v>
      </c>
      <c r="B1367" t="s">
        <v>530</v>
      </c>
      <c r="C1367" t="s">
        <v>590</v>
      </c>
      <c r="D1367" t="s">
        <v>592</v>
      </c>
    </row>
    <row r="1368" spans="1:4">
      <c r="A1368" s="2">
        <v>0.004742483164184767</v>
      </c>
      <c r="B1368" t="s">
        <v>531</v>
      </c>
      <c r="C1368" t="s">
        <v>590</v>
      </c>
      <c r="D1368" t="s">
        <v>592</v>
      </c>
    </row>
    <row r="1369" spans="1:4">
      <c r="A1369" s="2">
        <v>1.9000931045621237</v>
      </c>
      <c r="B1369" t="s">
        <v>532</v>
      </c>
      <c r="C1369" t="s">
        <v>590</v>
      </c>
      <c r="D1369" t="s">
        <v>592</v>
      </c>
    </row>
    <row r="1370" spans="1:4">
      <c r="A1370" s="2">
        <v>1.8611230016191769</v>
      </c>
      <c r="B1370" t="s">
        <v>533</v>
      </c>
      <c r="C1370" t="s">
        <v>590</v>
      </c>
      <c r="D1370" t="s">
        <v>592</v>
      </c>
    </row>
    <row r="1371" spans="1:4">
      <c r="A1371" s="2">
        <v>0.02104053880611775</v>
      </c>
      <c r="B1371" t="s">
        <v>534</v>
      </c>
      <c r="C1371" t="s">
        <v>590</v>
      </c>
      <c r="D1371" t="s">
        <v>592</v>
      </c>
    </row>
    <row r="1372" spans="1:4">
      <c r="A1372" s="2">
        <v>1.924668475855034</v>
      </c>
      <c r="B1372" t="s">
        <v>535</v>
      </c>
      <c r="C1372" t="s">
        <v>590</v>
      </c>
      <c r="D1372" t="s">
        <v>592</v>
      </c>
    </row>
    <row r="1373" spans="1:4">
      <c r="A1373" s="2">
        <v>1.0844810758052272</v>
      </c>
      <c r="B1373" t="s">
        <v>536</v>
      </c>
      <c r="C1373" t="s">
        <v>590</v>
      </c>
      <c r="D1373" t="s">
        <v>592</v>
      </c>
    </row>
    <row r="1374" spans="1:4">
      <c r="A1374" s="2">
        <v>0.7574036203893054</v>
      </c>
      <c r="B1374" t="s">
        <v>537</v>
      </c>
      <c r="C1374" t="s">
        <v>590</v>
      </c>
      <c r="D1374" t="s">
        <v>592</v>
      </c>
    </row>
    <row r="1375" spans="1:4">
      <c r="A1375" s="2">
        <v>0.6900835001035125</v>
      </c>
      <c r="B1375" t="s">
        <v>538</v>
      </c>
      <c r="C1375" t="s">
        <v>590</v>
      </c>
      <c r="D1375" t="s">
        <v>592</v>
      </c>
    </row>
    <row r="1376" spans="1:4">
      <c r="A1376" s="2">
        <v>0.16131634134537828</v>
      </c>
      <c r="B1376" t="s">
        <v>539</v>
      </c>
      <c r="C1376" t="s">
        <v>590</v>
      </c>
      <c r="D1376" t="s">
        <v>592</v>
      </c>
    </row>
    <row r="1377" spans="1:4">
      <c r="A1377" s="2">
        <v>0.3957104981995172</v>
      </c>
      <c r="B1377" t="s">
        <v>540</v>
      </c>
      <c r="C1377" t="s">
        <v>590</v>
      </c>
      <c r="D1377" t="s">
        <v>592</v>
      </c>
    </row>
    <row r="1378" spans="1:4">
      <c r="A1378" s="2">
        <v>0.22213830330763937</v>
      </c>
      <c r="B1378" t="s">
        <v>541</v>
      </c>
      <c r="C1378" t="s">
        <v>590</v>
      </c>
      <c r="D1378" t="s">
        <v>592</v>
      </c>
    </row>
    <row r="1379" spans="1:4">
      <c r="A1379" s="2">
        <v>1</v>
      </c>
      <c r="B1379" t="s">
        <v>542</v>
      </c>
      <c r="C1379" t="s">
        <v>592</v>
      </c>
      <c r="D1379" t="s">
        <v>592</v>
      </c>
    </row>
    <row r="1380" spans="1:4">
      <c r="A1380" s="2">
        <v>7.0051</v>
      </c>
      <c r="B1380" t="s">
        <v>364</v>
      </c>
      <c r="C1380" t="s">
        <v>593</v>
      </c>
      <c r="D1380" t="s">
        <v>593</v>
      </c>
    </row>
    <row r="1381" spans="1:4">
      <c r="A1381" s="2">
        <v>8.1097</v>
      </c>
      <c r="B1381" t="s">
        <v>373</v>
      </c>
      <c r="C1381" t="s">
        <v>593</v>
      </c>
      <c r="D1381" t="s">
        <v>593</v>
      </c>
    </row>
    <row r="1382" spans="1:4">
      <c r="A1382" s="2">
        <v>0.044280999999999994</v>
      </c>
      <c r="B1382" t="s">
        <v>520</v>
      </c>
      <c r="C1382" t="s">
        <v>593</v>
      </c>
      <c r="D1382" t="s">
        <v>593</v>
      </c>
    </row>
    <row r="1383" spans="1:4">
      <c r="A1383" s="2">
        <v>0.8982800000000001</v>
      </c>
      <c r="B1383" t="s">
        <v>370</v>
      </c>
      <c r="C1383" t="s">
        <v>593</v>
      </c>
      <c r="D1383" t="s">
        <v>593</v>
      </c>
    </row>
    <row r="1384" spans="1:4">
      <c r="A1384" s="2">
        <v>9.3445</v>
      </c>
      <c r="B1384" t="s">
        <v>521</v>
      </c>
      <c r="C1384" t="s">
        <v>593</v>
      </c>
      <c r="D1384" t="s">
        <v>593</v>
      </c>
    </row>
    <row r="1385" spans="1:4">
      <c r="A1385" s="2">
        <v>4.6637</v>
      </c>
      <c r="B1385" t="s">
        <v>522</v>
      </c>
      <c r="C1385" t="s">
        <v>593</v>
      </c>
      <c r="D1385" t="s">
        <v>593</v>
      </c>
    </row>
    <row r="1386" spans="1:4">
      <c r="A1386" s="2">
        <v>4.0139</v>
      </c>
      <c r="B1386" t="s">
        <v>523</v>
      </c>
      <c r="C1386" t="s">
        <v>593</v>
      </c>
      <c r="D1386" t="s">
        <v>593</v>
      </c>
    </row>
    <row r="1387" spans="1:4">
      <c r="A1387" s="2">
        <v>5.4244</v>
      </c>
      <c r="B1387" t="s">
        <v>524</v>
      </c>
      <c r="C1387" t="s">
        <v>593</v>
      </c>
      <c r="D1387" t="s">
        <v>593</v>
      </c>
    </row>
    <row r="1388" spans="1:4">
      <c r="A1388" s="2">
        <v>8.7401</v>
      </c>
      <c r="B1388" t="s">
        <v>525</v>
      </c>
      <c r="C1388" t="s">
        <v>593</v>
      </c>
      <c r="D1388" t="s">
        <v>593</v>
      </c>
    </row>
    <row r="1389" spans="1:4">
      <c r="A1389" s="2">
        <v>5.018</v>
      </c>
      <c r="B1389" t="s">
        <v>526</v>
      </c>
      <c r="C1389" t="s">
        <v>593</v>
      </c>
      <c r="D1389" t="s">
        <v>593</v>
      </c>
    </row>
    <row r="1390" spans="1:4">
      <c r="A1390" s="2">
        <v>0.871763577717723</v>
      </c>
      <c r="B1390" t="s">
        <v>527</v>
      </c>
      <c r="C1390" t="s">
        <v>593</v>
      </c>
      <c r="D1390" t="s">
        <v>593</v>
      </c>
    </row>
    <row r="1391" spans="1:4">
      <c r="A1391" s="2">
        <v>1.725149225407998</v>
      </c>
      <c r="B1391" t="s">
        <v>528</v>
      </c>
      <c r="C1391" t="s">
        <v>593</v>
      </c>
      <c r="D1391" t="s">
        <v>593</v>
      </c>
    </row>
    <row r="1392" spans="1:4">
      <c r="A1392" s="2">
        <v>0.08937908350687773</v>
      </c>
      <c r="B1392" t="s">
        <v>529</v>
      </c>
      <c r="C1392" t="s">
        <v>593</v>
      </c>
      <c r="D1392" t="s">
        <v>593</v>
      </c>
    </row>
    <row r="1393" spans="1:4">
      <c r="A1393" s="2">
        <v>0.4252423881612519</v>
      </c>
      <c r="B1393" t="s">
        <v>530</v>
      </c>
      <c r="C1393" t="s">
        <v>593</v>
      </c>
      <c r="D1393" t="s">
        <v>593</v>
      </c>
    </row>
    <row r="1394" spans="1:4">
      <c r="A1394" s="2">
        <v>0.004730592743270732</v>
      </c>
      <c r="B1394" t="s">
        <v>531</v>
      </c>
      <c r="C1394" t="s">
        <v>593</v>
      </c>
      <c r="D1394" t="s">
        <v>593</v>
      </c>
    </row>
    <row r="1395" spans="1:4">
      <c r="A1395" s="2">
        <v>1.899984800121599</v>
      </c>
      <c r="B1395" t="s">
        <v>532</v>
      </c>
      <c r="C1395" t="s">
        <v>593</v>
      </c>
      <c r="D1395" t="s">
        <v>593</v>
      </c>
    </row>
    <row r="1396" spans="1:4">
      <c r="A1396" s="2">
        <v>1.8608805686851015</v>
      </c>
      <c r="B1396" t="s">
        <v>533</v>
      </c>
      <c r="C1396" t="s">
        <v>593</v>
      </c>
      <c r="D1396" t="s">
        <v>593</v>
      </c>
    </row>
    <row r="1397" spans="1:4">
      <c r="A1397" s="2">
        <v>0.02105192246155919</v>
      </c>
      <c r="B1397" t="s">
        <v>534</v>
      </c>
      <c r="C1397" t="s">
        <v>593</v>
      </c>
      <c r="D1397" t="s">
        <v>593</v>
      </c>
    </row>
    <row r="1398" spans="1:4">
      <c r="A1398" s="2">
        <v>1.9204916458613408</v>
      </c>
      <c r="B1398" t="s">
        <v>535</v>
      </c>
      <c r="C1398" t="s">
        <v>593</v>
      </c>
      <c r="D1398" t="s">
        <v>593</v>
      </c>
    </row>
    <row r="1399" spans="1:4">
      <c r="A1399" s="2">
        <v>1.0851871947911014</v>
      </c>
      <c r="B1399" t="s">
        <v>536</v>
      </c>
      <c r="C1399" t="s">
        <v>593</v>
      </c>
      <c r="D1399" t="s">
        <v>593</v>
      </c>
    </row>
    <row r="1400" spans="1:4">
      <c r="A1400" s="2">
        <v>0.7572889057175312</v>
      </c>
      <c r="B1400" t="s">
        <v>537</v>
      </c>
      <c r="C1400" t="s">
        <v>593</v>
      </c>
      <c r="D1400" t="s">
        <v>593</v>
      </c>
    </row>
    <row r="1401" spans="1:4">
      <c r="A1401" s="2">
        <v>0.6922331441229406</v>
      </c>
      <c r="B1401" t="s">
        <v>538</v>
      </c>
      <c r="C1401" t="s">
        <v>593</v>
      </c>
      <c r="D1401" t="s">
        <v>593</v>
      </c>
    </row>
    <row r="1402" spans="1:4">
      <c r="A1402" s="2">
        <v>0.1613082746305637</v>
      </c>
      <c r="B1402" t="s">
        <v>539</v>
      </c>
      <c r="C1402" t="s">
        <v>593</v>
      </c>
      <c r="D1402" t="s">
        <v>593</v>
      </c>
    </row>
    <row r="1403" spans="1:4">
      <c r="A1403" s="2">
        <v>0.3961808169248445</v>
      </c>
      <c r="B1403" t="s">
        <v>540</v>
      </c>
      <c r="C1403" t="s">
        <v>593</v>
      </c>
      <c r="D1403" t="s">
        <v>593</v>
      </c>
    </row>
    <row r="1404" spans="1:4">
      <c r="A1404" s="2">
        <v>0.2227667631989307</v>
      </c>
      <c r="B1404" t="s">
        <v>541</v>
      </c>
      <c r="C1404" t="s">
        <v>593</v>
      </c>
      <c r="D1404" t="s">
        <v>593</v>
      </c>
    </row>
    <row r="1405" spans="1:4">
      <c r="A1405" s="2">
        <v>1</v>
      </c>
      <c r="B1405" t="s">
        <v>542</v>
      </c>
      <c r="C1405" t="s">
        <v>593</v>
      </c>
      <c r="D1405" t="s">
        <v>593</v>
      </c>
    </row>
    <row r="1406" spans="1:4">
      <c r="A1406" s="2">
        <v>7.0005999999999995</v>
      </c>
      <c r="B1406" t="s">
        <v>364</v>
      </c>
      <c r="C1406" t="s">
        <v>594</v>
      </c>
      <c r="D1406" t="s">
        <v>594</v>
      </c>
    </row>
    <row r="1407" spans="1:4">
      <c r="A1407" s="2">
        <v>8.1186</v>
      </c>
      <c r="B1407" t="s">
        <v>373</v>
      </c>
      <c r="C1407" t="s">
        <v>594</v>
      </c>
      <c r="D1407" t="s">
        <v>594</v>
      </c>
    </row>
    <row r="1408" spans="1:4">
      <c r="A1408" s="2">
        <v>0.044086999999999994</v>
      </c>
      <c r="B1408" t="s">
        <v>520</v>
      </c>
      <c r="C1408" t="s">
        <v>594</v>
      </c>
      <c r="D1408" t="s">
        <v>594</v>
      </c>
    </row>
    <row r="1409" spans="1:4">
      <c r="A1409" s="2">
        <v>0.89775</v>
      </c>
      <c r="B1409" t="s">
        <v>370</v>
      </c>
      <c r="C1409" t="s">
        <v>594</v>
      </c>
      <c r="D1409" t="s">
        <v>594</v>
      </c>
    </row>
    <row r="1410" spans="1:4">
      <c r="A1410" s="2">
        <v>9.3527</v>
      </c>
      <c r="B1410" t="s">
        <v>521</v>
      </c>
      <c r="C1410" t="s">
        <v>594</v>
      </c>
      <c r="D1410" t="s">
        <v>594</v>
      </c>
    </row>
    <row r="1411" spans="1:4">
      <c r="A1411" s="2">
        <v>4.6739999999999995</v>
      </c>
      <c r="B1411" t="s">
        <v>522</v>
      </c>
      <c r="C1411" t="s">
        <v>594</v>
      </c>
      <c r="D1411" t="s">
        <v>594</v>
      </c>
    </row>
    <row r="1412" spans="1:4">
      <c r="A1412" s="2">
        <v>4.031499999999999</v>
      </c>
      <c r="B1412" t="s">
        <v>523</v>
      </c>
      <c r="C1412" t="s">
        <v>594</v>
      </c>
      <c r="D1412" t="s">
        <v>594</v>
      </c>
    </row>
    <row r="1413" spans="1:4">
      <c r="A1413" s="2">
        <v>5.427899999999999</v>
      </c>
      <c r="B1413" t="s">
        <v>524</v>
      </c>
      <c r="C1413" t="s">
        <v>594</v>
      </c>
      <c r="D1413" t="s">
        <v>594</v>
      </c>
    </row>
    <row r="1414" spans="1:4">
      <c r="A1414" s="2">
        <v>8.738</v>
      </c>
      <c r="B1414" t="s">
        <v>525</v>
      </c>
      <c r="C1414" t="s">
        <v>594</v>
      </c>
      <c r="D1414" t="s">
        <v>594</v>
      </c>
    </row>
    <row r="1415" spans="1:4">
      <c r="A1415" s="2">
        <v>5.0219</v>
      </c>
      <c r="B1415" t="s">
        <v>526</v>
      </c>
      <c r="C1415" t="s">
        <v>594</v>
      </c>
      <c r="D1415" t="s">
        <v>594</v>
      </c>
    </row>
    <row r="1416" spans="1:4">
      <c r="A1416" s="2">
        <v>0.8711560240439062</v>
      </c>
      <c r="B1416" t="s">
        <v>527</v>
      </c>
      <c r="C1416" t="s">
        <v>594</v>
      </c>
      <c r="D1416" t="s">
        <v>594</v>
      </c>
    </row>
    <row r="1417" spans="1:4">
      <c r="A1417" s="2">
        <v>1.7236624379481522</v>
      </c>
      <c r="B1417" t="s">
        <v>528</v>
      </c>
      <c r="C1417" t="s">
        <v>594</v>
      </c>
      <c r="D1417" t="s">
        <v>594</v>
      </c>
    </row>
    <row r="1418" spans="1:4">
      <c r="A1418" s="2">
        <v>0.08978917501705994</v>
      </c>
      <c r="B1418" t="s">
        <v>529</v>
      </c>
      <c r="C1418" t="s">
        <v>594</v>
      </c>
      <c r="D1418" t="s">
        <v>594</v>
      </c>
    </row>
    <row r="1419" spans="1:4">
      <c r="A1419" s="2">
        <v>0.4256949470009791</v>
      </c>
      <c r="B1419" t="s">
        <v>530</v>
      </c>
      <c r="C1419" t="s">
        <v>594</v>
      </c>
      <c r="D1419" t="s">
        <v>594</v>
      </c>
    </row>
    <row r="1420" spans="1:4">
      <c r="A1420" s="2">
        <v>0.004725004725004725</v>
      </c>
      <c r="B1420" t="s">
        <v>531</v>
      </c>
      <c r="C1420" t="s">
        <v>594</v>
      </c>
      <c r="D1420" t="s">
        <v>594</v>
      </c>
    </row>
    <row r="1421" spans="1:4">
      <c r="A1421" s="2">
        <v>1.897209205259064</v>
      </c>
      <c r="B1421" t="s">
        <v>532</v>
      </c>
      <c r="C1421" t="s">
        <v>594</v>
      </c>
      <c r="D1421" t="s">
        <v>594</v>
      </c>
    </row>
    <row r="1422" spans="1:4">
      <c r="A1422" s="2">
        <v>1.858183439869184</v>
      </c>
      <c r="B1422" t="s">
        <v>533</v>
      </c>
      <c r="C1422" t="s">
        <v>594</v>
      </c>
      <c r="D1422" t="s">
        <v>594</v>
      </c>
    </row>
    <row r="1423" spans="1:4">
      <c r="A1423" s="2">
        <v>0.021053296419886944</v>
      </c>
      <c r="B1423" t="s">
        <v>534</v>
      </c>
      <c r="C1423" t="s">
        <v>594</v>
      </c>
      <c r="D1423" t="s">
        <v>594</v>
      </c>
    </row>
    <row r="1424" spans="1:4">
      <c r="A1424" s="2">
        <v>1.9219680953296177</v>
      </c>
      <c r="B1424" t="s">
        <v>535</v>
      </c>
      <c r="C1424" t="s">
        <v>594</v>
      </c>
      <c r="D1424" t="s">
        <v>594</v>
      </c>
    </row>
    <row r="1425" spans="1:4">
      <c r="A1425" s="2">
        <v>1.0857763300760044</v>
      </c>
      <c r="B1425" t="s">
        <v>536</v>
      </c>
      <c r="C1425" t="s">
        <v>594</v>
      </c>
      <c r="D1425" t="s">
        <v>594</v>
      </c>
    </row>
    <row r="1426" spans="1:4">
      <c r="A1426" s="2">
        <v>0.7571742257893541</v>
      </c>
      <c r="B1426" t="s">
        <v>537</v>
      </c>
      <c r="C1426" t="s">
        <v>594</v>
      </c>
      <c r="D1426" t="s">
        <v>594</v>
      </c>
    </row>
    <row r="1427" spans="1:4">
      <c r="A1427" s="2">
        <v>0.6923769300006923</v>
      </c>
      <c r="B1427" t="s">
        <v>538</v>
      </c>
      <c r="C1427" t="s">
        <v>594</v>
      </c>
      <c r="D1427" t="s">
        <v>594</v>
      </c>
    </row>
    <row r="1428" spans="1:4">
      <c r="A1428" s="2">
        <v>0.16105808720973305</v>
      </c>
      <c r="B1428" t="s">
        <v>539</v>
      </c>
      <c r="C1428" t="s">
        <v>594</v>
      </c>
      <c r="D1428" t="s">
        <v>594</v>
      </c>
    </row>
    <row r="1429" spans="1:4">
      <c r="A1429" s="2">
        <v>0.3968883949833307</v>
      </c>
      <c r="B1429" t="s">
        <v>540</v>
      </c>
      <c r="C1429" t="s">
        <v>594</v>
      </c>
      <c r="D1429" t="s">
        <v>594</v>
      </c>
    </row>
    <row r="1430" spans="1:4">
      <c r="A1430" s="2">
        <v>0.2229008314201012</v>
      </c>
      <c r="B1430" t="s">
        <v>541</v>
      </c>
      <c r="C1430" t="s">
        <v>594</v>
      </c>
      <c r="D1430" t="s">
        <v>594</v>
      </c>
    </row>
    <row r="1431" spans="1:4">
      <c r="A1431" s="2">
        <v>1</v>
      </c>
      <c r="B1431" t="s">
        <v>542</v>
      </c>
      <c r="C1431" t="s">
        <v>594</v>
      </c>
      <c r="D1431" t="s">
        <v>594</v>
      </c>
    </row>
    <row r="1432" spans="1:4">
      <c r="A1432" s="2">
        <v>7.0014</v>
      </c>
      <c r="B1432" t="s">
        <v>364</v>
      </c>
      <c r="C1432" t="s">
        <v>595</v>
      </c>
      <c r="D1432" t="s">
        <v>595</v>
      </c>
    </row>
    <row r="1433" spans="1:4">
      <c r="A1433" s="2">
        <v>8.1745</v>
      </c>
      <c r="B1433" t="s">
        <v>373</v>
      </c>
      <c r="C1433" t="s">
        <v>595</v>
      </c>
      <c r="D1433" t="s">
        <v>595</v>
      </c>
    </row>
    <row r="1434" spans="1:4">
      <c r="A1434" s="2">
        <v>0.044095</v>
      </c>
      <c r="B1434" t="s">
        <v>520</v>
      </c>
      <c r="C1434" t="s">
        <v>595</v>
      </c>
      <c r="D1434" t="s">
        <v>595</v>
      </c>
    </row>
    <row r="1435" spans="1:4">
      <c r="A1435" s="2">
        <v>0.89779</v>
      </c>
      <c r="B1435" t="s">
        <v>370</v>
      </c>
      <c r="C1435" t="s">
        <v>595</v>
      </c>
      <c r="D1435" t="s">
        <v>595</v>
      </c>
    </row>
    <row r="1436" spans="1:4">
      <c r="A1436" s="2">
        <v>9.3662</v>
      </c>
      <c r="B1436" t="s">
        <v>521</v>
      </c>
      <c r="C1436" t="s">
        <v>595</v>
      </c>
      <c r="D1436" t="s">
        <v>595</v>
      </c>
    </row>
    <row r="1437" spans="1:4">
      <c r="A1437" s="2">
        <v>4.6898</v>
      </c>
      <c r="B1437" t="s">
        <v>522</v>
      </c>
      <c r="C1437" t="s">
        <v>595</v>
      </c>
      <c r="D1437" t="s">
        <v>595</v>
      </c>
    </row>
    <row r="1438" spans="1:4">
      <c r="A1438" s="2">
        <v>4.0555</v>
      </c>
      <c r="B1438" t="s">
        <v>523</v>
      </c>
      <c r="C1438" t="s">
        <v>595</v>
      </c>
      <c r="D1438" t="s">
        <v>595</v>
      </c>
    </row>
    <row r="1439" spans="1:4">
      <c r="A1439" s="2">
        <v>5.4286</v>
      </c>
      <c r="B1439" t="s">
        <v>524</v>
      </c>
      <c r="C1439" t="s">
        <v>595</v>
      </c>
      <c r="D1439" t="s">
        <v>595</v>
      </c>
    </row>
    <row r="1440" spans="1:4">
      <c r="A1440" s="2">
        <v>8.8238</v>
      </c>
      <c r="B1440" t="s">
        <v>525</v>
      </c>
      <c r="C1440" t="s">
        <v>595</v>
      </c>
      <c r="D1440" t="s">
        <v>595</v>
      </c>
    </row>
    <row r="1441" spans="1:4">
      <c r="A1441" s="2">
        <v>5.0365</v>
      </c>
      <c r="B1441" t="s">
        <v>526</v>
      </c>
      <c r="C1441" t="s">
        <v>595</v>
      </c>
      <c r="D1441" t="s">
        <v>595</v>
      </c>
    </row>
    <row r="1442" spans="1:4">
      <c r="A1442" s="2">
        <v>0.8712319219376198</v>
      </c>
      <c r="B1442" t="s">
        <v>527</v>
      </c>
      <c r="C1442" t="s">
        <v>595</v>
      </c>
      <c r="D1442" t="s">
        <v>595</v>
      </c>
    </row>
    <row r="1443" spans="1:4">
      <c r="A1443" s="2">
        <v>1.7211111493580256</v>
      </c>
      <c r="B1443" t="s">
        <v>528</v>
      </c>
      <c r="C1443" t="s">
        <v>595</v>
      </c>
      <c r="D1443" t="s">
        <v>595</v>
      </c>
    </row>
    <row r="1444" spans="1:4">
      <c r="A1444" s="2">
        <v>0.08922278036028158</v>
      </c>
      <c r="B1444" t="s">
        <v>529</v>
      </c>
      <c r="C1444" t="s">
        <v>595</v>
      </c>
      <c r="D1444" t="s">
        <v>595</v>
      </c>
    </row>
    <row r="1445" spans="1:4">
      <c r="A1445" s="2">
        <v>0.42482688304515914</v>
      </c>
      <c r="B1445" t="s">
        <v>530</v>
      </c>
      <c r="C1445" t="s">
        <v>595</v>
      </c>
      <c r="D1445" t="s">
        <v>595</v>
      </c>
    </row>
    <row r="1446" spans="1:4">
      <c r="A1446" s="2">
        <v>0.00470787627701144</v>
      </c>
      <c r="B1446" t="s">
        <v>531</v>
      </c>
      <c r="C1446" t="s">
        <v>595</v>
      </c>
      <c r="D1446" t="s">
        <v>595</v>
      </c>
    </row>
    <row r="1447" spans="1:4">
      <c r="A1447" s="2">
        <v>1.897281196046066</v>
      </c>
      <c r="B1447" t="s">
        <v>532</v>
      </c>
      <c r="C1447" t="s">
        <v>595</v>
      </c>
      <c r="D1447" t="s">
        <v>595</v>
      </c>
    </row>
    <row r="1448" spans="1:4">
      <c r="A1448" s="2">
        <v>1.8580798602723945</v>
      </c>
      <c r="B1448" t="s">
        <v>533</v>
      </c>
      <c r="C1448" t="s">
        <v>595</v>
      </c>
      <c r="D1448" t="s">
        <v>595</v>
      </c>
    </row>
    <row r="1449" spans="1:4">
      <c r="A1449" s="2">
        <v>0.021233135582063942</v>
      </c>
      <c r="B1449" t="s">
        <v>534</v>
      </c>
      <c r="C1449" t="s">
        <v>595</v>
      </c>
      <c r="D1449" t="s">
        <v>595</v>
      </c>
    </row>
    <row r="1450" spans="1:4">
      <c r="A1450" s="2">
        <v>1.9352466471851837</v>
      </c>
      <c r="B1450" t="s">
        <v>535</v>
      </c>
      <c r="C1450" t="s">
        <v>595</v>
      </c>
      <c r="D1450" t="s">
        <v>595</v>
      </c>
    </row>
    <row r="1451" spans="1:4">
      <c r="A1451" s="2">
        <v>1.0937329104232745</v>
      </c>
      <c r="B1451" t="s">
        <v>536</v>
      </c>
      <c r="C1451" t="s">
        <v>595</v>
      </c>
      <c r="D1451" t="s">
        <v>595</v>
      </c>
    </row>
    <row r="1452" spans="1:4">
      <c r="A1452" s="2">
        <v>0.7638252367858235</v>
      </c>
      <c r="B1452" t="s">
        <v>537</v>
      </c>
      <c r="C1452" t="s">
        <v>595</v>
      </c>
      <c r="D1452" t="s">
        <v>595</v>
      </c>
    </row>
    <row r="1453" spans="1:4">
      <c r="A1453" s="2">
        <v>0.6967670011148271</v>
      </c>
      <c r="B1453" t="s">
        <v>538</v>
      </c>
      <c r="C1453" t="s">
        <v>595</v>
      </c>
      <c r="D1453" t="s">
        <v>595</v>
      </c>
    </row>
    <row r="1454" spans="1:4">
      <c r="A1454" s="2">
        <v>0.16100933532126194</v>
      </c>
      <c r="B1454" t="s">
        <v>539</v>
      </c>
      <c r="C1454" t="s">
        <v>595</v>
      </c>
      <c r="D1454" t="s">
        <v>595</v>
      </c>
    </row>
    <row r="1455" spans="1:4">
      <c r="A1455" s="2">
        <v>0.39651070578905634</v>
      </c>
      <c r="B1455" t="s">
        <v>540</v>
      </c>
      <c r="C1455" t="s">
        <v>595</v>
      </c>
      <c r="D1455" t="s">
        <v>595</v>
      </c>
    </row>
    <row r="1456" spans="1:4">
      <c r="A1456" s="2">
        <v>0.22439133849433412</v>
      </c>
      <c r="B1456" t="s">
        <v>541</v>
      </c>
      <c r="C1456" t="s">
        <v>595</v>
      </c>
      <c r="D1456" t="s">
        <v>595</v>
      </c>
    </row>
    <row r="1457" spans="1:4">
      <c r="A1457" s="2">
        <v>1</v>
      </c>
      <c r="B1457" t="s">
        <v>542</v>
      </c>
      <c r="C1457" t="s">
        <v>595</v>
      </c>
      <c r="D1457" t="s">
        <v>595</v>
      </c>
    </row>
    <row r="1458" spans="1:4">
      <c r="A1458" s="2">
        <v>7.001900000000001</v>
      </c>
      <c r="B1458" t="s">
        <v>364</v>
      </c>
      <c r="C1458" t="s">
        <v>67</v>
      </c>
      <c r="D1458" t="s">
        <v>67</v>
      </c>
    </row>
    <row r="1459" spans="1:4">
      <c r="A1459" s="2">
        <v>8.1537</v>
      </c>
      <c r="B1459" t="s">
        <v>373</v>
      </c>
      <c r="C1459" t="s">
        <v>67</v>
      </c>
      <c r="D1459" t="s">
        <v>67</v>
      </c>
    </row>
    <row r="1460" spans="1:4">
      <c r="A1460" s="2">
        <v>0.044112</v>
      </c>
      <c r="B1460" t="s">
        <v>520</v>
      </c>
      <c r="C1460" t="s">
        <v>67</v>
      </c>
      <c r="D1460" t="s">
        <v>67</v>
      </c>
    </row>
    <row r="1461" spans="1:4">
      <c r="A1461" s="2">
        <v>0.8981999999999999</v>
      </c>
      <c r="B1461" t="s">
        <v>370</v>
      </c>
      <c r="C1461" t="s">
        <v>67</v>
      </c>
      <c r="D1461" t="s">
        <v>67</v>
      </c>
    </row>
    <row r="1462" spans="1:4">
      <c r="A1462" s="2">
        <v>9.3657</v>
      </c>
      <c r="B1462" t="s">
        <v>521</v>
      </c>
      <c r="C1462" t="s">
        <v>67</v>
      </c>
      <c r="D1462" t="s">
        <v>67</v>
      </c>
    </row>
    <row r="1463" spans="1:4">
      <c r="A1463" s="2">
        <v>4.7138</v>
      </c>
      <c r="B1463" t="s">
        <v>522</v>
      </c>
      <c r="C1463" t="s">
        <v>67</v>
      </c>
      <c r="D1463" t="s">
        <v>67</v>
      </c>
    </row>
    <row r="1464" spans="1:4">
      <c r="A1464" s="2">
        <v>4.0709</v>
      </c>
      <c r="B1464" t="s">
        <v>523</v>
      </c>
      <c r="C1464" t="s">
        <v>67</v>
      </c>
      <c r="D1464" t="s">
        <v>67</v>
      </c>
    </row>
    <row r="1465" spans="1:4">
      <c r="A1465" s="2">
        <v>5.4322</v>
      </c>
      <c r="B1465" t="s">
        <v>524</v>
      </c>
      <c r="C1465" t="s">
        <v>67</v>
      </c>
      <c r="D1465" t="s">
        <v>67</v>
      </c>
    </row>
    <row r="1466" spans="1:4">
      <c r="A1466" s="2">
        <v>8.7678</v>
      </c>
      <c r="B1466" t="s">
        <v>525</v>
      </c>
      <c r="C1466" t="s">
        <v>67</v>
      </c>
      <c r="D1466" t="s">
        <v>67</v>
      </c>
    </row>
    <row r="1467" spans="1:4">
      <c r="A1467" s="2">
        <v>5.0408</v>
      </c>
      <c r="B1467" t="s">
        <v>526</v>
      </c>
      <c r="C1467" t="s">
        <v>67</v>
      </c>
      <c r="D1467" t="s">
        <v>67</v>
      </c>
    </row>
    <row r="1468" spans="1:4">
      <c r="A1468" s="2">
        <v>0.8716875871687587</v>
      </c>
      <c r="B1468" t="s">
        <v>527</v>
      </c>
      <c r="C1468" t="s">
        <v>67</v>
      </c>
      <c r="D1468" t="s">
        <v>67</v>
      </c>
    </row>
    <row r="1469" spans="1:4">
      <c r="A1469" s="2">
        <v>1.7275334277718273</v>
      </c>
      <c r="B1469" t="s">
        <v>528</v>
      </c>
      <c r="C1469" t="s">
        <v>67</v>
      </c>
      <c r="D1469" t="s">
        <v>67</v>
      </c>
    </row>
    <row r="1470" spans="1:4">
      <c r="A1470" s="2">
        <v>0.09045435221115664</v>
      </c>
      <c r="B1470" t="s">
        <v>529</v>
      </c>
      <c r="C1470" t="s">
        <v>67</v>
      </c>
      <c r="D1470" t="s">
        <v>67</v>
      </c>
    </row>
    <row r="1471" spans="1:4">
      <c r="A1471" s="2">
        <v>0.4287613085795138</v>
      </c>
      <c r="B1471" t="s">
        <v>530</v>
      </c>
      <c r="C1471" t="s">
        <v>67</v>
      </c>
      <c r="D1471" t="s">
        <v>67</v>
      </c>
    </row>
    <row r="1472" spans="1:4">
      <c r="A1472" s="2">
        <v>0.004751722499406035</v>
      </c>
      <c r="B1472" t="s">
        <v>531</v>
      </c>
      <c r="C1472" t="s">
        <v>67</v>
      </c>
      <c r="D1472" t="s">
        <v>67</v>
      </c>
    </row>
    <row r="1473" spans="1:4">
      <c r="A1473" s="2">
        <v>1.8992991586104728</v>
      </c>
      <c r="B1473" t="s">
        <v>532</v>
      </c>
      <c r="C1473" t="s">
        <v>67</v>
      </c>
      <c r="D1473" t="s">
        <v>67</v>
      </c>
    </row>
    <row r="1474" spans="1:4">
      <c r="A1474" s="2">
        <v>1.8601882510510064</v>
      </c>
      <c r="B1474" t="s">
        <v>533</v>
      </c>
      <c r="C1474" t="s">
        <v>67</v>
      </c>
      <c r="D1474" t="s">
        <v>67</v>
      </c>
    </row>
    <row r="1475" spans="1:4">
      <c r="A1475" s="2">
        <v>0.0212039608998961</v>
      </c>
      <c r="B1475" t="s">
        <v>534</v>
      </c>
      <c r="C1475" t="s">
        <v>67</v>
      </c>
      <c r="D1475" t="s">
        <v>67</v>
      </c>
    </row>
    <row r="1476" spans="1:4">
      <c r="A1476" s="2">
        <v>1.9353964659660532</v>
      </c>
      <c r="B1476" t="s">
        <v>535</v>
      </c>
      <c r="C1476" t="s">
        <v>67</v>
      </c>
      <c r="D1476" t="s">
        <v>67</v>
      </c>
    </row>
    <row r="1477" spans="1:4">
      <c r="A1477" s="2">
        <v>1.0907504363001743</v>
      </c>
      <c r="B1477" t="s">
        <v>536</v>
      </c>
      <c r="C1477" t="s">
        <v>67</v>
      </c>
      <c r="D1477" t="s">
        <v>67</v>
      </c>
    </row>
    <row r="1478" spans="1:4">
      <c r="A1478" s="2">
        <v>0.765345170671973</v>
      </c>
      <c r="B1478" t="s">
        <v>537</v>
      </c>
      <c r="C1478" t="s">
        <v>67</v>
      </c>
      <c r="D1478" t="s">
        <v>67</v>
      </c>
    </row>
    <row r="1479" spans="1:4">
      <c r="A1479" s="2">
        <v>0.6993006993006993</v>
      </c>
      <c r="B1479" t="s">
        <v>538</v>
      </c>
      <c r="C1479" t="s">
        <v>67</v>
      </c>
      <c r="D1479" t="s">
        <v>67</v>
      </c>
    </row>
    <row r="1480" spans="1:4">
      <c r="A1480" s="2">
        <v>0.16111932819684915</v>
      </c>
      <c r="B1480" t="s">
        <v>539</v>
      </c>
      <c r="C1480" t="s">
        <v>67</v>
      </c>
      <c r="D1480" t="s">
        <v>67</v>
      </c>
    </row>
    <row r="1481" spans="1:4">
      <c r="A1481" s="2">
        <v>0.3993769719237989</v>
      </c>
      <c r="B1481" t="s">
        <v>540</v>
      </c>
      <c r="C1481" t="s">
        <v>67</v>
      </c>
      <c r="D1481" t="s">
        <v>67</v>
      </c>
    </row>
    <row r="1482" spans="1:4">
      <c r="A1482" s="2">
        <v>0.22268739143989663</v>
      </c>
      <c r="B1482" t="s">
        <v>541</v>
      </c>
      <c r="C1482" t="s">
        <v>67</v>
      </c>
      <c r="D1482" t="s">
        <v>67</v>
      </c>
    </row>
    <row r="1483" spans="1:4">
      <c r="A1483" s="2">
        <v>1</v>
      </c>
      <c r="B1483" t="s">
        <v>542</v>
      </c>
      <c r="C1483" t="s">
        <v>67</v>
      </c>
      <c r="D1483" t="s">
        <v>67</v>
      </c>
    </row>
    <row r="1484" spans="1:4">
      <c r="A1484" s="2">
        <v>6.9929</v>
      </c>
      <c r="B1484" t="s">
        <v>364</v>
      </c>
      <c r="C1484" t="s">
        <v>596</v>
      </c>
      <c r="D1484" t="s">
        <v>596</v>
      </c>
    </row>
    <row r="1485" spans="1:4">
      <c r="A1485" s="2">
        <v>8.19</v>
      </c>
      <c r="B1485" t="s">
        <v>373</v>
      </c>
      <c r="C1485" t="s">
        <v>596</v>
      </c>
      <c r="D1485" t="s">
        <v>596</v>
      </c>
    </row>
    <row r="1486" spans="1:4">
      <c r="A1486" s="2">
        <v>0.04401</v>
      </c>
      <c r="B1486" t="s">
        <v>520</v>
      </c>
      <c r="C1486" t="s">
        <v>596</v>
      </c>
      <c r="D1486" t="s">
        <v>596</v>
      </c>
    </row>
    <row r="1487" spans="1:4">
      <c r="A1487" s="2">
        <v>0.89676</v>
      </c>
      <c r="B1487" t="s">
        <v>370</v>
      </c>
      <c r="C1487" t="s">
        <v>596</v>
      </c>
      <c r="D1487" t="s">
        <v>596</v>
      </c>
    </row>
    <row r="1488" spans="1:4">
      <c r="A1488" s="2">
        <v>9.3981</v>
      </c>
      <c r="B1488" t="s">
        <v>521</v>
      </c>
      <c r="C1488" t="s">
        <v>596</v>
      </c>
      <c r="D1488" t="s">
        <v>596</v>
      </c>
    </row>
    <row r="1489" spans="1:4">
      <c r="A1489" s="2">
        <v>4.7529</v>
      </c>
      <c r="B1489" t="s">
        <v>522</v>
      </c>
      <c r="C1489" t="s">
        <v>596</v>
      </c>
      <c r="D1489" t="s">
        <v>596</v>
      </c>
    </row>
    <row r="1490" spans="1:4">
      <c r="A1490" s="2">
        <v>4.1078</v>
      </c>
      <c r="B1490" t="s">
        <v>523</v>
      </c>
      <c r="C1490" t="s">
        <v>596</v>
      </c>
      <c r="D1490" t="s">
        <v>596</v>
      </c>
    </row>
    <row r="1491" spans="1:4">
      <c r="A1491" s="2">
        <v>5.4419</v>
      </c>
      <c r="B1491" t="s">
        <v>524</v>
      </c>
      <c r="C1491" t="s">
        <v>596</v>
      </c>
      <c r="D1491" t="s">
        <v>596</v>
      </c>
    </row>
    <row r="1492" spans="1:4">
      <c r="A1492" s="2">
        <v>8.8266</v>
      </c>
      <c r="B1492" t="s">
        <v>525</v>
      </c>
      <c r="C1492" t="s">
        <v>596</v>
      </c>
      <c r="D1492" t="s">
        <v>596</v>
      </c>
    </row>
    <row r="1493" spans="1:4">
      <c r="A1493" s="2">
        <v>5.047</v>
      </c>
      <c r="B1493" t="s">
        <v>526</v>
      </c>
      <c r="C1493" t="s">
        <v>596</v>
      </c>
      <c r="D1493" t="s">
        <v>596</v>
      </c>
    </row>
    <row r="1494" spans="1:4">
      <c r="A1494" s="2">
        <v>0.8702462796971543</v>
      </c>
      <c r="B1494" t="s">
        <v>527</v>
      </c>
      <c r="C1494" t="s">
        <v>596</v>
      </c>
      <c r="D1494" t="s">
        <v>596</v>
      </c>
    </row>
    <row r="1495" spans="1:4">
      <c r="A1495" s="2">
        <v>1.7307026652821045</v>
      </c>
      <c r="B1495" t="s">
        <v>528</v>
      </c>
      <c r="C1495" t="s">
        <v>596</v>
      </c>
      <c r="D1495" t="s">
        <v>596</v>
      </c>
    </row>
    <row r="1496" spans="1:4">
      <c r="A1496" s="2">
        <v>0.09172208209126348</v>
      </c>
      <c r="B1496" t="s">
        <v>529</v>
      </c>
      <c r="C1496" t="s">
        <v>596</v>
      </c>
      <c r="D1496" t="s">
        <v>596</v>
      </c>
    </row>
    <row r="1497" spans="1:4">
      <c r="A1497" s="2">
        <v>0.43161120462687214</v>
      </c>
      <c r="B1497" t="s">
        <v>530</v>
      </c>
      <c r="C1497" t="s">
        <v>596</v>
      </c>
      <c r="D1497" t="s">
        <v>596</v>
      </c>
    </row>
    <row r="1498" spans="1:4">
      <c r="A1498" s="2">
        <v>0.0047485635595232445</v>
      </c>
      <c r="B1498" t="s">
        <v>531</v>
      </c>
      <c r="C1498" t="s">
        <v>596</v>
      </c>
      <c r="D1498" t="s">
        <v>596</v>
      </c>
    </row>
    <row r="1499" spans="1:4">
      <c r="A1499" s="2">
        <v>1.8953393605124995</v>
      </c>
      <c r="B1499" t="s">
        <v>532</v>
      </c>
      <c r="C1499" t="s">
        <v>596</v>
      </c>
      <c r="D1499" t="s">
        <v>596</v>
      </c>
    </row>
    <row r="1500" spans="1:4">
      <c r="A1500" s="2">
        <v>1.8563207722294413</v>
      </c>
      <c r="B1500" t="s">
        <v>533</v>
      </c>
      <c r="C1500" t="s">
        <v>596</v>
      </c>
      <c r="D1500" t="s">
        <v>596</v>
      </c>
    </row>
    <row r="1501" spans="1:4">
      <c r="A1501" s="2">
        <v>0.021447123190130892</v>
      </c>
      <c r="B1501" t="s">
        <v>534</v>
      </c>
      <c r="C1501" t="s">
        <v>596</v>
      </c>
      <c r="D1501" t="s">
        <v>596</v>
      </c>
    </row>
    <row r="1502" spans="1:4">
      <c r="A1502" s="2">
        <v>1.9511814403621397</v>
      </c>
      <c r="B1502" t="s">
        <v>535</v>
      </c>
      <c r="C1502" t="s">
        <v>596</v>
      </c>
      <c r="D1502" t="s">
        <v>596</v>
      </c>
    </row>
    <row r="1503" spans="1:4">
      <c r="A1503" s="2">
        <v>1.095290251916758</v>
      </c>
      <c r="B1503" t="s">
        <v>536</v>
      </c>
      <c r="C1503" t="s">
        <v>596</v>
      </c>
      <c r="D1503" t="s">
        <v>596</v>
      </c>
    </row>
    <row r="1504" spans="1:4">
      <c r="A1504" s="2">
        <v>0.7724393635099644</v>
      </c>
      <c r="B1504" t="s">
        <v>537</v>
      </c>
      <c r="C1504" t="s">
        <v>596</v>
      </c>
      <c r="D1504" t="s">
        <v>596</v>
      </c>
    </row>
    <row r="1505" spans="1:4">
      <c r="A1505" s="2">
        <v>0.7055171440666008</v>
      </c>
      <c r="B1505" t="s">
        <v>538</v>
      </c>
      <c r="C1505" t="s">
        <v>596</v>
      </c>
      <c r="D1505" t="s">
        <v>596</v>
      </c>
    </row>
    <row r="1506" spans="1:4">
      <c r="A1506" s="2">
        <v>0.16069213315592923</v>
      </c>
      <c r="B1506" t="s">
        <v>539</v>
      </c>
      <c r="C1506" t="s">
        <v>596</v>
      </c>
      <c r="D1506" t="s">
        <v>596</v>
      </c>
    </row>
    <row r="1507" spans="1:4">
      <c r="A1507" s="2">
        <v>0.3993610223642172</v>
      </c>
      <c r="B1507" t="s">
        <v>540</v>
      </c>
      <c r="C1507" t="s">
        <v>596</v>
      </c>
      <c r="D1507" t="s">
        <v>596</v>
      </c>
    </row>
    <row r="1508" spans="1:4">
      <c r="A1508" s="2">
        <v>0.22393407380867072</v>
      </c>
      <c r="B1508" t="s">
        <v>541</v>
      </c>
      <c r="C1508" t="s">
        <v>596</v>
      </c>
      <c r="D1508" t="s">
        <v>596</v>
      </c>
    </row>
    <row r="1509" spans="1:4">
      <c r="A1509" s="2">
        <v>1</v>
      </c>
      <c r="B1509" t="s">
        <v>542</v>
      </c>
      <c r="C1509" t="s">
        <v>596</v>
      </c>
      <c r="D1509" t="s">
        <v>596</v>
      </c>
    </row>
    <row r="1510" spans="1:4">
      <c r="A1510" s="2">
        <v>6.9929</v>
      </c>
      <c r="B1510" t="s">
        <v>364</v>
      </c>
      <c r="C1510" t="s">
        <v>596</v>
      </c>
      <c r="D1510" t="s">
        <v>80</v>
      </c>
    </row>
    <row r="1511" spans="1:4">
      <c r="A1511" s="2">
        <v>8.19</v>
      </c>
      <c r="B1511" t="s">
        <v>373</v>
      </c>
      <c r="C1511" t="s">
        <v>596</v>
      </c>
      <c r="D1511" t="s">
        <v>80</v>
      </c>
    </row>
    <row r="1512" spans="1:4">
      <c r="A1512" s="2">
        <v>0.04401</v>
      </c>
      <c r="B1512" t="s">
        <v>520</v>
      </c>
      <c r="C1512" t="s">
        <v>596</v>
      </c>
      <c r="D1512" t="s">
        <v>80</v>
      </c>
    </row>
    <row r="1513" spans="1:4">
      <c r="A1513" s="2">
        <v>0.89676</v>
      </c>
      <c r="B1513" t="s">
        <v>370</v>
      </c>
      <c r="C1513" t="s">
        <v>596</v>
      </c>
      <c r="D1513" t="s">
        <v>80</v>
      </c>
    </row>
    <row r="1514" spans="1:4">
      <c r="A1514" s="2">
        <v>9.3981</v>
      </c>
      <c r="B1514" t="s">
        <v>521</v>
      </c>
      <c r="C1514" t="s">
        <v>596</v>
      </c>
      <c r="D1514" t="s">
        <v>80</v>
      </c>
    </row>
    <row r="1515" spans="1:4">
      <c r="A1515" s="2">
        <v>4.7529</v>
      </c>
      <c r="B1515" t="s">
        <v>522</v>
      </c>
      <c r="C1515" t="s">
        <v>596</v>
      </c>
      <c r="D1515" t="s">
        <v>80</v>
      </c>
    </row>
    <row r="1516" spans="1:4">
      <c r="A1516" s="2">
        <v>4.1078</v>
      </c>
      <c r="B1516" t="s">
        <v>523</v>
      </c>
      <c r="C1516" t="s">
        <v>596</v>
      </c>
      <c r="D1516" t="s">
        <v>80</v>
      </c>
    </row>
    <row r="1517" spans="1:4">
      <c r="A1517" s="2">
        <v>5.4419</v>
      </c>
      <c r="B1517" t="s">
        <v>524</v>
      </c>
      <c r="C1517" t="s">
        <v>596</v>
      </c>
      <c r="D1517" t="s">
        <v>80</v>
      </c>
    </row>
    <row r="1518" spans="1:4">
      <c r="A1518" s="2">
        <v>8.8266</v>
      </c>
      <c r="B1518" t="s">
        <v>525</v>
      </c>
      <c r="C1518" t="s">
        <v>596</v>
      </c>
      <c r="D1518" t="s">
        <v>80</v>
      </c>
    </row>
    <row r="1519" spans="1:4">
      <c r="A1519" s="2">
        <v>5.047</v>
      </c>
      <c r="B1519" t="s">
        <v>526</v>
      </c>
      <c r="C1519" t="s">
        <v>596</v>
      </c>
      <c r="D1519" t="s">
        <v>80</v>
      </c>
    </row>
    <row r="1520" spans="1:4">
      <c r="A1520" s="2">
        <v>0.8702462796971543</v>
      </c>
      <c r="B1520" t="s">
        <v>527</v>
      </c>
      <c r="C1520" t="s">
        <v>596</v>
      </c>
      <c r="D1520" t="s">
        <v>80</v>
      </c>
    </row>
    <row r="1521" spans="1:4">
      <c r="A1521" s="2">
        <v>1.7307026652821045</v>
      </c>
      <c r="B1521" t="s">
        <v>528</v>
      </c>
      <c r="C1521" t="s">
        <v>596</v>
      </c>
      <c r="D1521" t="s">
        <v>80</v>
      </c>
    </row>
    <row r="1522" spans="1:4">
      <c r="A1522" s="2">
        <v>0.09172208209126348</v>
      </c>
      <c r="B1522" t="s">
        <v>529</v>
      </c>
      <c r="C1522" t="s">
        <v>596</v>
      </c>
      <c r="D1522" t="s">
        <v>80</v>
      </c>
    </row>
    <row r="1523" spans="1:4">
      <c r="A1523" s="2">
        <v>0.43161120462687214</v>
      </c>
      <c r="B1523" t="s">
        <v>530</v>
      </c>
      <c r="C1523" t="s">
        <v>596</v>
      </c>
      <c r="D1523" t="s">
        <v>80</v>
      </c>
    </row>
    <row r="1524" spans="1:4">
      <c r="A1524" s="2">
        <v>0.0047485635595232445</v>
      </c>
      <c r="B1524" t="s">
        <v>531</v>
      </c>
      <c r="C1524" t="s">
        <v>596</v>
      </c>
      <c r="D1524" t="s">
        <v>80</v>
      </c>
    </row>
    <row r="1525" spans="1:4">
      <c r="A1525" s="2">
        <v>1.8953393605124995</v>
      </c>
      <c r="B1525" t="s">
        <v>532</v>
      </c>
      <c r="C1525" t="s">
        <v>596</v>
      </c>
      <c r="D1525" t="s">
        <v>80</v>
      </c>
    </row>
    <row r="1526" spans="1:4">
      <c r="A1526" s="2">
        <v>1.8563207722294413</v>
      </c>
      <c r="B1526" t="s">
        <v>533</v>
      </c>
      <c r="C1526" t="s">
        <v>596</v>
      </c>
      <c r="D1526" t="s">
        <v>80</v>
      </c>
    </row>
    <row r="1527" spans="1:4">
      <c r="A1527" s="2">
        <v>0.021447123190130892</v>
      </c>
      <c r="B1527" t="s">
        <v>534</v>
      </c>
      <c r="C1527" t="s">
        <v>596</v>
      </c>
      <c r="D1527" t="s">
        <v>80</v>
      </c>
    </row>
    <row r="1528" spans="1:4">
      <c r="A1528" s="2">
        <v>1.9511814403621397</v>
      </c>
      <c r="B1528" t="s">
        <v>535</v>
      </c>
      <c r="C1528" t="s">
        <v>596</v>
      </c>
      <c r="D1528" t="s">
        <v>80</v>
      </c>
    </row>
    <row r="1529" spans="1:4">
      <c r="A1529" s="2">
        <v>1.095290251916758</v>
      </c>
      <c r="B1529" t="s">
        <v>536</v>
      </c>
      <c r="C1529" t="s">
        <v>596</v>
      </c>
      <c r="D1529" t="s">
        <v>80</v>
      </c>
    </row>
    <row r="1530" spans="1:4">
      <c r="A1530" s="2">
        <v>0.7724393635099644</v>
      </c>
      <c r="B1530" t="s">
        <v>537</v>
      </c>
      <c r="C1530" t="s">
        <v>596</v>
      </c>
      <c r="D1530" t="s">
        <v>80</v>
      </c>
    </row>
    <row r="1531" spans="1:4">
      <c r="A1531" s="2">
        <v>0.7055171440666008</v>
      </c>
      <c r="B1531" t="s">
        <v>538</v>
      </c>
      <c r="C1531" t="s">
        <v>596</v>
      </c>
      <c r="D1531" t="s">
        <v>80</v>
      </c>
    </row>
    <row r="1532" spans="1:4">
      <c r="A1532" s="2">
        <v>0.16069213315592923</v>
      </c>
      <c r="B1532" t="s">
        <v>539</v>
      </c>
      <c r="C1532" t="s">
        <v>596</v>
      </c>
      <c r="D1532" t="s">
        <v>80</v>
      </c>
    </row>
    <row r="1533" spans="1:4">
      <c r="A1533" s="2">
        <v>0.3993610223642172</v>
      </c>
      <c r="B1533" t="s">
        <v>540</v>
      </c>
      <c r="C1533" t="s">
        <v>596</v>
      </c>
      <c r="D1533" t="s">
        <v>80</v>
      </c>
    </row>
    <row r="1534" spans="1:4">
      <c r="A1534" s="2">
        <v>0.22393407380867072</v>
      </c>
      <c r="B1534" t="s">
        <v>541</v>
      </c>
      <c r="C1534" t="s">
        <v>596</v>
      </c>
      <c r="D1534" t="s">
        <v>80</v>
      </c>
    </row>
    <row r="1535" spans="1:4">
      <c r="A1535" s="2">
        <v>1</v>
      </c>
      <c r="B1535" t="s">
        <v>542</v>
      </c>
      <c r="C1535" t="s">
        <v>80</v>
      </c>
      <c r="D1535" t="s">
        <v>80</v>
      </c>
    </row>
    <row r="1536" spans="1:4">
      <c r="A1536" s="2">
        <v>6.9929</v>
      </c>
      <c r="B1536" t="s">
        <v>364</v>
      </c>
      <c r="C1536" t="s">
        <v>596</v>
      </c>
      <c r="D1536" t="s">
        <v>95</v>
      </c>
    </row>
    <row r="1537" spans="1:4">
      <c r="A1537" s="2">
        <v>8.19</v>
      </c>
      <c r="B1537" t="s">
        <v>373</v>
      </c>
      <c r="C1537" t="s">
        <v>596</v>
      </c>
      <c r="D1537" t="s">
        <v>95</v>
      </c>
    </row>
    <row r="1538" spans="1:4">
      <c r="A1538" s="2">
        <v>0.04401</v>
      </c>
      <c r="B1538" t="s">
        <v>520</v>
      </c>
      <c r="C1538" t="s">
        <v>596</v>
      </c>
      <c r="D1538" t="s">
        <v>95</v>
      </c>
    </row>
    <row r="1539" spans="1:4">
      <c r="A1539" s="2">
        <v>0.89676</v>
      </c>
      <c r="B1539" t="s">
        <v>370</v>
      </c>
      <c r="C1539" t="s">
        <v>596</v>
      </c>
      <c r="D1539" t="s">
        <v>95</v>
      </c>
    </row>
    <row r="1540" spans="1:4">
      <c r="A1540" s="2">
        <v>9.3981</v>
      </c>
      <c r="B1540" t="s">
        <v>521</v>
      </c>
      <c r="C1540" t="s">
        <v>596</v>
      </c>
      <c r="D1540" t="s">
        <v>95</v>
      </c>
    </row>
    <row r="1541" spans="1:4">
      <c r="A1541" s="2">
        <v>4.7529</v>
      </c>
      <c r="B1541" t="s">
        <v>522</v>
      </c>
      <c r="C1541" t="s">
        <v>596</v>
      </c>
      <c r="D1541" t="s">
        <v>95</v>
      </c>
    </row>
    <row r="1542" spans="1:4">
      <c r="A1542" s="2">
        <v>4.1078</v>
      </c>
      <c r="B1542" t="s">
        <v>523</v>
      </c>
      <c r="C1542" t="s">
        <v>596</v>
      </c>
      <c r="D1542" t="s">
        <v>95</v>
      </c>
    </row>
    <row r="1543" spans="1:4">
      <c r="A1543" s="2">
        <v>5.4419</v>
      </c>
      <c r="B1543" t="s">
        <v>524</v>
      </c>
      <c r="C1543" t="s">
        <v>596</v>
      </c>
      <c r="D1543" t="s">
        <v>95</v>
      </c>
    </row>
    <row r="1544" spans="1:4">
      <c r="A1544" s="2">
        <v>8.8266</v>
      </c>
      <c r="B1544" t="s">
        <v>525</v>
      </c>
      <c r="C1544" t="s">
        <v>596</v>
      </c>
      <c r="D1544" t="s">
        <v>95</v>
      </c>
    </row>
    <row r="1545" spans="1:4">
      <c r="A1545" s="2">
        <v>5.047</v>
      </c>
      <c r="B1545" t="s">
        <v>526</v>
      </c>
      <c r="C1545" t="s">
        <v>596</v>
      </c>
      <c r="D1545" t="s">
        <v>95</v>
      </c>
    </row>
    <row r="1546" spans="1:4">
      <c r="A1546" s="2">
        <v>0.8702462796971543</v>
      </c>
      <c r="B1546" t="s">
        <v>527</v>
      </c>
      <c r="C1546" t="s">
        <v>596</v>
      </c>
      <c r="D1546" t="s">
        <v>95</v>
      </c>
    </row>
    <row r="1547" spans="1:4">
      <c r="A1547" s="2">
        <v>1.7307026652821045</v>
      </c>
      <c r="B1547" t="s">
        <v>528</v>
      </c>
      <c r="C1547" t="s">
        <v>596</v>
      </c>
      <c r="D1547" t="s">
        <v>95</v>
      </c>
    </row>
    <row r="1548" spans="1:4">
      <c r="A1548" s="2">
        <v>0.09172208209126348</v>
      </c>
      <c r="B1548" t="s">
        <v>529</v>
      </c>
      <c r="C1548" t="s">
        <v>596</v>
      </c>
      <c r="D1548" t="s">
        <v>95</v>
      </c>
    </row>
    <row r="1549" spans="1:4">
      <c r="A1549" s="2">
        <v>0.43161120462687214</v>
      </c>
      <c r="B1549" t="s">
        <v>530</v>
      </c>
      <c r="C1549" t="s">
        <v>596</v>
      </c>
      <c r="D1549" t="s">
        <v>95</v>
      </c>
    </row>
    <row r="1550" spans="1:4">
      <c r="A1550" s="2">
        <v>0.0047485635595232445</v>
      </c>
      <c r="B1550" t="s">
        <v>531</v>
      </c>
      <c r="C1550" t="s">
        <v>596</v>
      </c>
      <c r="D1550" t="s">
        <v>95</v>
      </c>
    </row>
    <row r="1551" spans="1:4">
      <c r="A1551" s="2">
        <v>1.8953393605124995</v>
      </c>
      <c r="B1551" t="s">
        <v>532</v>
      </c>
      <c r="C1551" t="s">
        <v>596</v>
      </c>
      <c r="D1551" t="s">
        <v>95</v>
      </c>
    </row>
    <row r="1552" spans="1:4">
      <c r="A1552" s="2">
        <v>1.8563207722294413</v>
      </c>
      <c r="B1552" t="s">
        <v>533</v>
      </c>
      <c r="C1552" t="s">
        <v>596</v>
      </c>
      <c r="D1552" t="s">
        <v>95</v>
      </c>
    </row>
    <row r="1553" spans="1:4">
      <c r="A1553" s="2">
        <v>0.021447123190130892</v>
      </c>
      <c r="B1553" t="s">
        <v>534</v>
      </c>
      <c r="C1553" t="s">
        <v>596</v>
      </c>
      <c r="D1553" t="s">
        <v>95</v>
      </c>
    </row>
    <row r="1554" spans="1:4">
      <c r="A1554" s="2">
        <v>1.9511814403621397</v>
      </c>
      <c r="B1554" t="s">
        <v>535</v>
      </c>
      <c r="C1554" t="s">
        <v>596</v>
      </c>
      <c r="D1554" t="s">
        <v>95</v>
      </c>
    </row>
    <row r="1555" spans="1:4">
      <c r="A1555" s="2">
        <v>1.095290251916758</v>
      </c>
      <c r="B1555" t="s">
        <v>536</v>
      </c>
      <c r="C1555" t="s">
        <v>596</v>
      </c>
      <c r="D1555" t="s">
        <v>95</v>
      </c>
    </row>
    <row r="1556" spans="1:4">
      <c r="A1556" s="2">
        <v>0.7724393635099644</v>
      </c>
      <c r="B1556" t="s">
        <v>537</v>
      </c>
      <c r="C1556" t="s">
        <v>596</v>
      </c>
      <c r="D1556" t="s">
        <v>95</v>
      </c>
    </row>
    <row r="1557" spans="1:4">
      <c r="A1557" s="2">
        <v>0.7055171440666008</v>
      </c>
      <c r="B1557" t="s">
        <v>538</v>
      </c>
      <c r="C1557" t="s">
        <v>596</v>
      </c>
      <c r="D1557" t="s">
        <v>95</v>
      </c>
    </row>
    <row r="1558" spans="1:4">
      <c r="A1558" s="2">
        <v>0.16069213315592923</v>
      </c>
      <c r="B1558" t="s">
        <v>539</v>
      </c>
      <c r="C1558" t="s">
        <v>596</v>
      </c>
      <c r="D1558" t="s">
        <v>95</v>
      </c>
    </row>
    <row r="1559" spans="1:4">
      <c r="A1559" s="2">
        <v>0.3993610223642172</v>
      </c>
      <c r="B1559" t="s">
        <v>540</v>
      </c>
      <c r="C1559" t="s">
        <v>596</v>
      </c>
      <c r="D1559" t="s">
        <v>95</v>
      </c>
    </row>
    <row r="1560" spans="1:4">
      <c r="A1560" s="2">
        <v>0.22393407380867072</v>
      </c>
      <c r="B1560" t="s">
        <v>541</v>
      </c>
      <c r="C1560" t="s">
        <v>596</v>
      </c>
      <c r="D1560" t="s">
        <v>95</v>
      </c>
    </row>
    <row r="1561" spans="1:4">
      <c r="A1561" s="2">
        <v>1</v>
      </c>
      <c r="B1561" t="s">
        <v>542</v>
      </c>
      <c r="C1561" t="s">
        <v>95</v>
      </c>
      <c r="D1561" t="s">
        <v>95</v>
      </c>
    </row>
    <row r="1562" spans="1:4">
      <c r="A1562" s="2">
        <v>6.984299999999999</v>
      </c>
      <c r="B1562" t="s">
        <v>364</v>
      </c>
      <c r="C1562" t="s">
        <v>111</v>
      </c>
      <c r="D1562" t="s">
        <v>111</v>
      </c>
    </row>
    <row r="1563" spans="1:4">
      <c r="A1563" s="2">
        <v>8.249</v>
      </c>
      <c r="B1563" t="s">
        <v>373</v>
      </c>
      <c r="C1563" t="s">
        <v>111</v>
      </c>
      <c r="D1563" t="s">
        <v>111</v>
      </c>
    </row>
    <row r="1564" spans="1:4">
      <c r="A1564" s="2">
        <v>0.044826</v>
      </c>
      <c r="B1564" t="s">
        <v>520</v>
      </c>
      <c r="C1564" t="s">
        <v>111</v>
      </c>
      <c r="D1564" t="s">
        <v>111</v>
      </c>
    </row>
    <row r="1565" spans="1:4">
      <c r="A1565" s="2">
        <v>0.89594</v>
      </c>
      <c r="B1565" t="s">
        <v>370</v>
      </c>
      <c r="C1565" t="s">
        <v>111</v>
      </c>
      <c r="D1565" t="s">
        <v>111</v>
      </c>
    </row>
    <row r="1566" spans="1:4">
      <c r="A1566" s="2">
        <v>9.4983</v>
      </c>
      <c r="B1566" t="s">
        <v>521</v>
      </c>
      <c r="C1566" t="s">
        <v>111</v>
      </c>
      <c r="D1566" t="s">
        <v>111</v>
      </c>
    </row>
    <row r="1567" spans="1:4">
      <c r="A1567" s="2">
        <v>4.8006</v>
      </c>
      <c r="B1567" t="s">
        <v>522</v>
      </c>
      <c r="C1567" t="s">
        <v>111</v>
      </c>
      <c r="D1567" t="s">
        <v>111</v>
      </c>
    </row>
    <row r="1568" spans="1:4">
      <c r="A1568" s="2">
        <v>4.133500000000001</v>
      </c>
      <c r="B1568" t="s">
        <v>523</v>
      </c>
      <c r="C1568" t="s">
        <v>111</v>
      </c>
      <c r="D1568" t="s">
        <v>111</v>
      </c>
    </row>
    <row r="1569" spans="1:4">
      <c r="A1569" s="2">
        <v>5.478400000000001</v>
      </c>
      <c r="B1569" t="s">
        <v>524</v>
      </c>
      <c r="C1569" t="s">
        <v>111</v>
      </c>
      <c r="D1569" t="s">
        <v>111</v>
      </c>
    </row>
    <row r="1570" spans="1:4">
      <c r="A1570" s="2">
        <v>8.94</v>
      </c>
      <c r="B1570" t="s">
        <v>525</v>
      </c>
      <c r="C1570" t="s">
        <v>111</v>
      </c>
      <c r="D1570" t="s">
        <v>111</v>
      </c>
    </row>
    <row r="1571" spans="1:4">
      <c r="A1571" s="2">
        <v>5.0738</v>
      </c>
      <c r="B1571" t="s">
        <v>526</v>
      </c>
      <c r="C1571" t="s">
        <v>111</v>
      </c>
      <c r="D1571" t="s">
        <v>111</v>
      </c>
    </row>
    <row r="1572" spans="1:4">
      <c r="A1572" s="2">
        <v>0.8694140149539211</v>
      </c>
      <c r="B1572" t="s">
        <v>527</v>
      </c>
      <c r="C1572" t="s">
        <v>111</v>
      </c>
      <c r="D1572" t="s">
        <v>111</v>
      </c>
    </row>
    <row r="1573" spans="1:4">
      <c r="A1573" s="2">
        <v>1.7462673535318256</v>
      </c>
      <c r="B1573" t="s">
        <v>528</v>
      </c>
      <c r="C1573" t="s">
        <v>111</v>
      </c>
      <c r="D1573" t="s">
        <v>111</v>
      </c>
    </row>
    <row r="1574" spans="1:4">
      <c r="A1574" s="2">
        <v>0.09198278082342984</v>
      </c>
      <c r="B1574" t="s">
        <v>529</v>
      </c>
      <c r="C1574" t="s">
        <v>111</v>
      </c>
      <c r="D1574" t="s">
        <v>111</v>
      </c>
    </row>
    <row r="1575" spans="1:4">
      <c r="A1575" s="2">
        <v>0.4334821622090251</v>
      </c>
      <c r="B1575" t="s">
        <v>530</v>
      </c>
      <c r="C1575" t="s">
        <v>111</v>
      </c>
      <c r="D1575" t="s">
        <v>111</v>
      </c>
    </row>
    <row r="1576" spans="1:4">
      <c r="A1576" s="2">
        <v>0.004799616030717543</v>
      </c>
      <c r="B1576" t="s">
        <v>531</v>
      </c>
      <c r="C1576" t="s">
        <v>111</v>
      </c>
      <c r="D1576" t="s">
        <v>111</v>
      </c>
    </row>
    <row r="1577" spans="1:4">
      <c r="A1577" s="2">
        <v>1.8918254223500257</v>
      </c>
      <c r="B1577" t="s">
        <v>532</v>
      </c>
      <c r="C1577" t="s">
        <v>111</v>
      </c>
      <c r="D1577" t="s">
        <v>111</v>
      </c>
    </row>
    <row r="1578" spans="1:4">
      <c r="A1578" s="2">
        <v>1.8530185672460435</v>
      </c>
      <c r="B1578" t="s">
        <v>533</v>
      </c>
      <c r="C1578" t="s">
        <v>111</v>
      </c>
      <c r="D1578" t="s">
        <v>111</v>
      </c>
    </row>
    <row r="1579" spans="1:4">
      <c r="A1579" s="2">
        <v>0.021585404812681855</v>
      </c>
      <c r="B1579" t="s">
        <v>534</v>
      </c>
      <c r="C1579" t="s">
        <v>111</v>
      </c>
      <c r="D1579" t="s">
        <v>111</v>
      </c>
    </row>
    <row r="1580" spans="1:4">
      <c r="A1580" s="2">
        <v>1.9589406049208584</v>
      </c>
      <c r="B1580" t="s">
        <v>535</v>
      </c>
      <c r="C1580" t="s">
        <v>111</v>
      </c>
      <c r="D1580" t="s">
        <v>111</v>
      </c>
    </row>
    <row r="1581" spans="1:4">
      <c r="A1581" s="2">
        <v>1.1037527593818983</v>
      </c>
      <c r="B1581" t="s">
        <v>536</v>
      </c>
      <c r="C1581" t="s">
        <v>111</v>
      </c>
      <c r="D1581" t="s">
        <v>111</v>
      </c>
    </row>
    <row r="1582" spans="1:4">
      <c r="A1582" s="2">
        <v>0.7814942169427946</v>
      </c>
      <c r="B1582" t="s">
        <v>537</v>
      </c>
      <c r="C1582" t="s">
        <v>111</v>
      </c>
      <c r="D1582" t="s">
        <v>111</v>
      </c>
    </row>
    <row r="1583" spans="1:4">
      <c r="A1583" s="2">
        <v>0.7135212272565109</v>
      </c>
      <c r="B1583" t="s">
        <v>538</v>
      </c>
      <c r="C1583" t="s">
        <v>111</v>
      </c>
      <c r="D1583" t="s">
        <v>111</v>
      </c>
    </row>
    <row r="1584" spans="1:4">
      <c r="A1584" s="2">
        <v>0.16016734283979903</v>
      </c>
      <c r="B1584" t="s">
        <v>539</v>
      </c>
      <c r="C1584" t="s">
        <v>111</v>
      </c>
      <c r="D1584" t="s">
        <v>111</v>
      </c>
    </row>
    <row r="1585" spans="1:4">
      <c r="A1585" s="2">
        <v>0.40093015796648224</v>
      </c>
      <c r="B1585" t="s">
        <v>540</v>
      </c>
      <c r="C1585" t="s">
        <v>111</v>
      </c>
      <c r="D1585" t="s">
        <v>111</v>
      </c>
    </row>
    <row r="1586" spans="1:4">
      <c r="A1586" s="2">
        <v>0.22412479268456675</v>
      </c>
      <c r="B1586" t="s">
        <v>541</v>
      </c>
      <c r="C1586" t="s">
        <v>111</v>
      </c>
      <c r="D1586" t="s">
        <v>111</v>
      </c>
    </row>
    <row r="1587" spans="1:4">
      <c r="A1587" s="2">
        <v>1</v>
      </c>
      <c r="B1587" t="s">
        <v>542</v>
      </c>
      <c r="C1587" t="s">
        <v>111</v>
      </c>
      <c r="D1587" t="s">
        <v>111</v>
      </c>
    </row>
    <row r="1588" spans="1:4">
      <c r="A1588" s="2">
        <v>6.9858</v>
      </c>
      <c r="B1588" t="s">
        <v>364</v>
      </c>
      <c r="C1588" t="s">
        <v>597</v>
      </c>
      <c r="D1588" t="s">
        <v>597</v>
      </c>
    </row>
    <row r="1589" spans="1:4">
      <c r="A1589" s="2">
        <v>8.2755</v>
      </c>
      <c r="B1589" t="s">
        <v>373</v>
      </c>
      <c r="C1589" t="s">
        <v>597</v>
      </c>
      <c r="D1589" t="s">
        <v>597</v>
      </c>
    </row>
    <row r="1590" spans="1:4">
      <c r="A1590" s="2">
        <v>0.045176</v>
      </c>
      <c r="B1590" t="s">
        <v>520</v>
      </c>
      <c r="C1590" t="s">
        <v>597</v>
      </c>
      <c r="D1590" t="s">
        <v>597</v>
      </c>
    </row>
    <row r="1591" spans="1:4">
      <c r="A1591" s="2">
        <v>0.8959199999999999</v>
      </c>
      <c r="B1591" t="s">
        <v>370</v>
      </c>
      <c r="C1591" t="s">
        <v>597</v>
      </c>
      <c r="D1591" t="s">
        <v>597</v>
      </c>
    </row>
    <row r="1592" spans="1:4">
      <c r="A1592" s="2">
        <v>9.5261</v>
      </c>
      <c r="B1592" t="s">
        <v>521</v>
      </c>
      <c r="C1592" t="s">
        <v>597</v>
      </c>
      <c r="D1592" t="s">
        <v>597</v>
      </c>
    </row>
    <row r="1593" spans="1:4">
      <c r="A1593" s="2">
        <v>4.8135</v>
      </c>
      <c r="B1593" t="s">
        <v>522</v>
      </c>
      <c r="C1593" t="s">
        <v>597</v>
      </c>
      <c r="D1593" t="s">
        <v>597</v>
      </c>
    </row>
    <row r="1594" spans="1:4">
      <c r="A1594" s="2">
        <v>4.1544</v>
      </c>
      <c r="B1594" t="s">
        <v>523</v>
      </c>
      <c r="C1594" t="s">
        <v>597</v>
      </c>
      <c r="D1594" t="s">
        <v>597</v>
      </c>
    </row>
    <row r="1595" spans="1:4">
      <c r="A1595" s="2">
        <v>5.4847</v>
      </c>
      <c r="B1595" t="s">
        <v>524</v>
      </c>
      <c r="C1595" t="s">
        <v>597</v>
      </c>
      <c r="D1595" t="s">
        <v>597</v>
      </c>
    </row>
    <row r="1596" spans="1:4">
      <c r="A1596" s="2">
        <v>8.9646</v>
      </c>
      <c r="B1596" t="s">
        <v>525</v>
      </c>
      <c r="C1596" t="s">
        <v>597</v>
      </c>
      <c r="D1596" t="s">
        <v>597</v>
      </c>
    </row>
    <row r="1597" spans="1:4">
      <c r="A1597" s="2">
        <v>5.0782</v>
      </c>
      <c r="B1597" t="s">
        <v>526</v>
      </c>
      <c r="C1597" t="s">
        <v>597</v>
      </c>
      <c r="D1597" t="s">
        <v>597</v>
      </c>
    </row>
    <row r="1598" spans="1:4">
      <c r="A1598" s="2">
        <v>0.8694140149539211</v>
      </c>
      <c r="B1598" t="s">
        <v>527</v>
      </c>
      <c r="C1598" t="s">
        <v>597</v>
      </c>
      <c r="D1598" t="s">
        <v>597</v>
      </c>
    </row>
    <row r="1599" spans="1:4">
      <c r="A1599" s="2">
        <v>1.758272672926117</v>
      </c>
      <c r="B1599" t="s">
        <v>528</v>
      </c>
      <c r="C1599" t="s">
        <v>597</v>
      </c>
      <c r="D1599" t="s">
        <v>597</v>
      </c>
    </row>
    <row r="1600" spans="1:4">
      <c r="A1600" s="2">
        <v>0.0911020616396549</v>
      </c>
      <c r="B1600" t="s">
        <v>529</v>
      </c>
      <c r="C1600" t="s">
        <v>597</v>
      </c>
      <c r="D1600" t="s">
        <v>597</v>
      </c>
    </row>
    <row r="1601" spans="1:4">
      <c r="A1601" s="2">
        <v>0.4346881112801565</v>
      </c>
      <c r="B1601" t="s">
        <v>530</v>
      </c>
      <c r="C1601" t="s">
        <v>597</v>
      </c>
      <c r="D1601" t="s">
        <v>597</v>
      </c>
    </row>
    <row r="1602" spans="1:4">
      <c r="A1602" s="2">
        <v>0.0048118564142046</v>
      </c>
      <c r="B1602" t="s">
        <v>531</v>
      </c>
      <c r="C1602" t="s">
        <v>597</v>
      </c>
      <c r="D1602" t="s">
        <v>597</v>
      </c>
    </row>
    <row r="1603" spans="1:4">
      <c r="A1603" s="2">
        <v>1.8959143046734288</v>
      </c>
      <c r="B1603" t="s">
        <v>532</v>
      </c>
      <c r="C1603" t="s">
        <v>597</v>
      </c>
      <c r="D1603" t="s">
        <v>597</v>
      </c>
    </row>
    <row r="1604" spans="1:4">
      <c r="A1604" s="2">
        <v>1.856872284324284</v>
      </c>
      <c r="B1604" t="s">
        <v>533</v>
      </c>
      <c r="C1604" t="s">
        <v>597</v>
      </c>
      <c r="D1604" t="s">
        <v>597</v>
      </c>
    </row>
    <row r="1605" spans="1:4">
      <c r="A1605" s="2">
        <v>0.02169131523120773</v>
      </c>
      <c r="B1605" t="s">
        <v>534</v>
      </c>
      <c r="C1605" t="s">
        <v>597</v>
      </c>
      <c r="D1605" t="s">
        <v>597</v>
      </c>
    </row>
    <row r="1606" spans="1:4">
      <c r="A1606" s="2">
        <v>1.967419532541119</v>
      </c>
      <c r="B1606" t="s">
        <v>535</v>
      </c>
      <c r="C1606" t="s">
        <v>597</v>
      </c>
      <c r="D1606" t="s">
        <v>597</v>
      </c>
    </row>
    <row r="1607" spans="1:4">
      <c r="A1607" s="2">
        <v>1.1076650420912717</v>
      </c>
      <c r="B1607" t="s">
        <v>536</v>
      </c>
      <c r="C1607" t="s">
        <v>597</v>
      </c>
      <c r="D1607" t="s">
        <v>597</v>
      </c>
    </row>
    <row r="1608" spans="1:4">
      <c r="A1608" s="2">
        <v>0.778816199376947</v>
      </c>
      <c r="B1608" t="s">
        <v>537</v>
      </c>
      <c r="C1608" t="s">
        <v>597</v>
      </c>
      <c r="D1608" t="s">
        <v>597</v>
      </c>
    </row>
    <row r="1609" spans="1:4">
      <c r="A1609" s="2">
        <v>0.7122507122507122</v>
      </c>
      <c r="B1609" t="s">
        <v>538</v>
      </c>
      <c r="C1609" t="s">
        <v>597</v>
      </c>
      <c r="D1609" t="s">
        <v>597</v>
      </c>
    </row>
    <row r="1610" spans="1:4">
      <c r="A1610" s="2">
        <v>0.16052549626457172</v>
      </c>
      <c r="B1610" t="s">
        <v>539</v>
      </c>
      <c r="C1610" t="s">
        <v>597</v>
      </c>
      <c r="D1610" t="s">
        <v>597</v>
      </c>
    </row>
    <row r="1611" spans="1:4">
      <c r="A1611" s="2">
        <v>0.4015741707493374</v>
      </c>
      <c r="B1611" t="s">
        <v>540</v>
      </c>
      <c r="C1611" t="s">
        <v>597</v>
      </c>
      <c r="D1611" t="s">
        <v>597</v>
      </c>
    </row>
    <row r="1612" spans="1:4">
      <c r="A1612" s="2">
        <v>0.22309974789728487</v>
      </c>
      <c r="B1612" t="s">
        <v>541</v>
      </c>
      <c r="C1612" t="s">
        <v>597</v>
      </c>
      <c r="D1612" t="s">
        <v>597</v>
      </c>
    </row>
    <row r="1613" spans="1:4">
      <c r="A1613" s="2">
        <v>1</v>
      </c>
      <c r="B1613" t="s">
        <v>542</v>
      </c>
      <c r="C1613" t="s">
        <v>597</v>
      </c>
      <c r="D1613" t="s">
        <v>597</v>
      </c>
    </row>
    <row r="1614" spans="1:4">
      <c r="A1614" s="2">
        <v>6.975499999999999</v>
      </c>
      <c r="B1614" t="s">
        <v>364</v>
      </c>
      <c r="C1614" t="s">
        <v>598</v>
      </c>
      <c r="D1614" t="s">
        <v>598</v>
      </c>
    </row>
    <row r="1615" spans="1:4">
      <c r="A1615" s="2">
        <v>8.3436</v>
      </c>
      <c r="B1615" t="s">
        <v>373</v>
      </c>
      <c r="C1615" t="s">
        <v>598</v>
      </c>
      <c r="D1615" t="s">
        <v>598</v>
      </c>
    </row>
    <row r="1616" spans="1:4">
      <c r="A1616" s="2">
        <v>0.04543</v>
      </c>
      <c r="B1616" t="s">
        <v>520</v>
      </c>
      <c r="C1616" t="s">
        <v>598</v>
      </c>
      <c r="D1616" t="s">
        <v>598</v>
      </c>
    </row>
    <row r="1617" spans="1:4">
      <c r="A1617" s="2">
        <v>0.8942700000000001</v>
      </c>
      <c r="B1617" t="s">
        <v>370</v>
      </c>
      <c r="C1617" t="s">
        <v>598</v>
      </c>
      <c r="D1617" t="s">
        <v>598</v>
      </c>
    </row>
    <row r="1618" spans="1:4">
      <c r="A1618" s="2">
        <v>9.5905</v>
      </c>
      <c r="B1618" t="s">
        <v>521</v>
      </c>
      <c r="C1618" t="s">
        <v>598</v>
      </c>
      <c r="D1618" t="s">
        <v>598</v>
      </c>
    </row>
    <row r="1619" spans="1:4">
      <c r="A1619" s="2">
        <v>4.845400000000001</v>
      </c>
      <c r="B1619" t="s">
        <v>522</v>
      </c>
      <c r="C1619" t="s">
        <v>598</v>
      </c>
      <c r="D1619" t="s">
        <v>598</v>
      </c>
    </row>
    <row r="1620" spans="1:4">
      <c r="A1620" s="2">
        <v>4.1723</v>
      </c>
      <c r="B1620" t="s">
        <v>523</v>
      </c>
      <c r="C1620" t="s">
        <v>598</v>
      </c>
      <c r="D1620" t="s">
        <v>598</v>
      </c>
    </row>
    <row r="1621" spans="1:4">
      <c r="A1621" s="2">
        <v>5.5083</v>
      </c>
      <c r="B1621" t="s">
        <v>524</v>
      </c>
      <c r="C1621" t="s">
        <v>598</v>
      </c>
      <c r="D1621" t="s">
        <v>598</v>
      </c>
    </row>
    <row r="1622" spans="1:4">
      <c r="A1622" s="2">
        <v>9.0893</v>
      </c>
      <c r="B1622" t="s">
        <v>525</v>
      </c>
      <c r="C1622" t="s">
        <v>598</v>
      </c>
      <c r="D1622" t="s">
        <v>598</v>
      </c>
    </row>
    <row r="1623" spans="1:4">
      <c r="A1623" s="2">
        <v>5.1016</v>
      </c>
      <c r="B1623" t="s">
        <v>526</v>
      </c>
      <c r="C1623" t="s">
        <v>598</v>
      </c>
      <c r="D1623" t="s">
        <v>598</v>
      </c>
    </row>
    <row r="1624" spans="1:4">
      <c r="A1624" s="2">
        <v>0.8678295582747548</v>
      </c>
      <c r="B1624" t="s">
        <v>527</v>
      </c>
      <c r="C1624" t="s">
        <v>598</v>
      </c>
      <c r="D1624" t="s">
        <v>598</v>
      </c>
    </row>
    <row r="1625" spans="1:4">
      <c r="A1625" s="2">
        <v>1.7680026873640848</v>
      </c>
      <c r="B1625" t="s">
        <v>528</v>
      </c>
      <c r="C1625" t="s">
        <v>598</v>
      </c>
      <c r="D1625" t="s">
        <v>598</v>
      </c>
    </row>
    <row r="1626" spans="1:4">
      <c r="A1626" s="2">
        <v>0.0910804878270928</v>
      </c>
      <c r="B1626" t="s">
        <v>529</v>
      </c>
      <c r="C1626" t="s">
        <v>598</v>
      </c>
      <c r="D1626" t="s">
        <v>598</v>
      </c>
    </row>
    <row r="1627" spans="1:4">
      <c r="A1627" s="2">
        <v>0.4374835943652113</v>
      </c>
      <c r="B1627" t="s">
        <v>530</v>
      </c>
      <c r="C1627" t="s">
        <v>598</v>
      </c>
      <c r="D1627" t="s">
        <v>598</v>
      </c>
    </row>
    <row r="1628" spans="1:4">
      <c r="A1628" s="2">
        <v>0.004839099927413501</v>
      </c>
      <c r="B1628" t="s">
        <v>531</v>
      </c>
      <c r="C1628" t="s">
        <v>598</v>
      </c>
      <c r="D1628" t="s">
        <v>598</v>
      </c>
    </row>
    <row r="1629" spans="1:4">
      <c r="A1629" s="2">
        <v>1.889466225791214</v>
      </c>
      <c r="B1629" t="s">
        <v>532</v>
      </c>
      <c r="C1629" t="s">
        <v>598</v>
      </c>
      <c r="D1629" t="s">
        <v>598</v>
      </c>
    </row>
    <row r="1630" spans="1:4">
      <c r="A1630" s="2">
        <v>1.850549613235131</v>
      </c>
      <c r="B1630" t="s">
        <v>533</v>
      </c>
      <c r="C1630" t="s">
        <v>598</v>
      </c>
      <c r="D1630" t="s">
        <v>598</v>
      </c>
    </row>
    <row r="1631" spans="1:4">
      <c r="A1631" s="2">
        <v>0.02196291342439157</v>
      </c>
      <c r="B1631" t="s">
        <v>534</v>
      </c>
      <c r="C1631" t="s">
        <v>598</v>
      </c>
      <c r="D1631" t="s">
        <v>598</v>
      </c>
    </row>
    <row r="1632" spans="1:4">
      <c r="A1632" s="2">
        <v>1.9875973922722217</v>
      </c>
      <c r="B1632" t="s">
        <v>535</v>
      </c>
      <c r="C1632" t="s">
        <v>598</v>
      </c>
      <c r="D1632" t="s">
        <v>598</v>
      </c>
    </row>
    <row r="1633" spans="1:4">
      <c r="A1633" s="2">
        <v>1.1150758251561106</v>
      </c>
      <c r="B1633" t="s">
        <v>536</v>
      </c>
      <c r="C1633" t="s">
        <v>598</v>
      </c>
      <c r="D1633" t="s">
        <v>598</v>
      </c>
    </row>
    <row r="1634" spans="1:4">
      <c r="A1634" s="2">
        <v>0.7892036934732855</v>
      </c>
      <c r="B1634" t="s">
        <v>537</v>
      </c>
      <c r="C1634" t="s">
        <v>598</v>
      </c>
      <c r="D1634" t="s">
        <v>598</v>
      </c>
    </row>
    <row r="1635" spans="1:4">
      <c r="A1635" s="2">
        <v>0.7229612492770388</v>
      </c>
      <c r="B1635" t="s">
        <v>538</v>
      </c>
      <c r="C1635" t="s">
        <v>598</v>
      </c>
      <c r="D1635" t="s">
        <v>598</v>
      </c>
    </row>
    <row r="1636" spans="1:4">
      <c r="A1636" s="2">
        <v>0.15986111266531638</v>
      </c>
      <c r="B1636" t="s">
        <v>539</v>
      </c>
      <c r="C1636" t="s">
        <v>598</v>
      </c>
      <c r="D1636" t="s">
        <v>598</v>
      </c>
    </row>
    <row r="1637" spans="1:4">
      <c r="A1637" s="2">
        <v>0.40500587258515247</v>
      </c>
      <c r="B1637" t="s">
        <v>540</v>
      </c>
      <c r="C1637" t="s">
        <v>598</v>
      </c>
      <c r="D1637" t="s">
        <v>598</v>
      </c>
    </row>
    <row r="1638" spans="1:4">
      <c r="A1638" s="2">
        <v>0.2243611316775482</v>
      </c>
      <c r="B1638" t="s">
        <v>541</v>
      </c>
      <c r="C1638" t="s">
        <v>598</v>
      </c>
      <c r="D1638" t="s">
        <v>598</v>
      </c>
    </row>
    <row r="1639" spans="1:4">
      <c r="A1639" s="2">
        <v>1</v>
      </c>
      <c r="B1639" t="s">
        <v>542</v>
      </c>
      <c r="C1639" t="s">
        <v>598</v>
      </c>
      <c r="D1639" t="s">
        <v>598</v>
      </c>
    </row>
    <row r="1640" spans="1:4">
      <c r="A1640" s="2">
        <v>6.9771</v>
      </c>
      <c r="B1640" t="s">
        <v>364</v>
      </c>
      <c r="C1640" t="s">
        <v>599</v>
      </c>
      <c r="D1640" t="s">
        <v>599</v>
      </c>
    </row>
    <row r="1641" spans="1:4">
      <c r="A1641" s="2">
        <v>8.3349</v>
      </c>
      <c r="B1641" t="s">
        <v>373</v>
      </c>
      <c r="C1641" t="s">
        <v>599</v>
      </c>
      <c r="D1641" t="s">
        <v>599</v>
      </c>
    </row>
    <row r="1642" spans="1:4">
      <c r="A1642" s="2">
        <v>0.045437000000000005</v>
      </c>
      <c r="B1642" t="s">
        <v>520</v>
      </c>
      <c r="C1642" t="s">
        <v>599</v>
      </c>
      <c r="D1642" t="s">
        <v>599</v>
      </c>
    </row>
    <row r="1643" spans="1:4">
      <c r="A1643" s="2">
        <v>0.89435</v>
      </c>
      <c r="B1643" t="s">
        <v>370</v>
      </c>
      <c r="C1643" t="s">
        <v>599</v>
      </c>
      <c r="D1643" t="s">
        <v>599</v>
      </c>
    </row>
    <row r="1644" spans="1:4">
      <c r="A1644" s="2">
        <v>9.6175</v>
      </c>
      <c r="B1644" t="s">
        <v>521</v>
      </c>
      <c r="C1644" t="s">
        <v>599</v>
      </c>
      <c r="D1644" t="s">
        <v>599</v>
      </c>
    </row>
    <row r="1645" spans="1:4">
      <c r="A1645" s="2">
        <v>4.9</v>
      </c>
      <c r="B1645" t="s">
        <v>522</v>
      </c>
      <c r="C1645" t="s">
        <v>599</v>
      </c>
      <c r="D1645" t="s">
        <v>599</v>
      </c>
    </row>
    <row r="1646" spans="1:4">
      <c r="A1646" s="2">
        <v>4.2173</v>
      </c>
      <c r="B1646" t="s">
        <v>523</v>
      </c>
      <c r="C1646" t="s">
        <v>599</v>
      </c>
      <c r="D1646" t="s">
        <v>599</v>
      </c>
    </row>
    <row r="1647" spans="1:4">
      <c r="A1647" s="2">
        <v>5.5181</v>
      </c>
      <c r="B1647" t="s">
        <v>524</v>
      </c>
      <c r="C1647" t="s">
        <v>599</v>
      </c>
      <c r="D1647" t="s">
        <v>599</v>
      </c>
    </row>
    <row r="1648" spans="1:4">
      <c r="A1648" s="2">
        <v>9.0779</v>
      </c>
      <c r="B1648" t="s">
        <v>525</v>
      </c>
      <c r="C1648" t="s">
        <v>599</v>
      </c>
      <c r="D1648" t="s">
        <v>599</v>
      </c>
    </row>
    <row r="1649" spans="1:4">
      <c r="A1649" s="2">
        <v>5.1372</v>
      </c>
      <c r="B1649" t="s">
        <v>526</v>
      </c>
      <c r="C1649" t="s">
        <v>599</v>
      </c>
      <c r="D1649" t="s">
        <v>599</v>
      </c>
    </row>
    <row r="1650" spans="1:4">
      <c r="A1650" s="2">
        <v>0.8679048776254122</v>
      </c>
      <c r="B1650" t="s">
        <v>527</v>
      </c>
      <c r="C1650" t="s">
        <v>599</v>
      </c>
      <c r="D1650" t="s">
        <v>599</v>
      </c>
    </row>
    <row r="1651" spans="1:4">
      <c r="A1651" s="2">
        <v>1.7789479301940831</v>
      </c>
      <c r="B1651" t="s">
        <v>528</v>
      </c>
      <c r="C1651" t="s">
        <v>599</v>
      </c>
      <c r="D1651" t="s">
        <v>599</v>
      </c>
    </row>
    <row r="1652" spans="1:4">
      <c r="A1652" s="2">
        <v>0.09083064626004814</v>
      </c>
      <c r="B1652" t="s">
        <v>529</v>
      </c>
      <c r="C1652" t="s">
        <v>599</v>
      </c>
      <c r="D1652" t="s">
        <v>599</v>
      </c>
    </row>
    <row r="1653" spans="1:4">
      <c r="A1653" s="2">
        <v>0.4426149692382596</v>
      </c>
      <c r="B1653" t="s">
        <v>530</v>
      </c>
      <c r="C1653" t="s">
        <v>599</v>
      </c>
      <c r="D1653" t="s">
        <v>599</v>
      </c>
    </row>
    <row r="1654" spans="1:4">
      <c r="A1654" s="2">
        <v>0.004860031104199067</v>
      </c>
      <c r="B1654" t="s">
        <v>531</v>
      </c>
      <c r="C1654" t="s">
        <v>599</v>
      </c>
      <c r="D1654" t="s">
        <v>599</v>
      </c>
    </row>
    <row r="1655" spans="1:4">
      <c r="A1655" s="2">
        <v>1.894621170496959</v>
      </c>
      <c r="B1655" t="s">
        <v>532</v>
      </c>
      <c r="C1655" t="s">
        <v>599</v>
      </c>
      <c r="D1655" t="s">
        <v>599</v>
      </c>
    </row>
    <row r="1656" spans="1:4">
      <c r="A1656" s="2">
        <v>1.8556662769767485</v>
      </c>
      <c r="B1656" t="s">
        <v>533</v>
      </c>
      <c r="C1656" t="s">
        <v>599</v>
      </c>
      <c r="D1656" t="s">
        <v>599</v>
      </c>
    </row>
    <row r="1657" spans="1:4">
      <c r="A1657" s="2">
        <v>0.021919345576018483</v>
      </c>
      <c r="B1657" t="s">
        <v>534</v>
      </c>
      <c r="C1657" t="s">
        <v>599</v>
      </c>
      <c r="D1657" t="s">
        <v>599</v>
      </c>
    </row>
    <row r="1658" spans="1:4">
      <c r="A1658" s="2">
        <v>1.981649921724828</v>
      </c>
      <c r="B1658" t="s">
        <v>535</v>
      </c>
      <c r="C1658" t="s">
        <v>599</v>
      </c>
      <c r="D1658" t="s">
        <v>599</v>
      </c>
    </row>
    <row r="1659" spans="1:4">
      <c r="A1659" s="2">
        <v>1.115822361080116</v>
      </c>
      <c r="B1659" t="s">
        <v>536</v>
      </c>
      <c r="C1659" t="s">
        <v>599</v>
      </c>
      <c r="D1659" t="s">
        <v>599</v>
      </c>
    </row>
    <row r="1660" spans="1:4">
      <c r="A1660" s="2">
        <v>0.7887679444707367</v>
      </c>
      <c r="B1660" t="s">
        <v>537</v>
      </c>
      <c r="C1660" t="s">
        <v>599</v>
      </c>
      <c r="D1660" t="s">
        <v>599</v>
      </c>
    </row>
    <row r="1661" spans="1:4">
      <c r="A1661" s="2">
        <v>0.7267441860465117</v>
      </c>
      <c r="B1661" t="s">
        <v>538</v>
      </c>
      <c r="C1661" t="s">
        <v>599</v>
      </c>
      <c r="D1661" t="s">
        <v>599</v>
      </c>
    </row>
    <row r="1662" spans="1:4">
      <c r="A1662" s="2">
        <v>0.16032655312340174</v>
      </c>
      <c r="B1662" t="s">
        <v>539</v>
      </c>
      <c r="C1662" t="s">
        <v>599</v>
      </c>
      <c r="D1662" t="s">
        <v>599</v>
      </c>
    </row>
    <row r="1663" spans="1:4">
      <c r="A1663" s="2">
        <v>0.40558079169370537</v>
      </c>
      <c r="B1663" t="s">
        <v>540</v>
      </c>
      <c r="C1663" t="s">
        <v>599</v>
      </c>
      <c r="D1663" t="s">
        <v>599</v>
      </c>
    </row>
    <row r="1664" spans="1:4">
      <c r="A1664" s="2">
        <v>0.22381879630251347</v>
      </c>
      <c r="B1664" t="s">
        <v>541</v>
      </c>
      <c r="C1664" t="s">
        <v>599</v>
      </c>
      <c r="D1664" t="s">
        <v>599</v>
      </c>
    </row>
    <row r="1665" spans="1:4">
      <c r="A1665" s="2">
        <v>1</v>
      </c>
      <c r="B1665" t="s">
        <v>542</v>
      </c>
      <c r="C1665" t="s">
        <v>599</v>
      </c>
      <c r="D1665" t="s">
        <v>599</v>
      </c>
    </row>
    <row r="1666" spans="1:4">
      <c r="A1666" s="2">
        <v>6.9677999999999995</v>
      </c>
      <c r="B1666" t="s">
        <v>364</v>
      </c>
      <c r="C1666" t="s">
        <v>600</v>
      </c>
      <c r="D1666" t="s">
        <v>600</v>
      </c>
    </row>
    <row r="1667" spans="1:4">
      <c r="A1667" s="2">
        <v>8.3244</v>
      </c>
      <c r="B1667" t="s">
        <v>373</v>
      </c>
      <c r="C1667" t="s">
        <v>600</v>
      </c>
      <c r="D1667" t="s">
        <v>600</v>
      </c>
    </row>
    <row r="1668" spans="1:4">
      <c r="A1668" s="2">
        <v>0.045464</v>
      </c>
      <c r="B1668" t="s">
        <v>520</v>
      </c>
      <c r="C1668" t="s">
        <v>600</v>
      </c>
      <c r="D1668" t="s">
        <v>600</v>
      </c>
    </row>
    <row r="1669" spans="1:4">
      <c r="A1669" s="2">
        <v>0.89262</v>
      </c>
      <c r="B1669" t="s">
        <v>370</v>
      </c>
      <c r="C1669" t="s">
        <v>600</v>
      </c>
      <c r="D1669" t="s">
        <v>600</v>
      </c>
    </row>
    <row r="1670" spans="1:4">
      <c r="A1670" s="2">
        <v>9.608</v>
      </c>
      <c r="B1670" t="s">
        <v>521</v>
      </c>
      <c r="C1670" t="s">
        <v>600</v>
      </c>
      <c r="D1670" t="s">
        <v>600</v>
      </c>
    </row>
    <row r="1671" spans="1:4">
      <c r="A1671" s="2">
        <v>4.9019</v>
      </c>
      <c r="B1671" t="s">
        <v>522</v>
      </c>
      <c r="C1671" t="s">
        <v>600</v>
      </c>
      <c r="D1671" t="s">
        <v>600</v>
      </c>
    </row>
    <row r="1672" spans="1:4">
      <c r="A1672" s="2">
        <v>4.2233</v>
      </c>
      <c r="B1672" t="s">
        <v>523</v>
      </c>
      <c r="C1672" t="s">
        <v>600</v>
      </c>
      <c r="D1672" t="s">
        <v>600</v>
      </c>
    </row>
    <row r="1673" spans="1:4">
      <c r="A1673" s="2">
        <v>5.5061</v>
      </c>
      <c r="B1673" t="s">
        <v>524</v>
      </c>
      <c r="C1673" t="s">
        <v>600</v>
      </c>
      <c r="D1673" t="s">
        <v>600</v>
      </c>
    </row>
    <row r="1674" spans="1:4">
      <c r="A1674" s="2">
        <v>9.1047</v>
      </c>
      <c r="B1674" t="s">
        <v>525</v>
      </c>
      <c r="C1674" t="s">
        <v>600</v>
      </c>
      <c r="D1674" t="s">
        <v>600</v>
      </c>
    </row>
    <row r="1675" spans="1:4">
      <c r="A1675" s="2">
        <v>5.1577</v>
      </c>
      <c r="B1675" t="s">
        <v>526</v>
      </c>
      <c r="C1675" t="s">
        <v>600</v>
      </c>
      <c r="D1675" t="s">
        <v>600</v>
      </c>
    </row>
    <row r="1676" spans="1:4">
      <c r="A1676" s="2">
        <v>0.8661758336942399</v>
      </c>
      <c r="B1676" t="s">
        <v>527</v>
      </c>
      <c r="C1676" t="s">
        <v>600</v>
      </c>
      <c r="D1676" t="s">
        <v>600</v>
      </c>
    </row>
    <row r="1677" spans="1:4">
      <c r="A1677" s="2">
        <v>1.7727353306151392</v>
      </c>
      <c r="B1677" t="s">
        <v>528</v>
      </c>
      <c r="C1677" t="s">
        <v>600</v>
      </c>
      <c r="D1677" t="s">
        <v>600</v>
      </c>
    </row>
    <row r="1678" spans="1:4">
      <c r="A1678" s="2">
        <v>0.09236424764702078</v>
      </c>
      <c r="B1678" t="s">
        <v>529</v>
      </c>
      <c r="C1678" t="s">
        <v>600</v>
      </c>
      <c r="D1678" t="s">
        <v>600</v>
      </c>
    </row>
    <row r="1679" spans="1:4">
      <c r="A1679" s="2">
        <v>0.4426345609065156</v>
      </c>
      <c r="B1679" t="s">
        <v>530</v>
      </c>
      <c r="C1679" t="s">
        <v>600</v>
      </c>
      <c r="D1679" t="s">
        <v>600</v>
      </c>
    </row>
    <row r="1680" spans="1:4">
      <c r="A1680" s="2">
        <v>0.0048503662026483</v>
      </c>
      <c r="B1680" t="s">
        <v>531</v>
      </c>
      <c r="C1680" t="s">
        <v>600</v>
      </c>
      <c r="D1680" t="s">
        <v>600</v>
      </c>
    </row>
    <row r="1681" spans="1:4">
      <c r="A1681" s="2">
        <v>1.8948365703458077</v>
      </c>
      <c r="B1681" t="s">
        <v>532</v>
      </c>
      <c r="C1681" t="s">
        <v>600</v>
      </c>
      <c r="D1681" t="s">
        <v>600</v>
      </c>
    </row>
    <row r="1682" spans="1:4">
      <c r="A1682" s="2">
        <v>1.8553908380800417</v>
      </c>
      <c r="B1682" t="s">
        <v>533</v>
      </c>
      <c r="C1682" t="s">
        <v>600</v>
      </c>
      <c r="D1682" t="s">
        <v>600</v>
      </c>
    </row>
    <row r="1683" spans="1:4">
      <c r="A1683" s="2">
        <v>0.021886196157221677</v>
      </c>
      <c r="B1683" t="s">
        <v>534</v>
      </c>
      <c r="C1683" t="s">
        <v>600</v>
      </c>
      <c r="D1683" t="s">
        <v>600</v>
      </c>
    </row>
    <row r="1684" spans="1:4">
      <c r="A1684" s="2">
        <v>1.9809825673534072</v>
      </c>
      <c r="B1684" t="s">
        <v>535</v>
      </c>
      <c r="C1684" t="s">
        <v>600</v>
      </c>
      <c r="D1684" t="s">
        <v>600</v>
      </c>
    </row>
    <row r="1685" spans="1:4">
      <c r="A1685" s="2">
        <v>1.115324559446799</v>
      </c>
      <c r="B1685" t="s">
        <v>536</v>
      </c>
      <c r="C1685" t="s">
        <v>600</v>
      </c>
      <c r="D1685" t="s">
        <v>600</v>
      </c>
    </row>
    <row r="1686" spans="1:4">
      <c r="A1686" s="2">
        <v>0.790263948158685</v>
      </c>
      <c r="B1686" t="s">
        <v>537</v>
      </c>
      <c r="C1686" t="s">
        <v>600</v>
      </c>
      <c r="D1686" t="s">
        <v>600</v>
      </c>
    </row>
    <row r="1687" spans="1:4">
      <c r="A1687" s="2">
        <v>0.7293946024799417</v>
      </c>
      <c r="B1687" t="s">
        <v>538</v>
      </c>
      <c r="C1687" t="s">
        <v>600</v>
      </c>
      <c r="D1687" t="s">
        <v>600</v>
      </c>
    </row>
    <row r="1688" spans="1:4">
      <c r="A1688" s="2">
        <v>0.1602114791524813</v>
      </c>
      <c r="B1688" t="s">
        <v>539</v>
      </c>
      <c r="C1688" t="s">
        <v>600</v>
      </c>
      <c r="D1688" t="s">
        <v>600</v>
      </c>
    </row>
    <row r="1689" spans="1:4">
      <c r="A1689" s="2">
        <v>0.4045143804862263</v>
      </c>
      <c r="B1689" t="s">
        <v>540</v>
      </c>
      <c r="C1689" t="s">
        <v>600</v>
      </c>
      <c r="D1689" t="s">
        <v>600</v>
      </c>
    </row>
    <row r="1690" spans="1:4">
      <c r="A1690" s="2">
        <v>0.22239025041142196</v>
      </c>
      <c r="B1690" t="s">
        <v>541</v>
      </c>
      <c r="C1690" t="s">
        <v>600</v>
      </c>
      <c r="D1690" t="s">
        <v>600</v>
      </c>
    </row>
    <row r="1691" spans="1:4">
      <c r="A1691" s="2">
        <v>1</v>
      </c>
      <c r="B1691" t="s">
        <v>542</v>
      </c>
      <c r="C1691" t="s">
        <v>600</v>
      </c>
      <c r="D1691" t="s">
        <v>600</v>
      </c>
    </row>
    <row r="1692" spans="1:4">
      <c r="A1692" s="2">
        <v>6.9677999999999995</v>
      </c>
      <c r="B1692" t="s">
        <v>364</v>
      </c>
      <c r="C1692" t="s">
        <v>600</v>
      </c>
      <c r="D1692" t="s">
        <v>375</v>
      </c>
    </row>
    <row r="1693" spans="1:4">
      <c r="A1693" s="2">
        <v>8.3244</v>
      </c>
      <c r="B1693" t="s">
        <v>373</v>
      </c>
      <c r="C1693" t="s">
        <v>600</v>
      </c>
      <c r="D1693" t="s">
        <v>375</v>
      </c>
    </row>
    <row r="1694" spans="1:4">
      <c r="A1694" s="2">
        <v>0.045464</v>
      </c>
      <c r="B1694" t="s">
        <v>520</v>
      </c>
      <c r="C1694" t="s">
        <v>600</v>
      </c>
      <c r="D1694" t="s">
        <v>375</v>
      </c>
    </row>
    <row r="1695" spans="1:4">
      <c r="A1695" s="2">
        <v>0.89262</v>
      </c>
      <c r="B1695" t="s">
        <v>370</v>
      </c>
      <c r="C1695" t="s">
        <v>600</v>
      </c>
      <c r="D1695" t="s">
        <v>375</v>
      </c>
    </row>
    <row r="1696" spans="1:4">
      <c r="A1696" s="2">
        <v>9.608</v>
      </c>
      <c r="B1696" t="s">
        <v>521</v>
      </c>
      <c r="C1696" t="s">
        <v>600</v>
      </c>
      <c r="D1696" t="s">
        <v>375</v>
      </c>
    </row>
    <row r="1697" spans="1:4">
      <c r="A1697" s="2">
        <v>4.9019</v>
      </c>
      <c r="B1697" t="s">
        <v>522</v>
      </c>
      <c r="C1697" t="s">
        <v>600</v>
      </c>
      <c r="D1697" t="s">
        <v>375</v>
      </c>
    </row>
    <row r="1698" spans="1:4">
      <c r="A1698" s="2">
        <v>4.2233</v>
      </c>
      <c r="B1698" t="s">
        <v>523</v>
      </c>
      <c r="C1698" t="s">
        <v>600</v>
      </c>
      <c r="D1698" t="s">
        <v>375</v>
      </c>
    </row>
    <row r="1699" spans="1:4">
      <c r="A1699" s="2">
        <v>5.5061</v>
      </c>
      <c r="B1699" t="s">
        <v>524</v>
      </c>
      <c r="C1699" t="s">
        <v>600</v>
      </c>
      <c r="D1699" t="s">
        <v>375</v>
      </c>
    </row>
    <row r="1700" spans="1:4">
      <c r="A1700" s="2">
        <v>9.1047</v>
      </c>
      <c r="B1700" t="s">
        <v>525</v>
      </c>
      <c r="C1700" t="s">
        <v>600</v>
      </c>
      <c r="D1700" t="s">
        <v>375</v>
      </c>
    </row>
    <row r="1701" spans="1:4">
      <c r="A1701" s="2">
        <v>5.1577</v>
      </c>
      <c r="B1701" t="s">
        <v>526</v>
      </c>
      <c r="C1701" t="s">
        <v>600</v>
      </c>
      <c r="D1701" t="s">
        <v>375</v>
      </c>
    </row>
    <row r="1702" spans="1:4">
      <c r="A1702" s="2">
        <v>0.8661758336942399</v>
      </c>
      <c r="B1702" t="s">
        <v>527</v>
      </c>
      <c r="C1702" t="s">
        <v>600</v>
      </c>
      <c r="D1702" t="s">
        <v>375</v>
      </c>
    </row>
    <row r="1703" spans="1:4">
      <c r="A1703" s="2">
        <v>1.7727353306151392</v>
      </c>
      <c r="B1703" t="s">
        <v>528</v>
      </c>
      <c r="C1703" t="s">
        <v>600</v>
      </c>
      <c r="D1703" t="s">
        <v>375</v>
      </c>
    </row>
    <row r="1704" spans="1:4">
      <c r="A1704" s="2">
        <v>0.09236424764702078</v>
      </c>
      <c r="B1704" t="s">
        <v>529</v>
      </c>
      <c r="C1704" t="s">
        <v>600</v>
      </c>
      <c r="D1704" t="s">
        <v>375</v>
      </c>
    </row>
    <row r="1705" spans="1:4">
      <c r="A1705" s="2">
        <v>0.4426345609065156</v>
      </c>
      <c r="B1705" t="s">
        <v>530</v>
      </c>
      <c r="C1705" t="s">
        <v>600</v>
      </c>
      <c r="D1705" t="s">
        <v>375</v>
      </c>
    </row>
    <row r="1706" spans="1:4">
      <c r="A1706" s="2">
        <v>0.0048503662026483</v>
      </c>
      <c r="B1706" t="s">
        <v>531</v>
      </c>
      <c r="C1706" t="s">
        <v>600</v>
      </c>
      <c r="D1706" t="s">
        <v>375</v>
      </c>
    </row>
    <row r="1707" spans="1:4">
      <c r="A1707" s="2">
        <v>1.8948365703458077</v>
      </c>
      <c r="B1707" t="s">
        <v>532</v>
      </c>
      <c r="C1707" t="s">
        <v>600</v>
      </c>
      <c r="D1707" t="s">
        <v>375</v>
      </c>
    </row>
    <row r="1708" spans="1:4">
      <c r="A1708" s="2">
        <v>1.8553908380800417</v>
      </c>
      <c r="B1708" t="s">
        <v>533</v>
      </c>
      <c r="C1708" t="s">
        <v>600</v>
      </c>
      <c r="D1708" t="s">
        <v>375</v>
      </c>
    </row>
    <row r="1709" spans="1:4">
      <c r="A1709" s="2">
        <v>0.021886196157221677</v>
      </c>
      <c r="B1709" t="s">
        <v>534</v>
      </c>
      <c r="C1709" t="s">
        <v>600</v>
      </c>
      <c r="D1709" t="s">
        <v>375</v>
      </c>
    </row>
    <row r="1710" spans="1:4">
      <c r="A1710" s="2">
        <v>1.9809825673534072</v>
      </c>
      <c r="B1710" t="s">
        <v>535</v>
      </c>
      <c r="C1710" t="s">
        <v>600</v>
      </c>
      <c r="D1710" t="s">
        <v>375</v>
      </c>
    </row>
    <row r="1711" spans="1:4">
      <c r="A1711" s="2">
        <v>1.115324559446799</v>
      </c>
      <c r="B1711" t="s">
        <v>536</v>
      </c>
      <c r="C1711" t="s">
        <v>600</v>
      </c>
      <c r="D1711" t="s">
        <v>375</v>
      </c>
    </row>
    <row r="1712" spans="1:4">
      <c r="A1712" s="2">
        <v>0.790263948158685</v>
      </c>
      <c r="B1712" t="s">
        <v>537</v>
      </c>
      <c r="C1712" t="s">
        <v>600</v>
      </c>
      <c r="D1712" t="s">
        <v>375</v>
      </c>
    </row>
    <row r="1713" spans="1:4">
      <c r="A1713" s="2">
        <v>0.7293946024799417</v>
      </c>
      <c r="B1713" t="s">
        <v>538</v>
      </c>
      <c r="C1713" t="s">
        <v>600</v>
      </c>
      <c r="D1713" t="s">
        <v>375</v>
      </c>
    </row>
    <row r="1714" spans="1:4">
      <c r="A1714" s="2">
        <v>0.1602114791524813</v>
      </c>
      <c r="B1714" t="s">
        <v>539</v>
      </c>
      <c r="C1714" t="s">
        <v>600</v>
      </c>
      <c r="D1714" t="s">
        <v>375</v>
      </c>
    </row>
    <row r="1715" spans="1:4">
      <c r="A1715" s="2">
        <v>0.4045143804862263</v>
      </c>
      <c r="B1715" t="s">
        <v>540</v>
      </c>
      <c r="C1715" t="s">
        <v>600</v>
      </c>
      <c r="D1715" t="s">
        <v>375</v>
      </c>
    </row>
    <row r="1716" spans="1:4">
      <c r="A1716" s="2">
        <v>0.22239025041142196</v>
      </c>
      <c r="B1716" t="s">
        <v>541</v>
      </c>
      <c r="C1716" t="s">
        <v>600</v>
      </c>
      <c r="D1716" t="s">
        <v>375</v>
      </c>
    </row>
    <row r="1717" spans="1:4">
      <c r="A1717" s="2">
        <v>1</v>
      </c>
      <c r="B1717" t="s">
        <v>542</v>
      </c>
      <c r="C1717" t="s">
        <v>375</v>
      </c>
      <c r="D1717" t="s">
        <v>375</v>
      </c>
    </row>
    <row r="1718" spans="1:4">
      <c r="A1718" s="2">
        <v>6.9677999999999995</v>
      </c>
      <c r="B1718" t="s">
        <v>364</v>
      </c>
      <c r="C1718" t="s">
        <v>600</v>
      </c>
      <c r="D1718" t="s">
        <v>601</v>
      </c>
    </row>
    <row r="1719" spans="1:4">
      <c r="A1719" s="2">
        <v>8.3244</v>
      </c>
      <c r="B1719" t="s">
        <v>373</v>
      </c>
      <c r="C1719" t="s">
        <v>600</v>
      </c>
      <c r="D1719" t="s">
        <v>601</v>
      </c>
    </row>
    <row r="1720" spans="1:4">
      <c r="A1720" s="2">
        <v>0.045464</v>
      </c>
      <c r="B1720" t="s">
        <v>520</v>
      </c>
      <c r="C1720" t="s">
        <v>600</v>
      </c>
      <c r="D1720" t="s">
        <v>601</v>
      </c>
    </row>
    <row r="1721" spans="1:4">
      <c r="A1721" s="2">
        <v>0.89262</v>
      </c>
      <c r="B1721" t="s">
        <v>370</v>
      </c>
      <c r="C1721" t="s">
        <v>600</v>
      </c>
      <c r="D1721" t="s">
        <v>601</v>
      </c>
    </row>
    <row r="1722" spans="1:4">
      <c r="A1722" s="2">
        <v>9.608</v>
      </c>
      <c r="B1722" t="s">
        <v>521</v>
      </c>
      <c r="C1722" t="s">
        <v>600</v>
      </c>
      <c r="D1722" t="s">
        <v>601</v>
      </c>
    </row>
    <row r="1723" spans="1:4">
      <c r="A1723" s="2">
        <v>4.9019</v>
      </c>
      <c r="B1723" t="s">
        <v>522</v>
      </c>
      <c r="C1723" t="s">
        <v>600</v>
      </c>
      <c r="D1723" t="s">
        <v>601</v>
      </c>
    </row>
    <row r="1724" spans="1:4">
      <c r="A1724" s="2">
        <v>4.2233</v>
      </c>
      <c r="B1724" t="s">
        <v>523</v>
      </c>
      <c r="C1724" t="s">
        <v>600</v>
      </c>
      <c r="D1724" t="s">
        <v>601</v>
      </c>
    </row>
    <row r="1725" spans="1:4">
      <c r="A1725" s="2">
        <v>5.5061</v>
      </c>
      <c r="B1725" t="s">
        <v>524</v>
      </c>
      <c r="C1725" t="s">
        <v>600</v>
      </c>
      <c r="D1725" t="s">
        <v>601</v>
      </c>
    </row>
    <row r="1726" spans="1:4">
      <c r="A1726" s="2">
        <v>9.1047</v>
      </c>
      <c r="B1726" t="s">
        <v>525</v>
      </c>
      <c r="C1726" t="s">
        <v>600</v>
      </c>
      <c r="D1726" t="s">
        <v>601</v>
      </c>
    </row>
    <row r="1727" spans="1:4">
      <c r="A1727" s="2">
        <v>5.1577</v>
      </c>
      <c r="B1727" t="s">
        <v>526</v>
      </c>
      <c r="C1727" t="s">
        <v>600</v>
      </c>
      <c r="D1727" t="s">
        <v>601</v>
      </c>
    </row>
    <row r="1728" spans="1:4">
      <c r="A1728" s="2">
        <v>0.8661758336942399</v>
      </c>
      <c r="B1728" t="s">
        <v>527</v>
      </c>
      <c r="C1728" t="s">
        <v>600</v>
      </c>
      <c r="D1728" t="s">
        <v>601</v>
      </c>
    </row>
    <row r="1729" spans="1:4">
      <c r="A1729" s="2">
        <v>1.7727353306151392</v>
      </c>
      <c r="B1729" t="s">
        <v>528</v>
      </c>
      <c r="C1729" t="s">
        <v>600</v>
      </c>
      <c r="D1729" t="s">
        <v>601</v>
      </c>
    </row>
    <row r="1730" spans="1:4">
      <c r="A1730" s="2">
        <v>0.09236424764702078</v>
      </c>
      <c r="B1730" t="s">
        <v>529</v>
      </c>
      <c r="C1730" t="s">
        <v>600</v>
      </c>
      <c r="D1730" t="s">
        <v>601</v>
      </c>
    </row>
    <row r="1731" spans="1:4">
      <c r="A1731" s="2">
        <v>0.4426345609065156</v>
      </c>
      <c r="B1731" t="s">
        <v>530</v>
      </c>
      <c r="C1731" t="s">
        <v>600</v>
      </c>
      <c r="D1731" t="s">
        <v>601</v>
      </c>
    </row>
    <row r="1732" spans="1:4">
      <c r="A1732" s="2">
        <v>0.0048503662026483</v>
      </c>
      <c r="B1732" t="s">
        <v>531</v>
      </c>
      <c r="C1732" t="s">
        <v>600</v>
      </c>
      <c r="D1732" t="s">
        <v>601</v>
      </c>
    </row>
    <row r="1733" spans="1:4">
      <c r="A1733" s="2">
        <v>1.8948365703458077</v>
      </c>
      <c r="B1733" t="s">
        <v>532</v>
      </c>
      <c r="C1733" t="s">
        <v>600</v>
      </c>
      <c r="D1733" t="s">
        <v>601</v>
      </c>
    </row>
    <row r="1734" spans="1:4">
      <c r="A1734" s="2">
        <v>1.8553908380800417</v>
      </c>
      <c r="B1734" t="s">
        <v>533</v>
      </c>
      <c r="C1734" t="s">
        <v>600</v>
      </c>
      <c r="D1734" t="s">
        <v>601</v>
      </c>
    </row>
    <row r="1735" spans="1:4">
      <c r="A1735" s="2">
        <v>0.021886196157221677</v>
      </c>
      <c r="B1735" t="s">
        <v>534</v>
      </c>
      <c r="C1735" t="s">
        <v>600</v>
      </c>
      <c r="D1735" t="s">
        <v>601</v>
      </c>
    </row>
    <row r="1736" spans="1:4">
      <c r="A1736" s="2">
        <v>1.9809825673534072</v>
      </c>
      <c r="B1736" t="s">
        <v>535</v>
      </c>
      <c r="C1736" t="s">
        <v>600</v>
      </c>
      <c r="D1736" t="s">
        <v>601</v>
      </c>
    </row>
    <row r="1737" spans="1:4">
      <c r="A1737" s="2">
        <v>1.115324559446799</v>
      </c>
      <c r="B1737" t="s">
        <v>536</v>
      </c>
      <c r="C1737" t="s">
        <v>600</v>
      </c>
      <c r="D1737" t="s">
        <v>601</v>
      </c>
    </row>
    <row r="1738" spans="1:4">
      <c r="A1738" s="2">
        <v>0.790263948158685</v>
      </c>
      <c r="B1738" t="s">
        <v>537</v>
      </c>
      <c r="C1738" t="s">
        <v>600</v>
      </c>
      <c r="D1738" t="s">
        <v>601</v>
      </c>
    </row>
    <row r="1739" spans="1:4">
      <c r="A1739" s="2">
        <v>0.7293946024799417</v>
      </c>
      <c r="B1739" t="s">
        <v>538</v>
      </c>
      <c r="C1739" t="s">
        <v>600</v>
      </c>
      <c r="D1739" t="s">
        <v>601</v>
      </c>
    </row>
    <row r="1740" spans="1:4">
      <c r="A1740" s="2">
        <v>0.1602114791524813</v>
      </c>
      <c r="B1740" t="s">
        <v>539</v>
      </c>
      <c r="C1740" t="s">
        <v>600</v>
      </c>
      <c r="D1740" t="s">
        <v>601</v>
      </c>
    </row>
    <row r="1741" spans="1:4">
      <c r="A1741" s="2">
        <v>0.4045143804862263</v>
      </c>
      <c r="B1741" t="s">
        <v>540</v>
      </c>
      <c r="C1741" t="s">
        <v>600</v>
      </c>
      <c r="D1741" t="s">
        <v>601</v>
      </c>
    </row>
    <row r="1742" spans="1:4">
      <c r="A1742" s="2">
        <v>0.22239025041142196</v>
      </c>
      <c r="B1742" t="s">
        <v>541</v>
      </c>
      <c r="C1742" t="s">
        <v>600</v>
      </c>
      <c r="D1742" t="s">
        <v>601</v>
      </c>
    </row>
    <row r="1743" spans="1:4">
      <c r="A1743" s="2">
        <v>1</v>
      </c>
      <c r="B1743" t="s">
        <v>542</v>
      </c>
      <c r="C1743" t="s">
        <v>601</v>
      </c>
      <c r="D1743" t="s">
        <v>601</v>
      </c>
    </row>
    <row r="1744" spans="1:4">
      <c r="A1744" s="2">
        <v>6.9695</v>
      </c>
      <c r="B1744" t="s">
        <v>364</v>
      </c>
      <c r="C1744" t="s">
        <v>602</v>
      </c>
      <c r="D1744" t="s">
        <v>602</v>
      </c>
    </row>
    <row r="1745" spans="1:4">
      <c r="A1745" s="2">
        <v>8.2651</v>
      </c>
      <c r="B1745" t="s">
        <v>373</v>
      </c>
      <c r="C1745" t="s">
        <v>602</v>
      </c>
      <c r="D1745" t="s">
        <v>602</v>
      </c>
    </row>
    <row r="1746" spans="1:4">
      <c r="A1746" s="2">
        <v>0.044926</v>
      </c>
      <c r="B1746" t="s">
        <v>520</v>
      </c>
      <c r="C1746" t="s">
        <v>602</v>
      </c>
      <c r="D1746" t="s">
        <v>602</v>
      </c>
    </row>
    <row r="1747" spans="1:4">
      <c r="A1747" s="2">
        <v>0.89249</v>
      </c>
      <c r="B1747" t="s">
        <v>370</v>
      </c>
      <c r="C1747" t="s">
        <v>602</v>
      </c>
      <c r="D1747" t="s">
        <v>602</v>
      </c>
    </row>
    <row r="1748" spans="1:4">
      <c r="A1748" s="2">
        <v>9.5385</v>
      </c>
      <c r="B1748" t="s">
        <v>521</v>
      </c>
      <c r="C1748" t="s">
        <v>602</v>
      </c>
      <c r="D1748" t="s">
        <v>602</v>
      </c>
    </row>
    <row r="1749" spans="1:4">
      <c r="A1749" s="2">
        <v>4.843</v>
      </c>
      <c r="B1749" t="s">
        <v>522</v>
      </c>
      <c r="C1749" t="s">
        <v>602</v>
      </c>
      <c r="D1749" t="s">
        <v>602</v>
      </c>
    </row>
    <row r="1750" spans="1:4">
      <c r="A1750" s="2">
        <v>4.1916</v>
      </c>
      <c r="B1750" t="s">
        <v>523</v>
      </c>
      <c r="C1750" t="s">
        <v>602</v>
      </c>
      <c r="D1750" t="s">
        <v>602</v>
      </c>
    </row>
    <row r="1751" spans="1:4">
      <c r="A1751" s="2">
        <v>5.4759</v>
      </c>
      <c r="B1751" t="s">
        <v>524</v>
      </c>
      <c r="C1751" t="s">
        <v>602</v>
      </c>
      <c r="D1751" t="s">
        <v>602</v>
      </c>
    </row>
    <row r="1752" spans="1:4">
      <c r="A1752" s="2">
        <v>9.0099</v>
      </c>
      <c r="B1752" t="s">
        <v>525</v>
      </c>
      <c r="C1752" t="s">
        <v>602</v>
      </c>
      <c r="D1752" t="s">
        <v>602</v>
      </c>
    </row>
    <row r="1753" spans="1:4">
      <c r="A1753" s="2">
        <v>5.1098</v>
      </c>
      <c r="B1753" t="s">
        <v>526</v>
      </c>
      <c r="C1753" t="s">
        <v>602</v>
      </c>
      <c r="D1753" t="s">
        <v>602</v>
      </c>
    </row>
    <row r="1754" spans="1:4">
      <c r="A1754" s="2">
        <v>0.8661008141347654</v>
      </c>
      <c r="B1754" t="s">
        <v>527</v>
      </c>
      <c r="C1754" t="s">
        <v>602</v>
      </c>
      <c r="D1754" t="s">
        <v>602</v>
      </c>
    </row>
    <row r="1755" spans="1:4">
      <c r="A1755" s="2">
        <v>1.7681277295471824</v>
      </c>
      <c r="B1755" t="s">
        <v>528</v>
      </c>
      <c r="C1755" t="s">
        <v>602</v>
      </c>
      <c r="D1755" t="s">
        <v>602</v>
      </c>
    </row>
    <row r="1756" spans="1:4">
      <c r="A1756" s="2">
        <v>0.09154407389437644</v>
      </c>
      <c r="B1756" t="s">
        <v>529</v>
      </c>
      <c r="C1756" t="s">
        <v>602</v>
      </c>
      <c r="D1756" t="s">
        <v>602</v>
      </c>
    </row>
    <row r="1757" spans="1:4">
      <c r="A1757" s="2">
        <v>0.430533430920911</v>
      </c>
      <c r="B1757" t="s">
        <v>530</v>
      </c>
      <c r="C1757" t="s">
        <v>602</v>
      </c>
      <c r="D1757" t="s">
        <v>602</v>
      </c>
    </row>
    <row r="1758" spans="1:4">
      <c r="A1758" s="2">
        <v>0.004806767929244376</v>
      </c>
      <c r="B1758" t="s">
        <v>531</v>
      </c>
      <c r="C1758" t="s">
        <v>602</v>
      </c>
      <c r="D1758" t="s">
        <v>602</v>
      </c>
    </row>
    <row r="1759" spans="1:4">
      <c r="A1759" s="2">
        <v>1.8982175736982976</v>
      </c>
      <c r="B1759" t="s">
        <v>532</v>
      </c>
      <c r="C1759" t="s">
        <v>602</v>
      </c>
      <c r="D1759" t="s">
        <v>602</v>
      </c>
    </row>
    <row r="1760" spans="1:4">
      <c r="A1760" s="2">
        <v>1.8586324182666396</v>
      </c>
      <c r="B1760" t="s">
        <v>533</v>
      </c>
      <c r="C1760" t="s">
        <v>602</v>
      </c>
      <c r="D1760" t="s">
        <v>602</v>
      </c>
    </row>
    <row r="1761" spans="1:4">
      <c r="A1761" s="2">
        <v>0.02170134179396312</v>
      </c>
      <c r="B1761" t="s">
        <v>534</v>
      </c>
      <c r="C1761" t="s">
        <v>602</v>
      </c>
      <c r="D1761" t="s">
        <v>602</v>
      </c>
    </row>
    <row r="1762" spans="1:4">
      <c r="A1762" s="2">
        <v>1.9620153822005963</v>
      </c>
      <c r="B1762" t="s">
        <v>535</v>
      </c>
      <c r="C1762" t="s">
        <v>602</v>
      </c>
      <c r="D1762" t="s">
        <v>602</v>
      </c>
    </row>
    <row r="1763" spans="1:4">
      <c r="A1763" s="2">
        <v>1.1068068622025458</v>
      </c>
      <c r="B1763" t="s">
        <v>536</v>
      </c>
      <c r="C1763" t="s">
        <v>602</v>
      </c>
      <c r="D1763" t="s">
        <v>602</v>
      </c>
    </row>
    <row r="1764" spans="1:4">
      <c r="A1764" s="2">
        <v>0.7822277847309136</v>
      </c>
      <c r="B1764" t="s">
        <v>537</v>
      </c>
      <c r="C1764" t="s">
        <v>602</v>
      </c>
      <c r="D1764" t="s">
        <v>602</v>
      </c>
    </row>
    <row r="1765" spans="1:4">
      <c r="A1765" s="2">
        <v>0.7227522405319455</v>
      </c>
      <c r="B1765" t="s">
        <v>538</v>
      </c>
      <c r="C1765" t="s">
        <v>602</v>
      </c>
      <c r="D1765" t="s">
        <v>602</v>
      </c>
    </row>
    <row r="1766" spans="1:4">
      <c r="A1766" s="2">
        <v>0.16030727698853162</v>
      </c>
      <c r="B1766" t="s">
        <v>539</v>
      </c>
      <c r="C1766" t="s">
        <v>602</v>
      </c>
      <c r="D1766" t="s">
        <v>602</v>
      </c>
    </row>
    <row r="1767" spans="1:4">
      <c r="A1767" s="2">
        <v>0.399090074629844</v>
      </c>
      <c r="B1767" t="s">
        <v>540</v>
      </c>
      <c r="C1767" t="s">
        <v>602</v>
      </c>
      <c r="D1767" t="s">
        <v>602</v>
      </c>
    </row>
    <row r="1768" spans="1:4">
      <c r="A1768" s="2">
        <v>0.2209456473707468</v>
      </c>
      <c r="B1768" t="s">
        <v>541</v>
      </c>
      <c r="C1768" t="s">
        <v>602</v>
      </c>
      <c r="D1768" t="s">
        <v>602</v>
      </c>
    </row>
    <row r="1769" spans="1:4">
      <c r="A1769" s="2">
        <v>1</v>
      </c>
      <c r="B1769" t="s">
        <v>542</v>
      </c>
      <c r="C1769" t="s">
        <v>602</v>
      </c>
      <c r="D1769" t="s">
        <v>602</v>
      </c>
    </row>
    <row r="1770" spans="1:4">
      <c r="A1770" s="2">
        <v>6.960800000000001</v>
      </c>
      <c r="B1770" t="s">
        <v>364</v>
      </c>
      <c r="C1770" t="s">
        <v>603</v>
      </c>
      <c r="D1770" t="s">
        <v>603</v>
      </c>
    </row>
    <row r="1771" spans="1:4">
      <c r="A1771" s="2">
        <v>8.2174</v>
      </c>
      <c r="B1771" t="s">
        <v>373</v>
      </c>
      <c r="C1771" t="s">
        <v>603</v>
      </c>
      <c r="D1771" t="s">
        <v>603</v>
      </c>
    </row>
    <row r="1772" spans="1:4">
      <c r="A1772" s="2">
        <v>0.044797</v>
      </c>
      <c r="B1772" t="s">
        <v>520</v>
      </c>
      <c r="C1772" t="s">
        <v>603</v>
      </c>
      <c r="D1772" t="s">
        <v>603</v>
      </c>
    </row>
    <row r="1773" spans="1:4">
      <c r="A1773" s="2">
        <v>0.89117</v>
      </c>
      <c r="B1773" t="s">
        <v>370</v>
      </c>
      <c r="C1773" t="s">
        <v>603</v>
      </c>
      <c r="D1773" t="s">
        <v>603</v>
      </c>
    </row>
    <row r="1774" spans="1:4">
      <c r="A1774" s="2">
        <v>9.5192</v>
      </c>
      <c r="B1774" t="s">
        <v>521</v>
      </c>
      <c r="C1774" t="s">
        <v>603</v>
      </c>
      <c r="D1774" t="s">
        <v>603</v>
      </c>
    </row>
    <row r="1775" spans="1:4">
      <c r="A1775" s="2">
        <v>4.8441</v>
      </c>
      <c r="B1775" t="s">
        <v>522</v>
      </c>
      <c r="C1775" t="s">
        <v>603</v>
      </c>
      <c r="D1775" t="s">
        <v>603</v>
      </c>
    </row>
    <row r="1776" spans="1:4">
      <c r="A1776" s="2">
        <v>4.1856</v>
      </c>
      <c r="B1776" t="s">
        <v>523</v>
      </c>
      <c r="C1776" t="s">
        <v>603</v>
      </c>
      <c r="D1776" t="s">
        <v>603</v>
      </c>
    </row>
    <row r="1777" spans="1:4">
      <c r="A1777" s="2">
        <v>5.4765</v>
      </c>
      <c r="B1777" t="s">
        <v>524</v>
      </c>
      <c r="C1777" t="s">
        <v>603</v>
      </c>
      <c r="D1777" t="s">
        <v>603</v>
      </c>
    </row>
    <row r="1778" spans="1:4">
      <c r="A1778" s="2">
        <v>8.938099999999999</v>
      </c>
      <c r="B1778" t="s">
        <v>525</v>
      </c>
      <c r="C1778" t="s">
        <v>603</v>
      </c>
      <c r="D1778" t="s">
        <v>603</v>
      </c>
    </row>
    <row r="1779" spans="1:4">
      <c r="A1779" s="2">
        <v>5.092</v>
      </c>
      <c r="B1779" t="s">
        <v>526</v>
      </c>
      <c r="C1779" t="s">
        <v>603</v>
      </c>
      <c r="D1779" t="s">
        <v>603</v>
      </c>
    </row>
    <row r="1780" spans="1:4">
      <c r="A1780" s="2">
        <v>0.8648274669203494</v>
      </c>
      <c r="B1780" t="s">
        <v>527</v>
      </c>
      <c r="C1780" t="s">
        <v>603</v>
      </c>
      <c r="D1780" t="s">
        <v>603</v>
      </c>
    </row>
    <row r="1781" spans="1:4">
      <c r="A1781" s="2">
        <v>1.763108713283261</v>
      </c>
      <c r="B1781" t="s">
        <v>528</v>
      </c>
      <c r="C1781" t="s">
        <v>603</v>
      </c>
      <c r="D1781" t="s">
        <v>603</v>
      </c>
    </row>
    <row r="1782" spans="1:4">
      <c r="A1782" s="2">
        <v>0.09084880034159148</v>
      </c>
      <c r="B1782" t="s">
        <v>529</v>
      </c>
      <c r="C1782" t="s">
        <v>603</v>
      </c>
      <c r="D1782" t="s">
        <v>603</v>
      </c>
    </row>
    <row r="1783" spans="1:4">
      <c r="A1783" s="2">
        <v>0.43340701252546265</v>
      </c>
      <c r="B1783" t="s">
        <v>530</v>
      </c>
      <c r="C1783" t="s">
        <v>603</v>
      </c>
      <c r="D1783" t="s">
        <v>603</v>
      </c>
    </row>
    <row r="1784" spans="1:4">
      <c r="A1784" s="2">
        <v>0.004795933048774639</v>
      </c>
      <c r="B1784" t="s">
        <v>531</v>
      </c>
      <c r="C1784" t="s">
        <v>603</v>
      </c>
      <c r="D1784" t="s">
        <v>603</v>
      </c>
    </row>
    <row r="1785" spans="1:4">
      <c r="A1785" s="2">
        <v>1.896094046264695</v>
      </c>
      <c r="B1785" t="s">
        <v>532</v>
      </c>
      <c r="C1785" t="s">
        <v>603</v>
      </c>
      <c r="D1785" t="s">
        <v>603</v>
      </c>
    </row>
    <row r="1786" spans="1:4">
      <c r="A1786" s="2">
        <v>1.856872284324284</v>
      </c>
      <c r="B1786" t="s">
        <v>533</v>
      </c>
      <c r="C1786" t="s">
        <v>603</v>
      </c>
      <c r="D1786" t="s">
        <v>603</v>
      </c>
    </row>
    <row r="1787" spans="1:4">
      <c r="A1787" s="2">
        <v>0.021577673150038192</v>
      </c>
      <c r="B1787" t="s">
        <v>534</v>
      </c>
      <c r="C1787" t="s">
        <v>603</v>
      </c>
      <c r="D1787" t="s">
        <v>603</v>
      </c>
    </row>
    <row r="1788" spans="1:4">
      <c r="A1788" s="2">
        <v>1.9469646820606672</v>
      </c>
      <c r="B1788" t="s">
        <v>535</v>
      </c>
      <c r="C1788" t="s">
        <v>603</v>
      </c>
      <c r="D1788" t="s">
        <v>603</v>
      </c>
    </row>
    <row r="1789" spans="1:4">
      <c r="A1789" s="2">
        <v>1.1002310485201892</v>
      </c>
      <c r="B1789" t="s">
        <v>536</v>
      </c>
      <c r="C1789" t="s">
        <v>603</v>
      </c>
      <c r="D1789" t="s">
        <v>603</v>
      </c>
    </row>
    <row r="1790" spans="1:4">
      <c r="A1790" s="2">
        <v>0.776940408670655</v>
      </c>
      <c r="B1790" t="s">
        <v>537</v>
      </c>
      <c r="C1790" t="s">
        <v>603</v>
      </c>
      <c r="D1790" t="s">
        <v>603</v>
      </c>
    </row>
    <row r="1791" spans="1:4">
      <c r="A1791" s="2">
        <v>0.7183391997701314</v>
      </c>
      <c r="B1791" t="s">
        <v>538</v>
      </c>
      <c r="C1791" t="s">
        <v>603</v>
      </c>
      <c r="D1791" t="s">
        <v>603</v>
      </c>
    </row>
    <row r="1792" spans="1:4">
      <c r="A1792" s="2">
        <v>0.16021686955462916</v>
      </c>
      <c r="B1792" t="s">
        <v>539</v>
      </c>
      <c r="C1792" t="s">
        <v>603</v>
      </c>
      <c r="D1792" t="s">
        <v>603</v>
      </c>
    </row>
    <row r="1793" spans="1:4">
      <c r="A1793" s="2">
        <v>0.4006089255668616</v>
      </c>
      <c r="B1793" t="s">
        <v>540</v>
      </c>
      <c r="C1793" t="s">
        <v>603</v>
      </c>
      <c r="D1793" t="s">
        <v>603</v>
      </c>
    </row>
    <row r="1794" spans="1:4">
      <c r="A1794" s="2">
        <v>0.2205947233742169</v>
      </c>
      <c r="B1794" t="s">
        <v>541</v>
      </c>
      <c r="C1794" t="s">
        <v>603</v>
      </c>
      <c r="D1794" t="s">
        <v>603</v>
      </c>
    </row>
    <row r="1795" spans="1:4">
      <c r="A1795" s="2">
        <v>1</v>
      </c>
      <c r="B1795" t="s">
        <v>542</v>
      </c>
      <c r="C1795" t="s">
        <v>603</v>
      </c>
      <c r="D1795" t="s">
        <v>603</v>
      </c>
    </row>
    <row r="1796" spans="1:4">
      <c r="A1796" s="2">
        <v>6.9533000000000005</v>
      </c>
      <c r="B1796" t="s">
        <v>364</v>
      </c>
      <c r="C1796" t="s">
        <v>604</v>
      </c>
      <c r="D1796" t="s">
        <v>604</v>
      </c>
    </row>
    <row r="1797" spans="1:4">
      <c r="A1797" s="2">
        <v>8.2111</v>
      </c>
      <c r="B1797" t="s">
        <v>373</v>
      </c>
      <c r="C1797" t="s">
        <v>604</v>
      </c>
      <c r="D1797" t="s">
        <v>604</v>
      </c>
    </row>
    <row r="1798" spans="1:4">
      <c r="A1798" s="2">
        <v>0.044615</v>
      </c>
      <c r="B1798" t="s">
        <v>520</v>
      </c>
      <c r="C1798" t="s">
        <v>604</v>
      </c>
      <c r="D1798" t="s">
        <v>604</v>
      </c>
    </row>
    <row r="1799" spans="1:4">
      <c r="A1799" s="2">
        <v>0.8897799999999999</v>
      </c>
      <c r="B1799" t="s">
        <v>370</v>
      </c>
      <c r="C1799" t="s">
        <v>604</v>
      </c>
      <c r="D1799" t="s">
        <v>604</v>
      </c>
    </row>
    <row r="1800" spans="1:4">
      <c r="A1800" s="2">
        <v>9.5144</v>
      </c>
      <c r="B1800" t="s">
        <v>521</v>
      </c>
      <c r="C1800" t="s">
        <v>604</v>
      </c>
      <c r="D1800" t="s">
        <v>604</v>
      </c>
    </row>
    <row r="1801" spans="1:4">
      <c r="A1801" s="2">
        <v>4.8751999999999995</v>
      </c>
      <c r="B1801" t="s">
        <v>522</v>
      </c>
      <c r="C1801" t="s">
        <v>604</v>
      </c>
      <c r="D1801" t="s">
        <v>604</v>
      </c>
    </row>
    <row r="1802" spans="1:4">
      <c r="A1802" s="2">
        <v>4.1951</v>
      </c>
      <c r="B1802" t="s">
        <v>523</v>
      </c>
      <c r="C1802" t="s">
        <v>604</v>
      </c>
      <c r="D1802" t="s">
        <v>604</v>
      </c>
    </row>
    <row r="1803" spans="1:4">
      <c r="A1803" s="2">
        <v>5.472899999999999</v>
      </c>
      <c r="B1803" t="s">
        <v>524</v>
      </c>
      <c r="C1803" t="s">
        <v>604</v>
      </c>
      <c r="D1803" t="s">
        <v>604</v>
      </c>
    </row>
    <row r="1804" spans="1:4">
      <c r="A1804" s="2">
        <v>8.9558</v>
      </c>
      <c r="B1804" t="s">
        <v>525</v>
      </c>
      <c r="C1804" t="s">
        <v>604</v>
      </c>
      <c r="D1804" t="s">
        <v>604</v>
      </c>
    </row>
    <row r="1805" spans="1:4">
      <c r="A1805" s="2">
        <v>5.0933</v>
      </c>
      <c r="B1805" t="s">
        <v>526</v>
      </c>
      <c r="C1805" t="s">
        <v>604</v>
      </c>
      <c r="D1805" t="s">
        <v>604</v>
      </c>
    </row>
    <row r="1806" spans="1:4">
      <c r="A1806" s="2">
        <v>0.8634832915983075</v>
      </c>
      <c r="B1806" t="s">
        <v>527</v>
      </c>
      <c r="C1806" t="s">
        <v>604</v>
      </c>
      <c r="D1806" t="s">
        <v>604</v>
      </c>
    </row>
    <row r="1807" spans="1:4">
      <c r="A1807" s="2">
        <v>1.7687219215394956</v>
      </c>
      <c r="B1807" t="s">
        <v>528</v>
      </c>
      <c r="C1807" t="s">
        <v>604</v>
      </c>
      <c r="D1807" t="s">
        <v>604</v>
      </c>
    </row>
    <row r="1808" spans="1:4">
      <c r="A1808" s="2">
        <v>0.09009901882168504</v>
      </c>
      <c r="B1808" t="s">
        <v>529</v>
      </c>
      <c r="C1808" t="s">
        <v>604</v>
      </c>
      <c r="D1808" t="s">
        <v>604</v>
      </c>
    </row>
    <row r="1809" spans="1:4">
      <c r="A1809" s="2">
        <v>0.4352746583093932</v>
      </c>
      <c r="B1809" t="s">
        <v>530</v>
      </c>
      <c r="C1809" t="s">
        <v>604</v>
      </c>
      <c r="D1809" t="s">
        <v>604</v>
      </c>
    </row>
    <row r="1810" spans="1:4">
      <c r="A1810" s="2">
        <v>0.004790189691511784</v>
      </c>
      <c r="B1810" t="s">
        <v>531</v>
      </c>
      <c r="C1810" t="s">
        <v>604</v>
      </c>
      <c r="D1810" t="s">
        <v>604</v>
      </c>
    </row>
    <row r="1811" spans="1:4">
      <c r="A1811" s="2">
        <v>1.8920759857715888</v>
      </c>
      <c r="B1811" t="s">
        <v>532</v>
      </c>
      <c r="C1811" t="s">
        <v>604</v>
      </c>
      <c r="D1811" t="s">
        <v>604</v>
      </c>
    </row>
    <row r="1812" spans="1:4">
      <c r="A1812" s="2">
        <v>1.8530872433474168</v>
      </c>
      <c r="B1812" t="s">
        <v>533</v>
      </c>
      <c r="C1812" t="s">
        <v>604</v>
      </c>
      <c r="D1812" t="s">
        <v>604</v>
      </c>
    </row>
    <row r="1813" spans="1:4">
      <c r="A1813" s="2">
        <v>0.021574647200581654</v>
      </c>
      <c r="B1813" t="s">
        <v>534</v>
      </c>
      <c r="C1813" t="s">
        <v>604</v>
      </c>
      <c r="D1813" t="s">
        <v>604</v>
      </c>
    </row>
    <row r="1814" spans="1:4">
      <c r="A1814" s="2">
        <v>1.9449576971700864</v>
      </c>
      <c r="B1814" t="s">
        <v>535</v>
      </c>
      <c r="C1814" t="s">
        <v>604</v>
      </c>
      <c r="D1814" t="s">
        <v>604</v>
      </c>
    </row>
    <row r="1815" spans="1:4">
      <c r="A1815" s="2">
        <v>1.0993843447669307</v>
      </c>
      <c r="B1815" t="s">
        <v>536</v>
      </c>
      <c r="C1815" t="s">
        <v>604</v>
      </c>
      <c r="D1815" t="s">
        <v>604</v>
      </c>
    </row>
    <row r="1816" spans="1:4">
      <c r="A1816" s="2">
        <v>0.7799703611262772</v>
      </c>
      <c r="B1816" t="s">
        <v>537</v>
      </c>
      <c r="C1816" t="s">
        <v>604</v>
      </c>
      <c r="D1816" t="s">
        <v>604</v>
      </c>
    </row>
    <row r="1817" spans="1:4">
      <c r="A1817" s="2">
        <v>0.7218652999350321</v>
      </c>
      <c r="B1817" t="s">
        <v>538</v>
      </c>
      <c r="C1817" t="s">
        <v>604</v>
      </c>
      <c r="D1817" t="s">
        <v>604</v>
      </c>
    </row>
    <row r="1818" spans="1:4">
      <c r="A1818" s="2">
        <v>0.15983121823354535</v>
      </c>
      <c r="B1818" t="s">
        <v>539</v>
      </c>
      <c r="C1818" t="s">
        <v>604</v>
      </c>
      <c r="D1818" t="s">
        <v>604</v>
      </c>
    </row>
    <row r="1819" spans="1:4">
      <c r="A1819" s="2">
        <v>0.40324206621234726</v>
      </c>
      <c r="B1819" t="s">
        <v>540</v>
      </c>
      <c r="C1819" t="s">
        <v>604</v>
      </c>
      <c r="D1819" t="s">
        <v>604</v>
      </c>
    </row>
    <row r="1820" spans="1:4">
      <c r="A1820" s="2">
        <v>0.21939447125932424</v>
      </c>
      <c r="B1820" t="s">
        <v>541</v>
      </c>
      <c r="C1820" t="s">
        <v>604</v>
      </c>
      <c r="D1820" t="s">
        <v>604</v>
      </c>
    </row>
    <row r="1821" spans="1:4">
      <c r="A1821" s="2">
        <v>1</v>
      </c>
      <c r="B1821" t="s">
        <v>542</v>
      </c>
      <c r="C1821" t="s">
        <v>604</v>
      </c>
      <c r="D1821" t="s">
        <v>604</v>
      </c>
    </row>
    <row r="1822" spans="1:4">
      <c r="A1822" s="2">
        <v>6.957000000000001</v>
      </c>
      <c r="B1822" t="s">
        <v>364</v>
      </c>
      <c r="C1822" t="s">
        <v>605</v>
      </c>
      <c r="D1822" t="s">
        <v>605</v>
      </c>
    </row>
    <row r="1823" spans="1:4">
      <c r="A1823" s="2">
        <v>8.2036</v>
      </c>
      <c r="B1823" t="s">
        <v>373</v>
      </c>
      <c r="C1823" t="s">
        <v>605</v>
      </c>
      <c r="D1823" t="s">
        <v>605</v>
      </c>
    </row>
    <row r="1824" spans="1:4">
      <c r="A1824" s="2">
        <v>0.044328000000000006</v>
      </c>
      <c r="B1824" t="s">
        <v>520</v>
      </c>
      <c r="C1824" t="s">
        <v>605</v>
      </c>
      <c r="D1824" t="s">
        <v>605</v>
      </c>
    </row>
    <row r="1825" spans="1:4">
      <c r="A1825" s="2">
        <v>0.89062</v>
      </c>
      <c r="B1825" t="s">
        <v>370</v>
      </c>
      <c r="C1825" t="s">
        <v>605</v>
      </c>
      <c r="D1825" t="s">
        <v>605</v>
      </c>
    </row>
    <row r="1826" spans="1:4">
      <c r="A1826" s="2">
        <v>9.4843</v>
      </c>
      <c r="B1826" t="s">
        <v>521</v>
      </c>
      <c r="C1826" t="s">
        <v>605</v>
      </c>
      <c r="D1826" t="s">
        <v>605</v>
      </c>
    </row>
    <row r="1827" spans="1:4">
      <c r="A1827" s="2">
        <v>4.8637</v>
      </c>
      <c r="B1827" t="s">
        <v>522</v>
      </c>
      <c r="C1827" t="s">
        <v>605</v>
      </c>
      <c r="D1827" t="s">
        <v>605</v>
      </c>
    </row>
    <row r="1828" spans="1:4">
      <c r="A1828" s="2">
        <v>4.1714</v>
      </c>
      <c r="B1828" t="s">
        <v>523</v>
      </c>
      <c r="C1828" t="s">
        <v>605</v>
      </c>
      <c r="D1828" t="s">
        <v>605</v>
      </c>
    </row>
    <row r="1829" spans="1:4">
      <c r="A1829" s="2">
        <v>5.4621</v>
      </c>
      <c r="B1829" t="s">
        <v>524</v>
      </c>
      <c r="C1829" t="s">
        <v>605</v>
      </c>
      <c r="D1829" t="s">
        <v>605</v>
      </c>
    </row>
    <row r="1830" spans="1:4">
      <c r="A1830" s="2">
        <v>8.9439</v>
      </c>
      <c r="B1830" t="s">
        <v>525</v>
      </c>
      <c r="C1830" t="s">
        <v>605</v>
      </c>
      <c r="D1830" t="s">
        <v>605</v>
      </c>
    </row>
    <row r="1831" spans="1:4">
      <c r="A1831" s="2">
        <v>5.0851</v>
      </c>
      <c r="B1831" t="s">
        <v>526</v>
      </c>
      <c r="C1831" t="s">
        <v>605</v>
      </c>
      <c r="D1831" t="s">
        <v>605</v>
      </c>
    </row>
    <row r="1832" spans="1:4">
      <c r="A1832" s="2">
        <v>0.8640801866413202</v>
      </c>
      <c r="B1832" t="s">
        <v>527</v>
      </c>
      <c r="C1832" t="s">
        <v>605</v>
      </c>
      <c r="D1832" t="s">
        <v>605</v>
      </c>
    </row>
    <row r="1833" spans="1:4">
      <c r="A1833" s="2">
        <v>1.7675339366515836</v>
      </c>
      <c r="B1833" t="s">
        <v>528</v>
      </c>
      <c r="C1833" t="s">
        <v>605</v>
      </c>
      <c r="D1833" t="s">
        <v>605</v>
      </c>
    </row>
    <row r="1834" spans="1:4">
      <c r="A1834" s="2">
        <v>0.09074574856167988</v>
      </c>
      <c r="B1834" t="s">
        <v>529</v>
      </c>
      <c r="C1834" t="s">
        <v>605</v>
      </c>
      <c r="D1834" t="s">
        <v>605</v>
      </c>
    </row>
    <row r="1835" spans="1:4">
      <c r="A1835" s="2">
        <v>0.4323763403666551</v>
      </c>
      <c r="B1835" t="s">
        <v>530</v>
      </c>
      <c r="C1835" t="s">
        <v>605</v>
      </c>
      <c r="D1835" t="s">
        <v>605</v>
      </c>
    </row>
    <row r="1836" spans="1:4">
      <c r="A1836" s="2">
        <v>0.004756016360696281</v>
      </c>
      <c r="B1836" t="s">
        <v>531</v>
      </c>
      <c r="C1836" t="s">
        <v>605</v>
      </c>
      <c r="D1836" t="s">
        <v>605</v>
      </c>
    </row>
    <row r="1837" spans="1:4">
      <c r="A1837" s="2">
        <v>1.892362425251684</v>
      </c>
      <c r="B1837" t="s">
        <v>532</v>
      </c>
      <c r="C1837" t="s">
        <v>605</v>
      </c>
      <c r="D1837" t="s">
        <v>605</v>
      </c>
    </row>
    <row r="1838" spans="1:4">
      <c r="A1838" s="2">
        <v>1.8533276497952071</v>
      </c>
      <c r="B1838" t="s">
        <v>533</v>
      </c>
      <c r="C1838" t="s">
        <v>605</v>
      </c>
      <c r="D1838" t="s">
        <v>605</v>
      </c>
    </row>
    <row r="1839" spans="1:4">
      <c r="A1839" s="2">
        <v>0.021616573859509564</v>
      </c>
      <c r="B1839" t="s">
        <v>534</v>
      </c>
      <c r="C1839" t="s">
        <v>605</v>
      </c>
      <c r="D1839" t="s">
        <v>605</v>
      </c>
    </row>
    <row r="1840" spans="1:4">
      <c r="A1840" s="2">
        <v>1.945411746396125</v>
      </c>
      <c r="B1840" t="s">
        <v>535</v>
      </c>
      <c r="C1840" t="s">
        <v>605</v>
      </c>
      <c r="D1840" t="s">
        <v>605</v>
      </c>
    </row>
    <row r="1841" spans="1:4">
      <c r="A1841" s="2">
        <v>1.0985389432055366</v>
      </c>
      <c r="B1841" t="s">
        <v>536</v>
      </c>
      <c r="C1841" t="s">
        <v>605</v>
      </c>
      <c r="D1841" t="s">
        <v>605</v>
      </c>
    </row>
    <row r="1842" spans="1:4">
      <c r="A1842" s="2">
        <v>0.7732755954222085</v>
      </c>
      <c r="B1842" t="s">
        <v>537</v>
      </c>
      <c r="C1842" t="s">
        <v>605</v>
      </c>
      <c r="D1842" t="s">
        <v>605</v>
      </c>
    </row>
    <row r="1843" spans="1:4">
      <c r="A1843" s="2">
        <v>0.718803910293272</v>
      </c>
      <c r="B1843" t="s">
        <v>538</v>
      </c>
      <c r="C1843" t="s">
        <v>605</v>
      </c>
      <c r="D1843" t="s">
        <v>605</v>
      </c>
    </row>
    <row r="1844" spans="1:4">
      <c r="A1844" s="2">
        <v>0.15969466380280903</v>
      </c>
      <c r="B1844" t="s">
        <v>539</v>
      </c>
      <c r="C1844" t="s">
        <v>605</v>
      </c>
      <c r="D1844" t="s">
        <v>605</v>
      </c>
    </row>
    <row r="1845" spans="1:4">
      <c r="A1845" s="2">
        <v>0.4013163175214704</v>
      </c>
      <c r="B1845" t="s">
        <v>540</v>
      </c>
      <c r="C1845" t="s">
        <v>605</v>
      </c>
      <c r="D1845" t="s">
        <v>605</v>
      </c>
    </row>
    <row r="1846" spans="1:4">
      <c r="A1846" s="2">
        <v>0.21915886826360428</v>
      </c>
      <c r="B1846" t="s">
        <v>541</v>
      </c>
      <c r="C1846" t="s">
        <v>605</v>
      </c>
      <c r="D1846" t="s">
        <v>605</v>
      </c>
    </row>
    <row r="1847" spans="1:4">
      <c r="A1847" s="2">
        <v>1</v>
      </c>
      <c r="B1847" t="s">
        <v>542</v>
      </c>
      <c r="C1847" t="s">
        <v>605</v>
      </c>
      <c r="D1847" t="s">
        <v>605</v>
      </c>
    </row>
    <row r="1848" spans="1:4">
      <c r="A1848" s="2">
        <v>6.959</v>
      </c>
      <c r="B1848" t="s">
        <v>364</v>
      </c>
      <c r="C1848" t="s">
        <v>606</v>
      </c>
      <c r="D1848" t="s">
        <v>606</v>
      </c>
    </row>
    <row r="1849" spans="1:4">
      <c r="A1849" s="2">
        <v>8.1923</v>
      </c>
      <c r="B1849" t="s">
        <v>373</v>
      </c>
      <c r="C1849" t="s">
        <v>606</v>
      </c>
      <c r="D1849" t="s">
        <v>606</v>
      </c>
    </row>
    <row r="1850" spans="1:4">
      <c r="A1850" s="2">
        <v>0.044367</v>
      </c>
      <c r="B1850" t="s">
        <v>520</v>
      </c>
      <c r="C1850" t="s">
        <v>606</v>
      </c>
      <c r="D1850" t="s">
        <v>606</v>
      </c>
    </row>
    <row r="1851" spans="1:4">
      <c r="A1851" s="2">
        <v>0.8908</v>
      </c>
      <c r="B1851" t="s">
        <v>370</v>
      </c>
      <c r="C1851" t="s">
        <v>606</v>
      </c>
      <c r="D1851" t="s">
        <v>606</v>
      </c>
    </row>
    <row r="1852" spans="1:4">
      <c r="A1852" s="2">
        <v>9.4053</v>
      </c>
      <c r="B1852" t="s">
        <v>521</v>
      </c>
      <c r="C1852" t="s">
        <v>606</v>
      </c>
      <c r="D1852" t="s">
        <v>606</v>
      </c>
    </row>
    <row r="1853" spans="1:4">
      <c r="A1853" s="2">
        <v>4.8103</v>
      </c>
      <c r="B1853" t="s">
        <v>522</v>
      </c>
      <c r="C1853" t="s">
        <v>606</v>
      </c>
      <c r="D1853" t="s">
        <v>606</v>
      </c>
    </row>
    <row r="1854" spans="1:4">
      <c r="A1854" s="2">
        <v>4.131600000000001</v>
      </c>
      <c r="B1854" t="s">
        <v>523</v>
      </c>
      <c r="C1854" t="s">
        <v>606</v>
      </c>
      <c r="D1854" t="s">
        <v>606</v>
      </c>
    </row>
    <row r="1855" spans="1:4">
      <c r="A1855" s="2">
        <v>5.453099999999999</v>
      </c>
      <c r="B1855" t="s">
        <v>524</v>
      </c>
      <c r="C1855" t="s">
        <v>606</v>
      </c>
      <c r="D1855" t="s">
        <v>606</v>
      </c>
    </row>
    <row r="1856" spans="1:4">
      <c r="A1856" s="2">
        <v>8.9412</v>
      </c>
      <c r="B1856" t="s">
        <v>525</v>
      </c>
      <c r="C1856" t="s">
        <v>606</v>
      </c>
      <c r="D1856" t="s">
        <v>606</v>
      </c>
    </row>
    <row r="1857" spans="1:4">
      <c r="A1857" s="2">
        <v>5.0725</v>
      </c>
      <c r="B1857" t="s">
        <v>526</v>
      </c>
      <c r="C1857" t="s">
        <v>606</v>
      </c>
      <c r="D1857" t="s">
        <v>606</v>
      </c>
    </row>
    <row r="1858" spans="1:4">
      <c r="A1858" s="2">
        <v>0.8643789437289308</v>
      </c>
      <c r="B1858" t="s">
        <v>527</v>
      </c>
      <c r="C1858" t="s">
        <v>606</v>
      </c>
      <c r="D1858" t="s">
        <v>606</v>
      </c>
    </row>
    <row r="1859" spans="1:4">
      <c r="A1859" s="2">
        <v>1.7591077805337132</v>
      </c>
      <c r="B1859" t="s">
        <v>528</v>
      </c>
      <c r="C1859" t="s">
        <v>606</v>
      </c>
      <c r="D1859" t="s">
        <v>606</v>
      </c>
    </row>
    <row r="1860" spans="1:4">
      <c r="A1860" s="2">
        <v>0.09056084330257284</v>
      </c>
      <c r="B1860" t="s">
        <v>529</v>
      </c>
      <c r="C1860" t="s">
        <v>606</v>
      </c>
      <c r="D1860" t="s">
        <v>606</v>
      </c>
    </row>
    <row r="1861" spans="1:4">
      <c r="A1861" s="2">
        <v>0.4270219489281749</v>
      </c>
      <c r="B1861" t="s">
        <v>530</v>
      </c>
      <c r="C1861" t="s">
        <v>606</v>
      </c>
      <c r="D1861" t="s">
        <v>606</v>
      </c>
    </row>
    <row r="1862" spans="1:4">
      <c r="A1862" s="2">
        <v>0.004723888705182106</v>
      </c>
      <c r="B1862" t="s">
        <v>531</v>
      </c>
      <c r="C1862" t="s">
        <v>606</v>
      </c>
      <c r="D1862" t="s">
        <v>606</v>
      </c>
    </row>
    <row r="1863" spans="1:4">
      <c r="A1863" s="2">
        <v>1.8938676565281616</v>
      </c>
      <c r="B1863" t="s">
        <v>532</v>
      </c>
      <c r="C1863" t="s">
        <v>606</v>
      </c>
      <c r="D1863" t="s">
        <v>606</v>
      </c>
    </row>
    <row r="1864" spans="1:4">
      <c r="A1864" s="2">
        <v>1.854736998293642</v>
      </c>
      <c r="B1864" t="s">
        <v>533</v>
      </c>
      <c r="C1864" t="s">
        <v>606</v>
      </c>
      <c r="D1864" t="s">
        <v>606</v>
      </c>
    </row>
    <row r="1865" spans="1:4">
      <c r="A1865" s="2">
        <v>0.021556184038076843</v>
      </c>
      <c r="B1865" t="s">
        <v>534</v>
      </c>
      <c r="C1865" t="s">
        <v>606</v>
      </c>
      <c r="D1865" t="s">
        <v>606</v>
      </c>
    </row>
    <row r="1866" spans="1:4">
      <c r="A1866" s="2">
        <v>1.9399018409668471</v>
      </c>
      <c r="B1866" t="s">
        <v>535</v>
      </c>
      <c r="C1866" t="s">
        <v>606</v>
      </c>
      <c r="D1866" t="s">
        <v>606</v>
      </c>
    </row>
    <row r="1867" spans="1:4">
      <c r="A1867" s="2">
        <v>1.097092704333516</v>
      </c>
      <c r="B1867" t="s">
        <v>536</v>
      </c>
      <c r="C1867" t="s">
        <v>606</v>
      </c>
      <c r="D1867" t="s">
        <v>606</v>
      </c>
    </row>
    <row r="1868" spans="1:4">
      <c r="A1868" s="2">
        <v>0.7670476336580502</v>
      </c>
      <c r="B1868" t="s">
        <v>537</v>
      </c>
      <c r="C1868" t="s">
        <v>606</v>
      </c>
      <c r="D1868" t="s">
        <v>606</v>
      </c>
    </row>
    <row r="1869" spans="1:4">
      <c r="A1869" s="2">
        <v>0.7088679379031687</v>
      </c>
      <c r="B1869" t="s">
        <v>538</v>
      </c>
      <c r="C1869" t="s">
        <v>606</v>
      </c>
      <c r="D1869" t="s">
        <v>606</v>
      </c>
    </row>
    <row r="1870" spans="1:4">
      <c r="A1870" s="2">
        <v>0.159509730891133</v>
      </c>
      <c r="B1870" t="s">
        <v>539</v>
      </c>
      <c r="C1870" t="s">
        <v>606</v>
      </c>
      <c r="D1870" t="s">
        <v>606</v>
      </c>
    </row>
    <row r="1871" spans="1:4">
      <c r="A1871" s="2">
        <v>0.3972983710766786</v>
      </c>
      <c r="B1871" t="s">
        <v>540</v>
      </c>
      <c r="C1871" t="s">
        <v>606</v>
      </c>
      <c r="D1871" t="s">
        <v>606</v>
      </c>
    </row>
    <row r="1872" spans="1:4">
      <c r="A1872" s="2">
        <v>0.218435998252512</v>
      </c>
      <c r="B1872" t="s">
        <v>541</v>
      </c>
      <c r="C1872" t="s">
        <v>606</v>
      </c>
      <c r="D1872" t="s">
        <v>606</v>
      </c>
    </row>
    <row r="1873" spans="1:4">
      <c r="A1873" s="2">
        <v>1</v>
      </c>
      <c r="B1873" t="s">
        <v>542</v>
      </c>
      <c r="C1873" t="s">
        <v>606</v>
      </c>
      <c r="D1873" t="s">
        <v>606</v>
      </c>
    </row>
    <row r="1874" spans="1:4">
      <c r="A1874" s="2">
        <v>6.959</v>
      </c>
      <c r="B1874" t="s">
        <v>364</v>
      </c>
      <c r="C1874" t="s">
        <v>606</v>
      </c>
      <c r="D1874" t="s">
        <v>607</v>
      </c>
    </row>
    <row r="1875" spans="1:4">
      <c r="A1875" s="2">
        <v>8.1923</v>
      </c>
      <c r="B1875" t="s">
        <v>373</v>
      </c>
      <c r="C1875" t="s">
        <v>606</v>
      </c>
      <c r="D1875" t="s">
        <v>607</v>
      </c>
    </row>
    <row r="1876" spans="1:4">
      <c r="A1876" s="2">
        <v>0.044367</v>
      </c>
      <c r="B1876" t="s">
        <v>520</v>
      </c>
      <c r="C1876" t="s">
        <v>606</v>
      </c>
      <c r="D1876" t="s">
        <v>607</v>
      </c>
    </row>
    <row r="1877" spans="1:4">
      <c r="A1877" s="2">
        <v>0.8908</v>
      </c>
      <c r="B1877" t="s">
        <v>370</v>
      </c>
      <c r="C1877" t="s">
        <v>606</v>
      </c>
      <c r="D1877" t="s">
        <v>607</v>
      </c>
    </row>
    <row r="1878" spans="1:4">
      <c r="A1878" s="2">
        <v>9.4053</v>
      </c>
      <c r="B1878" t="s">
        <v>521</v>
      </c>
      <c r="C1878" t="s">
        <v>606</v>
      </c>
      <c r="D1878" t="s">
        <v>607</v>
      </c>
    </row>
    <row r="1879" spans="1:4">
      <c r="A1879" s="2">
        <v>4.8103</v>
      </c>
      <c r="B1879" t="s">
        <v>522</v>
      </c>
      <c r="C1879" t="s">
        <v>606</v>
      </c>
      <c r="D1879" t="s">
        <v>607</v>
      </c>
    </row>
    <row r="1880" spans="1:4">
      <c r="A1880" s="2">
        <v>4.131600000000001</v>
      </c>
      <c r="B1880" t="s">
        <v>523</v>
      </c>
      <c r="C1880" t="s">
        <v>606</v>
      </c>
      <c r="D1880" t="s">
        <v>607</v>
      </c>
    </row>
    <row r="1881" spans="1:4">
      <c r="A1881" s="2">
        <v>5.453099999999999</v>
      </c>
      <c r="B1881" t="s">
        <v>524</v>
      </c>
      <c r="C1881" t="s">
        <v>606</v>
      </c>
      <c r="D1881" t="s">
        <v>607</v>
      </c>
    </row>
    <row r="1882" spans="1:4">
      <c r="A1882" s="2">
        <v>8.9412</v>
      </c>
      <c r="B1882" t="s">
        <v>525</v>
      </c>
      <c r="C1882" t="s">
        <v>606</v>
      </c>
      <c r="D1882" t="s">
        <v>607</v>
      </c>
    </row>
    <row r="1883" spans="1:4">
      <c r="A1883" s="2">
        <v>5.0725</v>
      </c>
      <c r="B1883" t="s">
        <v>526</v>
      </c>
      <c r="C1883" t="s">
        <v>606</v>
      </c>
      <c r="D1883" t="s">
        <v>607</v>
      </c>
    </row>
    <row r="1884" spans="1:4">
      <c r="A1884" s="2">
        <v>0.8643789437289308</v>
      </c>
      <c r="B1884" t="s">
        <v>527</v>
      </c>
      <c r="C1884" t="s">
        <v>606</v>
      </c>
      <c r="D1884" t="s">
        <v>607</v>
      </c>
    </row>
    <row r="1885" spans="1:4">
      <c r="A1885" s="2">
        <v>1.7591077805337132</v>
      </c>
      <c r="B1885" t="s">
        <v>528</v>
      </c>
      <c r="C1885" t="s">
        <v>606</v>
      </c>
      <c r="D1885" t="s">
        <v>607</v>
      </c>
    </row>
    <row r="1886" spans="1:4">
      <c r="A1886" s="2">
        <v>0.09056084330257284</v>
      </c>
      <c r="B1886" t="s">
        <v>529</v>
      </c>
      <c r="C1886" t="s">
        <v>606</v>
      </c>
      <c r="D1886" t="s">
        <v>607</v>
      </c>
    </row>
    <row r="1887" spans="1:4">
      <c r="A1887" s="2">
        <v>0.4270219489281749</v>
      </c>
      <c r="B1887" t="s">
        <v>530</v>
      </c>
      <c r="C1887" t="s">
        <v>606</v>
      </c>
      <c r="D1887" t="s">
        <v>607</v>
      </c>
    </row>
    <row r="1888" spans="1:4">
      <c r="A1888" s="2">
        <v>0.004723888705182106</v>
      </c>
      <c r="B1888" t="s">
        <v>531</v>
      </c>
      <c r="C1888" t="s">
        <v>606</v>
      </c>
      <c r="D1888" t="s">
        <v>607</v>
      </c>
    </row>
    <row r="1889" spans="1:4">
      <c r="A1889" s="2">
        <v>1.8938676565281616</v>
      </c>
      <c r="B1889" t="s">
        <v>532</v>
      </c>
      <c r="C1889" t="s">
        <v>606</v>
      </c>
      <c r="D1889" t="s">
        <v>607</v>
      </c>
    </row>
    <row r="1890" spans="1:4">
      <c r="A1890" s="2">
        <v>1.854736998293642</v>
      </c>
      <c r="B1890" t="s">
        <v>533</v>
      </c>
      <c r="C1890" t="s">
        <v>606</v>
      </c>
      <c r="D1890" t="s">
        <v>607</v>
      </c>
    </row>
    <row r="1891" spans="1:4">
      <c r="A1891" s="2">
        <v>0.021556184038076843</v>
      </c>
      <c r="B1891" t="s">
        <v>534</v>
      </c>
      <c r="C1891" t="s">
        <v>606</v>
      </c>
      <c r="D1891" t="s">
        <v>607</v>
      </c>
    </row>
    <row r="1892" spans="1:4">
      <c r="A1892" s="2">
        <v>1.9399018409668471</v>
      </c>
      <c r="B1892" t="s">
        <v>535</v>
      </c>
      <c r="C1892" t="s">
        <v>606</v>
      </c>
      <c r="D1892" t="s">
        <v>607</v>
      </c>
    </row>
    <row r="1893" spans="1:4">
      <c r="A1893" s="2">
        <v>1.097092704333516</v>
      </c>
      <c r="B1893" t="s">
        <v>536</v>
      </c>
      <c r="C1893" t="s">
        <v>606</v>
      </c>
      <c r="D1893" t="s">
        <v>607</v>
      </c>
    </row>
    <row r="1894" spans="1:4">
      <c r="A1894" s="2">
        <v>0.7670476336580502</v>
      </c>
      <c r="B1894" t="s">
        <v>537</v>
      </c>
      <c r="C1894" t="s">
        <v>606</v>
      </c>
      <c r="D1894" t="s">
        <v>607</v>
      </c>
    </row>
    <row r="1895" spans="1:4">
      <c r="A1895" s="2">
        <v>0.7088679379031687</v>
      </c>
      <c r="B1895" t="s">
        <v>538</v>
      </c>
      <c r="C1895" t="s">
        <v>606</v>
      </c>
      <c r="D1895" t="s">
        <v>607</v>
      </c>
    </row>
    <row r="1896" spans="1:4">
      <c r="A1896" s="2">
        <v>0.159509730891133</v>
      </c>
      <c r="B1896" t="s">
        <v>539</v>
      </c>
      <c r="C1896" t="s">
        <v>606</v>
      </c>
      <c r="D1896" t="s">
        <v>607</v>
      </c>
    </row>
    <row r="1897" spans="1:4">
      <c r="A1897" s="2">
        <v>0.3972983710766786</v>
      </c>
      <c r="B1897" t="s">
        <v>540</v>
      </c>
      <c r="C1897" t="s">
        <v>606</v>
      </c>
      <c r="D1897" t="s">
        <v>607</v>
      </c>
    </row>
    <row r="1898" spans="1:4">
      <c r="A1898" s="2">
        <v>0.218435998252512</v>
      </c>
      <c r="B1898" t="s">
        <v>541</v>
      </c>
      <c r="C1898" t="s">
        <v>606</v>
      </c>
      <c r="D1898" t="s">
        <v>607</v>
      </c>
    </row>
    <row r="1899" spans="1:4">
      <c r="A1899" s="2">
        <v>1</v>
      </c>
      <c r="B1899" t="s">
        <v>542</v>
      </c>
      <c r="C1899" t="s">
        <v>607</v>
      </c>
      <c r="D1899" t="s">
        <v>607</v>
      </c>
    </row>
    <row r="1900" spans="1:4">
      <c r="A1900" s="2">
        <v>6.959</v>
      </c>
      <c r="B1900" t="s">
        <v>364</v>
      </c>
      <c r="C1900" t="s">
        <v>606</v>
      </c>
      <c r="D1900" t="s">
        <v>608</v>
      </c>
    </row>
    <row r="1901" spans="1:4">
      <c r="A1901" s="2">
        <v>8.1923</v>
      </c>
      <c r="B1901" t="s">
        <v>373</v>
      </c>
      <c r="C1901" t="s">
        <v>606</v>
      </c>
      <c r="D1901" t="s">
        <v>608</v>
      </c>
    </row>
    <row r="1902" spans="1:4">
      <c r="A1902" s="2">
        <v>0.044367</v>
      </c>
      <c r="B1902" t="s">
        <v>520</v>
      </c>
      <c r="C1902" t="s">
        <v>606</v>
      </c>
      <c r="D1902" t="s">
        <v>608</v>
      </c>
    </row>
    <row r="1903" spans="1:4">
      <c r="A1903" s="2">
        <v>0.8908</v>
      </c>
      <c r="B1903" t="s">
        <v>370</v>
      </c>
      <c r="C1903" t="s">
        <v>606</v>
      </c>
      <c r="D1903" t="s">
        <v>608</v>
      </c>
    </row>
    <row r="1904" spans="1:4">
      <c r="A1904" s="2">
        <v>9.4053</v>
      </c>
      <c r="B1904" t="s">
        <v>521</v>
      </c>
      <c r="C1904" t="s">
        <v>606</v>
      </c>
      <c r="D1904" t="s">
        <v>608</v>
      </c>
    </row>
    <row r="1905" spans="1:4">
      <c r="A1905" s="2">
        <v>4.8103</v>
      </c>
      <c r="B1905" t="s">
        <v>522</v>
      </c>
      <c r="C1905" t="s">
        <v>606</v>
      </c>
      <c r="D1905" t="s">
        <v>608</v>
      </c>
    </row>
    <row r="1906" spans="1:4">
      <c r="A1906" s="2">
        <v>4.131600000000001</v>
      </c>
      <c r="B1906" t="s">
        <v>523</v>
      </c>
      <c r="C1906" t="s">
        <v>606</v>
      </c>
      <c r="D1906" t="s">
        <v>608</v>
      </c>
    </row>
    <row r="1907" spans="1:4">
      <c r="A1907" s="2">
        <v>5.453099999999999</v>
      </c>
      <c r="B1907" t="s">
        <v>524</v>
      </c>
      <c r="C1907" t="s">
        <v>606</v>
      </c>
      <c r="D1907" t="s">
        <v>608</v>
      </c>
    </row>
    <row r="1908" spans="1:4">
      <c r="A1908" s="2">
        <v>8.9412</v>
      </c>
      <c r="B1908" t="s">
        <v>525</v>
      </c>
      <c r="C1908" t="s">
        <v>606</v>
      </c>
      <c r="D1908" t="s">
        <v>608</v>
      </c>
    </row>
    <row r="1909" spans="1:4">
      <c r="A1909" s="2">
        <v>5.0725</v>
      </c>
      <c r="B1909" t="s">
        <v>526</v>
      </c>
      <c r="C1909" t="s">
        <v>606</v>
      </c>
      <c r="D1909" t="s">
        <v>608</v>
      </c>
    </row>
    <row r="1910" spans="1:4">
      <c r="A1910" s="2">
        <v>0.8643789437289308</v>
      </c>
      <c r="B1910" t="s">
        <v>527</v>
      </c>
      <c r="C1910" t="s">
        <v>606</v>
      </c>
      <c r="D1910" t="s">
        <v>608</v>
      </c>
    </row>
    <row r="1911" spans="1:4">
      <c r="A1911" s="2">
        <v>1.7591077805337132</v>
      </c>
      <c r="B1911" t="s">
        <v>528</v>
      </c>
      <c r="C1911" t="s">
        <v>606</v>
      </c>
      <c r="D1911" t="s">
        <v>608</v>
      </c>
    </row>
    <row r="1912" spans="1:4">
      <c r="A1912" s="2">
        <v>0.09056084330257284</v>
      </c>
      <c r="B1912" t="s">
        <v>529</v>
      </c>
      <c r="C1912" t="s">
        <v>606</v>
      </c>
      <c r="D1912" t="s">
        <v>608</v>
      </c>
    </row>
    <row r="1913" spans="1:4">
      <c r="A1913" s="2">
        <v>0.4270219489281749</v>
      </c>
      <c r="B1913" t="s">
        <v>530</v>
      </c>
      <c r="C1913" t="s">
        <v>606</v>
      </c>
      <c r="D1913" t="s">
        <v>608</v>
      </c>
    </row>
    <row r="1914" spans="1:4">
      <c r="A1914" s="2">
        <v>0.004723888705182106</v>
      </c>
      <c r="B1914" t="s">
        <v>531</v>
      </c>
      <c r="C1914" t="s">
        <v>606</v>
      </c>
      <c r="D1914" t="s">
        <v>608</v>
      </c>
    </row>
    <row r="1915" spans="1:4">
      <c r="A1915" s="2">
        <v>1.8938676565281616</v>
      </c>
      <c r="B1915" t="s">
        <v>532</v>
      </c>
      <c r="C1915" t="s">
        <v>606</v>
      </c>
      <c r="D1915" t="s">
        <v>608</v>
      </c>
    </row>
    <row r="1916" spans="1:4">
      <c r="A1916" s="2">
        <v>1.854736998293642</v>
      </c>
      <c r="B1916" t="s">
        <v>533</v>
      </c>
      <c r="C1916" t="s">
        <v>606</v>
      </c>
      <c r="D1916" t="s">
        <v>608</v>
      </c>
    </row>
    <row r="1917" spans="1:4">
      <c r="A1917" s="2">
        <v>0.021556184038076843</v>
      </c>
      <c r="B1917" t="s">
        <v>534</v>
      </c>
      <c r="C1917" t="s">
        <v>606</v>
      </c>
      <c r="D1917" t="s">
        <v>608</v>
      </c>
    </row>
    <row r="1918" spans="1:4">
      <c r="A1918" s="2">
        <v>1.9399018409668471</v>
      </c>
      <c r="B1918" t="s">
        <v>535</v>
      </c>
      <c r="C1918" t="s">
        <v>606</v>
      </c>
      <c r="D1918" t="s">
        <v>608</v>
      </c>
    </row>
    <row r="1919" spans="1:4">
      <c r="A1919" s="2">
        <v>1.097092704333516</v>
      </c>
      <c r="B1919" t="s">
        <v>536</v>
      </c>
      <c r="C1919" t="s">
        <v>606</v>
      </c>
      <c r="D1919" t="s">
        <v>608</v>
      </c>
    </row>
    <row r="1920" spans="1:4">
      <c r="A1920" s="2">
        <v>0.7670476336580502</v>
      </c>
      <c r="B1920" t="s">
        <v>537</v>
      </c>
      <c r="C1920" t="s">
        <v>606</v>
      </c>
      <c r="D1920" t="s">
        <v>608</v>
      </c>
    </row>
    <row r="1921" spans="1:4">
      <c r="A1921" s="2">
        <v>0.7088679379031687</v>
      </c>
      <c r="B1921" t="s">
        <v>538</v>
      </c>
      <c r="C1921" t="s">
        <v>606</v>
      </c>
      <c r="D1921" t="s">
        <v>608</v>
      </c>
    </row>
    <row r="1922" spans="1:4">
      <c r="A1922" s="2">
        <v>0.159509730891133</v>
      </c>
      <c r="B1922" t="s">
        <v>539</v>
      </c>
      <c r="C1922" t="s">
        <v>606</v>
      </c>
      <c r="D1922" t="s">
        <v>608</v>
      </c>
    </row>
    <row r="1923" spans="1:4">
      <c r="A1923" s="2">
        <v>0.3972983710766786</v>
      </c>
      <c r="B1923" t="s">
        <v>540</v>
      </c>
      <c r="C1923" t="s">
        <v>606</v>
      </c>
      <c r="D1923" t="s">
        <v>608</v>
      </c>
    </row>
    <row r="1924" spans="1:4">
      <c r="A1924" s="2">
        <v>0.218435998252512</v>
      </c>
      <c r="B1924" t="s">
        <v>541</v>
      </c>
      <c r="C1924" t="s">
        <v>606</v>
      </c>
      <c r="D1924" t="s">
        <v>608</v>
      </c>
    </row>
    <row r="1925" spans="1:4">
      <c r="A1925" s="2">
        <v>1</v>
      </c>
      <c r="B1925" t="s">
        <v>542</v>
      </c>
      <c r="C1925" t="s">
        <v>608</v>
      </c>
      <c r="D1925" t="s">
        <v>608</v>
      </c>
    </row>
    <row r="1926" spans="1:4">
      <c r="A1926" s="2">
        <v>6.9523</v>
      </c>
      <c r="B1926" t="s">
        <v>364</v>
      </c>
      <c r="C1926" t="s">
        <v>609</v>
      </c>
      <c r="D1926" t="s">
        <v>609</v>
      </c>
    </row>
    <row r="1927" spans="1:4">
      <c r="A1927" s="2">
        <v>8.204600000000001</v>
      </c>
      <c r="B1927" t="s">
        <v>373</v>
      </c>
      <c r="C1927" t="s">
        <v>609</v>
      </c>
      <c r="D1927" t="s">
        <v>609</v>
      </c>
    </row>
    <row r="1928" spans="1:4">
      <c r="A1928" s="2">
        <v>0.044125</v>
      </c>
      <c r="B1928" t="s">
        <v>520</v>
      </c>
      <c r="C1928" t="s">
        <v>609</v>
      </c>
      <c r="D1928" t="s">
        <v>609</v>
      </c>
    </row>
    <row r="1929" spans="1:4">
      <c r="A1929" s="2">
        <v>0.88969</v>
      </c>
      <c r="B1929" t="s">
        <v>370</v>
      </c>
      <c r="C1929" t="s">
        <v>609</v>
      </c>
      <c r="D1929" t="s">
        <v>609</v>
      </c>
    </row>
    <row r="1930" spans="1:4">
      <c r="A1930" s="2">
        <v>9.4343</v>
      </c>
      <c r="B1930" t="s">
        <v>521</v>
      </c>
      <c r="C1930" t="s">
        <v>609</v>
      </c>
      <c r="D1930" t="s">
        <v>609</v>
      </c>
    </row>
    <row r="1931" spans="1:4">
      <c r="A1931" s="2">
        <v>4.8748000000000005</v>
      </c>
      <c r="B1931" t="s">
        <v>522</v>
      </c>
      <c r="C1931" t="s">
        <v>609</v>
      </c>
      <c r="D1931" t="s">
        <v>609</v>
      </c>
    </row>
    <row r="1932" spans="1:4">
      <c r="A1932" s="2">
        <v>4.1756</v>
      </c>
      <c r="B1932" t="s">
        <v>523</v>
      </c>
      <c r="C1932" t="s">
        <v>609</v>
      </c>
      <c r="D1932" t="s">
        <v>609</v>
      </c>
    </row>
    <row r="1933" spans="1:4">
      <c r="A1933" s="2">
        <v>5.4615</v>
      </c>
      <c r="B1933" t="s">
        <v>524</v>
      </c>
      <c r="C1933" t="s">
        <v>609</v>
      </c>
      <c r="D1933" t="s">
        <v>609</v>
      </c>
    </row>
    <row r="1934" spans="1:4">
      <c r="A1934" s="2">
        <v>8.9361</v>
      </c>
      <c r="B1934" t="s">
        <v>525</v>
      </c>
      <c r="C1934" t="s">
        <v>609</v>
      </c>
      <c r="D1934" t="s">
        <v>609</v>
      </c>
    </row>
    <row r="1935" spans="1:4">
      <c r="A1935" s="2">
        <v>5.077</v>
      </c>
      <c r="B1935" t="s">
        <v>526</v>
      </c>
      <c r="C1935" t="s">
        <v>609</v>
      </c>
      <c r="D1935" t="s">
        <v>609</v>
      </c>
    </row>
    <row r="1936" spans="1:4">
      <c r="A1936" s="2">
        <v>0.8631851532153647</v>
      </c>
      <c r="B1936" t="s">
        <v>527</v>
      </c>
      <c r="C1936" t="s">
        <v>609</v>
      </c>
      <c r="D1936" t="s">
        <v>609</v>
      </c>
    </row>
    <row r="1937" spans="1:4">
      <c r="A1937" s="2">
        <v>1.761028440609316</v>
      </c>
      <c r="B1937" t="s">
        <v>528</v>
      </c>
      <c r="C1937" t="s">
        <v>609</v>
      </c>
      <c r="D1937" t="s">
        <v>609</v>
      </c>
    </row>
    <row r="1938" spans="1:4">
      <c r="A1938" s="2">
        <v>0.09002277576226786</v>
      </c>
      <c r="B1938" t="s">
        <v>529</v>
      </c>
      <c r="C1938" t="s">
        <v>609</v>
      </c>
      <c r="D1938" t="s">
        <v>609</v>
      </c>
    </row>
    <row r="1939" spans="1:4">
      <c r="A1939" s="2">
        <v>0.43344458410992154</v>
      </c>
      <c r="B1939" t="s">
        <v>530</v>
      </c>
      <c r="C1939" t="s">
        <v>609</v>
      </c>
      <c r="D1939" t="s">
        <v>609</v>
      </c>
    </row>
    <row r="1940" spans="1:4">
      <c r="A1940" s="2">
        <v>0.004741134079271762</v>
      </c>
      <c r="B1940" t="s">
        <v>531</v>
      </c>
      <c r="C1940" t="s">
        <v>609</v>
      </c>
      <c r="D1940" t="s">
        <v>609</v>
      </c>
    </row>
    <row r="1941" spans="1:4">
      <c r="A1941" s="2">
        <v>1.8888595066298968</v>
      </c>
      <c r="B1941" t="s">
        <v>532</v>
      </c>
      <c r="C1941" t="s">
        <v>609</v>
      </c>
      <c r="D1941" t="s">
        <v>609</v>
      </c>
    </row>
    <row r="1942" spans="1:4">
      <c r="A1942" s="2">
        <v>1.8499334023975136</v>
      </c>
      <c r="B1942" t="s">
        <v>533</v>
      </c>
      <c r="C1942" t="s">
        <v>609</v>
      </c>
      <c r="D1942" t="s">
        <v>609</v>
      </c>
    </row>
    <row r="1943" spans="1:4">
      <c r="A1943" s="2">
        <v>0.021719960209032895</v>
      </c>
      <c r="B1943" t="s">
        <v>534</v>
      </c>
      <c r="C1943" t="s">
        <v>609</v>
      </c>
      <c r="D1943" t="s">
        <v>609</v>
      </c>
    </row>
    <row r="1944" spans="1:4">
      <c r="A1944" s="2">
        <v>1.9456767063584717</v>
      </c>
      <c r="B1944" t="s">
        <v>535</v>
      </c>
      <c r="C1944" t="s">
        <v>609</v>
      </c>
      <c r="D1944" t="s">
        <v>609</v>
      </c>
    </row>
    <row r="1945" spans="1:4">
      <c r="A1945" s="2">
        <v>1.0981770261366133</v>
      </c>
      <c r="B1945" t="s">
        <v>536</v>
      </c>
      <c r="C1945" t="s">
        <v>609</v>
      </c>
      <c r="D1945" t="s">
        <v>609</v>
      </c>
    </row>
    <row r="1946" spans="1:4">
      <c r="A1946" s="2">
        <v>0.7702973347712218</v>
      </c>
      <c r="B1946" t="s">
        <v>537</v>
      </c>
      <c r="C1946" t="s">
        <v>609</v>
      </c>
      <c r="D1946" t="s">
        <v>609</v>
      </c>
    </row>
    <row r="1947" spans="1:4">
      <c r="A1947" s="2">
        <v>0.7167944950182783</v>
      </c>
      <c r="B1947" t="s">
        <v>538</v>
      </c>
      <c r="C1947" t="s">
        <v>609</v>
      </c>
      <c r="D1947" t="s">
        <v>609</v>
      </c>
    </row>
    <row r="1948" spans="1:4">
      <c r="A1948" s="2">
        <v>0.15929756147292898</v>
      </c>
      <c r="B1948" t="s">
        <v>539</v>
      </c>
      <c r="C1948" t="s">
        <v>609</v>
      </c>
      <c r="D1948" t="s">
        <v>609</v>
      </c>
    </row>
    <row r="1949" spans="1:4">
      <c r="A1949" s="2">
        <v>0.40233353450010056</v>
      </c>
      <c r="B1949" t="s">
        <v>540</v>
      </c>
      <c r="C1949" t="s">
        <v>609</v>
      </c>
      <c r="D1949" t="s">
        <v>609</v>
      </c>
    </row>
    <row r="1950" spans="1:4">
      <c r="A1950" s="2">
        <v>0.21995424951610065</v>
      </c>
      <c r="B1950" t="s">
        <v>541</v>
      </c>
      <c r="C1950" t="s">
        <v>609</v>
      </c>
      <c r="D1950" t="s">
        <v>609</v>
      </c>
    </row>
    <row r="1951" spans="1:4">
      <c r="A1951" s="2">
        <v>1</v>
      </c>
      <c r="B1951" t="s">
        <v>542</v>
      </c>
      <c r="C1951" t="s">
        <v>609</v>
      </c>
      <c r="D1951" t="s">
        <v>609</v>
      </c>
    </row>
    <row r="1952" spans="1:4">
      <c r="A1952" s="2">
        <v>6.9458</v>
      </c>
      <c r="B1952" t="s">
        <v>364</v>
      </c>
      <c r="C1952" t="s">
        <v>610</v>
      </c>
      <c r="D1952" t="s">
        <v>610</v>
      </c>
    </row>
    <row r="1953" spans="1:4">
      <c r="A1953" s="2">
        <v>8.2513</v>
      </c>
      <c r="B1953" t="s">
        <v>373</v>
      </c>
      <c r="C1953" t="s">
        <v>610</v>
      </c>
      <c r="D1953" t="s">
        <v>610</v>
      </c>
    </row>
    <row r="1954" spans="1:4">
      <c r="A1954" s="2">
        <v>0.044389000000000005</v>
      </c>
      <c r="B1954" t="s">
        <v>520</v>
      </c>
      <c r="C1954" t="s">
        <v>610</v>
      </c>
      <c r="D1954" t="s">
        <v>610</v>
      </c>
    </row>
    <row r="1955" spans="1:4">
      <c r="A1955" s="2">
        <v>0.88882</v>
      </c>
      <c r="B1955" t="s">
        <v>370</v>
      </c>
      <c r="C1955" t="s">
        <v>610</v>
      </c>
      <c r="D1955" t="s">
        <v>610</v>
      </c>
    </row>
    <row r="1956" spans="1:4">
      <c r="A1956" s="2">
        <v>9.4795</v>
      </c>
      <c r="B1956" t="s">
        <v>521</v>
      </c>
      <c r="C1956" t="s">
        <v>610</v>
      </c>
      <c r="D1956" t="s">
        <v>610</v>
      </c>
    </row>
    <row r="1957" spans="1:4">
      <c r="A1957" s="2">
        <v>4.9055</v>
      </c>
      <c r="B1957" t="s">
        <v>522</v>
      </c>
      <c r="C1957" t="s">
        <v>610</v>
      </c>
      <c r="D1957" t="s">
        <v>610</v>
      </c>
    </row>
    <row r="1958" spans="1:4">
      <c r="A1958" s="2">
        <v>4.1876999999999995</v>
      </c>
      <c r="B1958" t="s">
        <v>523</v>
      </c>
      <c r="C1958" t="s">
        <v>610</v>
      </c>
      <c r="D1958" t="s">
        <v>610</v>
      </c>
    </row>
    <row r="1959" spans="1:4">
      <c r="A1959" s="2">
        <v>5.4762</v>
      </c>
      <c r="B1959" t="s">
        <v>524</v>
      </c>
      <c r="C1959" t="s">
        <v>610</v>
      </c>
      <c r="D1959" t="s">
        <v>610</v>
      </c>
    </row>
    <row r="1960" spans="1:4">
      <c r="A1960" s="2">
        <v>9.0316</v>
      </c>
      <c r="B1960" t="s">
        <v>525</v>
      </c>
      <c r="C1960" t="s">
        <v>610</v>
      </c>
      <c r="D1960" t="s">
        <v>610</v>
      </c>
    </row>
    <row r="1961" spans="1:4">
      <c r="A1961" s="2">
        <v>5.1071</v>
      </c>
      <c r="B1961" t="s">
        <v>526</v>
      </c>
      <c r="C1961" t="s">
        <v>610</v>
      </c>
      <c r="D1961" t="s">
        <v>610</v>
      </c>
    </row>
    <row r="1962" spans="1:4">
      <c r="A1962" s="2">
        <v>0.8622919720617401</v>
      </c>
      <c r="B1962" t="s">
        <v>527</v>
      </c>
      <c r="C1962" t="s">
        <v>610</v>
      </c>
      <c r="D1962" t="s">
        <v>610</v>
      </c>
    </row>
    <row r="1963" spans="1:4">
      <c r="A1963" s="2">
        <v>1.7629532993670998</v>
      </c>
      <c r="B1963" t="s">
        <v>528</v>
      </c>
      <c r="C1963" t="s">
        <v>610</v>
      </c>
      <c r="D1963" t="s">
        <v>610</v>
      </c>
    </row>
    <row r="1964" spans="1:4">
      <c r="A1964" s="2">
        <v>0.08981256118480731</v>
      </c>
      <c r="B1964" t="s">
        <v>529</v>
      </c>
      <c r="C1964" t="s">
        <v>610</v>
      </c>
      <c r="D1964" t="s">
        <v>610</v>
      </c>
    </row>
    <row r="1965" spans="1:4">
      <c r="A1965" s="2">
        <v>0.4360908813396712</v>
      </c>
      <c r="B1965" t="s">
        <v>530</v>
      </c>
      <c r="C1965" t="s">
        <v>610</v>
      </c>
      <c r="D1965" t="s">
        <v>610</v>
      </c>
    </row>
    <row r="1966" spans="1:4">
      <c r="A1966" s="2">
        <v>0.0047467603360706314</v>
      </c>
      <c r="B1966" t="s">
        <v>531</v>
      </c>
      <c r="C1966" t="s">
        <v>610</v>
      </c>
      <c r="D1966" t="s">
        <v>610</v>
      </c>
    </row>
    <row r="1967" spans="1:4">
      <c r="A1967" s="2">
        <v>1.885902876001886</v>
      </c>
      <c r="B1967" t="s">
        <v>532</v>
      </c>
      <c r="C1967" t="s">
        <v>610</v>
      </c>
      <c r="D1967" t="s">
        <v>610</v>
      </c>
    </row>
    <row r="1968" spans="1:4">
      <c r="A1968" s="2">
        <v>1.846790278495974</v>
      </c>
      <c r="B1968" t="s">
        <v>533</v>
      </c>
      <c r="C1968" t="s">
        <v>610</v>
      </c>
      <c r="D1968" t="s">
        <v>610</v>
      </c>
    </row>
    <row r="1969" spans="1:4">
      <c r="A1969" s="2">
        <v>0.021919009260781417</v>
      </c>
      <c r="B1969" t="s">
        <v>534</v>
      </c>
      <c r="C1969" t="s">
        <v>610</v>
      </c>
      <c r="D1969" t="s">
        <v>610</v>
      </c>
    </row>
    <row r="1970" spans="1:4">
      <c r="A1970" s="2">
        <v>1.9619768879122603</v>
      </c>
      <c r="B1970" t="s">
        <v>535</v>
      </c>
      <c r="C1970" t="s">
        <v>610</v>
      </c>
      <c r="D1970" t="s">
        <v>610</v>
      </c>
    </row>
    <row r="1971" spans="1:4">
      <c r="A1971" s="2">
        <v>1.1042402826855124</v>
      </c>
      <c r="B1971" t="s">
        <v>536</v>
      </c>
      <c r="C1971" t="s">
        <v>610</v>
      </c>
      <c r="D1971" t="s">
        <v>610</v>
      </c>
    </row>
    <row r="1972" spans="1:4">
      <c r="A1972" s="2">
        <v>0.7763975155279502</v>
      </c>
      <c r="B1972" t="s">
        <v>537</v>
      </c>
      <c r="C1972" t="s">
        <v>610</v>
      </c>
      <c r="D1972" t="s">
        <v>610</v>
      </c>
    </row>
    <row r="1973" spans="1:4">
      <c r="A1973" s="2">
        <v>0.7231180851833104</v>
      </c>
      <c r="B1973" t="s">
        <v>538</v>
      </c>
      <c r="C1973" t="s">
        <v>610</v>
      </c>
      <c r="D1973" t="s">
        <v>610</v>
      </c>
    </row>
    <row r="1974" spans="1:4">
      <c r="A1974" s="2">
        <v>0.15896456838735212</v>
      </c>
      <c r="B1974" t="s">
        <v>539</v>
      </c>
      <c r="C1974" t="s">
        <v>610</v>
      </c>
      <c r="D1974" t="s">
        <v>610</v>
      </c>
    </row>
    <row r="1975" spans="1:4">
      <c r="A1975" s="2">
        <v>0.4031120248317007</v>
      </c>
      <c r="B1975" t="s">
        <v>540</v>
      </c>
      <c r="C1975" t="s">
        <v>610</v>
      </c>
      <c r="D1975" t="s">
        <v>610</v>
      </c>
    </row>
    <row r="1976" spans="1:4">
      <c r="A1976" s="2">
        <v>0.22213830330763937</v>
      </c>
      <c r="B1976" t="s">
        <v>541</v>
      </c>
      <c r="C1976" t="s">
        <v>610</v>
      </c>
      <c r="D1976" t="s">
        <v>610</v>
      </c>
    </row>
    <row r="1977" spans="1:4">
      <c r="A1977" s="2">
        <v>1</v>
      </c>
      <c r="B1977" t="s">
        <v>542</v>
      </c>
      <c r="C1977" t="s">
        <v>610</v>
      </c>
      <c r="D1977" t="s">
        <v>610</v>
      </c>
    </row>
    <row r="1978" spans="1:4">
      <c r="A1978" s="2">
        <v>6.9437999999999995</v>
      </c>
      <c r="B1978" t="s">
        <v>364</v>
      </c>
      <c r="C1978" t="s">
        <v>611</v>
      </c>
      <c r="D1978" t="s">
        <v>611</v>
      </c>
    </row>
    <row r="1979" spans="1:4">
      <c r="A1979" s="2">
        <v>8.2392</v>
      </c>
      <c r="B1979" t="s">
        <v>373</v>
      </c>
      <c r="C1979" t="s">
        <v>611</v>
      </c>
      <c r="D1979" t="s">
        <v>611</v>
      </c>
    </row>
    <row r="1980" spans="1:4">
      <c r="A1980" s="2">
        <v>0.044836</v>
      </c>
      <c r="B1980" t="s">
        <v>520</v>
      </c>
      <c r="C1980" t="s">
        <v>611</v>
      </c>
      <c r="D1980" t="s">
        <v>611</v>
      </c>
    </row>
    <row r="1981" spans="1:4">
      <c r="A1981" s="2">
        <v>0.88825</v>
      </c>
      <c r="B1981" t="s">
        <v>370</v>
      </c>
      <c r="C1981" t="s">
        <v>611</v>
      </c>
      <c r="D1981" t="s">
        <v>611</v>
      </c>
    </row>
    <row r="1982" spans="1:4">
      <c r="A1982" s="2">
        <v>9.4418</v>
      </c>
      <c r="B1982" t="s">
        <v>521</v>
      </c>
      <c r="C1982" t="s">
        <v>611</v>
      </c>
      <c r="D1982" t="s">
        <v>611</v>
      </c>
    </row>
    <row r="1983" spans="1:4">
      <c r="A1983" s="2">
        <v>4.8976999999999995</v>
      </c>
      <c r="B1983" t="s">
        <v>522</v>
      </c>
      <c r="C1983" t="s">
        <v>611</v>
      </c>
      <c r="D1983" t="s">
        <v>611</v>
      </c>
    </row>
    <row r="1984" spans="1:4">
      <c r="A1984" s="2">
        <v>4.1813</v>
      </c>
      <c r="B1984" t="s">
        <v>523</v>
      </c>
      <c r="C1984" t="s">
        <v>611</v>
      </c>
      <c r="D1984" t="s">
        <v>611</v>
      </c>
    </row>
    <row r="1985" spans="1:4">
      <c r="A1985" s="2">
        <v>5.4777</v>
      </c>
      <c r="B1985" t="s">
        <v>524</v>
      </c>
      <c r="C1985" t="s">
        <v>611</v>
      </c>
      <c r="D1985" t="s">
        <v>611</v>
      </c>
    </row>
    <row r="1986" spans="1:4">
      <c r="A1986" s="2">
        <v>9.0138</v>
      </c>
      <c r="B1986" t="s">
        <v>525</v>
      </c>
      <c r="C1986" t="s">
        <v>611</v>
      </c>
      <c r="D1986" t="s">
        <v>611</v>
      </c>
    </row>
    <row r="1987" spans="1:4">
      <c r="A1987" s="2">
        <v>5.1105</v>
      </c>
      <c r="B1987" t="s">
        <v>526</v>
      </c>
      <c r="C1987" t="s">
        <v>611</v>
      </c>
      <c r="D1987" t="s">
        <v>611</v>
      </c>
    </row>
    <row r="1988" spans="1:4">
      <c r="A1988" s="2">
        <v>0.8619203585588692</v>
      </c>
      <c r="B1988" t="s">
        <v>527</v>
      </c>
      <c r="C1988" t="s">
        <v>611</v>
      </c>
      <c r="D1988" t="s">
        <v>611</v>
      </c>
    </row>
    <row r="1989" spans="1:4">
      <c r="A1989" s="2">
        <v>1.7677526560483656</v>
      </c>
      <c r="B1989" t="s">
        <v>528</v>
      </c>
      <c r="C1989" t="s">
        <v>611</v>
      </c>
      <c r="D1989" t="s">
        <v>611</v>
      </c>
    </row>
    <row r="1990" spans="1:4">
      <c r="A1990" s="2">
        <v>0.08940865118108828</v>
      </c>
      <c r="B1990" t="s">
        <v>529</v>
      </c>
      <c r="C1990" t="s">
        <v>611</v>
      </c>
      <c r="D1990" t="s">
        <v>611</v>
      </c>
    </row>
    <row r="1991" spans="1:4">
      <c r="A1991" s="2">
        <v>0.43470700747696056</v>
      </c>
      <c r="B1991" t="s">
        <v>530</v>
      </c>
      <c r="C1991" t="s">
        <v>611</v>
      </c>
      <c r="D1991" t="s">
        <v>611</v>
      </c>
    </row>
    <row r="1992" spans="1:4">
      <c r="A1992" s="2">
        <v>0.004751270964983133</v>
      </c>
      <c r="B1992" t="s">
        <v>531</v>
      </c>
      <c r="C1992" t="s">
        <v>611</v>
      </c>
      <c r="D1992" t="s">
        <v>611</v>
      </c>
    </row>
    <row r="1993" spans="1:4">
      <c r="A1993" s="2">
        <v>1.8857961831485253</v>
      </c>
      <c r="B1993" t="s">
        <v>532</v>
      </c>
      <c r="C1993" t="s">
        <v>611</v>
      </c>
      <c r="D1993" t="s">
        <v>611</v>
      </c>
    </row>
    <row r="1994" spans="1:4">
      <c r="A1994" s="2">
        <v>1.846517468055248</v>
      </c>
      <c r="B1994" t="s">
        <v>533</v>
      </c>
      <c r="C1994" t="s">
        <v>611</v>
      </c>
      <c r="D1994" t="s">
        <v>611</v>
      </c>
    </row>
    <row r="1995" spans="1:4">
      <c r="A1995" s="2">
        <v>0.021805067061483743</v>
      </c>
      <c r="B1995" t="s">
        <v>534</v>
      </c>
      <c r="C1995" t="s">
        <v>611</v>
      </c>
      <c r="D1995" t="s">
        <v>611</v>
      </c>
    </row>
    <row r="1996" spans="1:4">
      <c r="A1996" s="2">
        <v>1.953850061546277</v>
      </c>
      <c r="B1996" t="s">
        <v>535</v>
      </c>
      <c r="C1996" t="s">
        <v>611</v>
      </c>
      <c r="D1996" t="s">
        <v>611</v>
      </c>
    </row>
    <row r="1997" spans="1:4">
      <c r="A1997" s="2">
        <v>1.102779003087781</v>
      </c>
      <c r="B1997" t="s">
        <v>536</v>
      </c>
      <c r="C1997" t="s">
        <v>611</v>
      </c>
      <c r="D1997" t="s">
        <v>611</v>
      </c>
    </row>
    <row r="1998" spans="1:4">
      <c r="A1998" s="2">
        <v>0.7792410192472531</v>
      </c>
      <c r="B1998" t="s">
        <v>537</v>
      </c>
      <c r="C1998" t="s">
        <v>611</v>
      </c>
      <c r="D1998" t="s">
        <v>611</v>
      </c>
    </row>
    <row r="1999" spans="1:4">
      <c r="A1999" s="2">
        <v>0.7274843590862796</v>
      </c>
      <c r="B1999" t="s">
        <v>538</v>
      </c>
      <c r="C1999" t="s">
        <v>611</v>
      </c>
      <c r="D1999" t="s">
        <v>611</v>
      </c>
    </row>
    <row r="2000" spans="1:4">
      <c r="A2000" s="2">
        <v>0.15882116577912106</v>
      </c>
      <c r="B2000" t="s">
        <v>539</v>
      </c>
      <c r="C2000" t="s">
        <v>611</v>
      </c>
      <c r="D2000" t="s">
        <v>611</v>
      </c>
    </row>
    <row r="2001" spans="1:4">
      <c r="A2001" s="2">
        <v>0.4033884630899556</v>
      </c>
      <c r="B2001" t="s">
        <v>540</v>
      </c>
      <c r="C2001" t="s">
        <v>611</v>
      </c>
      <c r="D2001" t="s">
        <v>611</v>
      </c>
    </row>
    <row r="2002" spans="1:4">
      <c r="A2002" s="2">
        <v>0.22177374642389833</v>
      </c>
      <c r="B2002" t="s">
        <v>541</v>
      </c>
      <c r="C2002" t="s">
        <v>611</v>
      </c>
      <c r="D2002" t="s">
        <v>611</v>
      </c>
    </row>
    <row r="2003" spans="1:4">
      <c r="A2003" s="2">
        <v>1</v>
      </c>
      <c r="B2003" t="s">
        <v>542</v>
      </c>
      <c r="C2003" t="s">
        <v>611</v>
      </c>
      <c r="D2003" t="s">
        <v>611</v>
      </c>
    </row>
    <row r="2004" spans="1:4">
      <c r="A2004" s="2">
        <v>6.9457</v>
      </c>
      <c r="B2004" t="s">
        <v>364</v>
      </c>
      <c r="C2004" t="s">
        <v>123</v>
      </c>
      <c r="D2004" t="s">
        <v>123</v>
      </c>
    </row>
    <row r="2005" spans="1:4">
      <c r="A2005" s="2">
        <v>8.225299999999999</v>
      </c>
      <c r="B2005" t="s">
        <v>373</v>
      </c>
      <c r="C2005" t="s">
        <v>123</v>
      </c>
      <c r="D2005" t="s">
        <v>123</v>
      </c>
    </row>
    <row r="2006" spans="1:4">
      <c r="A2006" s="2">
        <v>0.045241</v>
      </c>
      <c r="B2006" t="s">
        <v>520</v>
      </c>
      <c r="C2006" t="s">
        <v>123</v>
      </c>
      <c r="D2006" t="s">
        <v>123</v>
      </c>
    </row>
    <row r="2007" spans="1:4">
      <c r="A2007" s="2">
        <v>0.88881</v>
      </c>
      <c r="B2007" t="s">
        <v>370</v>
      </c>
      <c r="C2007" t="s">
        <v>123</v>
      </c>
      <c r="D2007" t="s">
        <v>123</v>
      </c>
    </row>
    <row r="2008" spans="1:4">
      <c r="A2008" s="2">
        <v>9.4368</v>
      </c>
      <c r="B2008" t="s">
        <v>521</v>
      </c>
      <c r="C2008" t="s">
        <v>123</v>
      </c>
      <c r="D2008" t="s">
        <v>123</v>
      </c>
    </row>
    <row r="2009" spans="1:4">
      <c r="A2009" s="2">
        <v>4.9364</v>
      </c>
      <c r="B2009" t="s">
        <v>522</v>
      </c>
      <c r="C2009" t="s">
        <v>123</v>
      </c>
      <c r="D2009" t="s">
        <v>123</v>
      </c>
    </row>
    <row r="2010" spans="1:4">
      <c r="A2010" s="2">
        <v>4.188</v>
      </c>
      <c r="B2010" t="s">
        <v>523</v>
      </c>
      <c r="C2010" t="s">
        <v>123</v>
      </c>
      <c r="D2010" t="s">
        <v>123</v>
      </c>
    </row>
    <row r="2011" spans="1:4">
      <c r="A2011" s="2">
        <v>5.4905</v>
      </c>
      <c r="B2011" t="s">
        <v>524</v>
      </c>
      <c r="C2011" t="s">
        <v>123</v>
      </c>
      <c r="D2011" t="s">
        <v>123</v>
      </c>
    </row>
    <row r="2012" spans="1:4">
      <c r="A2012" s="2">
        <v>8.9846</v>
      </c>
      <c r="B2012" t="s">
        <v>525</v>
      </c>
      <c r="C2012" t="s">
        <v>123</v>
      </c>
      <c r="D2012" t="s">
        <v>123</v>
      </c>
    </row>
    <row r="2013" spans="1:4">
      <c r="A2013" s="2">
        <v>5.1029</v>
      </c>
      <c r="B2013" t="s">
        <v>526</v>
      </c>
      <c r="C2013" t="s">
        <v>123</v>
      </c>
      <c r="D2013" t="s">
        <v>123</v>
      </c>
    </row>
    <row r="2014" spans="1:4">
      <c r="A2014" s="2">
        <v>0.8625150940141453</v>
      </c>
      <c r="B2014" t="s">
        <v>527</v>
      </c>
      <c r="C2014" t="s">
        <v>123</v>
      </c>
      <c r="D2014" t="s">
        <v>123</v>
      </c>
    </row>
    <row r="2015" spans="1:4">
      <c r="A2015" s="2">
        <v>1.7711967976761898</v>
      </c>
      <c r="B2015" t="s">
        <v>528</v>
      </c>
      <c r="C2015" t="s">
        <v>123</v>
      </c>
      <c r="D2015" t="s">
        <v>123</v>
      </c>
    </row>
    <row r="2016" spans="1:4">
      <c r="A2016" s="2">
        <v>0.08961858330943505</v>
      </c>
      <c r="B2016" t="s">
        <v>529</v>
      </c>
      <c r="C2016" t="s">
        <v>123</v>
      </c>
      <c r="D2016" t="s">
        <v>123</v>
      </c>
    </row>
    <row r="2017" spans="1:4">
      <c r="A2017" s="2">
        <v>0.4364906154517678</v>
      </c>
      <c r="B2017" t="s">
        <v>530</v>
      </c>
      <c r="C2017" t="s">
        <v>123</v>
      </c>
      <c r="D2017" t="s">
        <v>123</v>
      </c>
    </row>
    <row r="2018" spans="1:4">
      <c r="A2018" s="2">
        <v>0.004779200917606577</v>
      </c>
      <c r="B2018" t="s">
        <v>531</v>
      </c>
      <c r="C2018" t="s">
        <v>123</v>
      </c>
      <c r="D2018" t="s">
        <v>123</v>
      </c>
    </row>
    <row r="2019" spans="1:4">
      <c r="A2019" s="2">
        <v>1.8857606215467009</v>
      </c>
      <c r="B2019" t="s">
        <v>532</v>
      </c>
      <c r="C2019" t="s">
        <v>123</v>
      </c>
      <c r="D2019" t="s">
        <v>123</v>
      </c>
    </row>
    <row r="2020" spans="1:4">
      <c r="A2020" s="2">
        <v>1.8466879651345312</v>
      </c>
      <c r="B2020" t="s">
        <v>533</v>
      </c>
      <c r="C2020" t="s">
        <v>123</v>
      </c>
      <c r="D2020" t="s">
        <v>123</v>
      </c>
    </row>
    <row r="2021" spans="1:4">
      <c r="A2021" s="2">
        <v>0.02171175474401841</v>
      </c>
      <c r="B2021" t="s">
        <v>534</v>
      </c>
      <c r="C2021" t="s">
        <v>123</v>
      </c>
      <c r="D2021" t="s">
        <v>123</v>
      </c>
    </row>
    <row r="2022" spans="1:4">
      <c r="A2022" s="2">
        <v>1.953086853772387</v>
      </c>
      <c r="B2022" t="s">
        <v>535</v>
      </c>
      <c r="C2022" t="s">
        <v>123</v>
      </c>
      <c r="D2022" t="s">
        <v>123</v>
      </c>
    </row>
    <row r="2023" spans="1:4">
      <c r="A2023" s="2">
        <v>1.1012003083360864</v>
      </c>
      <c r="B2023" t="s">
        <v>536</v>
      </c>
      <c r="C2023" t="s">
        <v>123</v>
      </c>
      <c r="D2023" t="s">
        <v>123</v>
      </c>
    </row>
    <row r="2024" spans="1:4">
      <c r="A2024" s="2">
        <v>0.778755548633284</v>
      </c>
      <c r="B2024" t="s">
        <v>537</v>
      </c>
      <c r="C2024" t="s">
        <v>123</v>
      </c>
      <c r="D2024" t="s">
        <v>123</v>
      </c>
    </row>
    <row r="2025" spans="1:4">
      <c r="A2025" s="2">
        <v>0.7302468234263181</v>
      </c>
      <c r="B2025" t="s">
        <v>538</v>
      </c>
      <c r="C2025" t="s">
        <v>123</v>
      </c>
      <c r="D2025" t="s">
        <v>123</v>
      </c>
    </row>
    <row r="2026" spans="1:4">
      <c r="A2026" s="2">
        <v>0.1587737585082888</v>
      </c>
      <c r="B2026" t="s">
        <v>539</v>
      </c>
      <c r="C2026" t="s">
        <v>123</v>
      </c>
      <c r="D2026" t="s">
        <v>123</v>
      </c>
    </row>
    <row r="2027" spans="1:4">
      <c r="A2027" s="2">
        <v>0.4034861200774693</v>
      </c>
      <c r="B2027" t="s">
        <v>540</v>
      </c>
      <c r="C2027" t="s">
        <v>123</v>
      </c>
      <c r="D2027" t="s">
        <v>123</v>
      </c>
    </row>
    <row r="2028" spans="1:4">
      <c r="A2028" s="2">
        <v>0.22275683863494608</v>
      </c>
      <c r="B2028" t="s">
        <v>541</v>
      </c>
      <c r="C2028" t="s">
        <v>123</v>
      </c>
      <c r="D2028" t="s">
        <v>123</v>
      </c>
    </row>
    <row r="2029" spans="1:4">
      <c r="A2029" s="2">
        <v>1</v>
      </c>
      <c r="B2029" t="s">
        <v>542</v>
      </c>
      <c r="C2029" t="s">
        <v>123</v>
      </c>
      <c r="D2029" t="s">
        <v>123</v>
      </c>
    </row>
    <row r="2030" spans="1:4">
      <c r="A2030" s="2">
        <v>6.9398</v>
      </c>
      <c r="B2030" t="s">
        <v>364</v>
      </c>
      <c r="C2030" t="s">
        <v>612</v>
      </c>
      <c r="D2030" t="s">
        <v>612</v>
      </c>
    </row>
    <row r="2031" spans="1:4">
      <c r="A2031" s="2">
        <v>8.2195</v>
      </c>
      <c r="B2031" t="s">
        <v>373</v>
      </c>
      <c r="C2031" t="s">
        <v>612</v>
      </c>
      <c r="D2031" t="s">
        <v>612</v>
      </c>
    </row>
    <row r="2032" spans="1:4">
      <c r="A2032" s="2">
        <v>0.045304</v>
      </c>
      <c r="B2032" t="s">
        <v>520</v>
      </c>
      <c r="C2032" t="s">
        <v>612</v>
      </c>
      <c r="D2032" t="s">
        <v>612</v>
      </c>
    </row>
    <row r="2033" spans="1:4">
      <c r="A2033" s="2">
        <v>0.88787</v>
      </c>
      <c r="B2033" t="s">
        <v>370</v>
      </c>
      <c r="C2033" t="s">
        <v>612</v>
      </c>
      <c r="D2033" t="s">
        <v>612</v>
      </c>
    </row>
    <row r="2034" spans="1:4">
      <c r="A2034" s="2">
        <v>9.4245</v>
      </c>
      <c r="B2034" t="s">
        <v>521</v>
      </c>
      <c r="C2034" t="s">
        <v>612</v>
      </c>
      <c r="D2034" t="s">
        <v>612</v>
      </c>
    </row>
    <row r="2035" spans="1:4">
      <c r="A2035" s="2">
        <v>4.9048</v>
      </c>
      <c r="B2035" t="s">
        <v>522</v>
      </c>
      <c r="C2035" t="s">
        <v>612</v>
      </c>
      <c r="D2035" t="s">
        <v>612</v>
      </c>
    </row>
    <row r="2036" spans="1:4">
      <c r="A2036" s="2">
        <v>4.1709</v>
      </c>
      <c r="B2036" t="s">
        <v>523</v>
      </c>
      <c r="C2036" t="s">
        <v>612</v>
      </c>
      <c r="D2036" t="s">
        <v>612</v>
      </c>
    </row>
    <row r="2037" spans="1:4">
      <c r="A2037" s="2">
        <v>5.4851</v>
      </c>
      <c r="B2037" t="s">
        <v>524</v>
      </c>
      <c r="C2037" t="s">
        <v>612</v>
      </c>
      <c r="D2037" t="s">
        <v>612</v>
      </c>
    </row>
    <row r="2038" spans="1:4">
      <c r="A2038" s="2">
        <v>8.9993</v>
      </c>
      <c r="B2038" t="s">
        <v>525</v>
      </c>
      <c r="C2038" t="s">
        <v>612</v>
      </c>
      <c r="D2038" t="s">
        <v>612</v>
      </c>
    </row>
    <row r="2039" spans="1:4">
      <c r="A2039" s="2">
        <v>5.0865</v>
      </c>
      <c r="B2039" t="s">
        <v>526</v>
      </c>
      <c r="C2039" t="s">
        <v>612</v>
      </c>
      <c r="D2039" t="s">
        <v>612</v>
      </c>
    </row>
    <row r="2040" spans="1:4">
      <c r="A2040" s="2">
        <v>0.8615490652192643</v>
      </c>
      <c r="B2040" t="s">
        <v>527</v>
      </c>
      <c r="C2040" t="s">
        <v>612</v>
      </c>
      <c r="D2040" t="s">
        <v>612</v>
      </c>
    </row>
    <row r="2041" spans="1:4">
      <c r="A2041" s="2">
        <v>1.7750639023004828</v>
      </c>
      <c r="B2041" t="s">
        <v>528</v>
      </c>
      <c r="C2041" t="s">
        <v>612</v>
      </c>
      <c r="D2041" t="s">
        <v>612</v>
      </c>
    </row>
    <row r="2042" spans="1:4">
      <c r="A2042" s="2">
        <v>0.08942464185430937</v>
      </c>
      <c r="B2042" t="s">
        <v>529</v>
      </c>
      <c r="C2042" t="s">
        <v>612</v>
      </c>
      <c r="D2042" t="s">
        <v>612</v>
      </c>
    </row>
    <row r="2043" spans="1:4">
      <c r="A2043" s="2">
        <v>0.4341031429067546</v>
      </c>
      <c r="B2043" t="s">
        <v>530</v>
      </c>
      <c r="C2043" t="s">
        <v>612</v>
      </c>
      <c r="D2043" t="s">
        <v>612</v>
      </c>
    </row>
    <row r="2044" spans="1:4">
      <c r="A2044" s="2">
        <v>0.004794783275795934</v>
      </c>
      <c r="B2044" t="s">
        <v>531</v>
      </c>
      <c r="C2044" t="s">
        <v>612</v>
      </c>
      <c r="D2044" t="s">
        <v>612</v>
      </c>
    </row>
    <row r="2045" spans="1:4">
      <c r="A2045" s="2">
        <v>1.8847654409408747</v>
      </c>
      <c r="B2045" t="s">
        <v>532</v>
      </c>
      <c r="C2045" t="s">
        <v>612</v>
      </c>
      <c r="D2045" t="s">
        <v>612</v>
      </c>
    </row>
    <row r="2046" spans="1:4">
      <c r="A2046" s="2">
        <v>1.8458017239788105</v>
      </c>
      <c r="B2046" t="s">
        <v>533</v>
      </c>
      <c r="C2046" t="s">
        <v>612</v>
      </c>
      <c r="D2046" t="s">
        <v>612</v>
      </c>
    </row>
    <row r="2047" spans="1:4">
      <c r="A2047" s="2">
        <v>0.021714724972150865</v>
      </c>
      <c r="B2047" t="s">
        <v>534</v>
      </c>
      <c r="C2047" t="s">
        <v>612</v>
      </c>
      <c r="D2047" t="s">
        <v>612</v>
      </c>
    </row>
    <row r="2048" spans="1:4">
      <c r="A2048" s="2">
        <v>1.9526292152383184</v>
      </c>
      <c r="B2048" t="s">
        <v>535</v>
      </c>
      <c r="C2048" t="s">
        <v>612</v>
      </c>
      <c r="D2048" t="s">
        <v>612</v>
      </c>
    </row>
    <row r="2049" spans="1:4">
      <c r="A2049" s="2">
        <v>1.1003521126760565</v>
      </c>
      <c r="B2049" t="s">
        <v>536</v>
      </c>
      <c r="C2049" t="s">
        <v>612</v>
      </c>
      <c r="D2049" t="s">
        <v>612</v>
      </c>
    </row>
    <row r="2050" spans="1:4">
      <c r="A2050" s="2">
        <v>0.7753140021708793</v>
      </c>
      <c r="B2050" t="s">
        <v>537</v>
      </c>
      <c r="C2050" t="s">
        <v>612</v>
      </c>
      <c r="D2050" t="s">
        <v>612</v>
      </c>
    </row>
    <row r="2051" spans="1:4">
      <c r="A2051" s="2">
        <v>0.7257947452460444</v>
      </c>
      <c r="B2051" t="s">
        <v>538</v>
      </c>
      <c r="C2051" t="s">
        <v>612</v>
      </c>
      <c r="D2051" t="s">
        <v>612</v>
      </c>
    </row>
    <row r="2052" spans="1:4">
      <c r="A2052" s="2">
        <v>0.1583932587829062</v>
      </c>
      <c r="B2052" t="s">
        <v>539</v>
      </c>
      <c r="C2052" t="s">
        <v>612</v>
      </c>
      <c r="D2052" t="s">
        <v>612</v>
      </c>
    </row>
    <row r="2053" spans="1:4">
      <c r="A2053" s="2">
        <v>0.4027061855670103</v>
      </c>
      <c r="B2053" t="s">
        <v>540</v>
      </c>
      <c r="C2053" t="s">
        <v>612</v>
      </c>
      <c r="D2053" t="s">
        <v>612</v>
      </c>
    </row>
    <row r="2054" spans="1:4">
      <c r="A2054" s="2">
        <v>0.222637812806127</v>
      </c>
      <c r="B2054" t="s">
        <v>541</v>
      </c>
      <c r="C2054" t="s">
        <v>612</v>
      </c>
      <c r="D2054" t="s">
        <v>612</v>
      </c>
    </row>
    <row r="2055" spans="1:4">
      <c r="A2055" s="2">
        <v>1</v>
      </c>
      <c r="B2055" t="s">
        <v>542</v>
      </c>
      <c r="C2055" t="s">
        <v>612</v>
      </c>
      <c r="D2055" t="s">
        <v>612</v>
      </c>
    </row>
    <row r="2056" spans="1:4">
      <c r="A2056" s="2">
        <v>6.9398</v>
      </c>
      <c r="B2056" t="s">
        <v>364</v>
      </c>
      <c r="C2056" t="s">
        <v>612</v>
      </c>
      <c r="D2056" t="s">
        <v>613</v>
      </c>
    </row>
    <row r="2057" spans="1:4">
      <c r="A2057" s="2">
        <v>8.2195</v>
      </c>
      <c r="B2057" t="s">
        <v>373</v>
      </c>
      <c r="C2057" t="s">
        <v>612</v>
      </c>
      <c r="D2057" t="s">
        <v>613</v>
      </c>
    </row>
    <row r="2058" spans="1:4">
      <c r="A2058" s="2">
        <v>0.045304</v>
      </c>
      <c r="B2058" t="s">
        <v>520</v>
      </c>
      <c r="C2058" t="s">
        <v>612</v>
      </c>
      <c r="D2058" t="s">
        <v>613</v>
      </c>
    </row>
    <row r="2059" spans="1:4">
      <c r="A2059" s="2">
        <v>0.88787</v>
      </c>
      <c r="B2059" t="s">
        <v>370</v>
      </c>
      <c r="C2059" t="s">
        <v>612</v>
      </c>
      <c r="D2059" t="s">
        <v>613</v>
      </c>
    </row>
    <row r="2060" spans="1:4">
      <c r="A2060" s="2">
        <v>9.4245</v>
      </c>
      <c r="B2060" t="s">
        <v>521</v>
      </c>
      <c r="C2060" t="s">
        <v>612</v>
      </c>
      <c r="D2060" t="s">
        <v>613</v>
      </c>
    </row>
    <row r="2061" spans="1:4">
      <c r="A2061" s="2">
        <v>4.9048</v>
      </c>
      <c r="B2061" t="s">
        <v>522</v>
      </c>
      <c r="C2061" t="s">
        <v>612</v>
      </c>
      <c r="D2061" t="s">
        <v>613</v>
      </c>
    </row>
    <row r="2062" spans="1:4">
      <c r="A2062" s="2">
        <v>4.1709</v>
      </c>
      <c r="B2062" t="s">
        <v>523</v>
      </c>
      <c r="C2062" t="s">
        <v>612</v>
      </c>
      <c r="D2062" t="s">
        <v>613</v>
      </c>
    </row>
    <row r="2063" spans="1:4">
      <c r="A2063" s="2">
        <v>5.4851</v>
      </c>
      <c r="B2063" t="s">
        <v>524</v>
      </c>
      <c r="C2063" t="s">
        <v>612</v>
      </c>
      <c r="D2063" t="s">
        <v>613</v>
      </c>
    </row>
    <row r="2064" spans="1:4">
      <c r="A2064" s="2">
        <v>8.9993</v>
      </c>
      <c r="B2064" t="s">
        <v>525</v>
      </c>
      <c r="C2064" t="s">
        <v>612</v>
      </c>
      <c r="D2064" t="s">
        <v>613</v>
      </c>
    </row>
    <row r="2065" spans="1:4">
      <c r="A2065" s="2">
        <v>5.0865</v>
      </c>
      <c r="B2065" t="s">
        <v>526</v>
      </c>
      <c r="C2065" t="s">
        <v>612</v>
      </c>
      <c r="D2065" t="s">
        <v>613</v>
      </c>
    </row>
    <row r="2066" spans="1:4">
      <c r="A2066" s="2">
        <v>0.8615490652192643</v>
      </c>
      <c r="B2066" t="s">
        <v>527</v>
      </c>
      <c r="C2066" t="s">
        <v>612</v>
      </c>
      <c r="D2066" t="s">
        <v>613</v>
      </c>
    </row>
    <row r="2067" spans="1:4">
      <c r="A2067" s="2">
        <v>1.7750639023004828</v>
      </c>
      <c r="B2067" t="s">
        <v>528</v>
      </c>
      <c r="C2067" t="s">
        <v>612</v>
      </c>
      <c r="D2067" t="s">
        <v>613</v>
      </c>
    </row>
    <row r="2068" spans="1:4">
      <c r="A2068" s="2">
        <v>0.08942464185430937</v>
      </c>
      <c r="B2068" t="s">
        <v>529</v>
      </c>
      <c r="C2068" t="s">
        <v>612</v>
      </c>
      <c r="D2068" t="s">
        <v>613</v>
      </c>
    </row>
    <row r="2069" spans="1:4">
      <c r="A2069" s="2">
        <v>0.4341031429067546</v>
      </c>
      <c r="B2069" t="s">
        <v>530</v>
      </c>
      <c r="C2069" t="s">
        <v>612</v>
      </c>
      <c r="D2069" t="s">
        <v>613</v>
      </c>
    </row>
    <row r="2070" spans="1:4">
      <c r="A2070" s="2">
        <v>0.004794783275795934</v>
      </c>
      <c r="B2070" t="s">
        <v>531</v>
      </c>
      <c r="C2070" t="s">
        <v>612</v>
      </c>
      <c r="D2070" t="s">
        <v>613</v>
      </c>
    </row>
    <row r="2071" spans="1:4">
      <c r="A2071" s="2">
        <v>1.8847654409408747</v>
      </c>
      <c r="B2071" t="s">
        <v>532</v>
      </c>
      <c r="C2071" t="s">
        <v>612</v>
      </c>
      <c r="D2071" t="s">
        <v>613</v>
      </c>
    </row>
    <row r="2072" spans="1:4">
      <c r="A2072" s="2">
        <v>1.8458017239788105</v>
      </c>
      <c r="B2072" t="s">
        <v>533</v>
      </c>
      <c r="C2072" t="s">
        <v>612</v>
      </c>
      <c r="D2072" t="s">
        <v>613</v>
      </c>
    </row>
    <row r="2073" spans="1:4">
      <c r="A2073" s="2">
        <v>0.021714724972150865</v>
      </c>
      <c r="B2073" t="s">
        <v>534</v>
      </c>
      <c r="C2073" t="s">
        <v>612</v>
      </c>
      <c r="D2073" t="s">
        <v>613</v>
      </c>
    </row>
    <row r="2074" spans="1:4">
      <c r="A2074" s="2">
        <v>1.9526292152383184</v>
      </c>
      <c r="B2074" t="s">
        <v>535</v>
      </c>
      <c r="C2074" t="s">
        <v>612</v>
      </c>
      <c r="D2074" t="s">
        <v>613</v>
      </c>
    </row>
    <row r="2075" spans="1:4">
      <c r="A2075" s="2">
        <v>1.1003521126760565</v>
      </c>
      <c r="B2075" t="s">
        <v>536</v>
      </c>
      <c r="C2075" t="s">
        <v>612</v>
      </c>
      <c r="D2075" t="s">
        <v>613</v>
      </c>
    </row>
    <row r="2076" spans="1:4">
      <c r="A2076" s="2">
        <v>0.7753140021708793</v>
      </c>
      <c r="B2076" t="s">
        <v>537</v>
      </c>
      <c r="C2076" t="s">
        <v>612</v>
      </c>
      <c r="D2076" t="s">
        <v>613</v>
      </c>
    </row>
    <row r="2077" spans="1:4">
      <c r="A2077" s="2">
        <v>0.7257947452460444</v>
      </c>
      <c r="B2077" t="s">
        <v>538</v>
      </c>
      <c r="C2077" t="s">
        <v>612</v>
      </c>
      <c r="D2077" t="s">
        <v>613</v>
      </c>
    </row>
    <row r="2078" spans="1:4">
      <c r="A2078" s="2">
        <v>0.1583932587829062</v>
      </c>
      <c r="B2078" t="s">
        <v>539</v>
      </c>
      <c r="C2078" t="s">
        <v>612</v>
      </c>
      <c r="D2078" t="s">
        <v>613</v>
      </c>
    </row>
    <row r="2079" spans="1:4">
      <c r="A2079" s="2">
        <v>0.4027061855670103</v>
      </c>
      <c r="B2079" t="s">
        <v>540</v>
      </c>
      <c r="C2079" t="s">
        <v>612</v>
      </c>
      <c r="D2079" t="s">
        <v>613</v>
      </c>
    </row>
    <row r="2080" spans="1:4">
      <c r="A2080" s="2">
        <v>0.222637812806127</v>
      </c>
      <c r="B2080" t="s">
        <v>541</v>
      </c>
      <c r="C2080" t="s">
        <v>612</v>
      </c>
      <c r="D2080" t="s">
        <v>613</v>
      </c>
    </row>
    <row r="2081" spans="1:4">
      <c r="A2081" s="2">
        <v>1</v>
      </c>
      <c r="B2081" t="s">
        <v>542</v>
      </c>
      <c r="C2081" t="s">
        <v>613</v>
      </c>
      <c r="D2081" t="s">
        <v>613</v>
      </c>
    </row>
    <row r="2082" spans="1:4">
      <c r="A2082" s="2">
        <v>6.9398</v>
      </c>
      <c r="B2082" t="s">
        <v>364</v>
      </c>
      <c r="C2082" t="s">
        <v>612</v>
      </c>
      <c r="D2082" t="s">
        <v>614</v>
      </c>
    </row>
    <row r="2083" spans="1:4">
      <c r="A2083" s="2">
        <v>8.2195</v>
      </c>
      <c r="B2083" t="s">
        <v>373</v>
      </c>
      <c r="C2083" t="s">
        <v>612</v>
      </c>
      <c r="D2083" t="s">
        <v>614</v>
      </c>
    </row>
    <row r="2084" spans="1:4">
      <c r="A2084" s="2">
        <v>0.045304</v>
      </c>
      <c r="B2084" t="s">
        <v>520</v>
      </c>
      <c r="C2084" t="s">
        <v>612</v>
      </c>
      <c r="D2084" t="s">
        <v>614</v>
      </c>
    </row>
    <row r="2085" spans="1:4">
      <c r="A2085" s="2">
        <v>0.88787</v>
      </c>
      <c r="B2085" t="s">
        <v>370</v>
      </c>
      <c r="C2085" t="s">
        <v>612</v>
      </c>
      <c r="D2085" t="s">
        <v>614</v>
      </c>
    </row>
    <row r="2086" spans="1:4">
      <c r="A2086" s="2">
        <v>9.4245</v>
      </c>
      <c r="B2086" t="s">
        <v>521</v>
      </c>
      <c r="C2086" t="s">
        <v>612</v>
      </c>
      <c r="D2086" t="s">
        <v>614</v>
      </c>
    </row>
    <row r="2087" spans="1:4">
      <c r="A2087" s="2">
        <v>4.9048</v>
      </c>
      <c r="B2087" t="s">
        <v>522</v>
      </c>
      <c r="C2087" t="s">
        <v>612</v>
      </c>
      <c r="D2087" t="s">
        <v>614</v>
      </c>
    </row>
    <row r="2088" spans="1:4">
      <c r="A2088" s="2">
        <v>4.1709</v>
      </c>
      <c r="B2088" t="s">
        <v>523</v>
      </c>
      <c r="C2088" t="s">
        <v>612</v>
      </c>
      <c r="D2088" t="s">
        <v>614</v>
      </c>
    </row>
    <row r="2089" spans="1:4">
      <c r="A2089" s="2">
        <v>5.4851</v>
      </c>
      <c r="B2089" t="s">
        <v>524</v>
      </c>
      <c r="C2089" t="s">
        <v>612</v>
      </c>
      <c r="D2089" t="s">
        <v>614</v>
      </c>
    </row>
    <row r="2090" spans="1:4">
      <c r="A2090" s="2">
        <v>8.9993</v>
      </c>
      <c r="B2090" t="s">
        <v>525</v>
      </c>
      <c r="C2090" t="s">
        <v>612</v>
      </c>
      <c r="D2090" t="s">
        <v>614</v>
      </c>
    </row>
    <row r="2091" spans="1:4">
      <c r="A2091" s="2">
        <v>5.0865</v>
      </c>
      <c r="B2091" t="s">
        <v>526</v>
      </c>
      <c r="C2091" t="s">
        <v>612</v>
      </c>
      <c r="D2091" t="s">
        <v>614</v>
      </c>
    </row>
    <row r="2092" spans="1:4">
      <c r="A2092" s="2">
        <v>0.8615490652192643</v>
      </c>
      <c r="B2092" t="s">
        <v>527</v>
      </c>
      <c r="C2092" t="s">
        <v>612</v>
      </c>
      <c r="D2092" t="s">
        <v>614</v>
      </c>
    </row>
    <row r="2093" spans="1:4">
      <c r="A2093" s="2">
        <v>1.7750639023004828</v>
      </c>
      <c r="B2093" t="s">
        <v>528</v>
      </c>
      <c r="C2093" t="s">
        <v>612</v>
      </c>
      <c r="D2093" t="s">
        <v>614</v>
      </c>
    </row>
    <row r="2094" spans="1:4">
      <c r="A2094" s="2">
        <v>0.08942464185430937</v>
      </c>
      <c r="B2094" t="s">
        <v>529</v>
      </c>
      <c r="C2094" t="s">
        <v>612</v>
      </c>
      <c r="D2094" t="s">
        <v>614</v>
      </c>
    </row>
    <row r="2095" spans="1:4">
      <c r="A2095" s="2">
        <v>0.4341031429067546</v>
      </c>
      <c r="B2095" t="s">
        <v>530</v>
      </c>
      <c r="C2095" t="s">
        <v>612</v>
      </c>
      <c r="D2095" t="s">
        <v>614</v>
      </c>
    </row>
    <row r="2096" spans="1:4">
      <c r="A2096" s="2">
        <v>0.004794783275795934</v>
      </c>
      <c r="B2096" t="s">
        <v>531</v>
      </c>
      <c r="C2096" t="s">
        <v>612</v>
      </c>
      <c r="D2096" t="s">
        <v>614</v>
      </c>
    </row>
    <row r="2097" spans="1:4">
      <c r="A2097" s="2">
        <v>1.8847654409408747</v>
      </c>
      <c r="B2097" t="s">
        <v>532</v>
      </c>
      <c r="C2097" t="s">
        <v>612</v>
      </c>
      <c r="D2097" t="s">
        <v>614</v>
      </c>
    </row>
    <row r="2098" spans="1:4">
      <c r="A2098" s="2">
        <v>1.8458017239788105</v>
      </c>
      <c r="B2098" t="s">
        <v>533</v>
      </c>
      <c r="C2098" t="s">
        <v>612</v>
      </c>
      <c r="D2098" t="s">
        <v>614</v>
      </c>
    </row>
    <row r="2099" spans="1:4">
      <c r="A2099" s="2">
        <v>0.021714724972150865</v>
      </c>
      <c r="B2099" t="s">
        <v>534</v>
      </c>
      <c r="C2099" t="s">
        <v>612</v>
      </c>
      <c r="D2099" t="s">
        <v>614</v>
      </c>
    </row>
    <row r="2100" spans="1:4">
      <c r="A2100" s="2">
        <v>1.9526292152383184</v>
      </c>
      <c r="B2100" t="s">
        <v>535</v>
      </c>
      <c r="C2100" t="s">
        <v>612</v>
      </c>
      <c r="D2100" t="s">
        <v>614</v>
      </c>
    </row>
    <row r="2101" spans="1:4">
      <c r="A2101" s="2">
        <v>1.1003521126760565</v>
      </c>
      <c r="B2101" t="s">
        <v>536</v>
      </c>
      <c r="C2101" t="s">
        <v>612</v>
      </c>
      <c r="D2101" t="s">
        <v>614</v>
      </c>
    </row>
    <row r="2102" spans="1:4">
      <c r="A2102" s="2">
        <v>0.7753140021708793</v>
      </c>
      <c r="B2102" t="s">
        <v>537</v>
      </c>
      <c r="C2102" t="s">
        <v>612</v>
      </c>
      <c r="D2102" t="s">
        <v>614</v>
      </c>
    </row>
    <row r="2103" spans="1:4">
      <c r="A2103" s="2">
        <v>0.7257947452460444</v>
      </c>
      <c r="B2103" t="s">
        <v>538</v>
      </c>
      <c r="C2103" t="s">
        <v>612</v>
      </c>
      <c r="D2103" t="s">
        <v>614</v>
      </c>
    </row>
    <row r="2104" spans="1:4">
      <c r="A2104" s="2">
        <v>0.1583932587829062</v>
      </c>
      <c r="B2104" t="s">
        <v>539</v>
      </c>
      <c r="C2104" t="s">
        <v>612</v>
      </c>
      <c r="D2104" t="s">
        <v>614</v>
      </c>
    </row>
    <row r="2105" spans="1:4">
      <c r="A2105" s="2">
        <v>0.4027061855670103</v>
      </c>
      <c r="B2105" t="s">
        <v>540</v>
      </c>
      <c r="C2105" t="s">
        <v>612</v>
      </c>
      <c r="D2105" t="s">
        <v>614</v>
      </c>
    </row>
    <row r="2106" spans="1:4">
      <c r="A2106" s="2">
        <v>0.222637812806127</v>
      </c>
      <c r="B2106" t="s">
        <v>541</v>
      </c>
      <c r="C2106" t="s">
        <v>612</v>
      </c>
      <c r="D2106" t="s">
        <v>614</v>
      </c>
    </row>
    <row r="2107" spans="1:4">
      <c r="A2107" s="2">
        <v>1</v>
      </c>
      <c r="B2107" t="s">
        <v>542</v>
      </c>
      <c r="C2107" t="s">
        <v>614</v>
      </c>
      <c r="D2107" t="s">
        <v>614</v>
      </c>
    </row>
    <row r="2108" spans="1:4">
      <c r="A2108" s="2">
        <v>6.9398</v>
      </c>
      <c r="B2108" t="s">
        <v>364</v>
      </c>
      <c r="C2108" t="s">
        <v>612</v>
      </c>
      <c r="D2108" t="s">
        <v>615</v>
      </c>
    </row>
    <row r="2109" spans="1:4">
      <c r="A2109" s="2">
        <v>8.2195</v>
      </c>
      <c r="B2109" t="s">
        <v>373</v>
      </c>
      <c r="C2109" t="s">
        <v>612</v>
      </c>
      <c r="D2109" t="s">
        <v>615</v>
      </c>
    </row>
    <row r="2110" spans="1:4">
      <c r="A2110" s="2">
        <v>0.045304</v>
      </c>
      <c r="B2110" t="s">
        <v>520</v>
      </c>
      <c r="C2110" t="s">
        <v>612</v>
      </c>
      <c r="D2110" t="s">
        <v>615</v>
      </c>
    </row>
    <row r="2111" spans="1:4">
      <c r="A2111" s="2">
        <v>0.88787</v>
      </c>
      <c r="B2111" t="s">
        <v>370</v>
      </c>
      <c r="C2111" t="s">
        <v>612</v>
      </c>
      <c r="D2111" t="s">
        <v>615</v>
      </c>
    </row>
    <row r="2112" spans="1:4">
      <c r="A2112" s="2">
        <v>9.4245</v>
      </c>
      <c r="B2112" t="s">
        <v>521</v>
      </c>
      <c r="C2112" t="s">
        <v>612</v>
      </c>
      <c r="D2112" t="s">
        <v>615</v>
      </c>
    </row>
    <row r="2113" spans="1:4">
      <c r="A2113" s="2">
        <v>4.9048</v>
      </c>
      <c r="B2113" t="s">
        <v>522</v>
      </c>
      <c r="C2113" t="s">
        <v>612</v>
      </c>
      <c r="D2113" t="s">
        <v>615</v>
      </c>
    </row>
    <row r="2114" spans="1:4">
      <c r="A2114" s="2">
        <v>4.1709</v>
      </c>
      <c r="B2114" t="s">
        <v>523</v>
      </c>
      <c r="C2114" t="s">
        <v>612</v>
      </c>
      <c r="D2114" t="s">
        <v>615</v>
      </c>
    </row>
    <row r="2115" spans="1:4">
      <c r="A2115" s="2">
        <v>5.4851</v>
      </c>
      <c r="B2115" t="s">
        <v>524</v>
      </c>
      <c r="C2115" t="s">
        <v>612</v>
      </c>
      <c r="D2115" t="s">
        <v>615</v>
      </c>
    </row>
    <row r="2116" spans="1:4">
      <c r="A2116" s="2">
        <v>8.9993</v>
      </c>
      <c r="B2116" t="s">
        <v>525</v>
      </c>
      <c r="C2116" t="s">
        <v>612</v>
      </c>
      <c r="D2116" t="s">
        <v>615</v>
      </c>
    </row>
    <row r="2117" spans="1:4">
      <c r="A2117" s="2">
        <v>5.0865</v>
      </c>
      <c r="B2117" t="s">
        <v>526</v>
      </c>
      <c r="C2117" t="s">
        <v>612</v>
      </c>
      <c r="D2117" t="s">
        <v>615</v>
      </c>
    </row>
    <row r="2118" spans="1:4">
      <c r="A2118" s="2">
        <v>0.8615490652192643</v>
      </c>
      <c r="B2118" t="s">
        <v>527</v>
      </c>
      <c r="C2118" t="s">
        <v>612</v>
      </c>
      <c r="D2118" t="s">
        <v>615</v>
      </c>
    </row>
    <row r="2119" spans="1:4">
      <c r="A2119" s="2">
        <v>1.7750639023004828</v>
      </c>
      <c r="B2119" t="s">
        <v>528</v>
      </c>
      <c r="C2119" t="s">
        <v>612</v>
      </c>
      <c r="D2119" t="s">
        <v>615</v>
      </c>
    </row>
    <row r="2120" spans="1:4">
      <c r="A2120" s="2">
        <v>0.08942464185430937</v>
      </c>
      <c r="B2120" t="s">
        <v>529</v>
      </c>
      <c r="C2120" t="s">
        <v>612</v>
      </c>
      <c r="D2120" t="s">
        <v>615</v>
      </c>
    </row>
    <row r="2121" spans="1:4">
      <c r="A2121" s="2">
        <v>0.4341031429067546</v>
      </c>
      <c r="B2121" t="s">
        <v>530</v>
      </c>
      <c r="C2121" t="s">
        <v>612</v>
      </c>
      <c r="D2121" t="s">
        <v>615</v>
      </c>
    </row>
    <row r="2122" spans="1:4">
      <c r="A2122" s="2">
        <v>0.004794783275795934</v>
      </c>
      <c r="B2122" t="s">
        <v>531</v>
      </c>
      <c r="C2122" t="s">
        <v>612</v>
      </c>
      <c r="D2122" t="s">
        <v>615</v>
      </c>
    </row>
    <row r="2123" spans="1:4">
      <c r="A2123" s="2">
        <v>1.8847654409408747</v>
      </c>
      <c r="B2123" t="s">
        <v>532</v>
      </c>
      <c r="C2123" t="s">
        <v>612</v>
      </c>
      <c r="D2123" t="s">
        <v>615</v>
      </c>
    </row>
    <row r="2124" spans="1:4">
      <c r="A2124" s="2">
        <v>1.8458017239788105</v>
      </c>
      <c r="B2124" t="s">
        <v>533</v>
      </c>
      <c r="C2124" t="s">
        <v>612</v>
      </c>
      <c r="D2124" t="s">
        <v>615</v>
      </c>
    </row>
    <row r="2125" spans="1:4">
      <c r="A2125" s="2">
        <v>0.021714724972150865</v>
      </c>
      <c r="B2125" t="s">
        <v>534</v>
      </c>
      <c r="C2125" t="s">
        <v>612</v>
      </c>
      <c r="D2125" t="s">
        <v>615</v>
      </c>
    </row>
    <row r="2126" spans="1:4">
      <c r="A2126" s="2">
        <v>1.9526292152383184</v>
      </c>
      <c r="B2126" t="s">
        <v>535</v>
      </c>
      <c r="C2126" t="s">
        <v>612</v>
      </c>
      <c r="D2126" t="s">
        <v>615</v>
      </c>
    </row>
    <row r="2127" spans="1:4">
      <c r="A2127" s="2">
        <v>1.1003521126760565</v>
      </c>
      <c r="B2127" t="s">
        <v>536</v>
      </c>
      <c r="C2127" t="s">
        <v>612</v>
      </c>
      <c r="D2127" t="s">
        <v>615</v>
      </c>
    </row>
    <row r="2128" spans="1:4">
      <c r="A2128" s="2">
        <v>0.7753140021708793</v>
      </c>
      <c r="B2128" t="s">
        <v>537</v>
      </c>
      <c r="C2128" t="s">
        <v>612</v>
      </c>
      <c r="D2128" t="s">
        <v>615</v>
      </c>
    </row>
    <row r="2129" spans="1:4">
      <c r="A2129" s="2">
        <v>0.7257947452460444</v>
      </c>
      <c r="B2129" t="s">
        <v>538</v>
      </c>
      <c r="C2129" t="s">
        <v>612</v>
      </c>
      <c r="D2129" t="s">
        <v>615</v>
      </c>
    </row>
    <row r="2130" spans="1:4">
      <c r="A2130" s="2">
        <v>0.1583932587829062</v>
      </c>
      <c r="B2130" t="s">
        <v>539</v>
      </c>
      <c r="C2130" t="s">
        <v>612</v>
      </c>
      <c r="D2130" t="s">
        <v>615</v>
      </c>
    </row>
    <row r="2131" spans="1:4">
      <c r="A2131" s="2">
        <v>0.4027061855670103</v>
      </c>
      <c r="B2131" t="s">
        <v>540</v>
      </c>
      <c r="C2131" t="s">
        <v>612</v>
      </c>
      <c r="D2131" t="s">
        <v>615</v>
      </c>
    </row>
    <row r="2132" spans="1:4">
      <c r="A2132" s="2">
        <v>0.222637812806127</v>
      </c>
      <c r="B2132" t="s">
        <v>541</v>
      </c>
      <c r="C2132" t="s">
        <v>612</v>
      </c>
      <c r="D2132" t="s">
        <v>615</v>
      </c>
    </row>
    <row r="2133" spans="1:4">
      <c r="A2133" s="2">
        <v>1</v>
      </c>
      <c r="B2133" t="s">
        <v>542</v>
      </c>
      <c r="C2133" t="s">
        <v>615</v>
      </c>
      <c r="D2133" t="s">
        <v>615</v>
      </c>
    </row>
    <row r="2134" spans="1:4">
      <c r="A2134" s="2">
        <v>6.9398</v>
      </c>
      <c r="B2134" t="s">
        <v>364</v>
      </c>
      <c r="C2134" t="s">
        <v>612</v>
      </c>
      <c r="D2134" t="s">
        <v>130</v>
      </c>
    </row>
    <row r="2135" spans="1:4">
      <c r="A2135" s="2">
        <v>8.2195</v>
      </c>
      <c r="B2135" t="s">
        <v>373</v>
      </c>
      <c r="C2135" t="s">
        <v>612</v>
      </c>
      <c r="D2135" t="s">
        <v>130</v>
      </c>
    </row>
    <row r="2136" spans="1:4">
      <c r="A2136" s="2">
        <v>0.045304</v>
      </c>
      <c r="B2136" t="s">
        <v>520</v>
      </c>
      <c r="C2136" t="s">
        <v>612</v>
      </c>
      <c r="D2136" t="s">
        <v>130</v>
      </c>
    </row>
    <row r="2137" spans="1:4">
      <c r="A2137" s="2">
        <v>0.88787</v>
      </c>
      <c r="B2137" t="s">
        <v>370</v>
      </c>
      <c r="C2137" t="s">
        <v>612</v>
      </c>
      <c r="D2137" t="s">
        <v>130</v>
      </c>
    </row>
    <row r="2138" spans="1:4">
      <c r="A2138" s="2">
        <v>9.4245</v>
      </c>
      <c r="B2138" t="s">
        <v>521</v>
      </c>
      <c r="C2138" t="s">
        <v>612</v>
      </c>
      <c r="D2138" t="s">
        <v>130</v>
      </c>
    </row>
    <row r="2139" spans="1:4">
      <c r="A2139" s="2">
        <v>4.9048</v>
      </c>
      <c r="B2139" t="s">
        <v>522</v>
      </c>
      <c r="C2139" t="s">
        <v>612</v>
      </c>
      <c r="D2139" t="s">
        <v>130</v>
      </c>
    </row>
    <row r="2140" spans="1:4">
      <c r="A2140" s="2">
        <v>4.1709</v>
      </c>
      <c r="B2140" t="s">
        <v>523</v>
      </c>
      <c r="C2140" t="s">
        <v>612</v>
      </c>
      <c r="D2140" t="s">
        <v>130</v>
      </c>
    </row>
    <row r="2141" spans="1:4">
      <c r="A2141" s="2">
        <v>5.4851</v>
      </c>
      <c r="B2141" t="s">
        <v>524</v>
      </c>
      <c r="C2141" t="s">
        <v>612</v>
      </c>
      <c r="D2141" t="s">
        <v>130</v>
      </c>
    </row>
    <row r="2142" spans="1:4">
      <c r="A2142" s="2">
        <v>8.9993</v>
      </c>
      <c r="B2142" t="s">
        <v>525</v>
      </c>
      <c r="C2142" t="s">
        <v>612</v>
      </c>
      <c r="D2142" t="s">
        <v>130</v>
      </c>
    </row>
    <row r="2143" spans="1:4">
      <c r="A2143" s="2">
        <v>5.0865</v>
      </c>
      <c r="B2143" t="s">
        <v>526</v>
      </c>
      <c r="C2143" t="s">
        <v>612</v>
      </c>
      <c r="D2143" t="s">
        <v>130</v>
      </c>
    </row>
    <row r="2144" spans="1:4">
      <c r="A2144" s="2">
        <v>0.8615490652192643</v>
      </c>
      <c r="B2144" t="s">
        <v>527</v>
      </c>
      <c r="C2144" t="s">
        <v>612</v>
      </c>
      <c r="D2144" t="s">
        <v>130</v>
      </c>
    </row>
    <row r="2145" spans="1:4">
      <c r="A2145" s="2">
        <v>1.7750639023004828</v>
      </c>
      <c r="B2145" t="s">
        <v>528</v>
      </c>
      <c r="C2145" t="s">
        <v>612</v>
      </c>
      <c r="D2145" t="s">
        <v>130</v>
      </c>
    </row>
    <row r="2146" spans="1:4">
      <c r="A2146" s="2">
        <v>0.08942464185430937</v>
      </c>
      <c r="B2146" t="s">
        <v>529</v>
      </c>
      <c r="C2146" t="s">
        <v>612</v>
      </c>
      <c r="D2146" t="s">
        <v>130</v>
      </c>
    </row>
    <row r="2147" spans="1:4">
      <c r="A2147" s="2">
        <v>0.4341031429067546</v>
      </c>
      <c r="B2147" t="s">
        <v>530</v>
      </c>
      <c r="C2147" t="s">
        <v>612</v>
      </c>
      <c r="D2147" t="s">
        <v>130</v>
      </c>
    </row>
    <row r="2148" spans="1:4">
      <c r="A2148" s="2">
        <v>0.004794783275795934</v>
      </c>
      <c r="B2148" t="s">
        <v>531</v>
      </c>
      <c r="C2148" t="s">
        <v>612</v>
      </c>
      <c r="D2148" t="s">
        <v>130</v>
      </c>
    </row>
    <row r="2149" spans="1:4">
      <c r="A2149" s="2">
        <v>1.8847654409408747</v>
      </c>
      <c r="B2149" t="s">
        <v>532</v>
      </c>
      <c r="C2149" t="s">
        <v>612</v>
      </c>
      <c r="D2149" t="s">
        <v>130</v>
      </c>
    </row>
    <row r="2150" spans="1:4">
      <c r="A2150" s="2">
        <v>1.8458017239788105</v>
      </c>
      <c r="B2150" t="s">
        <v>533</v>
      </c>
      <c r="C2150" t="s">
        <v>612</v>
      </c>
      <c r="D2150" t="s">
        <v>130</v>
      </c>
    </row>
    <row r="2151" spans="1:4">
      <c r="A2151" s="2">
        <v>0.021714724972150865</v>
      </c>
      <c r="B2151" t="s">
        <v>534</v>
      </c>
      <c r="C2151" t="s">
        <v>612</v>
      </c>
      <c r="D2151" t="s">
        <v>130</v>
      </c>
    </row>
    <row r="2152" spans="1:4">
      <c r="A2152" s="2">
        <v>1.9526292152383184</v>
      </c>
      <c r="B2152" t="s">
        <v>535</v>
      </c>
      <c r="C2152" t="s">
        <v>612</v>
      </c>
      <c r="D2152" t="s">
        <v>130</v>
      </c>
    </row>
    <row r="2153" spans="1:4">
      <c r="A2153" s="2">
        <v>1.1003521126760565</v>
      </c>
      <c r="B2153" t="s">
        <v>536</v>
      </c>
      <c r="C2153" t="s">
        <v>612</v>
      </c>
      <c r="D2153" t="s">
        <v>130</v>
      </c>
    </row>
    <row r="2154" spans="1:4">
      <c r="A2154" s="2">
        <v>0.7753140021708793</v>
      </c>
      <c r="B2154" t="s">
        <v>537</v>
      </c>
      <c r="C2154" t="s">
        <v>612</v>
      </c>
      <c r="D2154" t="s">
        <v>130</v>
      </c>
    </row>
    <row r="2155" spans="1:4">
      <c r="A2155" s="2">
        <v>0.7257947452460444</v>
      </c>
      <c r="B2155" t="s">
        <v>538</v>
      </c>
      <c r="C2155" t="s">
        <v>612</v>
      </c>
      <c r="D2155" t="s">
        <v>130</v>
      </c>
    </row>
    <row r="2156" spans="1:4">
      <c r="A2156" s="2">
        <v>0.1583932587829062</v>
      </c>
      <c r="B2156" t="s">
        <v>539</v>
      </c>
      <c r="C2156" t="s">
        <v>612</v>
      </c>
      <c r="D2156" t="s">
        <v>130</v>
      </c>
    </row>
    <row r="2157" spans="1:4">
      <c r="A2157" s="2">
        <v>0.4027061855670103</v>
      </c>
      <c r="B2157" t="s">
        <v>540</v>
      </c>
      <c r="C2157" t="s">
        <v>612</v>
      </c>
      <c r="D2157" t="s">
        <v>130</v>
      </c>
    </row>
    <row r="2158" spans="1:4">
      <c r="A2158" s="2">
        <v>0.222637812806127</v>
      </c>
      <c r="B2158" t="s">
        <v>541</v>
      </c>
      <c r="C2158" t="s">
        <v>612</v>
      </c>
      <c r="D2158" t="s">
        <v>130</v>
      </c>
    </row>
    <row r="2159" spans="1:4">
      <c r="A2159" s="2">
        <v>1</v>
      </c>
      <c r="B2159" t="s">
        <v>542</v>
      </c>
      <c r="C2159" t="s">
        <v>130</v>
      </c>
      <c r="D2159" t="s">
        <v>130</v>
      </c>
    </row>
    <row r="2160" spans="1:4">
      <c r="A2160" s="2">
        <v>6.9398</v>
      </c>
      <c r="B2160" t="s">
        <v>364</v>
      </c>
      <c r="C2160" t="s">
        <v>612</v>
      </c>
      <c r="D2160" t="s">
        <v>616</v>
      </c>
    </row>
    <row r="2161" spans="1:4">
      <c r="A2161" s="2">
        <v>8.2195</v>
      </c>
      <c r="B2161" t="s">
        <v>373</v>
      </c>
      <c r="C2161" t="s">
        <v>612</v>
      </c>
      <c r="D2161" t="s">
        <v>616</v>
      </c>
    </row>
    <row r="2162" spans="1:4">
      <c r="A2162" s="2">
        <v>0.045304</v>
      </c>
      <c r="B2162" t="s">
        <v>520</v>
      </c>
      <c r="C2162" t="s">
        <v>612</v>
      </c>
      <c r="D2162" t="s">
        <v>616</v>
      </c>
    </row>
    <row r="2163" spans="1:4">
      <c r="A2163" s="2">
        <v>0.88787</v>
      </c>
      <c r="B2163" t="s">
        <v>370</v>
      </c>
      <c r="C2163" t="s">
        <v>612</v>
      </c>
      <c r="D2163" t="s">
        <v>616</v>
      </c>
    </row>
    <row r="2164" spans="1:4">
      <c r="A2164" s="2">
        <v>9.4245</v>
      </c>
      <c r="B2164" t="s">
        <v>521</v>
      </c>
      <c r="C2164" t="s">
        <v>612</v>
      </c>
      <c r="D2164" t="s">
        <v>616</v>
      </c>
    </row>
    <row r="2165" spans="1:4">
      <c r="A2165" s="2">
        <v>4.9048</v>
      </c>
      <c r="B2165" t="s">
        <v>522</v>
      </c>
      <c r="C2165" t="s">
        <v>612</v>
      </c>
      <c r="D2165" t="s">
        <v>616</v>
      </c>
    </row>
    <row r="2166" spans="1:4">
      <c r="A2166" s="2">
        <v>4.1709</v>
      </c>
      <c r="B2166" t="s">
        <v>523</v>
      </c>
      <c r="C2166" t="s">
        <v>612</v>
      </c>
      <c r="D2166" t="s">
        <v>616</v>
      </c>
    </row>
    <row r="2167" spans="1:4">
      <c r="A2167" s="2">
        <v>5.4851</v>
      </c>
      <c r="B2167" t="s">
        <v>524</v>
      </c>
      <c r="C2167" t="s">
        <v>612</v>
      </c>
      <c r="D2167" t="s">
        <v>616</v>
      </c>
    </row>
    <row r="2168" spans="1:4">
      <c r="A2168" s="2">
        <v>8.9993</v>
      </c>
      <c r="B2168" t="s">
        <v>525</v>
      </c>
      <c r="C2168" t="s">
        <v>612</v>
      </c>
      <c r="D2168" t="s">
        <v>616</v>
      </c>
    </row>
    <row r="2169" spans="1:4">
      <c r="A2169" s="2">
        <v>5.0865</v>
      </c>
      <c r="B2169" t="s">
        <v>526</v>
      </c>
      <c r="C2169" t="s">
        <v>612</v>
      </c>
      <c r="D2169" t="s">
        <v>616</v>
      </c>
    </row>
    <row r="2170" spans="1:4">
      <c r="A2170" s="2">
        <v>0.8615490652192643</v>
      </c>
      <c r="B2170" t="s">
        <v>527</v>
      </c>
      <c r="C2170" t="s">
        <v>612</v>
      </c>
      <c r="D2170" t="s">
        <v>616</v>
      </c>
    </row>
    <row r="2171" spans="1:4">
      <c r="A2171" s="2">
        <v>1.7750639023004828</v>
      </c>
      <c r="B2171" t="s">
        <v>528</v>
      </c>
      <c r="C2171" t="s">
        <v>612</v>
      </c>
      <c r="D2171" t="s">
        <v>616</v>
      </c>
    </row>
    <row r="2172" spans="1:4">
      <c r="A2172" s="2">
        <v>0.08942464185430937</v>
      </c>
      <c r="B2172" t="s">
        <v>529</v>
      </c>
      <c r="C2172" t="s">
        <v>612</v>
      </c>
      <c r="D2172" t="s">
        <v>616</v>
      </c>
    </row>
    <row r="2173" spans="1:4">
      <c r="A2173" s="2">
        <v>0.4341031429067546</v>
      </c>
      <c r="B2173" t="s">
        <v>530</v>
      </c>
      <c r="C2173" t="s">
        <v>612</v>
      </c>
      <c r="D2173" t="s">
        <v>616</v>
      </c>
    </row>
    <row r="2174" spans="1:4">
      <c r="A2174" s="2">
        <v>0.004794783275795934</v>
      </c>
      <c r="B2174" t="s">
        <v>531</v>
      </c>
      <c r="C2174" t="s">
        <v>612</v>
      </c>
      <c r="D2174" t="s">
        <v>616</v>
      </c>
    </row>
    <row r="2175" spans="1:4">
      <c r="A2175" s="2">
        <v>1.8847654409408747</v>
      </c>
      <c r="B2175" t="s">
        <v>532</v>
      </c>
      <c r="C2175" t="s">
        <v>612</v>
      </c>
      <c r="D2175" t="s">
        <v>616</v>
      </c>
    </row>
    <row r="2176" spans="1:4">
      <c r="A2176" s="2">
        <v>1.8458017239788105</v>
      </c>
      <c r="B2176" t="s">
        <v>533</v>
      </c>
      <c r="C2176" t="s">
        <v>612</v>
      </c>
      <c r="D2176" t="s">
        <v>616</v>
      </c>
    </row>
    <row r="2177" spans="1:4">
      <c r="A2177" s="2">
        <v>0.021714724972150865</v>
      </c>
      <c r="B2177" t="s">
        <v>534</v>
      </c>
      <c r="C2177" t="s">
        <v>612</v>
      </c>
      <c r="D2177" t="s">
        <v>616</v>
      </c>
    </row>
    <row r="2178" spans="1:4">
      <c r="A2178" s="2">
        <v>1.9526292152383184</v>
      </c>
      <c r="B2178" t="s">
        <v>535</v>
      </c>
      <c r="C2178" t="s">
        <v>612</v>
      </c>
      <c r="D2178" t="s">
        <v>616</v>
      </c>
    </row>
    <row r="2179" spans="1:4">
      <c r="A2179" s="2">
        <v>1.1003521126760565</v>
      </c>
      <c r="B2179" t="s">
        <v>536</v>
      </c>
      <c r="C2179" t="s">
        <v>612</v>
      </c>
      <c r="D2179" t="s">
        <v>616</v>
      </c>
    </row>
    <row r="2180" spans="1:4">
      <c r="A2180" s="2">
        <v>0.7753140021708793</v>
      </c>
      <c r="B2180" t="s">
        <v>537</v>
      </c>
      <c r="C2180" t="s">
        <v>612</v>
      </c>
      <c r="D2180" t="s">
        <v>616</v>
      </c>
    </row>
    <row r="2181" spans="1:4">
      <c r="A2181" s="2">
        <v>0.7257947452460444</v>
      </c>
      <c r="B2181" t="s">
        <v>538</v>
      </c>
      <c r="C2181" t="s">
        <v>612</v>
      </c>
      <c r="D2181" t="s">
        <v>616</v>
      </c>
    </row>
    <row r="2182" spans="1:4">
      <c r="A2182" s="2">
        <v>0.1583932587829062</v>
      </c>
      <c r="B2182" t="s">
        <v>539</v>
      </c>
      <c r="C2182" t="s">
        <v>612</v>
      </c>
      <c r="D2182" t="s">
        <v>616</v>
      </c>
    </row>
    <row r="2183" spans="1:4">
      <c r="A2183" s="2">
        <v>0.4027061855670103</v>
      </c>
      <c r="B2183" t="s">
        <v>540</v>
      </c>
      <c r="C2183" t="s">
        <v>612</v>
      </c>
      <c r="D2183" t="s">
        <v>616</v>
      </c>
    </row>
    <row r="2184" spans="1:4">
      <c r="A2184" s="2">
        <v>0.222637812806127</v>
      </c>
      <c r="B2184" t="s">
        <v>541</v>
      </c>
      <c r="C2184" t="s">
        <v>612</v>
      </c>
      <c r="D2184" t="s">
        <v>616</v>
      </c>
    </row>
    <row r="2185" spans="1:4">
      <c r="A2185" s="2">
        <v>1</v>
      </c>
      <c r="B2185" t="s">
        <v>542</v>
      </c>
      <c r="C2185" t="s">
        <v>616</v>
      </c>
      <c r="D2185" t="s">
        <v>616</v>
      </c>
    </row>
    <row r="2186" spans="1:4">
      <c r="A2186" s="2">
        <v>6.9398</v>
      </c>
      <c r="B2186" t="s">
        <v>364</v>
      </c>
      <c r="C2186" t="s">
        <v>612</v>
      </c>
      <c r="D2186" t="s">
        <v>617</v>
      </c>
    </row>
    <row r="2187" spans="1:4">
      <c r="A2187" s="2">
        <v>8.2195</v>
      </c>
      <c r="B2187" t="s">
        <v>373</v>
      </c>
      <c r="C2187" t="s">
        <v>612</v>
      </c>
      <c r="D2187" t="s">
        <v>617</v>
      </c>
    </row>
    <row r="2188" spans="1:4">
      <c r="A2188" s="2">
        <v>0.045304</v>
      </c>
      <c r="B2188" t="s">
        <v>520</v>
      </c>
      <c r="C2188" t="s">
        <v>612</v>
      </c>
      <c r="D2188" t="s">
        <v>617</v>
      </c>
    </row>
    <row r="2189" spans="1:4">
      <c r="A2189" s="2">
        <v>0.88787</v>
      </c>
      <c r="B2189" t="s">
        <v>370</v>
      </c>
      <c r="C2189" t="s">
        <v>612</v>
      </c>
      <c r="D2189" t="s">
        <v>617</v>
      </c>
    </row>
    <row r="2190" spans="1:4">
      <c r="A2190" s="2">
        <v>9.4245</v>
      </c>
      <c r="B2190" t="s">
        <v>521</v>
      </c>
      <c r="C2190" t="s">
        <v>612</v>
      </c>
      <c r="D2190" t="s">
        <v>617</v>
      </c>
    </row>
    <row r="2191" spans="1:4">
      <c r="A2191" s="2">
        <v>4.9048</v>
      </c>
      <c r="B2191" t="s">
        <v>522</v>
      </c>
      <c r="C2191" t="s">
        <v>612</v>
      </c>
      <c r="D2191" t="s">
        <v>617</v>
      </c>
    </row>
    <row r="2192" spans="1:4">
      <c r="A2192" s="2">
        <v>4.1709</v>
      </c>
      <c r="B2192" t="s">
        <v>523</v>
      </c>
      <c r="C2192" t="s">
        <v>612</v>
      </c>
      <c r="D2192" t="s">
        <v>617</v>
      </c>
    </row>
    <row r="2193" spans="1:4">
      <c r="A2193" s="2">
        <v>5.4851</v>
      </c>
      <c r="B2193" t="s">
        <v>524</v>
      </c>
      <c r="C2193" t="s">
        <v>612</v>
      </c>
      <c r="D2193" t="s">
        <v>617</v>
      </c>
    </row>
    <row r="2194" spans="1:4">
      <c r="A2194" s="2">
        <v>8.9993</v>
      </c>
      <c r="B2194" t="s">
        <v>525</v>
      </c>
      <c r="C2194" t="s">
        <v>612</v>
      </c>
      <c r="D2194" t="s">
        <v>617</v>
      </c>
    </row>
    <row r="2195" spans="1:4">
      <c r="A2195" s="2">
        <v>5.0865</v>
      </c>
      <c r="B2195" t="s">
        <v>526</v>
      </c>
      <c r="C2195" t="s">
        <v>612</v>
      </c>
      <c r="D2195" t="s">
        <v>617</v>
      </c>
    </row>
    <row r="2196" spans="1:4">
      <c r="A2196" s="2">
        <v>0.8615490652192643</v>
      </c>
      <c r="B2196" t="s">
        <v>527</v>
      </c>
      <c r="C2196" t="s">
        <v>612</v>
      </c>
      <c r="D2196" t="s">
        <v>617</v>
      </c>
    </row>
    <row r="2197" spans="1:4">
      <c r="A2197" s="2">
        <v>1.7750639023004828</v>
      </c>
      <c r="B2197" t="s">
        <v>528</v>
      </c>
      <c r="C2197" t="s">
        <v>612</v>
      </c>
      <c r="D2197" t="s">
        <v>617</v>
      </c>
    </row>
    <row r="2198" spans="1:4">
      <c r="A2198" s="2">
        <v>0.08942464185430937</v>
      </c>
      <c r="B2198" t="s">
        <v>529</v>
      </c>
      <c r="C2198" t="s">
        <v>612</v>
      </c>
      <c r="D2198" t="s">
        <v>617</v>
      </c>
    </row>
    <row r="2199" spans="1:4">
      <c r="A2199" s="2">
        <v>0.4341031429067546</v>
      </c>
      <c r="B2199" t="s">
        <v>530</v>
      </c>
      <c r="C2199" t="s">
        <v>612</v>
      </c>
      <c r="D2199" t="s">
        <v>617</v>
      </c>
    </row>
    <row r="2200" spans="1:4">
      <c r="A2200" s="2">
        <v>0.004794783275795934</v>
      </c>
      <c r="B2200" t="s">
        <v>531</v>
      </c>
      <c r="C2200" t="s">
        <v>612</v>
      </c>
      <c r="D2200" t="s">
        <v>617</v>
      </c>
    </row>
    <row r="2201" spans="1:4">
      <c r="A2201" s="2">
        <v>1.8847654409408747</v>
      </c>
      <c r="B2201" t="s">
        <v>532</v>
      </c>
      <c r="C2201" t="s">
        <v>612</v>
      </c>
      <c r="D2201" t="s">
        <v>617</v>
      </c>
    </row>
    <row r="2202" spans="1:4">
      <c r="A2202" s="2">
        <v>1.8458017239788105</v>
      </c>
      <c r="B2202" t="s">
        <v>533</v>
      </c>
      <c r="C2202" t="s">
        <v>612</v>
      </c>
      <c r="D2202" t="s">
        <v>617</v>
      </c>
    </row>
    <row r="2203" spans="1:4">
      <c r="A2203" s="2">
        <v>0.021714724972150865</v>
      </c>
      <c r="B2203" t="s">
        <v>534</v>
      </c>
      <c r="C2203" t="s">
        <v>612</v>
      </c>
      <c r="D2203" t="s">
        <v>617</v>
      </c>
    </row>
    <row r="2204" spans="1:4">
      <c r="A2204" s="2">
        <v>1.9526292152383184</v>
      </c>
      <c r="B2204" t="s">
        <v>535</v>
      </c>
      <c r="C2204" t="s">
        <v>612</v>
      </c>
      <c r="D2204" t="s">
        <v>617</v>
      </c>
    </row>
    <row r="2205" spans="1:4">
      <c r="A2205" s="2">
        <v>1.1003521126760565</v>
      </c>
      <c r="B2205" t="s">
        <v>536</v>
      </c>
      <c r="C2205" t="s">
        <v>612</v>
      </c>
      <c r="D2205" t="s">
        <v>617</v>
      </c>
    </row>
    <row r="2206" spans="1:4">
      <c r="A2206" s="2">
        <v>0.7753140021708793</v>
      </c>
      <c r="B2206" t="s">
        <v>537</v>
      </c>
      <c r="C2206" t="s">
        <v>612</v>
      </c>
      <c r="D2206" t="s">
        <v>617</v>
      </c>
    </row>
    <row r="2207" spans="1:4">
      <c r="A2207" s="2">
        <v>0.7257947452460444</v>
      </c>
      <c r="B2207" t="s">
        <v>538</v>
      </c>
      <c r="C2207" t="s">
        <v>612</v>
      </c>
      <c r="D2207" t="s">
        <v>617</v>
      </c>
    </row>
    <row r="2208" spans="1:4">
      <c r="A2208" s="2">
        <v>0.1583932587829062</v>
      </c>
      <c r="B2208" t="s">
        <v>539</v>
      </c>
      <c r="C2208" t="s">
        <v>612</v>
      </c>
      <c r="D2208" t="s">
        <v>617</v>
      </c>
    </row>
    <row r="2209" spans="1:4">
      <c r="A2209" s="2">
        <v>0.4027061855670103</v>
      </c>
      <c r="B2209" t="s">
        <v>540</v>
      </c>
      <c r="C2209" t="s">
        <v>612</v>
      </c>
      <c r="D2209" t="s">
        <v>617</v>
      </c>
    </row>
    <row r="2210" spans="1:4">
      <c r="A2210" s="2">
        <v>0.222637812806127</v>
      </c>
      <c r="B2210" t="s">
        <v>541</v>
      </c>
      <c r="C2210" t="s">
        <v>612</v>
      </c>
      <c r="D2210" t="s">
        <v>617</v>
      </c>
    </row>
    <row r="2211" spans="1:4">
      <c r="A2211" s="2">
        <v>1</v>
      </c>
      <c r="B2211" t="s">
        <v>542</v>
      </c>
      <c r="C2211" t="s">
        <v>617</v>
      </c>
      <c r="D2211" t="s">
        <v>617</v>
      </c>
    </row>
    <row r="2212" spans="1:4">
      <c r="A2212" s="2">
        <v>6.9398</v>
      </c>
      <c r="B2212" t="s">
        <v>364</v>
      </c>
      <c r="C2212" t="s">
        <v>612</v>
      </c>
      <c r="D2212" t="s">
        <v>618</v>
      </c>
    </row>
    <row r="2213" spans="1:4">
      <c r="A2213" s="2">
        <v>8.2195</v>
      </c>
      <c r="B2213" t="s">
        <v>373</v>
      </c>
      <c r="C2213" t="s">
        <v>612</v>
      </c>
      <c r="D2213" t="s">
        <v>618</v>
      </c>
    </row>
    <row r="2214" spans="1:4">
      <c r="A2214" s="2">
        <v>0.045304</v>
      </c>
      <c r="B2214" t="s">
        <v>520</v>
      </c>
      <c r="C2214" t="s">
        <v>612</v>
      </c>
      <c r="D2214" t="s">
        <v>618</v>
      </c>
    </row>
    <row r="2215" spans="1:4">
      <c r="A2215" s="2">
        <v>0.88787</v>
      </c>
      <c r="B2215" t="s">
        <v>370</v>
      </c>
      <c r="C2215" t="s">
        <v>612</v>
      </c>
      <c r="D2215" t="s">
        <v>618</v>
      </c>
    </row>
    <row r="2216" spans="1:4">
      <c r="A2216" s="2">
        <v>9.4245</v>
      </c>
      <c r="B2216" t="s">
        <v>521</v>
      </c>
      <c r="C2216" t="s">
        <v>612</v>
      </c>
      <c r="D2216" t="s">
        <v>618</v>
      </c>
    </row>
    <row r="2217" spans="1:4">
      <c r="A2217" s="2">
        <v>4.9048</v>
      </c>
      <c r="B2217" t="s">
        <v>522</v>
      </c>
      <c r="C2217" t="s">
        <v>612</v>
      </c>
      <c r="D2217" t="s">
        <v>618</v>
      </c>
    </row>
    <row r="2218" spans="1:4">
      <c r="A2218" s="2">
        <v>4.1709</v>
      </c>
      <c r="B2218" t="s">
        <v>523</v>
      </c>
      <c r="C2218" t="s">
        <v>612</v>
      </c>
      <c r="D2218" t="s">
        <v>618</v>
      </c>
    </row>
    <row r="2219" spans="1:4">
      <c r="A2219" s="2">
        <v>5.4851</v>
      </c>
      <c r="B2219" t="s">
        <v>524</v>
      </c>
      <c r="C2219" t="s">
        <v>612</v>
      </c>
      <c r="D2219" t="s">
        <v>618</v>
      </c>
    </row>
    <row r="2220" spans="1:4">
      <c r="A2220" s="2">
        <v>8.9993</v>
      </c>
      <c r="B2220" t="s">
        <v>525</v>
      </c>
      <c r="C2220" t="s">
        <v>612</v>
      </c>
      <c r="D2220" t="s">
        <v>618</v>
      </c>
    </row>
    <row r="2221" spans="1:4">
      <c r="A2221" s="2">
        <v>5.0865</v>
      </c>
      <c r="B2221" t="s">
        <v>526</v>
      </c>
      <c r="C2221" t="s">
        <v>612</v>
      </c>
      <c r="D2221" t="s">
        <v>618</v>
      </c>
    </row>
    <row r="2222" spans="1:4">
      <c r="A2222" s="2">
        <v>0.8615490652192643</v>
      </c>
      <c r="B2222" t="s">
        <v>527</v>
      </c>
      <c r="C2222" t="s">
        <v>612</v>
      </c>
      <c r="D2222" t="s">
        <v>618</v>
      </c>
    </row>
    <row r="2223" spans="1:4">
      <c r="A2223" s="2">
        <v>1.7750639023004828</v>
      </c>
      <c r="B2223" t="s">
        <v>528</v>
      </c>
      <c r="C2223" t="s">
        <v>612</v>
      </c>
      <c r="D2223" t="s">
        <v>618</v>
      </c>
    </row>
    <row r="2224" spans="1:4">
      <c r="A2224" s="2">
        <v>0.08942464185430937</v>
      </c>
      <c r="B2224" t="s">
        <v>529</v>
      </c>
      <c r="C2224" t="s">
        <v>612</v>
      </c>
      <c r="D2224" t="s">
        <v>618</v>
      </c>
    </row>
    <row r="2225" spans="1:4">
      <c r="A2225" s="2">
        <v>0.4341031429067546</v>
      </c>
      <c r="B2225" t="s">
        <v>530</v>
      </c>
      <c r="C2225" t="s">
        <v>612</v>
      </c>
      <c r="D2225" t="s">
        <v>618</v>
      </c>
    </row>
    <row r="2226" spans="1:4">
      <c r="A2226" s="2">
        <v>0.004794783275795934</v>
      </c>
      <c r="B2226" t="s">
        <v>531</v>
      </c>
      <c r="C2226" t="s">
        <v>612</v>
      </c>
      <c r="D2226" t="s">
        <v>618</v>
      </c>
    </row>
    <row r="2227" spans="1:4">
      <c r="A2227" s="2">
        <v>1.8847654409408747</v>
      </c>
      <c r="B2227" t="s">
        <v>532</v>
      </c>
      <c r="C2227" t="s">
        <v>612</v>
      </c>
      <c r="D2227" t="s">
        <v>618</v>
      </c>
    </row>
    <row r="2228" spans="1:4">
      <c r="A2228" s="2">
        <v>1.8458017239788105</v>
      </c>
      <c r="B2228" t="s">
        <v>533</v>
      </c>
      <c r="C2228" t="s">
        <v>612</v>
      </c>
      <c r="D2228" t="s">
        <v>618</v>
      </c>
    </row>
    <row r="2229" spans="1:4">
      <c r="A2229" s="2">
        <v>0.021714724972150865</v>
      </c>
      <c r="B2229" t="s">
        <v>534</v>
      </c>
      <c r="C2229" t="s">
        <v>612</v>
      </c>
      <c r="D2229" t="s">
        <v>618</v>
      </c>
    </row>
    <row r="2230" spans="1:4">
      <c r="A2230" s="2">
        <v>1.9526292152383184</v>
      </c>
      <c r="B2230" t="s">
        <v>535</v>
      </c>
      <c r="C2230" t="s">
        <v>612</v>
      </c>
      <c r="D2230" t="s">
        <v>618</v>
      </c>
    </row>
    <row r="2231" spans="1:4">
      <c r="A2231" s="2">
        <v>1.1003521126760565</v>
      </c>
      <c r="B2231" t="s">
        <v>536</v>
      </c>
      <c r="C2231" t="s">
        <v>612</v>
      </c>
      <c r="D2231" t="s">
        <v>618</v>
      </c>
    </row>
    <row r="2232" spans="1:4">
      <c r="A2232" s="2">
        <v>0.7753140021708793</v>
      </c>
      <c r="B2232" t="s">
        <v>537</v>
      </c>
      <c r="C2232" t="s">
        <v>612</v>
      </c>
      <c r="D2232" t="s">
        <v>618</v>
      </c>
    </row>
    <row r="2233" spans="1:4">
      <c r="A2233" s="2">
        <v>0.7257947452460444</v>
      </c>
      <c r="B2233" t="s">
        <v>538</v>
      </c>
      <c r="C2233" t="s">
        <v>612</v>
      </c>
      <c r="D2233" t="s">
        <v>618</v>
      </c>
    </row>
    <row r="2234" spans="1:4">
      <c r="A2234" s="2">
        <v>0.1583932587829062</v>
      </c>
      <c r="B2234" t="s">
        <v>539</v>
      </c>
      <c r="C2234" t="s">
        <v>612</v>
      </c>
      <c r="D2234" t="s">
        <v>618</v>
      </c>
    </row>
    <row r="2235" spans="1:4">
      <c r="A2235" s="2">
        <v>0.4027061855670103</v>
      </c>
      <c r="B2235" t="s">
        <v>540</v>
      </c>
      <c r="C2235" t="s">
        <v>612</v>
      </c>
      <c r="D2235" t="s">
        <v>618</v>
      </c>
    </row>
    <row r="2236" spans="1:4">
      <c r="A2236" s="2">
        <v>0.222637812806127</v>
      </c>
      <c r="B2236" t="s">
        <v>541</v>
      </c>
      <c r="C2236" t="s">
        <v>612</v>
      </c>
      <c r="D2236" t="s">
        <v>618</v>
      </c>
    </row>
    <row r="2237" spans="1:4">
      <c r="A2237" s="2">
        <v>1</v>
      </c>
      <c r="B2237" t="s">
        <v>542</v>
      </c>
      <c r="C2237" t="s">
        <v>618</v>
      </c>
      <c r="D2237" t="s">
        <v>618</v>
      </c>
    </row>
    <row r="2238" spans="1:4">
      <c r="A2238" s="2">
        <v>6.9398</v>
      </c>
      <c r="B2238" t="s">
        <v>364</v>
      </c>
      <c r="C2238" t="s">
        <v>612</v>
      </c>
      <c r="D2238" t="s">
        <v>619</v>
      </c>
    </row>
    <row r="2239" spans="1:4">
      <c r="A2239" s="2">
        <v>8.2195</v>
      </c>
      <c r="B2239" t="s">
        <v>373</v>
      </c>
      <c r="C2239" t="s">
        <v>612</v>
      </c>
      <c r="D2239" t="s">
        <v>619</v>
      </c>
    </row>
    <row r="2240" spans="1:4">
      <c r="A2240" s="2">
        <v>0.045304</v>
      </c>
      <c r="B2240" t="s">
        <v>520</v>
      </c>
      <c r="C2240" t="s">
        <v>612</v>
      </c>
      <c r="D2240" t="s">
        <v>619</v>
      </c>
    </row>
    <row r="2241" spans="1:4">
      <c r="A2241" s="2">
        <v>0.88787</v>
      </c>
      <c r="B2241" t="s">
        <v>370</v>
      </c>
      <c r="C2241" t="s">
        <v>612</v>
      </c>
      <c r="D2241" t="s">
        <v>619</v>
      </c>
    </row>
    <row r="2242" spans="1:4">
      <c r="A2242" s="2">
        <v>9.4245</v>
      </c>
      <c r="B2242" t="s">
        <v>521</v>
      </c>
      <c r="C2242" t="s">
        <v>612</v>
      </c>
      <c r="D2242" t="s">
        <v>619</v>
      </c>
    </row>
    <row r="2243" spans="1:4">
      <c r="A2243" s="2">
        <v>4.9048</v>
      </c>
      <c r="B2243" t="s">
        <v>522</v>
      </c>
      <c r="C2243" t="s">
        <v>612</v>
      </c>
      <c r="D2243" t="s">
        <v>619</v>
      </c>
    </row>
    <row r="2244" spans="1:4">
      <c r="A2244" s="2">
        <v>4.1709</v>
      </c>
      <c r="B2244" t="s">
        <v>523</v>
      </c>
      <c r="C2244" t="s">
        <v>612</v>
      </c>
      <c r="D2244" t="s">
        <v>619</v>
      </c>
    </row>
    <row r="2245" spans="1:4">
      <c r="A2245" s="2">
        <v>5.4851</v>
      </c>
      <c r="B2245" t="s">
        <v>524</v>
      </c>
      <c r="C2245" t="s">
        <v>612</v>
      </c>
      <c r="D2245" t="s">
        <v>619</v>
      </c>
    </row>
    <row r="2246" spans="1:4">
      <c r="A2246" s="2">
        <v>8.9993</v>
      </c>
      <c r="B2246" t="s">
        <v>525</v>
      </c>
      <c r="C2246" t="s">
        <v>612</v>
      </c>
      <c r="D2246" t="s">
        <v>619</v>
      </c>
    </row>
    <row r="2247" spans="1:4">
      <c r="A2247" s="2">
        <v>5.0865</v>
      </c>
      <c r="B2247" t="s">
        <v>526</v>
      </c>
      <c r="C2247" t="s">
        <v>612</v>
      </c>
      <c r="D2247" t="s">
        <v>619</v>
      </c>
    </row>
    <row r="2248" spans="1:4">
      <c r="A2248" s="2">
        <v>0.8615490652192643</v>
      </c>
      <c r="B2248" t="s">
        <v>527</v>
      </c>
      <c r="C2248" t="s">
        <v>612</v>
      </c>
      <c r="D2248" t="s">
        <v>619</v>
      </c>
    </row>
    <row r="2249" spans="1:4">
      <c r="A2249" s="2">
        <v>1.7750639023004828</v>
      </c>
      <c r="B2249" t="s">
        <v>528</v>
      </c>
      <c r="C2249" t="s">
        <v>612</v>
      </c>
      <c r="D2249" t="s">
        <v>619</v>
      </c>
    </row>
    <row r="2250" spans="1:4">
      <c r="A2250" s="2">
        <v>0.08942464185430937</v>
      </c>
      <c r="B2250" t="s">
        <v>529</v>
      </c>
      <c r="C2250" t="s">
        <v>612</v>
      </c>
      <c r="D2250" t="s">
        <v>619</v>
      </c>
    </row>
    <row r="2251" spans="1:4">
      <c r="A2251" s="2">
        <v>0.4341031429067546</v>
      </c>
      <c r="B2251" t="s">
        <v>530</v>
      </c>
      <c r="C2251" t="s">
        <v>612</v>
      </c>
      <c r="D2251" t="s">
        <v>619</v>
      </c>
    </row>
    <row r="2252" spans="1:4">
      <c r="A2252" s="2">
        <v>0.004794783275795934</v>
      </c>
      <c r="B2252" t="s">
        <v>531</v>
      </c>
      <c r="C2252" t="s">
        <v>612</v>
      </c>
      <c r="D2252" t="s">
        <v>619</v>
      </c>
    </row>
    <row r="2253" spans="1:4">
      <c r="A2253" s="2">
        <v>1.8847654409408747</v>
      </c>
      <c r="B2253" t="s">
        <v>532</v>
      </c>
      <c r="C2253" t="s">
        <v>612</v>
      </c>
      <c r="D2253" t="s">
        <v>619</v>
      </c>
    </row>
    <row r="2254" spans="1:4">
      <c r="A2254" s="2">
        <v>1.8458017239788105</v>
      </c>
      <c r="B2254" t="s">
        <v>533</v>
      </c>
      <c r="C2254" t="s">
        <v>612</v>
      </c>
      <c r="D2254" t="s">
        <v>619</v>
      </c>
    </row>
    <row r="2255" spans="1:4">
      <c r="A2255" s="2">
        <v>0.021714724972150865</v>
      </c>
      <c r="B2255" t="s">
        <v>534</v>
      </c>
      <c r="C2255" t="s">
        <v>612</v>
      </c>
      <c r="D2255" t="s">
        <v>619</v>
      </c>
    </row>
    <row r="2256" spans="1:4">
      <c r="A2256" s="2">
        <v>1.9526292152383184</v>
      </c>
      <c r="B2256" t="s">
        <v>535</v>
      </c>
      <c r="C2256" t="s">
        <v>612</v>
      </c>
      <c r="D2256" t="s">
        <v>619</v>
      </c>
    </row>
    <row r="2257" spans="1:4">
      <c r="A2257" s="2">
        <v>1.1003521126760565</v>
      </c>
      <c r="B2257" t="s">
        <v>536</v>
      </c>
      <c r="C2257" t="s">
        <v>612</v>
      </c>
      <c r="D2257" t="s">
        <v>619</v>
      </c>
    </row>
    <row r="2258" spans="1:4">
      <c r="A2258" s="2">
        <v>0.7753140021708793</v>
      </c>
      <c r="B2258" t="s">
        <v>537</v>
      </c>
      <c r="C2258" t="s">
        <v>612</v>
      </c>
      <c r="D2258" t="s">
        <v>619</v>
      </c>
    </row>
    <row r="2259" spans="1:4">
      <c r="A2259" s="2">
        <v>0.7257947452460444</v>
      </c>
      <c r="B2259" t="s">
        <v>538</v>
      </c>
      <c r="C2259" t="s">
        <v>612</v>
      </c>
      <c r="D2259" t="s">
        <v>619</v>
      </c>
    </row>
    <row r="2260" spans="1:4">
      <c r="A2260" s="2">
        <v>0.1583932587829062</v>
      </c>
      <c r="B2260" t="s">
        <v>539</v>
      </c>
      <c r="C2260" t="s">
        <v>612</v>
      </c>
      <c r="D2260" t="s">
        <v>619</v>
      </c>
    </row>
    <row r="2261" spans="1:4">
      <c r="A2261" s="2">
        <v>0.4027061855670103</v>
      </c>
      <c r="B2261" t="s">
        <v>540</v>
      </c>
      <c r="C2261" t="s">
        <v>612</v>
      </c>
      <c r="D2261" t="s">
        <v>619</v>
      </c>
    </row>
    <row r="2262" spans="1:4">
      <c r="A2262" s="2">
        <v>0.222637812806127</v>
      </c>
      <c r="B2262" t="s">
        <v>541</v>
      </c>
      <c r="C2262" t="s">
        <v>612</v>
      </c>
      <c r="D2262" t="s">
        <v>619</v>
      </c>
    </row>
    <row r="2263" spans="1:4">
      <c r="A2263" s="2">
        <v>1</v>
      </c>
      <c r="B2263" t="s">
        <v>542</v>
      </c>
      <c r="C2263" t="s">
        <v>619</v>
      </c>
      <c r="D2263" t="s">
        <v>619</v>
      </c>
    </row>
    <row r="2264" spans="1:4">
      <c r="A2264" s="2">
        <v>6.9398</v>
      </c>
      <c r="B2264" t="s">
        <v>364</v>
      </c>
      <c r="C2264" t="s">
        <v>612</v>
      </c>
      <c r="D2264" t="s">
        <v>145</v>
      </c>
    </row>
    <row r="2265" spans="1:4">
      <c r="A2265" s="2">
        <v>8.2195</v>
      </c>
      <c r="B2265" t="s">
        <v>373</v>
      </c>
      <c r="C2265" t="s">
        <v>612</v>
      </c>
      <c r="D2265" t="s">
        <v>145</v>
      </c>
    </row>
    <row r="2266" spans="1:4">
      <c r="A2266" s="2">
        <v>0.045304</v>
      </c>
      <c r="B2266" t="s">
        <v>520</v>
      </c>
      <c r="C2266" t="s">
        <v>612</v>
      </c>
      <c r="D2266" t="s">
        <v>145</v>
      </c>
    </row>
    <row r="2267" spans="1:4">
      <c r="A2267" s="2">
        <v>0.88787</v>
      </c>
      <c r="B2267" t="s">
        <v>370</v>
      </c>
      <c r="C2267" t="s">
        <v>612</v>
      </c>
      <c r="D2267" t="s">
        <v>145</v>
      </c>
    </row>
    <row r="2268" spans="1:4">
      <c r="A2268" s="2">
        <v>9.4245</v>
      </c>
      <c r="B2268" t="s">
        <v>521</v>
      </c>
      <c r="C2268" t="s">
        <v>612</v>
      </c>
      <c r="D2268" t="s">
        <v>145</v>
      </c>
    </row>
    <row r="2269" spans="1:4">
      <c r="A2269" s="2">
        <v>4.9048</v>
      </c>
      <c r="B2269" t="s">
        <v>522</v>
      </c>
      <c r="C2269" t="s">
        <v>612</v>
      </c>
      <c r="D2269" t="s">
        <v>145</v>
      </c>
    </row>
    <row r="2270" spans="1:4">
      <c r="A2270" s="2">
        <v>4.1709</v>
      </c>
      <c r="B2270" t="s">
        <v>523</v>
      </c>
      <c r="C2270" t="s">
        <v>612</v>
      </c>
      <c r="D2270" t="s">
        <v>145</v>
      </c>
    </row>
    <row r="2271" spans="1:4">
      <c r="A2271" s="2">
        <v>5.4851</v>
      </c>
      <c r="B2271" t="s">
        <v>524</v>
      </c>
      <c r="C2271" t="s">
        <v>612</v>
      </c>
      <c r="D2271" t="s">
        <v>145</v>
      </c>
    </row>
    <row r="2272" spans="1:4">
      <c r="A2272" s="2">
        <v>8.9993</v>
      </c>
      <c r="B2272" t="s">
        <v>525</v>
      </c>
      <c r="C2272" t="s">
        <v>612</v>
      </c>
      <c r="D2272" t="s">
        <v>145</v>
      </c>
    </row>
    <row r="2273" spans="1:4">
      <c r="A2273" s="2">
        <v>5.0865</v>
      </c>
      <c r="B2273" t="s">
        <v>526</v>
      </c>
      <c r="C2273" t="s">
        <v>612</v>
      </c>
      <c r="D2273" t="s">
        <v>145</v>
      </c>
    </row>
    <row r="2274" spans="1:4">
      <c r="A2274" s="2">
        <v>0.8615490652192643</v>
      </c>
      <c r="B2274" t="s">
        <v>527</v>
      </c>
      <c r="C2274" t="s">
        <v>612</v>
      </c>
      <c r="D2274" t="s">
        <v>145</v>
      </c>
    </row>
    <row r="2275" spans="1:4">
      <c r="A2275" s="2">
        <v>1.7750639023004828</v>
      </c>
      <c r="B2275" t="s">
        <v>528</v>
      </c>
      <c r="C2275" t="s">
        <v>612</v>
      </c>
      <c r="D2275" t="s">
        <v>145</v>
      </c>
    </row>
    <row r="2276" spans="1:4">
      <c r="A2276" s="2">
        <v>0.08942464185430937</v>
      </c>
      <c r="B2276" t="s">
        <v>529</v>
      </c>
      <c r="C2276" t="s">
        <v>612</v>
      </c>
      <c r="D2276" t="s">
        <v>145</v>
      </c>
    </row>
    <row r="2277" spans="1:4">
      <c r="A2277" s="2">
        <v>0.4341031429067546</v>
      </c>
      <c r="B2277" t="s">
        <v>530</v>
      </c>
      <c r="C2277" t="s">
        <v>612</v>
      </c>
      <c r="D2277" t="s">
        <v>145</v>
      </c>
    </row>
    <row r="2278" spans="1:4">
      <c r="A2278" s="2">
        <v>0.004794783275795934</v>
      </c>
      <c r="B2278" t="s">
        <v>531</v>
      </c>
      <c r="C2278" t="s">
        <v>612</v>
      </c>
      <c r="D2278" t="s">
        <v>145</v>
      </c>
    </row>
    <row r="2279" spans="1:4">
      <c r="A2279" s="2">
        <v>1.8847654409408747</v>
      </c>
      <c r="B2279" t="s">
        <v>532</v>
      </c>
      <c r="C2279" t="s">
        <v>612</v>
      </c>
      <c r="D2279" t="s">
        <v>145</v>
      </c>
    </row>
    <row r="2280" spans="1:4">
      <c r="A2280" s="2">
        <v>1.8458017239788105</v>
      </c>
      <c r="B2280" t="s">
        <v>533</v>
      </c>
      <c r="C2280" t="s">
        <v>612</v>
      </c>
      <c r="D2280" t="s">
        <v>145</v>
      </c>
    </row>
    <row r="2281" spans="1:4">
      <c r="A2281" s="2">
        <v>0.021714724972150865</v>
      </c>
      <c r="B2281" t="s">
        <v>534</v>
      </c>
      <c r="C2281" t="s">
        <v>612</v>
      </c>
      <c r="D2281" t="s">
        <v>145</v>
      </c>
    </row>
    <row r="2282" spans="1:4">
      <c r="A2282" s="2">
        <v>1.9526292152383184</v>
      </c>
      <c r="B2282" t="s">
        <v>535</v>
      </c>
      <c r="C2282" t="s">
        <v>612</v>
      </c>
      <c r="D2282" t="s">
        <v>145</v>
      </c>
    </row>
    <row r="2283" spans="1:4">
      <c r="A2283" s="2">
        <v>1.1003521126760565</v>
      </c>
      <c r="B2283" t="s">
        <v>536</v>
      </c>
      <c r="C2283" t="s">
        <v>612</v>
      </c>
      <c r="D2283" t="s">
        <v>145</v>
      </c>
    </row>
    <row r="2284" spans="1:4">
      <c r="A2284" s="2">
        <v>0.7753140021708793</v>
      </c>
      <c r="B2284" t="s">
        <v>537</v>
      </c>
      <c r="C2284" t="s">
        <v>612</v>
      </c>
      <c r="D2284" t="s">
        <v>145</v>
      </c>
    </row>
    <row r="2285" spans="1:4">
      <c r="A2285" s="2">
        <v>0.7257947452460444</v>
      </c>
      <c r="B2285" t="s">
        <v>538</v>
      </c>
      <c r="C2285" t="s">
        <v>612</v>
      </c>
      <c r="D2285" t="s">
        <v>145</v>
      </c>
    </row>
    <row r="2286" spans="1:4">
      <c r="A2286" s="2">
        <v>0.1583932587829062</v>
      </c>
      <c r="B2286" t="s">
        <v>539</v>
      </c>
      <c r="C2286" t="s">
        <v>612</v>
      </c>
      <c r="D2286" t="s">
        <v>145</v>
      </c>
    </row>
    <row r="2287" spans="1:4">
      <c r="A2287" s="2">
        <v>0.4027061855670103</v>
      </c>
      <c r="B2287" t="s">
        <v>540</v>
      </c>
      <c r="C2287" t="s">
        <v>612</v>
      </c>
      <c r="D2287" t="s">
        <v>145</v>
      </c>
    </row>
    <row r="2288" spans="1:4">
      <c r="A2288" s="2">
        <v>0.222637812806127</v>
      </c>
      <c r="B2288" t="s">
        <v>541</v>
      </c>
      <c r="C2288" t="s">
        <v>612</v>
      </c>
      <c r="D2288" t="s">
        <v>145</v>
      </c>
    </row>
    <row r="2289" spans="1:4">
      <c r="A2289" s="2">
        <v>1</v>
      </c>
      <c r="B2289" t="s">
        <v>542</v>
      </c>
      <c r="C2289" t="s">
        <v>145</v>
      </c>
      <c r="D2289" t="s">
        <v>145</v>
      </c>
    </row>
    <row r="2290" spans="1:4">
      <c r="A2290" s="2">
        <v>6.9398</v>
      </c>
      <c r="B2290" t="s">
        <v>364</v>
      </c>
      <c r="C2290" t="s">
        <v>612</v>
      </c>
      <c r="D2290" t="s">
        <v>620</v>
      </c>
    </row>
    <row r="2291" spans="1:4">
      <c r="A2291" s="2">
        <v>8.2195</v>
      </c>
      <c r="B2291" t="s">
        <v>373</v>
      </c>
      <c r="C2291" t="s">
        <v>612</v>
      </c>
      <c r="D2291" t="s">
        <v>620</v>
      </c>
    </row>
    <row r="2292" spans="1:4">
      <c r="A2292" s="2">
        <v>0.045304</v>
      </c>
      <c r="B2292" t="s">
        <v>520</v>
      </c>
      <c r="C2292" t="s">
        <v>612</v>
      </c>
      <c r="D2292" t="s">
        <v>620</v>
      </c>
    </row>
    <row r="2293" spans="1:4">
      <c r="A2293" s="2">
        <v>0.88787</v>
      </c>
      <c r="B2293" t="s">
        <v>370</v>
      </c>
      <c r="C2293" t="s">
        <v>612</v>
      </c>
      <c r="D2293" t="s">
        <v>620</v>
      </c>
    </row>
    <row r="2294" spans="1:4">
      <c r="A2294" s="2">
        <v>9.4245</v>
      </c>
      <c r="B2294" t="s">
        <v>521</v>
      </c>
      <c r="C2294" t="s">
        <v>612</v>
      </c>
      <c r="D2294" t="s">
        <v>620</v>
      </c>
    </row>
    <row r="2295" spans="1:4">
      <c r="A2295" s="2">
        <v>4.9048</v>
      </c>
      <c r="B2295" t="s">
        <v>522</v>
      </c>
      <c r="C2295" t="s">
        <v>612</v>
      </c>
      <c r="D2295" t="s">
        <v>620</v>
      </c>
    </row>
    <row r="2296" spans="1:4">
      <c r="A2296" s="2">
        <v>4.1709</v>
      </c>
      <c r="B2296" t="s">
        <v>523</v>
      </c>
      <c r="C2296" t="s">
        <v>612</v>
      </c>
      <c r="D2296" t="s">
        <v>620</v>
      </c>
    </row>
    <row r="2297" spans="1:4">
      <c r="A2297" s="2">
        <v>5.4851</v>
      </c>
      <c r="B2297" t="s">
        <v>524</v>
      </c>
      <c r="C2297" t="s">
        <v>612</v>
      </c>
      <c r="D2297" t="s">
        <v>620</v>
      </c>
    </row>
    <row r="2298" spans="1:4">
      <c r="A2298" s="2">
        <v>8.9993</v>
      </c>
      <c r="B2298" t="s">
        <v>525</v>
      </c>
      <c r="C2298" t="s">
        <v>612</v>
      </c>
      <c r="D2298" t="s">
        <v>620</v>
      </c>
    </row>
    <row r="2299" spans="1:4">
      <c r="A2299" s="2">
        <v>5.0865</v>
      </c>
      <c r="B2299" t="s">
        <v>526</v>
      </c>
      <c r="C2299" t="s">
        <v>612</v>
      </c>
      <c r="D2299" t="s">
        <v>620</v>
      </c>
    </row>
    <row r="2300" spans="1:4">
      <c r="A2300" s="2">
        <v>0.8615490652192643</v>
      </c>
      <c r="B2300" t="s">
        <v>527</v>
      </c>
      <c r="C2300" t="s">
        <v>612</v>
      </c>
      <c r="D2300" t="s">
        <v>620</v>
      </c>
    </row>
    <row r="2301" spans="1:4">
      <c r="A2301" s="2">
        <v>1.7750639023004828</v>
      </c>
      <c r="B2301" t="s">
        <v>528</v>
      </c>
      <c r="C2301" t="s">
        <v>612</v>
      </c>
      <c r="D2301" t="s">
        <v>620</v>
      </c>
    </row>
    <row r="2302" spans="1:4">
      <c r="A2302" s="2">
        <v>0.08942464185430937</v>
      </c>
      <c r="B2302" t="s">
        <v>529</v>
      </c>
      <c r="C2302" t="s">
        <v>612</v>
      </c>
      <c r="D2302" t="s">
        <v>620</v>
      </c>
    </row>
    <row r="2303" spans="1:4">
      <c r="A2303" s="2">
        <v>0.4341031429067546</v>
      </c>
      <c r="B2303" t="s">
        <v>530</v>
      </c>
      <c r="C2303" t="s">
        <v>612</v>
      </c>
      <c r="D2303" t="s">
        <v>620</v>
      </c>
    </row>
    <row r="2304" spans="1:4">
      <c r="A2304" s="2">
        <v>0.004794783275795934</v>
      </c>
      <c r="B2304" t="s">
        <v>531</v>
      </c>
      <c r="C2304" t="s">
        <v>612</v>
      </c>
      <c r="D2304" t="s">
        <v>620</v>
      </c>
    </row>
    <row r="2305" spans="1:4">
      <c r="A2305" s="2">
        <v>1.8847654409408747</v>
      </c>
      <c r="B2305" t="s">
        <v>532</v>
      </c>
      <c r="C2305" t="s">
        <v>612</v>
      </c>
      <c r="D2305" t="s">
        <v>620</v>
      </c>
    </row>
    <row r="2306" spans="1:4">
      <c r="A2306" s="2">
        <v>1.8458017239788105</v>
      </c>
      <c r="B2306" t="s">
        <v>533</v>
      </c>
      <c r="C2306" t="s">
        <v>612</v>
      </c>
      <c r="D2306" t="s">
        <v>620</v>
      </c>
    </row>
    <row r="2307" spans="1:4">
      <c r="A2307" s="2">
        <v>0.021714724972150865</v>
      </c>
      <c r="B2307" t="s">
        <v>534</v>
      </c>
      <c r="C2307" t="s">
        <v>612</v>
      </c>
      <c r="D2307" t="s">
        <v>620</v>
      </c>
    </row>
    <row r="2308" spans="1:4">
      <c r="A2308" s="2">
        <v>1.9526292152383184</v>
      </c>
      <c r="B2308" t="s">
        <v>535</v>
      </c>
      <c r="C2308" t="s">
        <v>612</v>
      </c>
      <c r="D2308" t="s">
        <v>620</v>
      </c>
    </row>
    <row r="2309" spans="1:4">
      <c r="A2309" s="2">
        <v>1.1003521126760565</v>
      </c>
      <c r="B2309" t="s">
        <v>536</v>
      </c>
      <c r="C2309" t="s">
        <v>612</v>
      </c>
      <c r="D2309" t="s">
        <v>620</v>
      </c>
    </row>
    <row r="2310" spans="1:4">
      <c r="A2310" s="2">
        <v>0.7753140021708793</v>
      </c>
      <c r="B2310" t="s">
        <v>537</v>
      </c>
      <c r="C2310" t="s">
        <v>612</v>
      </c>
      <c r="D2310" t="s">
        <v>620</v>
      </c>
    </row>
    <row r="2311" spans="1:4">
      <c r="A2311" s="2">
        <v>0.7257947452460444</v>
      </c>
      <c r="B2311" t="s">
        <v>538</v>
      </c>
      <c r="C2311" t="s">
        <v>612</v>
      </c>
      <c r="D2311" t="s">
        <v>620</v>
      </c>
    </row>
    <row r="2312" spans="1:4">
      <c r="A2312" s="2">
        <v>0.1583932587829062</v>
      </c>
      <c r="B2312" t="s">
        <v>539</v>
      </c>
      <c r="C2312" t="s">
        <v>612</v>
      </c>
      <c r="D2312" t="s">
        <v>620</v>
      </c>
    </row>
    <row r="2313" spans="1:4">
      <c r="A2313" s="2">
        <v>0.4027061855670103</v>
      </c>
      <c r="B2313" t="s">
        <v>540</v>
      </c>
      <c r="C2313" t="s">
        <v>612</v>
      </c>
      <c r="D2313" t="s">
        <v>620</v>
      </c>
    </row>
    <row r="2314" spans="1:4">
      <c r="A2314" s="2">
        <v>0.222637812806127</v>
      </c>
      <c r="B2314" t="s">
        <v>541</v>
      </c>
      <c r="C2314" t="s">
        <v>612</v>
      </c>
      <c r="D2314" t="s">
        <v>620</v>
      </c>
    </row>
    <row r="2315" spans="1:4">
      <c r="A2315" s="2">
        <v>1</v>
      </c>
      <c r="B2315" t="s">
        <v>542</v>
      </c>
      <c r="C2315" t="s">
        <v>620</v>
      </c>
      <c r="D2315" t="s">
        <v>620</v>
      </c>
    </row>
    <row r="2316" spans="1:4">
      <c r="A2316" s="2">
        <v>6.9414</v>
      </c>
      <c r="B2316" t="s">
        <v>364</v>
      </c>
      <c r="C2316" t="s">
        <v>150</v>
      </c>
      <c r="D2316" t="s">
        <v>150</v>
      </c>
    </row>
    <row r="2317" spans="1:4">
      <c r="A2317" s="2">
        <v>8.173</v>
      </c>
      <c r="B2317" t="s">
        <v>373</v>
      </c>
      <c r="C2317" t="s">
        <v>150</v>
      </c>
      <c r="D2317" t="s">
        <v>150</v>
      </c>
    </row>
    <row r="2318" spans="1:4">
      <c r="A2318" s="2">
        <v>0.044846</v>
      </c>
      <c r="B2318" t="s">
        <v>520</v>
      </c>
      <c r="C2318" t="s">
        <v>150</v>
      </c>
      <c r="D2318" t="s">
        <v>150</v>
      </c>
    </row>
    <row r="2319" spans="1:4">
      <c r="A2319" s="2">
        <v>0.8877299999999999</v>
      </c>
      <c r="B2319" t="s">
        <v>370</v>
      </c>
      <c r="C2319" t="s">
        <v>150</v>
      </c>
      <c r="D2319" t="s">
        <v>150</v>
      </c>
    </row>
    <row r="2320" spans="1:4">
      <c r="A2320" s="2">
        <v>9.3519</v>
      </c>
      <c r="B2320" t="s">
        <v>521</v>
      </c>
      <c r="C2320" t="s">
        <v>150</v>
      </c>
      <c r="D2320" t="s">
        <v>150</v>
      </c>
    </row>
    <row r="2321" spans="1:4">
      <c r="A2321" s="2">
        <v>4.8902</v>
      </c>
      <c r="B2321" t="s">
        <v>522</v>
      </c>
      <c r="C2321" t="s">
        <v>150</v>
      </c>
      <c r="D2321" t="s">
        <v>150</v>
      </c>
    </row>
    <row r="2322" spans="1:4">
      <c r="A2322" s="2">
        <v>4.1270999999999995</v>
      </c>
      <c r="B2322" t="s">
        <v>523</v>
      </c>
      <c r="C2322" t="s">
        <v>150</v>
      </c>
      <c r="D2322" t="s">
        <v>150</v>
      </c>
    </row>
    <row r="2323" spans="1:4">
      <c r="A2323" s="2">
        <v>5.4715</v>
      </c>
      <c r="B2323" t="s">
        <v>524</v>
      </c>
      <c r="C2323" t="s">
        <v>150</v>
      </c>
      <c r="D2323" t="s">
        <v>150</v>
      </c>
    </row>
    <row r="2324" spans="1:4">
      <c r="A2324" s="2">
        <v>8.9502</v>
      </c>
      <c r="B2324" t="s">
        <v>525</v>
      </c>
      <c r="C2324" t="s">
        <v>150</v>
      </c>
      <c r="D2324" t="s">
        <v>150</v>
      </c>
    </row>
    <row r="2325" spans="1:4">
      <c r="A2325" s="2">
        <v>5.0601</v>
      </c>
      <c r="B2325" t="s">
        <v>526</v>
      </c>
      <c r="C2325" t="s">
        <v>150</v>
      </c>
      <c r="D2325" t="s">
        <v>150</v>
      </c>
    </row>
    <row r="2326" spans="1:4">
      <c r="A2326" s="2">
        <v>0.861474844934528</v>
      </c>
      <c r="B2326" t="s">
        <v>527</v>
      </c>
      <c r="C2326" t="s">
        <v>150</v>
      </c>
      <c r="D2326" t="s">
        <v>150</v>
      </c>
    </row>
    <row r="2327" spans="1:4">
      <c r="A2327" s="2">
        <v>1.7812928623595004</v>
      </c>
      <c r="B2327" t="s">
        <v>528</v>
      </c>
      <c r="C2327" t="s">
        <v>150</v>
      </c>
      <c r="D2327" t="s">
        <v>150</v>
      </c>
    </row>
    <row r="2328" spans="1:4">
      <c r="A2328" s="2">
        <v>0.08987794574967195</v>
      </c>
      <c r="B2328" t="s">
        <v>529</v>
      </c>
      <c r="C2328" t="s">
        <v>150</v>
      </c>
      <c r="D2328" t="s">
        <v>150</v>
      </c>
    </row>
    <row r="2329" spans="1:4">
      <c r="A2329" s="2">
        <v>0.4331441937020834</v>
      </c>
      <c r="B2329" t="s">
        <v>530</v>
      </c>
      <c r="C2329" t="s">
        <v>150</v>
      </c>
      <c r="D2329" t="s">
        <v>150</v>
      </c>
    </row>
    <row r="2330" spans="1:4">
      <c r="A2330" s="2">
        <v>0.004790419161676647</v>
      </c>
      <c r="B2330" t="s">
        <v>531</v>
      </c>
      <c r="C2330" t="s">
        <v>150</v>
      </c>
      <c r="D2330" t="s">
        <v>150</v>
      </c>
    </row>
    <row r="2331" spans="1:4">
      <c r="A2331" s="2">
        <v>1.8871841325558136</v>
      </c>
      <c r="B2331" t="s">
        <v>532</v>
      </c>
      <c r="C2331" t="s">
        <v>150</v>
      </c>
      <c r="D2331" t="s">
        <v>150</v>
      </c>
    </row>
    <row r="2332" spans="1:4">
      <c r="A2332" s="2">
        <v>1.847643330931397</v>
      </c>
      <c r="B2332" t="s">
        <v>533</v>
      </c>
      <c r="C2332" t="s">
        <v>150</v>
      </c>
      <c r="D2332" t="s">
        <v>150</v>
      </c>
    </row>
    <row r="2333" spans="1:4">
      <c r="A2333" s="2">
        <v>0.021562133443731455</v>
      </c>
      <c r="B2333" t="s">
        <v>534</v>
      </c>
      <c r="C2333" t="s">
        <v>150</v>
      </c>
      <c r="D2333" t="s">
        <v>150</v>
      </c>
    </row>
    <row r="2334" spans="1:4">
      <c r="A2334" s="2">
        <v>1.9377967251235344</v>
      </c>
      <c r="B2334" t="s">
        <v>535</v>
      </c>
      <c r="C2334" t="s">
        <v>150</v>
      </c>
      <c r="D2334" t="s">
        <v>150</v>
      </c>
    </row>
    <row r="2335" spans="1:4">
      <c r="A2335" s="2">
        <v>1.0937329104232745</v>
      </c>
      <c r="B2335" t="s">
        <v>536</v>
      </c>
      <c r="C2335" t="s">
        <v>150</v>
      </c>
      <c r="D2335" t="s">
        <v>150</v>
      </c>
    </row>
    <row r="2336" spans="1:4">
      <c r="A2336" s="2">
        <v>0.7644091117566122</v>
      </c>
      <c r="B2336" t="s">
        <v>537</v>
      </c>
      <c r="C2336" t="s">
        <v>150</v>
      </c>
      <c r="D2336" t="s">
        <v>150</v>
      </c>
    </row>
    <row r="2337" spans="1:4">
      <c r="A2337" s="2">
        <v>0.7241129616220131</v>
      </c>
      <c r="B2337" t="s">
        <v>538</v>
      </c>
      <c r="C2337" t="s">
        <v>150</v>
      </c>
      <c r="D2337" t="s">
        <v>150</v>
      </c>
    </row>
    <row r="2338" spans="1:4">
      <c r="A2338" s="2">
        <v>0.15812626698671425</v>
      </c>
      <c r="B2338" t="s">
        <v>539</v>
      </c>
      <c r="C2338" t="s">
        <v>150</v>
      </c>
      <c r="D2338" t="s">
        <v>150</v>
      </c>
    </row>
    <row r="2339" spans="1:4">
      <c r="A2339" s="2">
        <v>0.40171935885590326</v>
      </c>
      <c r="B2339" t="s">
        <v>540</v>
      </c>
      <c r="C2339" t="s">
        <v>150</v>
      </c>
      <c r="D2339" t="s">
        <v>150</v>
      </c>
    </row>
    <row r="2340" spans="1:4">
      <c r="A2340" s="2">
        <v>0.22345869366047685</v>
      </c>
      <c r="B2340" t="s">
        <v>541</v>
      </c>
      <c r="C2340" t="s">
        <v>150</v>
      </c>
      <c r="D2340" t="s">
        <v>150</v>
      </c>
    </row>
    <row r="2341" spans="1:4">
      <c r="A2341" s="2">
        <v>1</v>
      </c>
      <c r="B2341" t="s">
        <v>542</v>
      </c>
      <c r="C2341" t="s">
        <v>150</v>
      </c>
      <c r="D2341" t="s">
        <v>150</v>
      </c>
    </row>
    <row r="2342" spans="1:4">
      <c r="A2342" s="2">
        <v>6.9321</v>
      </c>
      <c r="B2342" t="s">
        <v>364</v>
      </c>
      <c r="C2342" t="s">
        <v>156</v>
      </c>
      <c r="D2342" t="s">
        <v>156</v>
      </c>
    </row>
    <row r="2343" spans="1:4">
      <c r="A2343" s="2">
        <v>8.1352</v>
      </c>
      <c r="B2343" t="s">
        <v>373</v>
      </c>
      <c r="C2343" t="s">
        <v>156</v>
      </c>
      <c r="D2343" t="s">
        <v>156</v>
      </c>
    </row>
    <row r="2344" spans="1:4">
      <c r="A2344" s="2">
        <v>0.044388</v>
      </c>
      <c r="B2344" t="s">
        <v>520</v>
      </c>
      <c r="C2344" t="s">
        <v>156</v>
      </c>
      <c r="D2344" t="s">
        <v>156</v>
      </c>
    </row>
    <row r="2345" spans="1:4">
      <c r="A2345" s="2">
        <v>0.8861100000000001</v>
      </c>
      <c r="B2345" t="s">
        <v>370</v>
      </c>
      <c r="C2345" t="s">
        <v>156</v>
      </c>
      <c r="D2345" t="s">
        <v>156</v>
      </c>
    </row>
    <row r="2346" spans="1:4">
      <c r="A2346" s="2">
        <v>9.3175</v>
      </c>
      <c r="B2346" t="s">
        <v>521</v>
      </c>
      <c r="C2346" t="s">
        <v>156</v>
      </c>
      <c r="D2346" t="s">
        <v>156</v>
      </c>
    </row>
    <row r="2347" spans="1:4">
      <c r="A2347" s="2">
        <v>4.8732999999999995</v>
      </c>
      <c r="B2347" t="s">
        <v>522</v>
      </c>
      <c r="C2347" t="s">
        <v>156</v>
      </c>
      <c r="D2347" t="s">
        <v>156</v>
      </c>
    </row>
    <row r="2348" spans="1:4">
      <c r="A2348" s="2">
        <v>4.113</v>
      </c>
      <c r="B2348" t="s">
        <v>523</v>
      </c>
      <c r="C2348" t="s">
        <v>156</v>
      </c>
      <c r="D2348" t="s">
        <v>156</v>
      </c>
    </row>
    <row r="2349" spans="1:4">
      <c r="A2349" s="2">
        <v>5.455</v>
      </c>
      <c r="B2349" t="s">
        <v>524</v>
      </c>
      <c r="C2349" t="s">
        <v>156</v>
      </c>
      <c r="D2349" t="s">
        <v>156</v>
      </c>
    </row>
    <row r="2350" spans="1:4">
      <c r="A2350" s="2">
        <v>8.9237</v>
      </c>
      <c r="B2350" t="s">
        <v>525</v>
      </c>
      <c r="C2350" t="s">
        <v>156</v>
      </c>
      <c r="D2350" t="s">
        <v>156</v>
      </c>
    </row>
    <row r="2351" spans="1:4">
      <c r="A2351" s="2">
        <v>5.0387</v>
      </c>
      <c r="B2351" t="s">
        <v>526</v>
      </c>
      <c r="C2351" t="s">
        <v>156</v>
      </c>
      <c r="D2351" t="s">
        <v>156</v>
      </c>
    </row>
    <row r="2352" spans="1:4">
      <c r="A2352" s="2">
        <v>0.8598452278589854</v>
      </c>
      <c r="B2352" t="s">
        <v>527</v>
      </c>
      <c r="C2352" t="s">
        <v>156</v>
      </c>
      <c r="D2352" t="s">
        <v>156</v>
      </c>
    </row>
    <row r="2353" spans="1:4">
      <c r="A2353" s="2">
        <v>1.7754736075848232</v>
      </c>
      <c r="B2353" t="s">
        <v>528</v>
      </c>
      <c r="C2353" t="s">
        <v>156</v>
      </c>
      <c r="D2353" t="s">
        <v>156</v>
      </c>
    </row>
    <row r="2354" spans="1:4">
      <c r="A2354" s="2">
        <v>0.08987956138774043</v>
      </c>
      <c r="B2354" t="s">
        <v>529</v>
      </c>
      <c r="C2354" t="s">
        <v>156</v>
      </c>
      <c r="D2354" t="s">
        <v>156</v>
      </c>
    </row>
    <row r="2355" spans="1:4">
      <c r="A2355" s="2">
        <v>0.4330129037845328</v>
      </c>
      <c r="B2355" t="s">
        <v>530</v>
      </c>
      <c r="C2355" t="s">
        <v>156</v>
      </c>
      <c r="D2355" t="s">
        <v>156</v>
      </c>
    </row>
    <row r="2356" spans="1:4">
      <c r="A2356" s="2">
        <v>0.004784002296321102</v>
      </c>
      <c r="B2356" t="s">
        <v>531</v>
      </c>
      <c r="C2356" t="s">
        <v>156</v>
      </c>
      <c r="D2356" t="s">
        <v>156</v>
      </c>
    </row>
    <row r="2357" spans="1:4">
      <c r="A2357" s="2">
        <v>1.88040616773223</v>
      </c>
      <c r="B2357" t="s">
        <v>532</v>
      </c>
      <c r="C2357" t="s">
        <v>156</v>
      </c>
      <c r="D2357" t="s">
        <v>156</v>
      </c>
    </row>
    <row r="2358" spans="1:4">
      <c r="A2358" s="2">
        <v>1.8410442402930944</v>
      </c>
      <c r="B2358" t="s">
        <v>533</v>
      </c>
      <c r="C2358" t="s">
        <v>156</v>
      </c>
      <c r="D2358" t="s">
        <v>156</v>
      </c>
    </row>
    <row r="2359" spans="1:4">
      <c r="A2359" s="2">
        <v>0.021529174183936656</v>
      </c>
      <c r="B2359" t="s">
        <v>534</v>
      </c>
      <c r="C2359" t="s">
        <v>156</v>
      </c>
      <c r="D2359" t="s">
        <v>156</v>
      </c>
    </row>
    <row r="2360" spans="1:4">
      <c r="A2360" s="2">
        <v>1.932180465655492</v>
      </c>
      <c r="B2360" t="s">
        <v>535</v>
      </c>
      <c r="C2360" t="s">
        <v>156</v>
      </c>
      <c r="D2360" t="s">
        <v>156</v>
      </c>
    </row>
    <row r="2361" spans="1:4">
      <c r="A2361" s="2">
        <v>1.0884946119516707</v>
      </c>
      <c r="B2361" t="s">
        <v>536</v>
      </c>
      <c r="C2361" t="s">
        <v>156</v>
      </c>
      <c r="D2361" t="s">
        <v>156</v>
      </c>
    </row>
    <row r="2362" spans="1:4">
      <c r="A2362" s="2">
        <v>0.7633587786259542</v>
      </c>
      <c r="B2362" t="s">
        <v>537</v>
      </c>
      <c r="C2362" t="s">
        <v>156</v>
      </c>
      <c r="D2362" t="s">
        <v>156</v>
      </c>
    </row>
    <row r="2363" spans="1:4">
      <c r="A2363" s="2">
        <v>0.721552781585973</v>
      </c>
      <c r="B2363" t="s">
        <v>538</v>
      </c>
      <c r="C2363" t="s">
        <v>156</v>
      </c>
      <c r="D2363" t="s">
        <v>156</v>
      </c>
    </row>
    <row r="2364" spans="1:4">
      <c r="A2364" s="2">
        <v>0.157597706638173</v>
      </c>
      <c r="B2364" t="s">
        <v>539</v>
      </c>
      <c r="C2364" t="s">
        <v>156</v>
      </c>
      <c r="D2364" t="s">
        <v>156</v>
      </c>
    </row>
    <row r="2365" spans="1:4">
      <c r="A2365" s="2">
        <v>0.4030307915524746</v>
      </c>
      <c r="B2365" t="s">
        <v>540</v>
      </c>
      <c r="C2365" t="s">
        <v>156</v>
      </c>
      <c r="D2365" t="s">
        <v>156</v>
      </c>
    </row>
    <row r="2366" spans="1:4">
      <c r="A2366" s="2">
        <v>0.2219558751720158</v>
      </c>
      <c r="B2366" t="s">
        <v>541</v>
      </c>
      <c r="C2366" t="s">
        <v>156</v>
      </c>
      <c r="D2366" t="s">
        <v>156</v>
      </c>
    </row>
    <row r="2367" spans="1:4">
      <c r="A2367" s="2">
        <v>1</v>
      </c>
      <c r="B2367" t="s">
        <v>542</v>
      </c>
      <c r="C2367" t="s">
        <v>156</v>
      </c>
      <c r="D2367" t="s">
        <v>156</v>
      </c>
    </row>
    <row r="2368" spans="1:4">
      <c r="A2368" s="2">
        <v>6.9228</v>
      </c>
      <c r="B2368" t="s">
        <v>364</v>
      </c>
      <c r="C2368" t="s">
        <v>621</v>
      </c>
      <c r="D2368" t="s">
        <v>621</v>
      </c>
    </row>
    <row r="2369" spans="1:4">
      <c r="A2369" s="2">
        <v>8.1462</v>
      </c>
      <c r="B2369" t="s">
        <v>373</v>
      </c>
      <c r="C2369" t="s">
        <v>621</v>
      </c>
      <c r="D2369" t="s">
        <v>621</v>
      </c>
    </row>
    <row r="2370" spans="1:4">
      <c r="A2370" s="2">
        <v>0.044208</v>
      </c>
      <c r="B2370" t="s">
        <v>520</v>
      </c>
      <c r="C2370" t="s">
        <v>621</v>
      </c>
      <c r="D2370" t="s">
        <v>621</v>
      </c>
    </row>
    <row r="2371" spans="1:4">
      <c r="A2371" s="2">
        <v>0.88557</v>
      </c>
      <c r="B2371" t="s">
        <v>370</v>
      </c>
      <c r="C2371" t="s">
        <v>621</v>
      </c>
      <c r="D2371" t="s">
        <v>621</v>
      </c>
    </row>
    <row r="2372" spans="1:4">
      <c r="A2372" s="2">
        <v>9.3391</v>
      </c>
      <c r="B2372" t="s">
        <v>521</v>
      </c>
      <c r="C2372" t="s">
        <v>621</v>
      </c>
      <c r="D2372" t="s">
        <v>621</v>
      </c>
    </row>
    <row r="2373" spans="1:4">
      <c r="A2373" s="2">
        <v>4.9024</v>
      </c>
      <c r="B2373" t="s">
        <v>522</v>
      </c>
      <c r="C2373" t="s">
        <v>621</v>
      </c>
      <c r="D2373" t="s">
        <v>621</v>
      </c>
    </row>
    <row r="2374" spans="1:4">
      <c r="A2374" s="2">
        <v>4.1268</v>
      </c>
      <c r="B2374" t="s">
        <v>523</v>
      </c>
      <c r="C2374" t="s">
        <v>621</v>
      </c>
      <c r="D2374" t="s">
        <v>621</v>
      </c>
    </row>
    <row r="2375" spans="1:4">
      <c r="A2375" s="2">
        <v>5.461799999999999</v>
      </c>
      <c r="B2375" t="s">
        <v>524</v>
      </c>
      <c r="C2375" t="s">
        <v>621</v>
      </c>
      <c r="D2375" t="s">
        <v>621</v>
      </c>
    </row>
    <row r="2376" spans="1:4">
      <c r="A2376" s="2">
        <v>8.921100000000001</v>
      </c>
      <c r="B2376" t="s">
        <v>525</v>
      </c>
      <c r="C2376" t="s">
        <v>621</v>
      </c>
      <c r="D2376" t="s">
        <v>621</v>
      </c>
    </row>
    <row r="2377" spans="1:4">
      <c r="A2377" s="2">
        <v>5.0382</v>
      </c>
      <c r="B2377" t="s">
        <v>526</v>
      </c>
      <c r="C2377" t="s">
        <v>621</v>
      </c>
      <c r="D2377" t="s">
        <v>621</v>
      </c>
    </row>
    <row r="2378" spans="1:4">
      <c r="A2378" s="2">
        <v>0.8593280054996992</v>
      </c>
      <c r="B2378" t="s">
        <v>527</v>
      </c>
      <c r="C2378" t="s">
        <v>621</v>
      </c>
      <c r="D2378" t="s">
        <v>621</v>
      </c>
    </row>
    <row r="2379" spans="1:4">
      <c r="A2379" s="2">
        <v>1.7759465795268878</v>
      </c>
      <c r="B2379" t="s">
        <v>528</v>
      </c>
      <c r="C2379" t="s">
        <v>621</v>
      </c>
      <c r="D2379" t="s">
        <v>621</v>
      </c>
    </row>
    <row r="2380" spans="1:4">
      <c r="A2380" s="2">
        <v>0.08924985496898567</v>
      </c>
      <c r="B2380" t="s">
        <v>529</v>
      </c>
      <c r="C2380" t="s">
        <v>621</v>
      </c>
      <c r="D2380" t="s">
        <v>621</v>
      </c>
    </row>
    <row r="2381" spans="1:4">
      <c r="A2381" s="2">
        <v>0.4352557127312296</v>
      </c>
      <c r="B2381" t="s">
        <v>530</v>
      </c>
      <c r="C2381" t="s">
        <v>621</v>
      </c>
      <c r="D2381" t="s">
        <v>621</v>
      </c>
    </row>
    <row r="2382" spans="1:4">
      <c r="A2382" s="2">
        <v>0.004822298307373294</v>
      </c>
      <c r="B2382" t="s">
        <v>531</v>
      </c>
      <c r="C2382" t="s">
        <v>621</v>
      </c>
      <c r="D2382" t="s">
        <v>621</v>
      </c>
    </row>
    <row r="2383" spans="1:4">
      <c r="A2383" s="2">
        <v>1.875926238580299</v>
      </c>
      <c r="B2383" t="s">
        <v>532</v>
      </c>
      <c r="C2383" t="s">
        <v>621</v>
      </c>
      <c r="D2383" t="s">
        <v>621</v>
      </c>
    </row>
    <row r="2384" spans="1:4">
      <c r="A2384" s="2">
        <v>1.8368509028122184</v>
      </c>
      <c r="B2384" t="s">
        <v>533</v>
      </c>
      <c r="C2384" t="s">
        <v>621</v>
      </c>
      <c r="D2384" t="s">
        <v>621</v>
      </c>
    </row>
    <row r="2385" spans="1:4">
      <c r="A2385" s="2">
        <v>0.021747829566609252</v>
      </c>
      <c r="B2385" t="s">
        <v>534</v>
      </c>
      <c r="C2385" t="s">
        <v>621</v>
      </c>
      <c r="D2385" t="s">
        <v>621</v>
      </c>
    </row>
    <row r="2386" spans="1:4">
      <c r="A2386" s="2">
        <v>1.934610176049526</v>
      </c>
      <c r="B2386" t="s">
        <v>535</v>
      </c>
      <c r="C2386" t="s">
        <v>621</v>
      </c>
      <c r="D2386" t="s">
        <v>621</v>
      </c>
    </row>
    <row r="2387" spans="1:4">
      <c r="A2387" s="2">
        <v>1.090037061260083</v>
      </c>
      <c r="B2387" t="s">
        <v>536</v>
      </c>
      <c r="C2387" t="s">
        <v>621</v>
      </c>
      <c r="D2387" t="s">
        <v>621</v>
      </c>
    </row>
    <row r="2388" spans="1:4">
      <c r="A2388" s="2">
        <v>0.7642338555598013</v>
      </c>
      <c r="B2388" t="s">
        <v>537</v>
      </c>
      <c r="C2388" t="s">
        <v>621</v>
      </c>
      <c r="D2388" t="s">
        <v>621</v>
      </c>
    </row>
    <row r="2389" spans="1:4">
      <c r="A2389" s="2">
        <v>0.7212925562608195</v>
      </c>
      <c r="B2389" t="s">
        <v>538</v>
      </c>
      <c r="C2389" t="s">
        <v>621</v>
      </c>
      <c r="D2389" t="s">
        <v>621</v>
      </c>
    </row>
    <row r="2390" spans="1:4">
      <c r="A2390" s="2">
        <v>0.15721292919129667</v>
      </c>
      <c r="B2390" t="s">
        <v>539</v>
      </c>
      <c r="C2390" t="s">
        <v>621</v>
      </c>
      <c r="D2390" t="s">
        <v>621</v>
      </c>
    </row>
    <row r="2391" spans="1:4">
      <c r="A2391" s="2">
        <v>0.4026089057089942</v>
      </c>
      <c r="B2391" t="s">
        <v>540</v>
      </c>
      <c r="C2391" t="s">
        <v>621</v>
      </c>
      <c r="D2391" t="s">
        <v>621</v>
      </c>
    </row>
    <row r="2392" spans="1:4">
      <c r="A2392" s="2">
        <v>0.2214103841470165</v>
      </c>
      <c r="B2392" t="s">
        <v>541</v>
      </c>
      <c r="C2392" t="s">
        <v>621</v>
      </c>
      <c r="D2392" t="s">
        <v>621</v>
      </c>
    </row>
    <row r="2393" spans="1:4">
      <c r="A2393" s="2">
        <v>1</v>
      </c>
      <c r="B2393" t="s">
        <v>542</v>
      </c>
      <c r="C2393" t="s">
        <v>621</v>
      </c>
      <c r="D2393" t="s">
        <v>621</v>
      </c>
    </row>
    <row r="2394" spans="1:4">
      <c r="A2394" s="2">
        <v>6.9228</v>
      </c>
      <c r="B2394" t="s">
        <v>364</v>
      </c>
      <c r="C2394" t="s">
        <v>622</v>
      </c>
      <c r="D2394" t="s">
        <v>622</v>
      </c>
    </row>
    <row r="2395" spans="1:4">
      <c r="A2395" s="2">
        <v>8.120800000000001</v>
      </c>
      <c r="B2395" t="s">
        <v>373</v>
      </c>
      <c r="C2395" t="s">
        <v>622</v>
      </c>
      <c r="D2395" t="s">
        <v>622</v>
      </c>
    </row>
    <row r="2396" spans="1:4">
      <c r="A2396" s="2">
        <v>0.044216</v>
      </c>
      <c r="B2396" t="s">
        <v>520</v>
      </c>
      <c r="C2396" t="s">
        <v>622</v>
      </c>
      <c r="D2396" t="s">
        <v>622</v>
      </c>
    </row>
    <row r="2397" spans="1:4">
      <c r="A2397" s="2">
        <v>0.88484</v>
      </c>
      <c r="B2397" t="s">
        <v>370</v>
      </c>
      <c r="C2397" t="s">
        <v>622</v>
      </c>
      <c r="D2397" t="s">
        <v>622</v>
      </c>
    </row>
    <row r="2398" spans="1:4">
      <c r="A2398" s="2">
        <v>9.2709</v>
      </c>
      <c r="B2398" t="s">
        <v>521</v>
      </c>
      <c r="C2398" t="s">
        <v>622</v>
      </c>
      <c r="D2398" t="s">
        <v>622</v>
      </c>
    </row>
    <row r="2399" spans="1:4">
      <c r="A2399" s="2">
        <v>4.8776</v>
      </c>
      <c r="B2399" t="s">
        <v>522</v>
      </c>
      <c r="C2399" t="s">
        <v>622</v>
      </c>
      <c r="D2399" t="s">
        <v>622</v>
      </c>
    </row>
    <row r="2400" spans="1:4">
      <c r="A2400" s="2">
        <v>4.1018</v>
      </c>
      <c r="B2400" t="s">
        <v>523</v>
      </c>
      <c r="C2400" t="s">
        <v>622</v>
      </c>
      <c r="D2400" t="s">
        <v>622</v>
      </c>
    </row>
    <row r="2401" spans="1:4">
      <c r="A2401" s="2">
        <v>5.4488</v>
      </c>
      <c r="B2401" t="s">
        <v>524</v>
      </c>
      <c r="C2401" t="s">
        <v>622</v>
      </c>
      <c r="D2401" t="s">
        <v>622</v>
      </c>
    </row>
    <row r="2402" spans="1:4">
      <c r="A2402" s="2">
        <v>8.8912</v>
      </c>
      <c r="B2402" t="s">
        <v>525</v>
      </c>
      <c r="C2402" t="s">
        <v>622</v>
      </c>
      <c r="D2402" t="s">
        <v>622</v>
      </c>
    </row>
    <row r="2403" spans="1:4">
      <c r="A2403" s="2">
        <v>5.0266</v>
      </c>
      <c r="B2403" t="s">
        <v>526</v>
      </c>
      <c r="C2403" t="s">
        <v>622</v>
      </c>
      <c r="D2403" t="s">
        <v>622</v>
      </c>
    </row>
    <row r="2404" spans="1:4">
      <c r="A2404" s="2">
        <v>0.8586639189421261</v>
      </c>
      <c r="B2404" t="s">
        <v>527</v>
      </c>
      <c r="C2404" t="s">
        <v>622</v>
      </c>
      <c r="D2404" t="s">
        <v>622</v>
      </c>
    </row>
    <row r="2405" spans="1:4">
      <c r="A2405" s="2">
        <v>1.7732697320589434</v>
      </c>
      <c r="B2405" t="s">
        <v>528</v>
      </c>
      <c r="C2405" t="s">
        <v>622</v>
      </c>
      <c r="D2405" t="s">
        <v>622</v>
      </c>
    </row>
    <row r="2406" spans="1:4">
      <c r="A2406" s="2">
        <v>0.08905353898763936</v>
      </c>
      <c r="B2406" t="s">
        <v>529</v>
      </c>
      <c r="C2406" t="s">
        <v>622</v>
      </c>
      <c r="D2406" t="s">
        <v>622</v>
      </c>
    </row>
    <row r="2407" spans="1:4">
      <c r="A2407" s="2">
        <v>0.4324511330219685</v>
      </c>
      <c r="B2407" t="s">
        <v>530</v>
      </c>
      <c r="C2407" t="s">
        <v>622</v>
      </c>
      <c r="D2407" t="s">
        <v>622</v>
      </c>
    </row>
    <row r="2408" spans="1:4">
      <c r="A2408" s="2">
        <v>0.004786979415988511</v>
      </c>
      <c r="B2408" t="s">
        <v>531</v>
      </c>
      <c r="C2408" t="s">
        <v>622</v>
      </c>
      <c r="D2408" t="s">
        <v>622</v>
      </c>
    </row>
    <row r="2409" spans="1:4">
      <c r="A2409" s="2">
        <v>1.8722735017131305</v>
      </c>
      <c r="B2409" t="s">
        <v>532</v>
      </c>
      <c r="C2409" t="s">
        <v>622</v>
      </c>
      <c r="D2409" t="s">
        <v>622</v>
      </c>
    </row>
    <row r="2410" spans="1:4">
      <c r="A2410" s="2">
        <v>1.833550303452575</v>
      </c>
      <c r="B2410" t="s">
        <v>533</v>
      </c>
      <c r="C2410" t="s">
        <v>622</v>
      </c>
      <c r="D2410" t="s">
        <v>622</v>
      </c>
    </row>
    <row r="2411" spans="1:4">
      <c r="A2411" s="2">
        <v>0.021643616215397267</v>
      </c>
      <c r="B2411" t="s">
        <v>534</v>
      </c>
      <c r="C2411" t="s">
        <v>622</v>
      </c>
      <c r="D2411" t="s">
        <v>622</v>
      </c>
    </row>
    <row r="2412" spans="1:4">
      <c r="A2412" s="2">
        <v>1.9268193992177112</v>
      </c>
      <c r="B2412" t="s">
        <v>535</v>
      </c>
      <c r="C2412" t="s">
        <v>622</v>
      </c>
      <c r="D2412" t="s">
        <v>622</v>
      </c>
    </row>
    <row r="2413" spans="1:4">
      <c r="A2413" s="2">
        <v>1.0866021949364335</v>
      </c>
      <c r="B2413" t="s">
        <v>536</v>
      </c>
      <c r="C2413" t="s">
        <v>622</v>
      </c>
      <c r="D2413" t="s">
        <v>622</v>
      </c>
    </row>
    <row r="2414" spans="1:4">
      <c r="A2414" s="2">
        <v>0.7595898214963919</v>
      </c>
      <c r="B2414" t="s">
        <v>537</v>
      </c>
      <c r="C2414" t="s">
        <v>622</v>
      </c>
      <c r="D2414" t="s">
        <v>622</v>
      </c>
    </row>
    <row r="2415" spans="1:4">
      <c r="A2415" s="2">
        <v>0.7193209610128039</v>
      </c>
      <c r="B2415" t="s">
        <v>538</v>
      </c>
      <c r="C2415" t="s">
        <v>622</v>
      </c>
      <c r="D2415" t="s">
        <v>622</v>
      </c>
    </row>
    <row r="2416" spans="1:4">
      <c r="A2416" s="2">
        <v>0.1566281100469101</v>
      </c>
      <c r="B2416" t="s">
        <v>539</v>
      </c>
      <c r="C2416" t="s">
        <v>622</v>
      </c>
      <c r="D2416" t="s">
        <v>622</v>
      </c>
    </row>
    <row r="2417" spans="1:4">
      <c r="A2417" s="2">
        <v>0.40117142054800015</v>
      </c>
      <c r="B2417" t="s">
        <v>540</v>
      </c>
      <c r="C2417" t="s">
        <v>622</v>
      </c>
      <c r="D2417" t="s">
        <v>622</v>
      </c>
    </row>
    <row r="2418" spans="1:4">
      <c r="A2418" s="2">
        <v>0.22089196174151224</v>
      </c>
      <c r="B2418" t="s">
        <v>541</v>
      </c>
      <c r="C2418" t="s">
        <v>622</v>
      </c>
      <c r="D2418" t="s">
        <v>622</v>
      </c>
    </row>
    <row r="2419" spans="1:4">
      <c r="A2419" s="2">
        <v>1</v>
      </c>
      <c r="B2419" t="s">
        <v>542</v>
      </c>
      <c r="C2419" t="s">
        <v>622</v>
      </c>
      <c r="D2419" t="s">
        <v>622</v>
      </c>
    </row>
    <row r="2420" spans="1:4">
      <c r="A2420" s="2">
        <v>6.9228</v>
      </c>
      <c r="B2420" t="s">
        <v>364</v>
      </c>
      <c r="C2420" t="s">
        <v>622</v>
      </c>
      <c r="D2420" t="s">
        <v>379</v>
      </c>
    </row>
    <row r="2421" spans="1:4">
      <c r="A2421" s="2">
        <v>8.120800000000001</v>
      </c>
      <c r="B2421" t="s">
        <v>373</v>
      </c>
      <c r="C2421" t="s">
        <v>622</v>
      </c>
      <c r="D2421" t="s">
        <v>379</v>
      </c>
    </row>
    <row r="2422" spans="1:4">
      <c r="A2422" s="2">
        <v>0.044216</v>
      </c>
      <c r="B2422" t="s">
        <v>520</v>
      </c>
      <c r="C2422" t="s">
        <v>622</v>
      </c>
      <c r="D2422" t="s">
        <v>379</v>
      </c>
    </row>
    <row r="2423" spans="1:4">
      <c r="A2423" s="2">
        <v>0.88484</v>
      </c>
      <c r="B2423" t="s">
        <v>370</v>
      </c>
      <c r="C2423" t="s">
        <v>622</v>
      </c>
      <c r="D2423" t="s">
        <v>379</v>
      </c>
    </row>
    <row r="2424" spans="1:4">
      <c r="A2424" s="2">
        <v>9.2709</v>
      </c>
      <c r="B2424" t="s">
        <v>521</v>
      </c>
      <c r="C2424" t="s">
        <v>622</v>
      </c>
      <c r="D2424" t="s">
        <v>379</v>
      </c>
    </row>
    <row r="2425" spans="1:4">
      <c r="A2425" s="2">
        <v>4.8776</v>
      </c>
      <c r="B2425" t="s">
        <v>522</v>
      </c>
      <c r="C2425" t="s">
        <v>622</v>
      </c>
      <c r="D2425" t="s">
        <v>379</v>
      </c>
    </row>
    <row r="2426" spans="1:4">
      <c r="A2426" s="2">
        <v>4.1018</v>
      </c>
      <c r="B2426" t="s">
        <v>523</v>
      </c>
      <c r="C2426" t="s">
        <v>622</v>
      </c>
      <c r="D2426" t="s">
        <v>379</v>
      </c>
    </row>
    <row r="2427" spans="1:4">
      <c r="A2427" s="2">
        <v>5.4488</v>
      </c>
      <c r="B2427" t="s">
        <v>524</v>
      </c>
      <c r="C2427" t="s">
        <v>622</v>
      </c>
      <c r="D2427" t="s">
        <v>379</v>
      </c>
    </row>
    <row r="2428" spans="1:4">
      <c r="A2428" s="2">
        <v>8.8912</v>
      </c>
      <c r="B2428" t="s">
        <v>525</v>
      </c>
      <c r="C2428" t="s">
        <v>622</v>
      </c>
      <c r="D2428" t="s">
        <v>379</v>
      </c>
    </row>
    <row r="2429" spans="1:4">
      <c r="A2429" s="2">
        <v>5.0266</v>
      </c>
      <c r="B2429" t="s">
        <v>526</v>
      </c>
      <c r="C2429" t="s">
        <v>622</v>
      </c>
      <c r="D2429" t="s">
        <v>379</v>
      </c>
    </row>
    <row r="2430" spans="1:4">
      <c r="A2430" s="2">
        <v>0.8586639189421261</v>
      </c>
      <c r="B2430" t="s">
        <v>527</v>
      </c>
      <c r="C2430" t="s">
        <v>622</v>
      </c>
      <c r="D2430" t="s">
        <v>379</v>
      </c>
    </row>
    <row r="2431" spans="1:4">
      <c r="A2431" s="2">
        <v>1.7732697320589434</v>
      </c>
      <c r="B2431" t="s">
        <v>528</v>
      </c>
      <c r="C2431" t="s">
        <v>622</v>
      </c>
      <c r="D2431" t="s">
        <v>379</v>
      </c>
    </row>
    <row r="2432" spans="1:4">
      <c r="A2432" s="2">
        <v>0.08905353898763936</v>
      </c>
      <c r="B2432" t="s">
        <v>529</v>
      </c>
      <c r="C2432" t="s">
        <v>622</v>
      </c>
      <c r="D2432" t="s">
        <v>379</v>
      </c>
    </row>
    <row r="2433" spans="1:4">
      <c r="A2433" s="2">
        <v>0.4324511330219685</v>
      </c>
      <c r="B2433" t="s">
        <v>530</v>
      </c>
      <c r="C2433" t="s">
        <v>622</v>
      </c>
      <c r="D2433" t="s">
        <v>379</v>
      </c>
    </row>
    <row r="2434" spans="1:4">
      <c r="A2434" s="2">
        <v>0.004786979415988511</v>
      </c>
      <c r="B2434" t="s">
        <v>531</v>
      </c>
      <c r="C2434" t="s">
        <v>622</v>
      </c>
      <c r="D2434" t="s">
        <v>379</v>
      </c>
    </row>
    <row r="2435" spans="1:4">
      <c r="A2435" s="2">
        <v>1.8722735017131305</v>
      </c>
      <c r="B2435" t="s">
        <v>532</v>
      </c>
      <c r="C2435" t="s">
        <v>622</v>
      </c>
      <c r="D2435" t="s">
        <v>379</v>
      </c>
    </row>
    <row r="2436" spans="1:4">
      <c r="A2436" s="2">
        <v>1.833550303452575</v>
      </c>
      <c r="B2436" t="s">
        <v>533</v>
      </c>
      <c r="C2436" t="s">
        <v>622</v>
      </c>
      <c r="D2436" t="s">
        <v>379</v>
      </c>
    </row>
    <row r="2437" spans="1:4">
      <c r="A2437" s="2">
        <v>0.021643616215397267</v>
      </c>
      <c r="B2437" t="s">
        <v>534</v>
      </c>
      <c r="C2437" t="s">
        <v>622</v>
      </c>
      <c r="D2437" t="s">
        <v>379</v>
      </c>
    </row>
    <row r="2438" spans="1:4">
      <c r="A2438" s="2">
        <v>1.9268193992177112</v>
      </c>
      <c r="B2438" t="s">
        <v>535</v>
      </c>
      <c r="C2438" t="s">
        <v>622</v>
      </c>
      <c r="D2438" t="s">
        <v>379</v>
      </c>
    </row>
    <row r="2439" spans="1:4">
      <c r="A2439" s="2">
        <v>1.0866021949364335</v>
      </c>
      <c r="B2439" t="s">
        <v>536</v>
      </c>
      <c r="C2439" t="s">
        <v>622</v>
      </c>
      <c r="D2439" t="s">
        <v>379</v>
      </c>
    </row>
    <row r="2440" spans="1:4">
      <c r="A2440" s="2">
        <v>0.7595898214963919</v>
      </c>
      <c r="B2440" t="s">
        <v>537</v>
      </c>
      <c r="C2440" t="s">
        <v>622</v>
      </c>
      <c r="D2440" t="s">
        <v>379</v>
      </c>
    </row>
    <row r="2441" spans="1:4">
      <c r="A2441" s="2">
        <v>0.7193209610128039</v>
      </c>
      <c r="B2441" t="s">
        <v>538</v>
      </c>
      <c r="C2441" t="s">
        <v>622</v>
      </c>
      <c r="D2441" t="s">
        <v>379</v>
      </c>
    </row>
    <row r="2442" spans="1:4">
      <c r="A2442" s="2">
        <v>0.1566281100469101</v>
      </c>
      <c r="B2442" t="s">
        <v>539</v>
      </c>
      <c r="C2442" t="s">
        <v>622</v>
      </c>
      <c r="D2442" t="s">
        <v>379</v>
      </c>
    </row>
    <row r="2443" spans="1:4">
      <c r="A2443" s="2">
        <v>0.40117142054800015</v>
      </c>
      <c r="B2443" t="s">
        <v>540</v>
      </c>
      <c r="C2443" t="s">
        <v>622</v>
      </c>
      <c r="D2443" t="s">
        <v>379</v>
      </c>
    </row>
    <row r="2444" spans="1:4">
      <c r="A2444" s="2">
        <v>0.22089196174151224</v>
      </c>
      <c r="B2444" t="s">
        <v>541</v>
      </c>
      <c r="C2444" t="s">
        <v>622</v>
      </c>
      <c r="D2444" t="s">
        <v>379</v>
      </c>
    </row>
    <row r="2445" spans="1:4">
      <c r="A2445" s="2">
        <v>1</v>
      </c>
      <c r="B2445" t="s">
        <v>542</v>
      </c>
      <c r="C2445" t="s">
        <v>379</v>
      </c>
      <c r="D2445" t="s">
        <v>379</v>
      </c>
    </row>
    <row r="2446" spans="1:4">
      <c r="A2446" s="2">
        <v>6.9228</v>
      </c>
      <c r="B2446" t="s">
        <v>364</v>
      </c>
      <c r="C2446" t="s">
        <v>622</v>
      </c>
      <c r="D2446" t="s">
        <v>623</v>
      </c>
    </row>
    <row r="2447" spans="1:4">
      <c r="A2447" s="2">
        <v>8.120800000000001</v>
      </c>
      <c r="B2447" t="s">
        <v>373</v>
      </c>
      <c r="C2447" t="s">
        <v>622</v>
      </c>
      <c r="D2447" t="s">
        <v>623</v>
      </c>
    </row>
    <row r="2448" spans="1:4">
      <c r="A2448" s="2">
        <v>0.044216</v>
      </c>
      <c r="B2448" t="s">
        <v>520</v>
      </c>
      <c r="C2448" t="s">
        <v>622</v>
      </c>
      <c r="D2448" t="s">
        <v>623</v>
      </c>
    </row>
    <row r="2449" spans="1:4">
      <c r="A2449" s="2">
        <v>0.88484</v>
      </c>
      <c r="B2449" t="s">
        <v>370</v>
      </c>
      <c r="C2449" t="s">
        <v>622</v>
      </c>
      <c r="D2449" t="s">
        <v>623</v>
      </c>
    </row>
    <row r="2450" spans="1:4">
      <c r="A2450" s="2">
        <v>9.2709</v>
      </c>
      <c r="B2450" t="s">
        <v>521</v>
      </c>
      <c r="C2450" t="s">
        <v>622</v>
      </c>
      <c r="D2450" t="s">
        <v>623</v>
      </c>
    </row>
    <row r="2451" spans="1:4">
      <c r="A2451" s="2">
        <v>4.8776</v>
      </c>
      <c r="B2451" t="s">
        <v>522</v>
      </c>
      <c r="C2451" t="s">
        <v>622</v>
      </c>
      <c r="D2451" t="s">
        <v>623</v>
      </c>
    </row>
    <row r="2452" spans="1:4">
      <c r="A2452" s="2">
        <v>4.1018</v>
      </c>
      <c r="B2452" t="s">
        <v>523</v>
      </c>
      <c r="C2452" t="s">
        <v>622</v>
      </c>
      <c r="D2452" t="s">
        <v>623</v>
      </c>
    </row>
    <row r="2453" spans="1:4">
      <c r="A2453" s="2">
        <v>5.4488</v>
      </c>
      <c r="B2453" t="s">
        <v>524</v>
      </c>
      <c r="C2453" t="s">
        <v>622</v>
      </c>
      <c r="D2453" t="s">
        <v>623</v>
      </c>
    </row>
    <row r="2454" spans="1:4">
      <c r="A2454" s="2">
        <v>8.8912</v>
      </c>
      <c r="B2454" t="s">
        <v>525</v>
      </c>
      <c r="C2454" t="s">
        <v>622</v>
      </c>
      <c r="D2454" t="s">
        <v>623</v>
      </c>
    </row>
    <row r="2455" spans="1:4">
      <c r="A2455" s="2">
        <v>5.0266</v>
      </c>
      <c r="B2455" t="s">
        <v>526</v>
      </c>
      <c r="C2455" t="s">
        <v>622</v>
      </c>
      <c r="D2455" t="s">
        <v>623</v>
      </c>
    </row>
    <row r="2456" spans="1:4">
      <c r="A2456" s="2">
        <v>0.8586639189421261</v>
      </c>
      <c r="B2456" t="s">
        <v>527</v>
      </c>
      <c r="C2456" t="s">
        <v>622</v>
      </c>
      <c r="D2456" t="s">
        <v>623</v>
      </c>
    </row>
    <row r="2457" spans="1:4">
      <c r="A2457" s="2">
        <v>1.7732697320589434</v>
      </c>
      <c r="B2457" t="s">
        <v>528</v>
      </c>
      <c r="C2457" t="s">
        <v>622</v>
      </c>
      <c r="D2457" t="s">
        <v>623</v>
      </c>
    </row>
    <row r="2458" spans="1:4">
      <c r="A2458" s="2">
        <v>0.08905353898763936</v>
      </c>
      <c r="B2458" t="s">
        <v>529</v>
      </c>
      <c r="C2458" t="s">
        <v>622</v>
      </c>
      <c r="D2458" t="s">
        <v>623</v>
      </c>
    </row>
    <row r="2459" spans="1:4">
      <c r="A2459" s="2">
        <v>0.4324511330219685</v>
      </c>
      <c r="B2459" t="s">
        <v>530</v>
      </c>
      <c r="C2459" t="s">
        <v>622</v>
      </c>
      <c r="D2459" t="s">
        <v>623</v>
      </c>
    </row>
    <row r="2460" spans="1:4">
      <c r="A2460" s="2">
        <v>0.004786979415988511</v>
      </c>
      <c r="B2460" t="s">
        <v>531</v>
      </c>
      <c r="C2460" t="s">
        <v>622</v>
      </c>
      <c r="D2460" t="s">
        <v>623</v>
      </c>
    </row>
    <row r="2461" spans="1:4">
      <c r="A2461" s="2">
        <v>1.8722735017131305</v>
      </c>
      <c r="B2461" t="s">
        <v>532</v>
      </c>
      <c r="C2461" t="s">
        <v>622</v>
      </c>
      <c r="D2461" t="s">
        <v>623</v>
      </c>
    </row>
    <row r="2462" spans="1:4">
      <c r="A2462" s="2">
        <v>1.833550303452575</v>
      </c>
      <c r="B2462" t="s">
        <v>533</v>
      </c>
      <c r="C2462" t="s">
        <v>622</v>
      </c>
      <c r="D2462" t="s">
        <v>623</v>
      </c>
    </row>
    <row r="2463" spans="1:4">
      <c r="A2463" s="2">
        <v>0.021643616215397267</v>
      </c>
      <c r="B2463" t="s">
        <v>534</v>
      </c>
      <c r="C2463" t="s">
        <v>622</v>
      </c>
      <c r="D2463" t="s">
        <v>623</v>
      </c>
    </row>
    <row r="2464" spans="1:4">
      <c r="A2464" s="2">
        <v>1.9268193992177112</v>
      </c>
      <c r="B2464" t="s">
        <v>535</v>
      </c>
      <c r="C2464" t="s">
        <v>622</v>
      </c>
      <c r="D2464" t="s">
        <v>623</v>
      </c>
    </row>
    <row r="2465" spans="1:4">
      <c r="A2465" s="2">
        <v>1.0866021949364335</v>
      </c>
      <c r="B2465" t="s">
        <v>536</v>
      </c>
      <c r="C2465" t="s">
        <v>622</v>
      </c>
      <c r="D2465" t="s">
        <v>623</v>
      </c>
    </row>
    <row r="2466" spans="1:4">
      <c r="A2466" s="2">
        <v>0.7595898214963919</v>
      </c>
      <c r="B2466" t="s">
        <v>537</v>
      </c>
      <c r="C2466" t="s">
        <v>622</v>
      </c>
      <c r="D2466" t="s">
        <v>623</v>
      </c>
    </row>
    <row r="2467" spans="1:4">
      <c r="A2467" s="2">
        <v>0.7193209610128039</v>
      </c>
      <c r="B2467" t="s">
        <v>538</v>
      </c>
      <c r="C2467" t="s">
        <v>622</v>
      </c>
      <c r="D2467" t="s">
        <v>623</v>
      </c>
    </row>
    <row r="2468" spans="1:4">
      <c r="A2468" s="2">
        <v>0.1566281100469101</v>
      </c>
      <c r="B2468" t="s">
        <v>539</v>
      </c>
      <c r="C2468" t="s">
        <v>622</v>
      </c>
      <c r="D2468" t="s">
        <v>623</v>
      </c>
    </row>
    <row r="2469" spans="1:4">
      <c r="A2469" s="2">
        <v>0.40117142054800015</v>
      </c>
      <c r="B2469" t="s">
        <v>540</v>
      </c>
      <c r="C2469" t="s">
        <v>622</v>
      </c>
      <c r="D2469" t="s">
        <v>623</v>
      </c>
    </row>
    <row r="2470" spans="1:4">
      <c r="A2470" s="2">
        <v>0.22089196174151224</v>
      </c>
      <c r="B2470" t="s">
        <v>541</v>
      </c>
      <c r="C2470" t="s">
        <v>622</v>
      </c>
      <c r="D2470" t="s">
        <v>623</v>
      </c>
    </row>
    <row r="2471" spans="1:4">
      <c r="A2471" s="2">
        <v>1</v>
      </c>
      <c r="B2471" t="s">
        <v>542</v>
      </c>
      <c r="C2471" t="s">
        <v>623</v>
      </c>
      <c r="D2471" t="s">
        <v>623</v>
      </c>
    </row>
    <row r="2472" spans="1:4">
      <c r="A2472" s="2">
        <v>6.9236</v>
      </c>
      <c r="B2472" t="s">
        <v>364</v>
      </c>
      <c r="C2472" t="s">
        <v>624</v>
      </c>
      <c r="D2472" t="s">
        <v>624</v>
      </c>
    </row>
    <row r="2473" spans="1:4">
      <c r="A2473" s="2">
        <v>8.1135</v>
      </c>
      <c r="B2473" t="s">
        <v>373</v>
      </c>
      <c r="C2473" t="s">
        <v>624</v>
      </c>
      <c r="D2473" t="s">
        <v>624</v>
      </c>
    </row>
    <row r="2474" spans="1:4">
      <c r="A2474" s="2">
        <v>0.044123</v>
      </c>
      <c r="B2474" t="s">
        <v>520</v>
      </c>
      <c r="C2474" t="s">
        <v>624</v>
      </c>
      <c r="D2474" t="s">
        <v>624</v>
      </c>
    </row>
    <row r="2475" spans="1:4">
      <c r="A2475" s="2">
        <v>0.88518</v>
      </c>
      <c r="B2475" t="s">
        <v>370</v>
      </c>
      <c r="C2475" t="s">
        <v>624</v>
      </c>
      <c r="D2475" t="s">
        <v>624</v>
      </c>
    </row>
    <row r="2476" spans="1:4">
      <c r="A2476" s="2">
        <v>9.2493</v>
      </c>
      <c r="B2476" t="s">
        <v>521</v>
      </c>
      <c r="C2476" t="s">
        <v>624</v>
      </c>
      <c r="D2476" t="s">
        <v>624</v>
      </c>
    </row>
    <row r="2477" spans="1:4">
      <c r="A2477" s="2">
        <v>4.8724</v>
      </c>
      <c r="B2477" t="s">
        <v>522</v>
      </c>
      <c r="C2477" t="s">
        <v>624</v>
      </c>
      <c r="D2477" t="s">
        <v>624</v>
      </c>
    </row>
    <row r="2478" spans="1:4">
      <c r="A2478" s="2">
        <v>4.1114</v>
      </c>
      <c r="B2478" t="s">
        <v>523</v>
      </c>
      <c r="C2478" t="s">
        <v>624</v>
      </c>
      <c r="D2478" t="s">
        <v>624</v>
      </c>
    </row>
    <row r="2479" spans="1:4">
      <c r="A2479" s="2">
        <v>5.437799999999999</v>
      </c>
      <c r="B2479" t="s">
        <v>524</v>
      </c>
      <c r="C2479" t="s">
        <v>624</v>
      </c>
      <c r="D2479" t="s">
        <v>624</v>
      </c>
    </row>
    <row r="2480" spans="1:4">
      <c r="A2480" s="2">
        <v>8.97</v>
      </c>
      <c r="B2480" t="s">
        <v>525</v>
      </c>
      <c r="C2480" t="s">
        <v>624</v>
      </c>
      <c r="D2480" t="s">
        <v>624</v>
      </c>
    </row>
    <row r="2481" spans="1:4">
      <c r="A2481" s="2">
        <v>5.0439</v>
      </c>
      <c r="B2481" t="s">
        <v>526</v>
      </c>
      <c r="C2481" t="s">
        <v>624</v>
      </c>
      <c r="D2481" t="s">
        <v>624</v>
      </c>
    </row>
    <row r="2482" spans="1:4">
      <c r="A2482" s="2">
        <v>0.8587376556462001</v>
      </c>
      <c r="B2482" t="s">
        <v>527</v>
      </c>
      <c r="C2482" t="s">
        <v>624</v>
      </c>
      <c r="D2482" t="s">
        <v>624</v>
      </c>
    </row>
    <row r="2483" spans="1:4">
      <c r="A2483" s="2">
        <v>1.7687219215394956</v>
      </c>
      <c r="B2483" t="s">
        <v>528</v>
      </c>
      <c r="C2483" t="s">
        <v>624</v>
      </c>
      <c r="D2483" t="s">
        <v>624</v>
      </c>
    </row>
    <row r="2484" spans="1:4">
      <c r="A2484" s="2">
        <v>0.08911067545891997</v>
      </c>
      <c r="B2484" t="s">
        <v>529</v>
      </c>
      <c r="C2484" t="s">
        <v>624</v>
      </c>
      <c r="D2484" t="s">
        <v>624</v>
      </c>
    </row>
    <row r="2485" spans="1:4">
      <c r="A2485" s="2">
        <v>0.4294241422252759</v>
      </c>
      <c r="B2485" t="s">
        <v>530</v>
      </c>
      <c r="C2485" t="s">
        <v>624</v>
      </c>
      <c r="D2485" t="s">
        <v>624</v>
      </c>
    </row>
    <row r="2486" spans="1:4">
      <c r="A2486" s="2">
        <v>0.00476077124494168</v>
      </c>
      <c r="B2486" t="s">
        <v>531</v>
      </c>
      <c r="C2486" t="s">
        <v>624</v>
      </c>
      <c r="D2486" t="s">
        <v>624</v>
      </c>
    </row>
    <row r="2487" spans="1:4">
      <c r="A2487" s="2">
        <v>1.8767712028226635</v>
      </c>
      <c r="B2487" t="s">
        <v>532</v>
      </c>
      <c r="C2487" t="s">
        <v>624</v>
      </c>
      <c r="D2487" t="s">
        <v>624</v>
      </c>
    </row>
    <row r="2488" spans="1:4">
      <c r="A2488" s="2">
        <v>1.8376272556874564</v>
      </c>
      <c r="B2488" t="s">
        <v>533</v>
      </c>
      <c r="C2488" t="s">
        <v>624</v>
      </c>
      <c r="D2488" t="s">
        <v>624</v>
      </c>
    </row>
    <row r="2489" spans="1:4">
      <c r="A2489" s="2">
        <v>0.02146097750460338</v>
      </c>
      <c r="B2489" t="s">
        <v>534</v>
      </c>
      <c r="C2489" t="s">
        <v>624</v>
      </c>
      <c r="D2489" t="s">
        <v>624</v>
      </c>
    </row>
    <row r="2490" spans="1:4">
      <c r="A2490" s="2">
        <v>1.9217834150091289</v>
      </c>
      <c r="B2490" t="s">
        <v>535</v>
      </c>
      <c r="C2490" t="s">
        <v>624</v>
      </c>
      <c r="D2490" t="s">
        <v>624</v>
      </c>
    </row>
    <row r="2491" spans="1:4">
      <c r="A2491" s="2">
        <v>1.086130118388183</v>
      </c>
      <c r="B2491" t="s">
        <v>536</v>
      </c>
      <c r="C2491" t="s">
        <v>624</v>
      </c>
      <c r="D2491" t="s">
        <v>624</v>
      </c>
    </row>
    <row r="2492" spans="1:4">
      <c r="A2492" s="2">
        <v>0.7598206823189726</v>
      </c>
      <c r="B2492" t="s">
        <v>537</v>
      </c>
      <c r="C2492" t="s">
        <v>624</v>
      </c>
      <c r="D2492" t="s">
        <v>624</v>
      </c>
    </row>
    <row r="2493" spans="1:4">
      <c r="A2493" s="2">
        <v>0.7248477819657871</v>
      </c>
      <c r="B2493" t="s">
        <v>538</v>
      </c>
      <c r="C2493" t="s">
        <v>624</v>
      </c>
      <c r="D2493" t="s">
        <v>624</v>
      </c>
    </row>
    <row r="2494" spans="1:4">
      <c r="A2494" s="2">
        <v>0.15693241078000117</v>
      </c>
      <c r="B2494" t="s">
        <v>539</v>
      </c>
      <c r="C2494" t="s">
        <v>624</v>
      </c>
      <c r="D2494" t="s">
        <v>624</v>
      </c>
    </row>
    <row r="2495" spans="1:4">
      <c r="A2495" s="2">
        <v>0.3989945337748873</v>
      </c>
      <c r="B2495" t="s">
        <v>540</v>
      </c>
      <c r="C2495" t="s">
        <v>624</v>
      </c>
      <c r="D2495" t="s">
        <v>624</v>
      </c>
    </row>
    <row r="2496" spans="1:4">
      <c r="A2496" s="2">
        <v>0.22078954340722423</v>
      </c>
      <c r="B2496" t="s">
        <v>541</v>
      </c>
      <c r="C2496" t="s">
        <v>624</v>
      </c>
      <c r="D2496" t="s">
        <v>624</v>
      </c>
    </row>
    <row r="2497" spans="1:4">
      <c r="A2497" s="2">
        <v>1</v>
      </c>
      <c r="B2497" t="s">
        <v>542</v>
      </c>
      <c r="C2497" t="s">
        <v>624</v>
      </c>
      <c r="D2497" t="s">
        <v>624</v>
      </c>
    </row>
    <row r="2498" spans="1:4">
      <c r="A2498" s="2">
        <v>6.9088</v>
      </c>
      <c r="B2498" t="s">
        <v>364</v>
      </c>
      <c r="C2498" t="s">
        <v>625</v>
      </c>
      <c r="D2498" t="s">
        <v>625</v>
      </c>
    </row>
    <row r="2499" spans="1:4">
      <c r="A2499" s="2">
        <v>8.0732</v>
      </c>
      <c r="B2499" t="s">
        <v>373</v>
      </c>
      <c r="C2499" t="s">
        <v>625</v>
      </c>
      <c r="D2499" t="s">
        <v>625</v>
      </c>
    </row>
    <row r="2500" spans="1:4">
      <c r="A2500" s="2">
        <v>0.043968999999999994</v>
      </c>
      <c r="B2500" t="s">
        <v>520</v>
      </c>
      <c r="C2500" t="s">
        <v>625</v>
      </c>
      <c r="D2500" t="s">
        <v>625</v>
      </c>
    </row>
    <row r="2501" spans="1:4">
      <c r="A2501" s="2">
        <v>0.88327</v>
      </c>
      <c r="B2501" t="s">
        <v>370</v>
      </c>
      <c r="C2501" t="s">
        <v>625</v>
      </c>
      <c r="D2501" t="s">
        <v>625</v>
      </c>
    </row>
    <row r="2502" spans="1:4">
      <c r="A2502" s="2">
        <v>9.2584</v>
      </c>
      <c r="B2502" t="s">
        <v>521</v>
      </c>
      <c r="C2502" t="s">
        <v>625</v>
      </c>
      <c r="D2502" t="s">
        <v>625</v>
      </c>
    </row>
    <row r="2503" spans="1:4">
      <c r="A2503" s="2">
        <v>4.9025</v>
      </c>
      <c r="B2503" t="s">
        <v>522</v>
      </c>
      <c r="C2503" t="s">
        <v>625</v>
      </c>
      <c r="D2503" t="s">
        <v>625</v>
      </c>
    </row>
    <row r="2504" spans="1:4">
      <c r="A2504" s="2">
        <v>4.1034</v>
      </c>
      <c r="B2504" t="s">
        <v>523</v>
      </c>
      <c r="C2504" t="s">
        <v>625</v>
      </c>
      <c r="D2504" t="s">
        <v>625</v>
      </c>
    </row>
    <row r="2505" spans="1:4">
      <c r="A2505" s="2">
        <v>5.4251</v>
      </c>
      <c r="B2505" t="s">
        <v>524</v>
      </c>
      <c r="C2505" t="s">
        <v>625</v>
      </c>
      <c r="D2505" t="s">
        <v>625</v>
      </c>
    </row>
    <row r="2506" spans="1:4">
      <c r="A2506" s="2">
        <v>8.8691</v>
      </c>
      <c r="B2506" t="s">
        <v>525</v>
      </c>
      <c r="C2506" t="s">
        <v>625</v>
      </c>
      <c r="D2506" t="s">
        <v>625</v>
      </c>
    </row>
    <row r="2507" spans="1:4">
      <c r="A2507" s="2">
        <v>5.0472</v>
      </c>
      <c r="B2507" t="s">
        <v>526</v>
      </c>
      <c r="C2507" t="s">
        <v>625</v>
      </c>
      <c r="D2507" t="s">
        <v>625</v>
      </c>
    </row>
    <row r="2508" spans="1:4">
      <c r="A2508" s="2">
        <v>0.8571183680466272</v>
      </c>
      <c r="B2508" t="s">
        <v>527</v>
      </c>
      <c r="C2508" t="s">
        <v>625</v>
      </c>
      <c r="D2508" t="s">
        <v>625</v>
      </c>
    </row>
    <row r="2509" spans="1:4">
      <c r="A2509" s="2">
        <v>1.7599436818021823</v>
      </c>
      <c r="B2509" t="s">
        <v>528</v>
      </c>
      <c r="C2509" t="s">
        <v>625</v>
      </c>
      <c r="D2509" t="s">
        <v>625</v>
      </c>
    </row>
    <row r="2510" spans="1:4">
      <c r="A2510" s="2">
        <v>0.08901469632636348</v>
      </c>
      <c r="B2510" t="s">
        <v>529</v>
      </c>
      <c r="C2510" t="s">
        <v>625</v>
      </c>
      <c r="D2510" t="s">
        <v>625</v>
      </c>
    </row>
    <row r="2511" spans="1:4">
      <c r="A2511" s="2">
        <v>0.42946102641185313</v>
      </c>
      <c r="B2511" t="s">
        <v>530</v>
      </c>
      <c r="C2511" t="s">
        <v>625</v>
      </c>
      <c r="D2511" t="s">
        <v>625</v>
      </c>
    </row>
    <row r="2512" spans="1:4">
      <c r="A2512" s="2">
        <v>0.004741358873453132</v>
      </c>
      <c r="B2512" t="s">
        <v>531</v>
      </c>
      <c r="C2512" t="s">
        <v>625</v>
      </c>
      <c r="D2512" t="s">
        <v>625</v>
      </c>
    </row>
    <row r="2513" spans="1:4">
      <c r="A2513" s="2">
        <v>1.8788869473723768</v>
      </c>
      <c r="B2513" t="s">
        <v>532</v>
      </c>
      <c r="C2513" t="s">
        <v>625</v>
      </c>
      <c r="D2513" t="s">
        <v>625</v>
      </c>
    </row>
    <row r="2514" spans="1:4">
      <c r="A2514" s="2">
        <v>1.8387761106207707</v>
      </c>
      <c r="B2514" t="s">
        <v>533</v>
      </c>
      <c r="C2514" t="s">
        <v>625</v>
      </c>
      <c r="D2514" t="s">
        <v>625</v>
      </c>
    </row>
    <row r="2515" spans="1:4">
      <c r="A2515" s="2">
        <v>0.021270169438169746</v>
      </c>
      <c r="B2515" t="s">
        <v>534</v>
      </c>
      <c r="C2515" t="s">
        <v>625</v>
      </c>
      <c r="D2515" t="s">
        <v>625</v>
      </c>
    </row>
    <row r="2516" spans="1:4">
      <c r="A2516" s="2">
        <v>1.907705221389191</v>
      </c>
      <c r="B2516" t="s">
        <v>535</v>
      </c>
      <c r="C2516" t="s">
        <v>625</v>
      </c>
      <c r="D2516" t="s">
        <v>625</v>
      </c>
    </row>
    <row r="2517" spans="1:4">
      <c r="A2517" s="2">
        <v>1.0807305738679347</v>
      </c>
      <c r="B2517" t="s">
        <v>536</v>
      </c>
      <c r="C2517" t="s">
        <v>625</v>
      </c>
      <c r="D2517" t="s">
        <v>625</v>
      </c>
    </row>
    <row r="2518" spans="1:4">
      <c r="A2518" s="2">
        <v>0.7535795026375284</v>
      </c>
      <c r="B2518" t="s">
        <v>537</v>
      </c>
      <c r="C2518" t="s">
        <v>625</v>
      </c>
      <c r="D2518" t="s">
        <v>625</v>
      </c>
    </row>
    <row r="2519" spans="1:4">
      <c r="A2519" s="2">
        <v>0.7209285559801023</v>
      </c>
      <c r="B2519" t="s">
        <v>538</v>
      </c>
      <c r="C2519" t="s">
        <v>625</v>
      </c>
      <c r="D2519" t="s">
        <v>625</v>
      </c>
    </row>
    <row r="2520" spans="1:4">
      <c r="A2520" s="2">
        <v>0.1570507132458142</v>
      </c>
      <c r="B2520" t="s">
        <v>539</v>
      </c>
      <c r="C2520" t="s">
        <v>625</v>
      </c>
      <c r="D2520" t="s">
        <v>625</v>
      </c>
    </row>
    <row r="2521" spans="1:4">
      <c r="A2521" s="2">
        <v>0.39942482824732384</v>
      </c>
      <c r="B2521" t="s">
        <v>540</v>
      </c>
      <c r="C2521" t="s">
        <v>625</v>
      </c>
      <c r="D2521" t="s">
        <v>625</v>
      </c>
    </row>
    <row r="2522" spans="1:4">
      <c r="A2522" s="2">
        <v>0.219823701391484</v>
      </c>
      <c r="B2522" t="s">
        <v>541</v>
      </c>
      <c r="C2522" t="s">
        <v>625</v>
      </c>
      <c r="D2522" t="s">
        <v>625</v>
      </c>
    </row>
    <row r="2523" spans="1:4">
      <c r="A2523" s="2">
        <v>1</v>
      </c>
      <c r="B2523" t="s">
        <v>542</v>
      </c>
      <c r="C2523" t="s">
        <v>625</v>
      </c>
      <c r="D2523" t="s">
        <v>625</v>
      </c>
    </row>
    <row r="2524" spans="1:4">
      <c r="A2524" s="2">
        <v>6.9124</v>
      </c>
      <c r="B2524" t="s">
        <v>364</v>
      </c>
      <c r="C2524" t="s">
        <v>626</v>
      </c>
      <c r="D2524" t="s">
        <v>626</v>
      </c>
    </row>
    <row r="2525" spans="1:4">
      <c r="A2525" s="2">
        <v>8.0214</v>
      </c>
      <c r="B2525" t="s">
        <v>373</v>
      </c>
      <c r="C2525" t="s">
        <v>626</v>
      </c>
      <c r="D2525" t="s">
        <v>626</v>
      </c>
    </row>
    <row r="2526" spans="1:4">
      <c r="A2526" s="2">
        <v>0.043830999999999995</v>
      </c>
      <c r="B2526" t="s">
        <v>520</v>
      </c>
      <c r="C2526" t="s">
        <v>626</v>
      </c>
      <c r="D2526" t="s">
        <v>626</v>
      </c>
    </row>
    <row r="2527" spans="1:4">
      <c r="A2527" s="2">
        <v>0.88574</v>
      </c>
      <c r="B2527" t="s">
        <v>370</v>
      </c>
      <c r="C2527" t="s">
        <v>626</v>
      </c>
      <c r="D2527" t="s">
        <v>626</v>
      </c>
    </row>
    <row r="2528" spans="1:4">
      <c r="A2528" s="2">
        <v>9.2292</v>
      </c>
      <c r="B2528" t="s">
        <v>521</v>
      </c>
      <c r="C2528" t="s">
        <v>626</v>
      </c>
      <c r="D2528" t="s">
        <v>626</v>
      </c>
    </row>
    <row r="2529" spans="1:4">
      <c r="A2529" s="2">
        <v>4.8638</v>
      </c>
      <c r="B2529" t="s">
        <v>522</v>
      </c>
      <c r="C2529" t="s">
        <v>626</v>
      </c>
      <c r="D2529" t="s">
        <v>626</v>
      </c>
    </row>
    <row r="2530" spans="1:4">
      <c r="A2530" s="2">
        <v>4.069599999999999</v>
      </c>
      <c r="B2530" t="s">
        <v>523</v>
      </c>
      <c r="C2530" t="s">
        <v>626</v>
      </c>
      <c r="D2530" t="s">
        <v>626</v>
      </c>
    </row>
    <row r="2531" spans="1:4">
      <c r="A2531" s="2">
        <v>5.4111</v>
      </c>
      <c r="B2531" t="s">
        <v>524</v>
      </c>
      <c r="C2531" t="s">
        <v>626</v>
      </c>
      <c r="D2531" t="s">
        <v>626</v>
      </c>
    </row>
    <row r="2532" spans="1:4">
      <c r="A2532" s="2">
        <v>8.837200000000001</v>
      </c>
      <c r="B2532" t="s">
        <v>525</v>
      </c>
      <c r="C2532" t="s">
        <v>626</v>
      </c>
      <c r="D2532" t="s">
        <v>626</v>
      </c>
    </row>
    <row r="2533" spans="1:4">
      <c r="A2533" s="2">
        <v>5.0529</v>
      </c>
      <c r="B2533" t="s">
        <v>526</v>
      </c>
      <c r="C2533" t="s">
        <v>626</v>
      </c>
      <c r="D2533" t="s">
        <v>626</v>
      </c>
    </row>
    <row r="2534" spans="1:4">
      <c r="A2534" s="2">
        <v>0.8595495960116899</v>
      </c>
      <c r="B2534" t="s">
        <v>527</v>
      </c>
      <c r="C2534" t="s">
        <v>626</v>
      </c>
      <c r="D2534" t="s">
        <v>626</v>
      </c>
    </row>
    <row r="2535" spans="1:4">
      <c r="A2535" s="2">
        <v>1.7517122987720497</v>
      </c>
      <c r="B2535" t="s">
        <v>528</v>
      </c>
      <c r="C2535" t="s">
        <v>626</v>
      </c>
      <c r="D2535" t="s">
        <v>626</v>
      </c>
    </row>
    <row r="2536" spans="1:4">
      <c r="A2536" s="2">
        <v>0.08905829756158382</v>
      </c>
      <c r="B2536" t="s">
        <v>529</v>
      </c>
      <c r="C2536" t="s">
        <v>626</v>
      </c>
      <c r="D2536" t="s">
        <v>626</v>
      </c>
    </row>
    <row r="2537" spans="1:4">
      <c r="A2537" s="2">
        <v>0.4186728072011723</v>
      </c>
      <c r="B2537" t="s">
        <v>530</v>
      </c>
      <c r="C2537" t="s">
        <v>626</v>
      </c>
      <c r="D2537" t="s">
        <v>626</v>
      </c>
    </row>
    <row r="2538" spans="1:4">
      <c r="A2538" s="2">
        <v>0.004659832246039142</v>
      </c>
      <c r="B2538" t="s">
        <v>531</v>
      </c>
      <c r="C2538" t="s">
        <v>626</v>
      </c>
      <c r="D2538" t="s">
        <v>626</v>
      </c>
    </row>
    <row r="2539" spans="1:4">
      <c r="A2539" s="2">
        <v>1.881255173451727</v>
      </c>
      <c r="B2539" t="s">
        <v>532</v>
      </c>
      <c r="C2539" t="s">
        <v>626</v>
      </c>
      <c r="D2539" t="s">
        <v>626</v>
      </c>
    </row>
    <row r="2540" spans="1:4">
      <c r="A2540" s="2">
        <v>1.841179828033804</v>
      </c>
      <c r="B2540" t="s">
        <v>533</v>
      </c>
      <c r="C2540" t="s">
        <v>626</v>
      </c>
      <c r="D2540" t="s">
        <v>626</v>
      </c>
    </row>
    <row r="2541" spans="1:4">
      <c r="A2541" s="2">
        <v>0.0207542079156549</v>
      </c>
      <c r="B2541" t="s">
        <v>534</v>
      </c>
      <c r="C2541" t="s">
        <v>626</v>
      </c>
      <c r="D2541" t="s">
        <v>626</v>
      </c>
    </row>
    <row r="2542" spans="1:4">
      <c r="A2542" s="2">
        <v>1.870102668636508</v>
      </c>
      <c r="B2542" t="s">
        <v>535</v>
      </c>
      <c r="C2542" t="s">
        <v>626</v>
      </c>
      <c r="D2542" t="s">
        <v>626</v>
      </c>
    </row>
    <row r="2543" spans="1:4">
      <c r="A2543" s="2">
        <v>1.074113856068743</v>
      </c>
      <c r="B2543" t="s">
        <v>536</v>
      </c>
      <c r="C2543" t="s">
        <v>626</v>
      </c>
      <c r="D2543" t="s">
        <v>626</v>
      </c>
    </row>
    <row r="2544" spans="1:4">
      <c r="A2544" s="2">
        <v>0.7463800567248844</v>
      </c>
      <c r="B2544" t="s">
        <v>537</v>
      </c>
      <c r="C2544" t="s">
        <v>626</v>
      </c>
      <c r="D2544" t="s">
        <v>626</v>
      </c>
    </row>
    <row r="2545" spans="1:4">
      <c r="A2545" s="2">
        <v>0.7152052639107425</v>
      </c>
      <c r="B2545" t="s">
        <v>538</v>
      </c>
      <c r="C2545" t="s">
        <v>626</v>
      </c>
      <c r="D2545" t="s">
        <v>626</v>
      </c>
    </row>
    <row r="2546" spans="1:4">
      <c r="A2546" s="2">
        <v>0.15720057221008285</v>
      </c>
      <c r="B2546" t="s">
        <v>539</v>
      </c>
      <c r="C2546" t="s">
        <v>626</v>
      </c>
      <c r="D2546" t="s">
        <v>626</v>
      </c>
    </row>
    <row r="2547" spans="1:4">
      <c r="A2547" s="2">
        <v>0.3909762677405481</v>
      </c>
      <c r="B2547" t="s">
        <v>540</v>
      </c>
      <c r="C2547" t="s">
        <v>626</v>
      </c>
      <c r="D2547" t="s">
        <v>626</v>
      </c>
    </row>
    <row r="2548" spans="1:4">
      <c r="A2548" s="2">
        <v>0.2188758536158291</v>
      </c>
      <c r="B2548" t="s">
        <v>541</v>
      </c>
      <c r="C2548" t="s">
        <v>626</v>
      </c>
      <c r="D2548" t="s">
        <v>626</v>
      </c>
    </row>
    <row r="2549" spans="1:4">
      <c r="A2549" s="2">
        <v>1</v>
      </c>
      <c r="B2549" t="s">
        <v>542</v>
      </c>
      <c r="C2549" t="s">
        <v>626</v>
      </c>
      <c r="D2549" t="s">
        <v>626</v>
      </c>
    </row>
    <row r="2550" spans="1:4">
      <c r="A2550" s="2">
        <v>6.9007000000000005</v>
      </c>
      <c r="B2550" t="s">
        <v>364</v>
      </c>
      <c r="C2550" t="s">
        <v>627</v>
      </c>
      <c r="D2550" t="s">
        <v>627</v>
      </c>
    </row>
    <row r="2551" spans="1:4">
      <c r="A2551" s="2">
        <v>8.036200000000001</v>
      </c>
      <c r="B2551" t="s">
        <v>373</v>
      </c>
      <c r="C2551" t="s">
        <v>627</v>
      </c>
      <c r="D2551" t="s">
        <v>627</v>
      </c>
    </row>
    <row r="2552" spans="1:4">
      <c r="A2552" s="2">
        <v>0.043985</v>
      </c>
      <c r="B2552" t="s">
        <v>520</v>
      </c>
      <c r="C2552" t="s">
        <v>627</v>
      </c>
      <c r="D2552" t="s">
        <v>627</v>
      </c>
    </row>
    <row r="2553" spans="1:4">
      <c r="A2553" s="2">
        <v>0.88259</v>
      </c>
      <c r="B2553" t="s">
        <v>370</v>
      </c>
      <c r="C2553" t="s">
        <v>627</v>
      </c>
      <c r="D2553" t="s">
        <v>627</v>
      </c>
    </row>
    <row r="2554" spans="1:4">
      <c r="A2554" s="2">
        <v>9.2309</v>
      </c>
      <c r="B2554" t="s">
        <v>521</v>
      </c>
      <c r="C2554" t="s">
        <v>627</v>
      </c>
      <c r="D2554" t="s">
        <v>627</v>
      </c>
    </row>
    <row r="2555" spans="1:4">
      <c r="A2555" s="2">
        <v>4.8855</v>
      </c>
      <c r="B2555" t="s">
        <v>522</v>
      </c>
      <c r="C2555" t="s">
        <v>627</v>
      </c>
      <c r="D2555" t="s">
        <v>627</v>
      </c>
    </row>
    <row r="2556" spans="1:4">
      <c r="A2556" s="2">
        <v>4.1001</v>
      </c>
      <c r="B2556" t="s">
        <v>523</v>
      </c>
      <c r="C2556" t="s">
        <v>627</v>
      </c>
      <c r="D2556" t="s">
        <v>627</v>
      </c>
    </row>
    <row r="2557" spans="1:4">
      <c r="A2557" s="2">
        <v>5.415900000000001</v>
      </c>
      <c r="B2557" t="s">
        <v>524</v>
      </c>
      <c r="C2557" t="s">
        <v>627</v>
      </c>
      <c r="D2557" t="s">
        <v>627</v>
      </c>
    </row>
    <row r="2558" spans="1:4">
      <c r="A2558" s="2">
        <v>8.861799999999999</v>
      </c>
      <c r="B2558" t="s">
        <v>525</v>
      </c>
      <c r="C2558" t="s">
        <v>627</v>
      </c>
      <c r="D2558" t="s">
        <v>627</v>
      </c>
    </row>
    <row r="2559" spans="1:4">
      <c r="A2559" s="2">
        <v>5.0605</v>
      </c>
      <c r="B2559" t="s">
        <v>526</v>
      </c>
      <c r="C2559" t="s">
        <v>627</v>
      </c>
      <c r="D2559" t="s">
        <v>627</v>
      </c>
    </row>
    <row r="2560" spans="1:4">
      <c r="A2560" s="2">
        <v>0.8564576909900651</v>
      </c>
      <c r="B2560" t="s">
        <v>527</v>
      </c>
      <c r="C2560" t="s">
        <v>627</v>
      </c>
      <c r="D2560" t="s">
        <v>627</v>
      </c>
    </row>
    <row r="2561" spans="1:4">
      <c r="A2561" s="2">
        <v>1.752879103928202</v>
      </c>
      <c r="B2561" t="s">
        <v>528</v>
      </c>
      <c r="C2561" t="s">
        <v>627</v>
      </c>
      <c r="D2561" t="s">
        <v>627</v>
      </c>
    </row>
    <row r="2562" spans="1:4">
      <c r="A2562" s="2">
        <v>0.0886713485138682</v>
      </c>
      <c r="B2562" t="s">
        <v>529</v>
      </c>
      <c r="C2562" t="s">
        <v>627</v>
      </c>
      <c r="D2562" t="s">
        <v>627</v>
      </c>
    </row>
    <row r="2563" spans="1:4">
      <c r="A2563" s="2">
        <v>0.4225114078080108</v>
      </c>
      <c r="B2563" t="s">
        <v>530</v>
      </c>
      <c r="C2563" t="s">
        <v>627</v>
      </c>
      <c r="D2563" t="s">
        <v>627</v>
      </c>
    </row>
    <row r="2564" spans="1:4">
      <c r="A2564" s="2">
        <v>0.004719207173194903</v>
      </c>
      <c r="B2564" t="s">
        <v>531</v>
      </c>
      <c r="C2564" t="s">
        <v>627</v>
      </c>
      <c r="D2564" t="s">
        <v>627</v>
      </c>
    </row>
    <row r="2565" spans="1:4">
      <c r="A2565" s="2">
        <v>1.8793813076735135</v>
      </c>
      <c r="B2565" t="s">
        <v>532</v>
      </c>
      <c r="C2565" t="s">
        <v>627</v>
      </c>
      <c r="D2565" t="s">
        <v>627</v>
      </c>
    </row>
    <row r="2566" spans="1:4">
      <c r="A2566" s="2">
        <v>1.839080459770115</v>
      </c>
      <c r="B2566" t="s">
        <v>533</v>
      </c>
      <c r="C2566" t="s">
        <v>627</v>
      </c>
      <c r="D2566" t="s">
        <v>627</v>
      </c>
    </row>
    <row r="2567" spans="1:4">
      <c r="A2567" s="2">
        <v>0.020898248517791724</v>
      </c>
      <c r="B2567" t="s">
        <v>534</v>
      </c>
      <c r="C2567" t="s">
        <v>627</v>
      </c>
      <c r="D2567" t="s">
        <v>627</v>
      </c>
    </row>
    <row r="2568" spans="1:4">
      <c r="A2568" s="2">
        <v>1.8830973184694184</v>
      </c>
      <c r="B2568" t="s">
        <v>535</v>
      </c>
      <c r="C2568" t="s">
        <v>627</v>
      </c>
      <c r="D2568" t="s">
        <v>627</v>
      </c>
    </row>
    <row r="2569" spans="1:4">
      <c r="A2569" s="2">
        <v>1.075268817204301</v>
      </c>
      <c r="B2569" t="s">
        <v>536</v>
      </c>
      <c r="C2569" t="s">
        <v>627</v>
      </c>
      <c r="D2569" t="s">
        <v>627</v>
      </c>
    </row>
    <row r="2570" spans="1:4">
      <c r="A2570" s="2">
        <v>0.7526719855486979</v>
      </c>
      <c r="B2570" t="s">
        <v>537</v>
      </c>
      <c r="C2570" t="s">
        <v>627</v>
      </c>
      <c r="D2570" t="s">
        <v>627</v>
      </c>
    </row>
    <row r="2571" spans="1:4">
      <c r="A2571" s="2">
        <v>0.7169486664754804</v>
      </c>
      <c r="B2571" t="s">
        <v>538</v>
      </c>
      <c r="C2571" t="s">
        <v>627</v>
      </c>
      <c r="D2571" t="s">
        <v>627</v>
      </c>
    </row>
    <row r="2572" spans="1:4">
      <c r="A2572" s="2">
        <v>0.15698587127158556</v>
      </c>
      <c r="B2572" t="s">
        <v>539</v>
      </c>
      <c r="C2572" t="s">
        <v>627</v>
      </c>
      <c r="D2572" t="s">
        <v>627</v>
      </c>
    </row>
    <row r="2573" spans="1:4">
      <c r="A2573" s="2">
        <v>0.3925571170605323</v>
      </c>
      <c r="B2573" t="s">
        <v>540</v>
      </c>
      <c r="C2573" t="s">
        <v>627</v>
      </c>
      <c r="D2573" t="s">
        <v>627</v>
      </c>
    </row>
    <row r="2574" spans="1:4">
      <c r="A2574" s="2">
        <v>0.2185601258906325</v>
      </c>
      <c r="B2574" t="s">
        <v>541</v>
      </c>
      <c r="C2574" t="s">
        <v>627</v>
      </c>
      <c r="D2574" t="s">
        <v>627</v>
      </c>
    </row>
    <row r="2575" spans="1:4">
      <c r="A2575" s="2">
        <v>1</v>
      </c>
      <c r="B2575" t="s">
        <v>542</v>
      </c>
      <c r="C2575" t="s">
        <v>627</v>
      </c>
      <c r="D2575" t="s">
        <v>627</v>
      </c>
    </row>
    <row r="2576" spans="1:4">
      <c r="A2576" s="2">
        <v>6.9025</v>
      </c>
      <c r="B2576" t="s">
        <v>364</v>
      </c>
      <c r="C2576" t="s">
        <v>628</v>
      </c>
      <c r="D2576" t="s">
        <v>628</v>
      </c>
    </row>
    <row r="2577" spans="1:4">
      <c r="A2577" s="2">
        <v>8.013200000000001</v>
      </c>
      <c r="B2577" t="s">
        <v>373</v>
      </c>
      <c r="C2577" t="s">
        <v>628</v>
      </c>
      <c r="D2577" t="s">
        <v>628</v>
      </c>
    </row>
    <row r="2578" spans="1:4">
      <c r="A2578" s="2">
        <v>0.043814</v>
      </c>
      <c r="B2578" t="s">
        <v>520</v>
      </c>
      <c r="C2578" t="s">
        <v>628</v>
      </c>
      <c r="D2578" t="s">
        <v>628</v>
      </c>
    </row>
    <row r="2579" spans="1:4">
      <c r="A2579" s="2">
        <v>0.88253</v>
      </c>
      <c r="B2579" t="s">
        <v>370</v>
      </c>
      <c r="C2579" t="s">
        <v>628</v>
      </c>
      <c r="D2579" t="s">
        <v>628</v>
      </c>
    </row>
    <row r="2580" spans="1:4">
      <c r="A2580" s="2">
        <v>9.2198</v>
      </c>
      <c r="B2580" t="s">
        <v>521</v>
      </c>
      <c r="C2580" t="s">
        <v>628</v>
      </c>
      <c r="D2580" t="s">
        <v>628</v>
      </c>
    </row>
    <row r="2581" spans="1:4">
      <c r="A2581" s="2">
        <v>4.8415</v>
      </c>
      <c r="B2581" t="s">
        <v>522</v>
      </c>
      <c r="C2581" t="s">
        <v>628</v>
      </c>
      <c r="D2581" t="s">
        <v>628</v>
      </c>
    </row>
    <row r="2582" spans="1:4">
      <c r="A2582" s="2">
        <v>4.0721</v>
      </c>
      <c r="B2582" t="s">
        <v>523</v>
      </c>
      <c r="C2582" t="s">
        <v>628</v>
      </c>
      <c r="D2582" t="s">
        <v>628</v>
      </c>
    </row>
    <row r="2583" spans="1:4">
      <c r="A2583" s="2">
        <v>5.390700000000001</v>
      </c>
      <c r="B2583" t="s">
        <v>524</v>
      </c>
      <c r="C2583" t="s">
        <v>628</v>
      </c>
      <c r="D2583" t="s">
        <v>628</v>
      </c>
    </row>
    <row r="2584" spans="1:4">
      <c r="A2584" s="2">
        <v>8.8414</v>
      </c>
      <c r="B2584" t="s">
        <v>525</v>
      </c>
      <c r="C2584" t="s">
        <v>628</v>
      </c>
      <c r="D2584" t="s">
        <v>628</v>
      </c>
    </row>
    <row r="2585" spans="1:4">
      <c r="A2585" s="2">
        <v>5.0494</v>
      </c>
      <c r="B2585" t="s">
        <v>526</v>
      </c>
      <c r="C2585" t="s">
        <v>628</v>
      </c>
      <c r="D2585" t="s">
        <v>628</v>
      </c>
    </row>
    <row r="2586" spans="1:4">
      <c r="A2586" s="2">
        <v>0.8563843452941681</v>
      </c>
      <c r="B2586" t="s">
        <v>527</v>
      </c>
      <c r="C2586" t="s">
        <v>628</v>
      </c>
      <c r="D2586" t="s">
        <v>628</v>
      </c>
    </row>
    <row r="2587" spans="1:4">
      <c r="A2587" s="2">
        <v>1.749873134197771</v>
      </c>
      <c r="B2587" t="s">
        <v>528</v>
      </c>
      <c r="C2587" t="s">
        <v>628</v>
      </c>
      <c r="D2587" t="s">
        <v>628</v>
      </c>
    </row>
    <row r="2588" spans="1:4">
      <c r="A2588" s="2">
        <v>0.08777396448665398</v>
      </c>
      <c r="B2588" t="s">
        <v>529</v>
      </c>
      <c r="C2588" t="s">
        <v>628</v>
      </c>
      <c r="D2588" t="s">
        <v>628</v>
      </c>
    </row>
    <row r="2589" spans="1:4">
      <c r="A2589" s="2">
        <v>0.4144390567367069</v>
      </c>
      <c r="B2589" t="s">
        <v>530</v>
      </c>
      <c r="C2589" t="s">
        <v>628</v>
      </c>
      <c r="D2589" t="s">
        <v>628</v>
      </c>
    </row>
    <row r="2590" spans="1:4">
      <c r="A2590" s="2">
        <v>0.004661787329262039</v>
      </c>
      <c r="B2590" t="s">
        <v>531</v>
      </c>
      <c r="C2590" t="s">
        <v>628</v>
      </c>
      <c r="D2590" t="s">
        <v>628</v>
      </c>
    </row>
    <row r="2591" spans="1:4">
      <c r="A2591" s="2">
        <v>1.879451951810852</v>
      </c>
      <c r="B2591" t="s">
        <v>532</v>
      </c>
      <c r="C2591" t="s">
        <v>628</v>
      </c>
      <c r="D2591" t="s">
        <v>628</v>
      </c>
    </row>
    <row r="2592" spans="1:4">
      <c r="A2592" s="2">
        <v>1.8392495861688432</v>
      </c>
      <c r="B2592" t="s">
        <v>533</v>
      </c>
      <c r="C2592" t="s">
        <v>628</v>
      </c>
      <c r="D2592" t="s">
        <v>628</v>
      </c>
    </row>
    <row r="2593" spans="1:4">
      <c r="A2593" s="2">
        <v>0.02067239016242297</v>
      </c>
      <c r="B2593" t="s">
        <v>534</v>
      </c>
      <c r="C2593" t="s">
        <v>628</v>
      </c>
      <c r="D2593" t="s">
        <v>628</v>
      </c>
    </row>
    <row r="2594" spans="1:4">
      <c r="A2594" s="2">
        <v>1.8740629685157424</v>
      </c>
      <c r="B2594" t="s">
        <v>535</v>
      </c>
      <c r="C2594" t="s">
        <v>628</v>
      </c>
      <c r="D2594" t="s">
        <v>628</v>
      </c>
    </row>
    <row r="2595" spans="1:4">
      <c r="A2595" s="2">
        <v>1.0725010725010726</v>
      </c>
      <c r="B2595" t="s">
        <v>536</v>
      </c>
      <c r="C2595" t="s">
        <v>628</v>
      </c>
      <c r="D2595" t="s">
        <v>628</v>
      </c>
    </row>
    <row r="2596" spans="1:4">
      <c r="A2596" s="2">
        <v>0.74827895839569</v>
      </c>
      <c r="B2596" t="s">
        <v>537</v>
      </c>
      <c r="C2596" t="s">
        <v>628</v>
      </c>
      <c r="D2596" t="s">
        <v>628</v>
      </c>
    </row>
    <row r="2597" spans="1:4">
      <c r="A2597" s="2">
        <v>0.7133685261806249</v>
      </c>
      <c r="B2597" t="s">
        <v>538</v>
      </c>
      <c r="C2597" t="s">
        <v>628</v>
      </c>
      <c r="D2597" t="s">
        <v>628</v>
      </c>
    </row>
    <row r="2598" spans="1:4">
      <c r="A2598" s="2">
        <v>0.15672433599816946</v>
      </c>
      <c r="B2598" t="s">
        <v>539</v>
      </c>
      <c r="C2598" t="s">
        <v>628</v>
      </c>
      <c r="D2598" t="s">
        <v>628</v>
      </c>
    </row>
    <row r="2599" spans="1:4">
      <c r="A2599" s="2">
        <v>0.3898635477582846</v>
      </c>
      <c r="B2599" t="s">
        <v>540</v>
      </c>
      <c r="C2599" t="s">
        <v>628</v>
      </c>
      <c r="D2599" t="s">
        <v>628</v>
      </c>
    </row>
    <row r="2600" spans="1:4">
      <c r="A2600" s="2">
        <v>0.2175473709400222</v>
      </c>
      <c r="B2600" t="s">
        <v>541</v>
      </c>
      <c r="C2600" t="s">
        <v>628</v>
      </c>
      <c r="D2600" t="s">
        <v>628</v>
      </c>
    </row>
    <row r="2601" spans="1:4">
      <c r="A2601" s="2">
        <v>1</v>
      </c>
      <c r="B2601" t="s">
        <v>542</v>
      </c>
      <c r="C2601" t="s">
        <v>628</v>
      </c>
      <c r="D2601" t="s">
        <v>628</v>
      </c>
    </row>
    <row r="2602" spans="1:4">
      <c r="A2602" s="2">
        <v>6.9025</v>
      </c>
      <c r="B2602" t="s">
        <v>364</v>
      </c>
      <c r="C2602" t="s">
        <v>628</v>
      </c>
      <c r="D2602" t="s">
        <v>629</v>
      </c>
    </row>
    <row r="2603" spans="1:4">
      <c r="A2603" s="2">
        <v>8.013200000000001</v>
      </c>
      <c r="B2603" t="s">
        <v>373</v>
      </c>
      <c r="C2603" t="s">
        <v>628</v>
      </c>
      <c r="D2603" t="s">
        <v>629</v>
      </c>
    </row>
    <row r="2604" spans="1:4">
      <c r="A2604" s="2">
        <v>0.043814</v>
      </c>
      <c r="B2604" t="s">
        <v>520</v>
      </c>
      <c r="C2604" t="s">
        <v>628</v>
      </c>
      <c r="D2604" t="s">
        <v>629</v>
      </c>
    </row>
    <row r="2605" spans="1:4">
      <c r="A2605" s="2">
        <v>0.88253</v>
      </c>
      <c r="B2605" t="s">
        <v>370</v>
      </c>
      <c r="C2605" t="s">
        <v>628</v>
      </c>
      <c r="D2605" t="s">
        <v>629</v>
      </c>
    </row>
    <row r="2606" spans="1:4">
      <c r="A2606" s="2">
        <v>9.2198</v>
      </c>
      <c r="B2606" t="s">
        <v>521</v>
      </c>
      <c r="C2606" t="s">
        <v>628</v>
      </c>
      <c r="D2606" t="s">
        <v>629</v>
      </c>
    </row>
    <row r="2607" spans="1:4">
      <c r="A2607" s="2">
        <v>4.8415</v>
      </c>
      <c r="B2607" t="s">
        <v>522</v>
      </c>
      <c r="C2607" t="s">
        <v>628</v>
      </c>
      <c r="D2607" t="s">
        <v>629</v>
      </c>
    </row>
    <row r="2608" spans="1:4">
      <c r="A2608" s="2">
        <v>4.0721</v>
      </c>
      <c r="B2608" t="s">
        <v>523</v>
      </c>
      <c r="C2608" t="s">
        <v>628</v>
      </c>
      <c r="D2608" t="s">
        <v>629</v>
      </c>
    </row>
    <row r="2609" spans="1:4">
      <c r="A2609" s="2">
        <v>5.390700000000001</v>
      </c>
      <c r="B2609" t="s">
        <v>524</v>
      </c>
      <c r="C2609" t="s">
        <v>628</v>
      </c>
      <c r="D2609" t="s">
        <v>629</v>
      </c>
    </row>
    <row r="2610" spans="1:4">
      <c r="A2610" s="2">
        <v>8.8414</v>
      </c>
      <c r="B2610" t="s">
        <v>525</v>
      </c>
      <c r="C2610" t="s">
        <v>628</v>
      </c>
      <c r="D2610" t="s">
        <v>629</v>
      </c>
    </row>
    <row r="2611" spans="1:4">
      <c r="A2611" s="2">
        <v>5.0494</v>
      </c>
      <c r="B2611" t="s">
        <v>526</v>
      </c>
      <c r="C2611" t="s">
        <v>628</v>
      </c>
      <c r="D2611" t="s">
        <v>629</v>
      </c>
    </row>
    <row r="2612" spans="1:4">
      <c r="A2612" s="2">
        <v>0.8563843452941681</v>
      </c>
      <c r="B2612" t="s">
        <v>527</v>
      </c>
      <c r="C2612" t="s">
        <v>628</v>
      </c>
      <c r="D2612" t="s">
        <v>629</v>
      </c>
    </row>
    <row r="2613" spans="1:4">
      <c r="A2613" s="2">
        <v>1.749873134197771</v>
      </c>
      <c r="B2613" t="s">
        <v>528</v>
      </c>
      <c r="C2613" t="s">
        <v>628</v>
      </c>
      <c r="D2613" t="s">
        <v>629</v>
      </c>
    </row>
    <row r="2614" spans="1:4">
      <c r="A2614" s="2">
        <v>0.08777396448665398</v>
      </c>
      <c r="B2614" t="s">
        <v>529</v>
      </c>
      <c r="C2614" t="s">
        <v>628</v>
      </c>
      <c r="D2614" t="s">
        <v>629</v>
      </c>
    </row>
    <row r="2615" spans="1:4">
      <c r="A2615" s="2">
        <v>0.4144390567367069</v>
      </c>
      <c r="B2615" t="s">
        <v>530</v>
      </c>
      <c r="C2615" t="s">
        <v>628</v>
      </c>
      <c r="D2615" t="s">
        <v>629</v>
      </c>
    </row>
    <row r="2616" spans="1:4">
      <c r="A2616" s="2">
        <v>0.004661787329262039</v>
      </c>
      <c r="B2616" t="s">
        <v>531</v>
      </c>
      <c r="C2616" t="s">
        <v>628</v>
      </c>
      <c r="D2616" t="s">
        <v>629</v>
      </c>
    </row>
    <row r="2617" spans="1:4">
      <c r="A2617" s="2">
        <v>1.879451951810852</v>
      </c>
      <c r="B2617" t="s">
        <v>532</v>
      </c>
      <c r="C2617" t="s">
        <v>628</v>
      </c>
      <c r="D2617" t="s">
        <v>629</v>
      </c>
    </row>
    <row r="2618" spans="1:4">
      <c r="A2618" s="2">
        <v>1.8392495861688432</v>
      </c>
      <c r="B2618" t="s">
        <v>533</v>
      </c>
      <c r="C2618" t="s">
        <v>628</v>
      </c>
      <c r="D2618" t="s">
        <v>629</v>
      </c>
    </row>
    <row r="2619" spans="1:4">
      <c r="A2619" s="2">
        <v>0.02067239016242297</v>
      </c>
      <c r="B2619" t="s">
        <v>534</v>
      </c>
      <c r="C2619" t="s">
        <v>628</v>
      </c>
      <c r="D2619" t="s">
        <v>629</v>
      </c>
    </row>
    <row r="2620" spans="1:4">
      <c r="A2620" s="2">
        <v>1.8740629685157424</v>
      </c>
      <c r="B2620" t="s">
        <v>535</v>
      </c>
      <c r="C2620" t="s">
        <v>628</v>
      </c>
      <c r="D2620" t="s">
        <v>629</v>
      </c>
    </row>
    <row r="2621" spans="1:4">
      <c r="A2621" s="2">
        <v>1.0725010725010726</v>
      </c>
      <c r="B2621" t="s">
        <v>536</v>
      </c>
      <c r="C2621" t="s">
        <v>628</v>
      </c>
      <c r="D2621" t="s">
        <v>629</v>
      </c>
    </row>
    <row r="2622" spans="1:4">
      <c r="A2622" s="2">
        <v>0.74827895839569</v>
      </c>
      <c r="B2622" t="s">
        <v>537</v>
      </c>
      <c r="C2622" t="s">
        <v>628</v>
      </c>
      <c r="D2622" t="s">
        <v>629</v>
      </c>
    </row>
    <row r="2623" spans="1:4">
      <c r="A2623" s="2">
        <v>0.7133685261806249</v>
      </c>
      <c r="B2623" t="s">
        <v>538</v>
      </c>
      <c r="C2623" t="s">
        <v>628</v>
      </c>
      <c r="D2623" t="s">
        <v>629</v>
      </c>
    </row>
    <row r="2624" spans="1:4">
      <c r="A2624" s="2">
        <v>0.15672433599816946</v>
      </c>
      <c r="B2624" t="s">
        <v>539</v>
      </c>
      <c r="C2624" t="s">
        <v>628</v>
      </c>
      <c r="D2624" t="s">
        <v>629</v>
      </c>
    </row>
    <row r="2625" spans="1:4">
      <c r="A2625" s="2">
        <v>0.3898635477582846</v>
      </c>
      <c r="B2625" t="s">
        <v>540</v>
      </c>
      <c r="C2625" t="s">
        <v>628</v>
      </c>
      <c r="D2625" t="s">
        <v>629</v>
      </c>
    </row>
    <row r="2626" spans="1:4">
      <c r="A2626" s="2">
        <v>0.2175473709400222</v>
      </c>
      <c r="B2626" t="s">
        <v>541</v>
      </c>
      <c r="C2626" t="s">
        <v>628</v>
      </c>
      <c r="D2626" t="s">
        <v>629</v>
      </c>
    </row>
    <row r="2627" spans="1:4">
      <c r="A2627" s="2">
        <v>1</v>
      </c>
      <c r="B2627" t="s">
        <v>542</v>
      </c>
      <c r="C2627" t="s">
        <v>629</v>
      </c>
      <c r="D2627" t="s">
        <v>629</v>
      </c>
    </row>
    <row r="2628" spans="1:4">
      <c r="A2628" s="2">
        <v>6.9025</v>
      </c>
      <c r="B2628" t="s">
        <v>364</v>
      </c>
      <c r="C2628" t="s">
        <v>628</v>
      </c>
      <c r="D2628" t="s">
        <v>630</v>
      </c>
    </row>
    <row r="2629" spans="1:4">
      <c r="A2629" s="2">
        <v>8.013200000000001</v>
      </c>
      <c r="B2629" t="s">
        <v>373</v>
      </c>
      <c r="C2629" t="s">
        <v>628</v>
      </c>
      <c r="D2629" t="s">
        <v>630</v>
      </c>
    </row>
    <row r="2630" spans="1:4">
      <c r="A2630" s="2">
        <v>0.043814</v>
      </c>
      <c r="B2630" t="s">
        <v>520</v>
      </c>
      <c r="C2630" t="s">
        <v>628</v>
      </c>
      <c r="D2630" t="s">
        <v>630</v>
      </c>
    </row>
    <row r="2631" spans="1:4">
      <c r="A2631" s="2">
        <v>0.88253</v>
      </c>
      <c r="B2631" t="s">
        <v>370</v>
      </c>
      <c r="C2631" t="s">
        <v>628</v>
      </c>
      <c r="D2631" t="s">
        <v>630</v>
      </c>
    </row>
    <row r="2632" spans="1:4">
      <c r="A2632" s="2">
        <v>9.2198</v>
      </c>
      <c r="B2632" t="s">
        <v>521</v>
      </c>
      <c r="C2632" t="s">
        <v>628</v>
      </c>
      <c r="D2632" t="s">
        <v>630</v>
      </c>
    </row>
    <row r="2633" spans="1:4">
      <c r="A2633" s="2">
        <v>4.8415</v>
      </c>
      <c r="B2633" t="s">
        <v>522</v>
      </c>
      <c r="C2633" t="s">
        <v>628</v>
      </c>
      <c r="D2633" t="s">
        <v>630</v>
      </c>
    </row>
    <row r="2634" spans="1:4">
      <c r="A2634" s="2">
        <v>4.0721</v>
      </c>
      <c r="B2634" t="s">
        <v>523</v>
      </c>
      <c r="C2634" t="s">
        <v>628</v>
      </c>
      <c r="D2634" t="s">
        <v>630</v>
      </c>
    </row>
    <row r="2635" spans="1:4">
      <c r="A2635" s="2">
        <v>5.390700000000001</v>
      </c>
      <c r="B2635" t="s">
        <v>524</v>
      </c>
      <c r="C2635" t="s">
        <v>628</v>
      </c>
      <c r="D2635" t="s">
        <v>630</v>
      </c>
    </row>
    <row r="2636" spans="1:4">
      <c r="A2636" s="2">
        <v>8.8414</v>
      </c>
      <c r="B2636" t="s">
        <v>525</v>
      </c>
      <c r="C2636" t="s">
        <v>628</v>
      </c>
      <c r="D2636" t="s">
        <v>630</v>
      </c>
    </row>
    <row r="2637" spans="1:4">
      <c r="A2637" s="2">
        <v>5.0494</v>
      </c>
      <c r="B2637" t="s">
        <v>526</v>
      </c>
      <c r="C2637" t="s">
        <v>628</v>
      </c>
      <c r="D2637" t="s">
        <v>630</v>
      </c>
    </row>
    <row r="2638" spans="1:4">
      <c r="A2638" s="2">
        <v>0.8563843452941681</v>
      </c>
      <c r="B2638" t="s">
        <v>527</v>
      </c>
      <c r="C2638" t="s">
        <v>628</v>
      </c>
      <c r="D2638" t="s">
        <v>630</v>
      </c>
    </row>
    <row r="2639" spans="1:4">
      <c r="A2639" s="2">
        <v>1.749873134197771</v>
      </c>
      <c r="B2639" t="s">
        <v>528</v>
      </c>
      <c r="C2639" t="s">
        <v>628</v>
      </c>
      <c r="D2639" t="s">
        <v>630</v>
      </c>
    </row>
    <row r="2640" spans="1:4">
      <c r="A2640" s="2">
        <v>0.08777396448665398</v>
      </c>
      <c r="B2640" t="s">
        <v>529</v>
      </c>
      <c r="C2640" t="s">
        <v>628</v>
      </c>
      <c r="D2640" t="s">
        <v>630</v>
      </c>
    </row>
    <row r="2641" spans="1:4">
      <c r="A2641" s="2">
        <v>0.4144390567367069</v>
      </c>
      <c r="B2641" t="s">
        <v>530</v>
      </c>
      <c r="C2641" t="s">
        <v>628</v>
      </c>
      <c r="D2641" t="s">
        <v>630</v>
      </c>
    </row>
    <row r="2642" spans="1:4">
      <c r="A2642" s="2">
        <v>0.004661787329262039</v>
      </c>
      <c r="B2642" t="s">
        <v>531</v>
      </c>
      <c r="C2642" t="s">
        <v>628</v>
      </c>
      <c r="D2642" t="s">
        <v>630</v>
      </c>
    </row>
    <row r="2643" spans="1:4">
      <c r="A2643" s="2">
        <v>1.879451951810852</v>
      </c>
      <c r="B2643" t="s">
        <v>532</v>
      </c>
      <c r="C2643" t="s">
        <v>628</v>
      </c>
      <c r="D2643" t="s">
        <v>630</v>
      </c>
    </row>
    <row r="2644" spans="1:4">
      <c r="A2644" s="2">
        <v>1.8392495861688432</v>
      </c>
      <c r="B2644" t="s">
        <v>533</v>
      </c>
      <c r="C2644" t="s">
        <v>628</v>
      </c>
      <c r="D2644" t="s">
        <v>630</v>
      </c>
    </row>
    <row r="2645" spans="1:4">
      <c r="A2645" s="2">
        <v>0.02067239016242297</v>
      </c>
      <c r="B2645" t="s">
        <v>534</v>
      </c>
      <c r="C2645" t="s">
        <v>628</v>
      </c>
      <c r="D2645" t="s">
        <v>630</v>
      </c>
    </row>
    <row r="2646" spans="1:4">
      <c r="A2646" s="2">
        <v>1.8740629685157424</v>
      </c>
      <c r="B2646" t="s">
        <v>535</v>
      </c>
      <c r="C2646" t="s">
        <v>628</v>
      </c>
      <c r="D2646" t="s">
        <v>630</v>
      </c>
    </row>
    <row r="2647" spans="1:4">
      <c r="A2647" s="2">
        <v>1.0725010725010726</v>
      </c>
      <c r="B2647" t="s">
        <v>536</v>
      </c>
      <c r="C2647" t="s">
        <v>628</v>
      </c>
      <c r="D2647" t="s">
        <v>630</v>
      </c>
    </row>
    <row r="2648" spans="1:4">
      <c r="A2648" s="2">
        <v>0.74827895839569</v>
      </c>
      <c r="B2648" t="s">
        <v>537</v>
      </c>
      <c r="C2648" t="s">
        <v>628</v>
      </c>
      <c r="D2648" t="s">
        <v>630</v>
      </c>
    </row>
    <row r="2649" spans="1:4">
      <c r="A2649" s="2">
        <v>0.7133685261806249</v>
      </c>
      <c r="B2649" t="s">
        <v>538</v>
      </c>
      <c r="C2649" t="s">
        <v>628</v>
      </c>
      <c r="D2649" t="s">
        <v>630</v>
      </c>
    </row>
    <row r="2650" spans="1:4">
      <c r="A2650" s="2">
        <v>0.15672433599816946</v>
      </c>
      <c r="B2650" t="s">
        <v>539</v>
      </c>
      <c r="C2650" t="s">
        <v>628</v>
      </c>
      <c r="D2650" t="s">
        <v>630</v>
      </c>
    </row>
    <row r="2651" spans="1:4">
      <c r="A2651" s="2">
        <v>0.3898635477582846</v>
      </c>
      <c r="B2651" t="s">
        <v>540</v>
      </c>
      <c r="C2651" t="s">
        <v>628</v>
      </c>
      <c r="D2651" t="s">
        <v>630</v>
      </c>
    </row>
    <row r="2652" spans="1:4">
      <c r="A2652" s="2">
        <v>0.2175473709400222</v>
      </c>
      <c r="B2652" t="s">
        <v>541</v>
      </c>
      <c r="C2652" t="s">
        <v>628</v>
      </c>
      <c r="D2652" t="s">
        <v>630</v>
      </c>
    </row>
    <row r="2653" spans="1:4">
      <c r="A2653" s="2">
        <v>1</v>
      </c>
      <c r="B2653" t="s">
        <v>542</v>
      </c>
      <c r="C2653" t="s">
        <v>630</v>
      </c>
      <c r="D2653" t="s">
        <v>630</v>
      </c>
    </row>
    <row r="2654" spans="1:4">
      <c r="A2654" s="2">
        <v>6.915800000000001</v>
      </c>
      <c r="B2654" t="s">
        <v>364</v>
      </c>
      <c r="C2654" t="s">
        <v>631</v>
      </c>
      <c r="D2654" t="s">
        <v>631</v>
      </c>
    </row>
    <row r="2655" spans="1:4">
      <c r="A2655" s="2">
        <v>7.967899999999999</v>
      </c>
      <c r="B2655" t="s">
        <v>373</v>
      </c>
      <c r="C2655" t="s">
        <v>631</v>
      </c>
      <c r="D2655" t="s">
        <v>631</v>
      </c>
    </row>
    <row r="2656" spans="1:4">
      <c r="A2656" s="2">
        <v>0.043653</v>
      </c>
      <c r="B2656" t="s">
        <v>520</v>
      </c>
      <c r="C2656" t="s">
        <v>631</v>
      </c>
      <c r="D2656" t="s">
        <v>631</v>
      </c>
    </row>
    <row r="2657" spans="1:4">
      <c r="A2657" s="2">
        <v>0.88505</v>
      </c>
      <c r="B2657" t="s">
        <v>370</v>
      </c>
      <c r="C2657" t="s">
        <v>631</v>
      </c>
      <c r="D2657" t="s">
        <v>631</v>
      </c>
    </row>
    <row r="2658" spans="1:4">
      <c r="A2658" s="2">
        <v>9.203</v>
      </c>
      <c r="B2658" t="s">
        <v>521</v>
      </c>
      <c r="C2658" t="s">
        <v>631</v>
      </c>
      <c r="D2658" t="s">
        <v>631</v>
      </c>
    </row>
    <row r="2659" spans="1:4">
      <c r="A2659" s="2">
        <v>4.8208</v>
      </c>
      <c r="B2659" t="s">
        <v>522</v>
      </c>
      <c r="C2659" t="s">
        <v>631</v>
      </c>
      <c r="D2659" t="s">
        <v>631</v>
      </c>
    </row>
    <row r="2660" spans="1:4">
      <c r="A2660" s="2">
        <v>4.0499</v>
      </c>
      <c r="B2660" t="s">
        <v>523</v>
      </c>
      <c r="C2660" t="s">
        <v>631</v>
      </c>
      <c r="D2660" t="s">
        <v>631</v>
      </c>
    </row>
    <row r="2661" spans="1:4">
      <c r="A2661" s="2">
        <v>5.3849</v>
      </c>
      <c r="B2661" t="s">
        <v>524</v>
      </c>
      <c r="C2661" t="s">
        <v>631</v>
      </c>
      <c r="D2661" t="s">
        <v>631</v>
      </c>
    </row>
    <row r="2662" spans="1:4">
      <c r="A2662" s="2">
        <v>8.8527</v>
      </c>
      <c r="B2662" t="s">
        <v>525</v>
      </c>
      <c r="C2662" t="s">
        <v>631</v>
      </c>
      <c r="D2662" t="s">
        <v>631</v>
      </c>
    </row>
    <row r="2663" spans="1:4">
      <c r="A2663" s="2">
        <v>5.0827</v>
      </c>
      <c r="B2663" t="s">
        <v>526</v>
      </c>
      <c r="C2663" t="s">
        <v>631</v>
      </c>
      <c r="D2663" t="s">
        <v>631</v>
      </c>
    </row>
    <row r="2664" spans="1:4">
      <c r="A2664" s="2">
        <v>0.8588114050154586</v>
      </c>
      <c r="B2664" t="s">
        <v>527</v>
      </c>
      <c r="C2664" t="s">
        <v>631</v>
      </c>
      <c r="D2664" t="s">
        <v>631</v>
      </c>
    </row>
    <row r="2665" spans="1:4">
      <c r="A2665" s="2">
        <v>1.7439528435151113</v>
      </c>
      <c r="B2665" t="s">
        <v>528</v>
      </c>
      <c r="C2665" t="s">
        <v>631</v>
      </c>
      <c r="D2665" t="s">
        <v>631</v>
      </c>
    </row>
    <row r="2666" spans="1:4">
      <c r="A2666" s="2">
        <v>0.08759098513580982</v>
      </c>
      <c r="B2666" t="s">
        <v>529</v>
      </c>
      <c r="C2666" t="s">
        <v>631</v>
      </c>
      <c r="D2666" t="s">
        <v>631</v>
      </c>
    </row>
    <row r="2667" spans="1:4">
      <c r="A2667" s="2">
        <v>0.4111334950458414</v>
      </c>
      <c r="B2667" t="s">
        <v>530</v>
      </c>
      <c r="C2667" t="s">
        <v>631</v>
      </c>
      <c r="D2667" t="s">
        <v>631</v>
      </c>
    </row>
    <row r="2668" spans="1:4">
      <c r="A2668" s="2">
        <v>0.004635638791025403</v>
      </c>
      <c r="B2668" t="s">
        <v>531</v>
      </c>
      <c r="C2668" t="s">
        <v>631</v>
      </c>
      <c r="D2668" t="s">
        <v>631</v>
      </c>
    </row>
    <row r="2669" spans="1:4">
      <c r="A2669" s="2">
        <v>1.8816445573431175</v>
      </c>
      <c r="B2669" t="s">
        <v>532</v>
      </c>
      <c r="C2669" t="s">
        <v>631</v>
      </c>
      <c r="D2669" t="s">
        <v>631</v>
      </c>
    </row>
    <row r="2670" spans="1:4">
      <c r="A2670" s="2">
        <v>1.8412815319462343</v>
      </c>
      <c r="B2670" t="s">
        <v>533</v>
      </c>
      <c r="C2670" t="s">
        <v>631</v>
      </c>
      <c r="D2670" t="s">
        <v>631</v>
      </c>
    </row>
    <row r="2671" spans="1:4">
      <c r="A2671" s="2">
        <v>0.02016372948340525</v>
      </c>
      <c r="B2671" t="s">
        <v>534</v>
      </c>
      <c r="C2671" t="s">
        <v>631</v>
      </c>
      <c r="D2671" t="s">
        <v>631</v>
      </c>
    </row>
    <row r="2672" spans="1:4">
      <c r="A2672" s="2">
        <v>1.8534307002261183</v>
      </c>
      <c r="B2672" t="s">
        <v>535</v>
      </c>
      <c r="C2672" t="s">
        <v>631</v>
      </c>
      <c r="D2672" t="s">
        <v>631</v>
      </c>
    </row>
    <row r="2673" spans="1:4">
      <c r="A2673" s="2">
        <v>1.0668942707777658</v>
      </c>
      <c r="B2673" t="s">
        <v>536</v>
      </c>
      <c r="C2673" t="s">
        <v>631</v>
      </c>
      <c r="D2673" t="s">
        <v>631</v>
      </c>
    </row>
    <row r="2674" spans="1:4">
      <c r="A2674" s="2">
        <v>0.7461016190405133</v>
      </c>
      <c r="B2674" t="s">
        <v>537</v>
      </c>
      <c r="C2674" t="s">
        <v>631</v>
      </c>
      <c r="D2674" t="s">
        <v>631</v>
      </c>
    </row>
    <row r="2675" spans="1:4">
      <c r="A2675" s="2">
        <v>0.7175660160734787</v>
      </c>
      <c r="B2675" t="s">
        <v>538</v>
      </c>
      <c r="C2675" t="s">
        <v>631</v>
      </c>
      <c r="D2675" t="s">
        <v>631</v>
      </c>
    </row>
    <row r="2676" spans="1:4">
      <c r="A2676" s="2">
        <v>0.15676512038777418</v>
      </c>
      <c r="B2676" t="s">
        <v>539</v>
      </c>
      <c r="C2676" t="s">
        <v>631</v>
      </c>
      <c r="D2676" t="s">
        <v>631</v>
      </c>
    </row>
    <row r="2677" spans="1:4">
      <c r="A2677" s="2">
        <v>0.38396559668253727</v>
      </c>
      <c r="B2677" t="s">
        <v>540</v>
      </c>
      <c r="C2677" t="s">
        <v>631</v>
      </c>
      <c r="D2677" t="s">
        <v>631</v>
      </c>
    </row>
    <row r="2678" spans="1:4">
      <c r="A2678" s="2">
        <v>0.21589412552084455</v>
      </c>
      <c r="B2678" t="s">
        <v>541</v>
      </c>
      <c r="C2678" t="s">
        <v>631</v>
      </c>
      <c r="D2678" t="s">
        <v>631</v>
      </c>
    </row>
    <row r="2679" spans="1:4">
      <c r="A2679" s="2">
        <v>1</v>
      </c>
      <c r="B2679" t="s">
        <v>542</v>
      </c>
      <c r="C2679" t="s">
        <v>631</v>
      </c>
      <c r="D2679" t="s">
        <v>631</v>
      </c>
    </row>
    <row r="2680" spans="1:4">
      <c r="A2680" s="2">
        <v>6.8982</v>
      </c>
      <c r="B2680" t="s">
        <v>364</v>
      </c>
      <c r="C2680" t="s">
        <v>632</v>
      </c>
      <c r="D2680" t="s">
        <v>632</v>
      </c>
    </row>
    <row r="2681" spans="1:4">
      <c r="A2681" s="2">
        <v>8.0198</v>
      </c>
      <c r="B2681" t="s">
        <v>373</v>
      </c>
      <c r="C2681" t="s">
        <v>632</v>
      </c>
      <c r="D2681" t="s">
        <v>632</v>
      </c>
    </row>
    <row r="2682" spans="1:4">
      <c r="A2682" s="2">
        <v>0.043717</v>
      </c>
      <c r="B2682" t="s">
        <v>520</v>
      </c>
      <c r="C2682" t="s">
        <v>632</v>
      </c>
      <c r="D2682" t="s">
        <v>632</v>
      </c>
    </row>
    <row r="2683" spans="1:4">
      <c r="A2683" s="2">
        <v>0.88196</v>
      </c>
      <c r="B2683" t="s">
        <v>370</v>
      </c>
      <c r="C2683" t="s">
        <v>632</v>
      </c>
      <c r="D2683" t="s">
        <v>632</v>
      </c>
    </row>
    <row r="2684" spans="1:4">
      <c r="A2684" s="2">
        <v>9.2658</v>
      </c>
      <c r="B2684" t="s">
        <v>521</v>
      </c>
      <c r="C2684" t="s">
        <v>632</v>
      </c>
      <c r="D2684" t="s">
        <v>632</v>
      </c>
    </row>
    <row r="2685" spans="1:4">
      <c r="A2685" s="2">
        <v>4.8765</v>
      </c>
      <c r="B2685" t="s">
        <v>522</v>
      </c>
      <c r="C2685" t="s">
        <v>632</v>
      </c>
      <c r="D2685" t="s">
        <v>632</v>
      </c>
    </row>
    <row r="2686" spans="1:4">
      <c r="A2686" s="2">
        <v>4.0869</v>
      </c>
      <c r="B2686" t="s">
        <v>523</v>
      </c>
      <c r="C2686" t="s">
        <v>632</v>
      </c>
      <c r="D2686" t="s">
        <v>632</v>
      </c>
    </row>
    <row r="2687" spans="1:4">
      <c r="A2687" s="2">
        <v>5.4137</v>
      </c>
      <c r="B2687" t="s">
        <v>524</v>
      </c>
      <c r="C2687" t="s">
        <v>632</v>
      </c>
      <c r="D2687" t="s">
        <v>632</v>
      </c>
    </row>
    <row r="2688" spans="1:4">
      <c r="A2688" s="2">
        <v>8.8726</v>
      </c>
      <c r="B2688" t="s">
        <v>525</v>
      </c>
      <c r="C2688" t="s">
        <v>632</v>
      </c>
      <c r="D2688" t="s">
        <v>632</v>
      </c>
    </row>
    <row r="2689" spans="1:4">
      <c r="A2689" s="2">
        <v>5.0785</v>
      </c>
      <c r="B2689" t="s">
        <v>526</v>
      </c>
      <c r="C2689" t="s">
        <v>632</v>
      </c>
      <c r="D2689" t="s">
        <v>632</v>
      </c>
    </row>
    <row r="2690" spans="1:4">
      <c r="A2690" s="2">
        <v>0.8558712769599452</v>
      </c>
      <c r="B2690" t="s">
        <v>527</v>
      </c>
      <c r="C2690" t="s">
        <v>632</v>
      </c>
      <c r="D2690" t="s">
        <v>632</v>
      </c>
    </row>
    <row r="2691" spans="1:4">
      <c r="A2691" s="2">
        <v>1.7435575548348852</v>
      </c>
      <c r="B2691" t="s">
        <v>528</v>
      </c>
      <c r="C2691" t="s">
        <v>632</v>
      </c>
      <c r="D2691" t="s">
        <v>632</v>
      </c>
    </row>
    <row r="2692" spans="1:4">
      <c r="A2692" s="2">
        <v>0.08809486054583575</v>
      </c>
      <c r="B2692" t="s">
        <v>529</v>
      </c>
      <c r="C2692" t="s">
        <v>632</v>
      </c>
      <c r="D2692" t="s">
        <v>632</v>
      </c>
    </row>
    <row r="2693" spans="1:4">
      <c r="A2693" s="2">
        <v>0.4224757076468103</v>
      </c>
      <c r="B2693" t="s">
        <v>530</v>
      </c>
      <c r="C2693" t="s">
        <v>632</v>
      </c>
      <c r="D2693" t="s">
        <v>632</v>
      </c>
    </row>
    <row r="2694" spans="1:4">
      <c r="A2694" s="2">
        <v>0.004692852785208128</v>
      </c>
      <c r="B2694" t="s">
        <v>531</v>
      </c>
      <c r="C2694" t="s">
        <v>632</v>
      </c>
      <c r="D2694" t="s">
        <v>632</v>
      </c>
    </row>
    <row r="2695" spans="1:4">
      <c r="A2695" s="2">
        <v>1.8777226979119723</v>
      </c>
      <c r="B2695" t="s">
        <v>532</v>
      </c>
      <c r="C2695" t="s">
        <v>632</v>
      </c>
      <c r="D2695" t="s">
        <v>632</v>
      </c>
    </row>
    <row r="2696" spans="1:4">
      <c r="A2696" s="2">
        <v>1.8369521290275177</v>
      </c>
      <c r="B2696" t="s">
        <v>533</v>
      </c>
      <c r="C2696" t="s">
        <v>632</v>
      </c>
      <c r="D2696" t="s">
        <v>632</v>
      </c>
    </row>
    <row r="2697" spans="1:4">
      <c r="A2697" s="2">
        <v>0.020692966046981308</v>
      </c>
      <c r="B2697" t="s">
        <v>534</v>
      </c>
      <c r="C2697" t="s">
        <v>632</v>
      </c>
      <c r="D2697" t="s">
        <v>632</v>
      </c>
    </row>
    <row r="2698" spans="1:4">
      <c r="A2698" s="2">
        <v>1.887433467970254</v>
      </c>
      <c r="B2698" t="s">
        <v>535</v>
      </c>
      <c r="C2698" t="s">
        <v>632</v>
      </c>
      <c r="D2698" t="s">
        <v>632</v>
      </c>
    </row>
    <row r="2699" spans="1:4">
      <c r="A2699" s="2">
        <v>1.07284626113078</v>
      </c>
      <c r="B2699" t="s">
        <v>536</v>
      </c>
      <c r="C2699" t="s">
        <v>632</v>
      </c>
      <c r="D2699" t="s">
        <v>632</v>
      </c>
    </row>
    <row r="2700" spans="1:4">
      <c r="A2700" s="2">
        <v>0.7545461404964914</v>
      </c>
      <c r="B2700" t="s">
        <v>537</v>
      </c>
      <c r="C2700" t="s">
        <v>632</v>
      </c>
      <c r="D2700" t="s">
        <v>632</v>
      </c>
    </row>
    <row r="2701" spans="1:4">
      <c r="A2701" s="2">
        <v>0.7187005893344833</v>
      </c>
      <c r="B2701" t="s">
        <v>538</v>
      </c>
      <c r="C2701" t="s">
        <v>632</v>
      </c>
      <c r="D2701" t="s">
        <v>632</v>
      </c>
    </row>
    <row r="2702" spans="1:4">
      <c r="A2702" s="2">
        <v>0.15643013908203665</v>
      </c>
      <c r="B2702" t="s">
        <v>539</v>
      </c>
      <c r="C2702" t="s">
        <v>632</v>
      </c>
      <c r="D2702" t="s">
        <v>632</v>
      </c>
    </row>
    <row r="2703" spans="1:4">
      <c r="A2703" s="2">
        <v>0.39045722541095623</v>
      </c>
      <c r="B2703" t="s">
        <v>540</v>
      </c>
      <c r="C2703" t="s">
        <v>632</v>
      </c>
      <c r="D2703" t="s">
        <v>632</v>
      </c>
    </row>
    <row r="2704" spans="1:4">
      <c r="A2704" s="2">
        <v>0.21748586341887777</v>
      </c>
      <c r="B2704" t="s">
        <v>541</v>
      </c>
      <c r="C2704" t="s">
        <v>632</v>
      </c>
      <c r="D2704" t="s">
        <v>632</v>
      </c>
    </row>
    <row r="2705" spans="1:4">
      <c r="A2705" s="2">
        <v>1</v>
      </c>
      <c r="B2705" t="s">
        <v>542</v>
      </c>
      <c r="C2705" t="s">
        <v>632</v>
      </c>
      <c r="D2705" t="s">
        <v>632</v>
      </c>
    </row>
    <row r="2706" spans="1:4">
      <c r="A2706" s="2">
        <v>6.891699999999999</v>
      </c>
      <c r="B2706" t="s">
        <v>364</v>
      </c>
      <c r="C2706" t="s">
        <v>633</v>
      </c>
      <c r="D2706" t="s">
        <v>633</v>
      </c>
    </row>
    <row r="2707" spans="1:4">
      <c r="A2707" s="2">
        <v>7.9986</v>
      </c>
      <c r="B2707" t="s">
        <v>373</v>
      </c>
      <c r="C2707" t="s">
        <v>633</v>
      </c>
      <c r="D2707" t="s">
        <v>633</v>
      </c>
    </row>
    <row r="2708" spans="1:4">
      <c r="A2708" s="2">
        <v>0.043575</v>
      </c>
      <c r="B2708" t="s">
        <v>520</v>
      </c>
      <c r="C2708" t="s">
        <v>633</v>
      </c>
      <c r="D2708" t="s">
        <v>633</v>
      </c>
    </row>
    <row r="2709" spans="1:4">
      <c r="A2709" s="2">
        <v>0.88075</v>
      </c>
      <c r="B2709" t="s">
        <v>370</v>
      </c>
      <c r="C2709" t="s">
        <v>633</v>
      </c>
      <c r="D2709" t="s">
        <v>633</v>
      </c>
    </row>
    <row r="2710" spans="1:4">
      <c r="A2710" s="2">
        <v>9.2432</v>
      </c>
      <c r="B2710" t="s">
        <v>521</v>
      </c>
      <c r="C2710" t="s">
        <v>633</v>
      </c>
      <c r="D2710" t="s">
        <v>633</v>
      </c>
    </row>
    <row r="2711" spans="1:4">
      <c r="A2711" s="2">
        <v>4.9036</v>
      </c>
      <c r="B2711" t="s">
        <v>522</v>
      </c>
      <c r="C2711" t="s">
        <v>633</v>
      </c>
      <c r="D2711" t="s">
        <v>633</v>
      </c>
    </row>
    <row r="2712" spans="1:4">
      <c r="A2712" s="2">
        <v>4.0789</v>
      </c>
      <c r="B2712" t="s">
        <v>523</v>
      </c>
      <c r="C2712" t="s">
        <v>633</v>
      </c>
      <c r="D2712" t="s">
        <v>633</v>
      </c>
    </row>
    <row r="2713" spans="1:4">
      <c r="A2713" s="2">
        <v>5.4091</v>
      </c>
      <c r="B2713" t="s">
        <v>524</v>
      </c>
      <c r="C2713" t="s">
        <v>633</v>
      </c>
      <c r="D2713" t="s">
        <v>633</v>
      </c>
    </row>
    <row r="2714" spans="1:4">
      <c r="A2714" s="2">
        <v>8.8476</v>
      </c>
      <c r="B2714" t="s">
        <v>525</v>
      </c>
      <c r="C2714" t="s">
        <v>633</v>
      </c>
      <c r="D2714" t="s">
        <v>633</v>
      </c>
    </row>
    <row r="2715" spans="1:4">
      <c r="A2715" s="2">
        <v>5.0684</v>
      </c>
      <c r="B2715" t="s">
        <v>526</v>
      </c>
      <c r="C2715" t="s">
        <v>633</v>
      </c>
      <c r="D2715" t="s">
        <v>633</v>
      </c>
    </row>
    <row r="2716" spans="1:4">
      <c r="A2716" s="2">
        <v>0.854481756814492</v>
      </c>
      <c r="B2716" t="s">
        <v>527</v>
      </c>
      <c r="C2716" t="s">
        <v>633</v>
      </c>
      <c r="D2716" t="s">
        <v>633</v>
      </c>
    </row>
    <row r="2717" spans="1:4">
      <c r="A2717" s="2">
        <v>1.7570060616709129</v>
      </c>
      <c r="B2717" t="s">
        <v>528</v>
      </c>
      <c r="C2717" t="s">
        <v>633</v>
      </c>
      <c r="D2717" t="s">
        <v>633</v>
      </c>
    </row>
    <row r="2718" spans="1:4">
      <c r="A2718" s="2">
        <v>0.08712243315531316</v>
      </c>
      <c r="B2718" t="s">
        <v>529</v>
      </c>
      <c r="C2718" t="s">
        <v>633</v>
      </c>
      <c r="D2718" t="s">
        <v>633</v>
      </c>
    </row>
    <row r="2719" spans="1:4">
      <c r="A2719" s="2">
        <v>0.42288662409607986</v>
      </c>
      <c r="B2719" t="s">
        <v>530</v>
      </c>
      <c r="C2719" t="s">
        <v>633</v>
      </c>
      <c r="D2719" t="s">
        <v>633</v>
      </c>
    </row>
    <row r="2720" spans="1:4">
      <c r="A2720" s="2">
        <v>0.004688892014816899</v>
      </c>
      <c r="B2720" t="s">
        <v>531</v>
      </c>
      <c r="C2720" t="s">
        <v>633</v>
      </c>
      <c r="D2720" t="s">
        <v>633</v>
      </c>
    </row>
    <row r="2721" spans="1:4">
      <c r="A2721" s="2">
        <v>1.8755392175250385</v>
      </c>
      <c r="B2721" t="s">
        <v>532</v>
      </c>
      <c r="C2721" t="s">
        <v>633</v>
      </c>
      <c r="D2721" t="s">
        <v>633</v>
      </c>
    </row>
    <row r="2722" spans="1:4">
      <c r="A2722" s="2">
        <v>1.835502285200345</v>
      </c>
      <c r="B2722" t="s">
        <v>533</v>
      </c>
      <c r="C2722" t="s">
        <v>633</v>
      </c>
      <c r="D2722" t="s">
        <v>633</v>
      </c>
    </row>
    <row r="2723" spans="1:4">
      <c r="A2723" s="2">
        <v>0.02068945541215464</v>
      </c>
      <c r="B2723" t="s">
        <v>534</v>
      </c>
      <c r="C2723" t="s">
        <v>633</v>
      </c>
      <c r="D2723" t="s">
        <v>633</v>
      </c>
    </row>
    <row r="2724" spans="1:4">
      <c r="A2724" s="2">
        <v>1.8767712028226635</v>
      </c>
      <c r="B2724" t="s">
        <v>535</v>
      </c>
      <c r="C2724" t="s">
        <v>633</v>
      </c>
      <c r="D2724" t="s">
        <v>633</v>
      </c>
    </row>
    <row r="2725" spans="1:4">
      <c r="A2725" s="2">
        <v>1.070090957731407</v>
      </c>
      <c r="B2725" t="s">
        <v>536</v>
      </c>
      <c r="C2725" t="s">
        <v>633</v>
      </c>
      <c r="D2725" t="s">
        <v>633</v>
      </c>
    </row>
    <row r="2726" spans="1:4">
      <c r="A2726" s="2">
        <v>0.7507507507507508</v>
      </c>
      <c r="B2726" t="s">
        <v>537</v>
      </c>
      <c r="C2726" t="s">
        <v>633</v>
      </c>
      <c r="D2726" t="s">
        <v>633</v>
      </c>
    </row>
    <row r="2727" spans="1:4">
      <c r="A2727" s="2">
        <v>0.7144388083160678</v>
      </c>
      <c r="B2727" t="s">
        <v>538</v>
      </c>
      <c r="C2727" t="s">
        <v>633</v>
      </c>
      <c r="D2727" t="s">
        <v>633</v>
      </c>
    </row>
    <row r="2728" spans="1:4">
      <c r="A2728" s="2">
        <v>0.15626660332660344</v>
      </c>
      <c r="B2728" t="s">
        <v>539</v>
      </c>
      <c r="C2728" t="s">
        <v>633</v>
      </c>
      <c r="D2728" t="s">
        <v>633</v>
      </c>
    </row>
    <row r="2729" spans="1:4">
      <c r="A2729" s="2">
        <v>0.3917267314321529</v>
      </c>
      <c r="B2729" t="s">
        <v>540</v>
      </c>
      <c r="C2729" t="s">
        <v>633</v>
      </c>
      <c r="D2729" t="s">
        <v>633</v>
      </c>
    </row>
    <row r="2730" spans="1:4">
      <c r="A2730" s="2">
        <v>0.2178506851404048</v>
      </c>
      <c r="B2730" t="s">
        <v>541</v>
      </c>
      <c r="C2730" t="s">
        <v>633</v>
      </c>
      <c r="D2730" t="s">
        <v>633</v>
      </c>
    </row>
    <row r="2731" spans="1:4">
      <c r="A2731" s="2">
        <v>1</v>
      </c>
      <c r="B2731" t="s">
        <v>542</v>
      </c>
      <c r="C2731" t="s">
        <v>633</v>
      </c>
      <c r="D2731" t="s">
        <v>633</v>
      </c>
    </row>
    <row r="2732" spans="1:4">
      <c r="A2732" s="2">
        <v>6.8959</v>
      </c>
      <c r="B2732" t="s">
        <v>364</v>
      </c>
      <c r="C2732" t="s">
        <v>166</v>
      </c>
      <c r="D2732" t="s">
        <v>166</v>
      </c>
    </row>
    <row r="2733" spans="1:4">
      <c r="A2733" s="2">
        <v>7.956799999999999</v>
      </c>
      <c r="B2733" t="s">
        <v>373</v>
      </c>
      <c r="C2733" t="s">
        <v>166</v>
      </c>
      <c r="D2733" t="s">
        <v>166</v>
      </c>
    </row>
    <row r="2734" spans="1:4">
      <c r="A2734" s="2">
        <v>0.043339</v>
      </c>
      <c r="B2734" t="s">
        <v>520</v>
      </c>
      <c r="C2734" t="s">
        <v>166</v>
      </c>
      <c r="D2734" t="s">
        <v>166</v>
      </c>
    </row>
    <row r="2735" spans="1:4">
      <c r="A2735" s="2">
        <v>0.88128</v>
      </c>
      <c r="B2735" t="s">
        <v>370</v>
      </c>
      <c r="C2735" t="s">
        <v>166</v>
      </c>
      <c r="D2735" t="s">
        <v>166</v>
      </c>
    </row>
    <row r="2736" spans="1:4">
      <c r="A2736" s="2">
        <v>9.2225</v>
      </c>
      <c r="B2736" t="s">
        <v>521</v>
      </c>
      <c r="C2736" t="s">
        <v>166</v>
      </c>
      <c r="D2736" t="s">
        <v>166</v>
      </c>
    </row>
    <row r="2737" spans="1:4">
      <c r="A2737" s="2">
        <v>4.9158</v>
      </c>
      <c r="B2737" t="s">
        <v>522</v>
      </c>
      <c r="C2737" t="s">
        <v>166</v>
      </c>
      <c r="D2737" t="s">
        <v>166</v>
      </c>
    </row>
    <row r="2738" spans="1:4">
      <c r="A2738" s="2">
        <v>4.0663</v>
      </c>
      <c r="B2738" t="s">
        <v>523</v>
      </c>
      <c r="C2738" t="s">
        <v>166</v>
      </c>
      <c r="D2738" t="s">
        <v>166</v>
      </c>
    </row>
    <row r="2739" spans="1:4">
      <c r="A2739" s="2">
        <v>5.402100000000001</v>
      </c>
      <c r="B2739" t="s">
        <v>524</v>
      </c>
      <c r="C2739" t="s">
        <v>166</v>
      </c>
      <c r="D2739" t="s">
        <v>166</v>
      </c>
    </row>
    <row r="2740" spans="1:4">
      <c r="A2740" s="2">
        <v>8.8163</v>
      </c>
      <c r="B2740" t="s">
        <v>525</v>
      </c>
      <c r="C2740" t="s">
        <v>166</v>
      </c>
      <c r="D2740" t="s">
        <v>166</v>
      </c>
    </row>
    <row r="2741" spans="1:4">
      <c r="A2741" s="2">
        <v>5.0655</v>
      </c>
      <c r="B2741" t="s">
        <v>526</v>
      </c>
      <c r="C2741" t="s">
        <v>166</v>
      </c>
      <c r="D2741" t="s">
        <v>166</v>
      </c>
    </row>
    <row r="2742" spans="1:4">
      <c r="A2742" s="2">
        <v>0.8552125203112974</v>
      </c>
      <c r="B2742" t="s">
        <v>527</v>
      </c>
      <c r="C2742" t="s">
        <v>166</v>
      </c>
      <c r="D2742" t="s">
        <v>166</v>
      </c>
    </row>
    <row r="2743" spans="1:4">
      <c r="A2743" s="2">
        <v>1.7571295531619546</v>
      </c>
      <c r="B2743" t="s">
        <v>528</v>
      </c>
      <c r="C2743" t="s">
        <v>166</v>
      </c>
      <c r="D2743" t="s">
        <v>166</v>
      </c>
    </row>
    <row r="2744" spans="1:4">
      <c r="A2744" s="2">
        <v>0.08695349726966019</v>
      </c>
      <c r="B2744" t="s">
        <v>529</v>
      </c>
      <c r="C2744" t="s">
        <v>166</v>
      </c>
      <c r="D2744" t="s">
        <v>166</v>
      </c>
    </row>
    <row r="2745" spans="1:4">
      <c r="A2745" s="2">
        <v>0.4163890739506995</v>
      </c>
      <c r="B2745" t="s">
        <v>530</v>
      </c>
      <c r="C2745" t="s">
        <v>166</v>
      </c>
      <c r="D2745" t="s">
        <v>166</v>
      </c>
    </row>
    <row r="2746" spans="1:4">
      <c r="A2746" s="2">
        <v>0.004659180915994968</v>
      </c>
      <c r="B2746" t="s">
        <v>531</v>
      </c>
      <c r="C2746" t="s">
        <v>166</v>
      </c>
      <c r="D2746" t="s">
        <v>166</v>
      </c>
    </row>
    <row r="2747" spans="1:4">
      <c r="A2747" s="2">
        <v>1.8758206715438004</v>
      </c>
      <c r="B2747" t="s">
        <v>532</v>
      </c>
      <c r="C2747" t="s">
        <v>166</v>
      </c>
      <c r="D2747" t="s">
        <v>166</v>
      </c>
    </row>
    <row r="2748" spans="1:4">
      <c r="A2748" s="2">
        <v>1.836007784673007</v>
      </c>
      <c r="B2748" t="s">
        <v>533</v>
      </c>
      <c r="C2748" t="s">
        <v>166</v>
      </c>
      <c r="D2748" t="s">
        <v>166</v>
      </c>
    </row>
    <row r="2749" spans="1:4">
      <c r="A2749" s="2">
        <v>0.02052372439921928</v>
      </c>
      <c r="B2749" t="s">
        <v>534</v>
      </c>
      <c r="C2749" t="s">
        <v>166</v>
      </c>
      <c r="D2749" t="s">
        <v>166</v>
      </c>
    </row>
    <row r="2750" spans="1:4">
      <c r="A2750" s="2">
        <v>1.8726942452105844</v>
      </c>
      <c r="B2750" t="s">
        <v>535</v>
      </c>
      <c r="C2750" t="s">
        <v>166</v>
      </c>
      <c r="D2750" t="s">
        <v>166</v>
      </c>
    </row>
    <row r="2751" spans="1:4">
      <c r="A2751" s="2">
        <v>1.064962726304579</v>
      </c>
      <c r="B2751" t="s">
        <v>536</v>
      </c>
      <c r="C2751" t="s">
        <v>166</v>
      </c>
      <c r="D2751" t="s">
        <v>166</v>
      </c>
    </row>
    <row r="2752" spans="1:4">
      <c r="A2752" s="2">
        <v>0.7452120128176466</v>
      </c>
      <c r="B2752" t="s">
        <v>537</v>
      </c>
      <c r="C2752" t="s">
        <v>166</v>
      </c>
      <c r="D2752" t="s">
        <v>166</v>
      </c>
    </row>
    <row r="2753" spans="1:4">
      <c r="A2753" s="2">
        <v>0.7134194192765928</v>
      </c>
      <c r="B2753" t="s">
        <v>538</v>
      </c>
      <c r="C2753" t="s">
        <v>166</v>
      </c>
      <c r="D2753" t="s">
        <v>166</v>
      </c>
    </row>
    <row r="2754" spans="1:4">
      <c r="A2754" s="2">
        <v>0.15626025457920678</v>
      </c>
      <c r="B2754" t="s">
        <v>539</v>
      </c>
      <c r="C2754" t="s">
        <v>166</v>
      </c>
      <c r="D2754" t="s">
        <v>166</v>
      </c>
    </row>
    <row r="2755" spans="1:4">
      <c r="A2755" s="2">
        <v>0.38860607002681385</v>
      </c>
      <c r="B2755" t="s">
        <v>540</v>
      </c>
      <c r="C2755" t="s">
        <v>166</v>
      </c>
      <c r="D2755" t="s">
        <v>166</v>
      </c>
    </row>
    <row r="2756" spans="1:4">
      <c r="A2756" s="2">
        <v>0.215633423180593</v>
      </c>
      <c r="B2756" t="s">
        <v>541</v>
      </c>
      <c r="C2756" t="s">
        <v>166</v>
      </c>
      <c r="D2756" t="s">
        <v>166</v>
      </c>
    </row>
    <row r="2757" spans="1:4">
      <c r="A2757" s="2">
        <v>1</v>
      </c>
      <c r="B2757" t="s">
        <v>542</v>
      </c>
      <c r="C2757" t="s">
        <v>166</v>
      </c>
      <c r="D2757" t="s">
        <v>166</v>
      </c>
    </row>
    <row r="2758" spans="1:4">
      <c r="A2758" s="2">
        <v>6.9007000000000005</v>
      </c>
      <c r="B2758" t="s">
        <v>364</v>
      </c>
      <c r="C2758" t="s">
        <v>174</v>
      </c>
      <c r="D2758" t="s">
        <v>174</v>
      </c>
    </row>
    <row r="2759" spans="1:4">
      <c r="A2759" s="2">
        <v>7.9402</v>
      </c>
      <c r="B2759" t="s">
        <v>373</v>
      </c>
      <c r="C2759" t="s">
        <v>174</v>
      </c>
      <c r="D2759" t="s">
        <v>174</v>
      </c>
    </row>
    <row r="2760" spans="1:4">
      <c r="A2760" s="2">
        <v>0.043284</v>
      </c>
      <c r="B2760" t="s">
        <v>520</v>
      </c>
      <c r="C2760" t="s">
        <v>174</v>
      </c>
      <c r="D2760" t="s">
        <v>174</v>
      </c>
    </row>
    <row r="2761" spans="1:4">
      <c r="A2761" s="2">
        <v>0.8816299999999999</v>
      </c>
      <c r="B2761" t="s">
        <v>370</v>
      </c>
      <c r="C2761" t="s">
        <v>174</v>
      </c>
      <c r="D2761" t="s">
        <v>174</v>
      </c>
    </row>
    <row r="2762" spans="1:4">
      <c r="A2762" s="2">
        <v>9.2022</v>
      </c>
      <c r="B2762" t="s">
        <v>521</v>
      </c>
      <c r="C2762" t="s">
        <v>174</v>
      </c>
      <c r="D2762" t="s">
        <v>174</v>
      </c>
    </row>
    <row r="2763" spans="1:4">
      <c r="A2763" s="2">
        <v>4.8788</v>
      </c>
      <c r="B2763" t="s">
        <v>522</v>
      </c>
      <c r="C2763" t="s">
        <v>174</v>
      </c>
      <c r="D2763" t="s">
        <v>174</v>
      </c>
    </row>
    <row r="2764" spans="1:4">
      <c r="A2764" s="2">
        <v>4.0327</v>
      </c>
      <c r="B2764" t="s">
        <v>523</v>
      </c>
      <c r="C2764" t="s">
        <v>174</v>
      </c>
      <c r="D2764" t="s">
        <v>174</v>
      </c>
    </row>
    <row r="2765" spans="1:4">
      <c r="A2765" s="2">
        <v>5.3901</v>
      </c>
      <c r="B2765" t="s">
        <v>524</v>
      </c>
      <c r="C2765" t="s">
        <v>174</v>
      </c>
      <c r="D2765" t="s">
        <v>174</v>
      </c>
    </row>
    <row r="2766" spans="1:4">
      <c r="A2766" s="2">
        <v>8.7736</v>
      </c>
      <c r="B2766" t="s">
        <v>525</v>
      </c>
      <c r="C2766" t="s">
        <v>174</v>
      </c>
      <c r="D2766" t="s">
        <v>174</v>
      </c>
    </row>
    <row r="2767" spans="1:4">
      <c r="A2767" s="2">
        <v>5.0544</v>
      </c>
      <c r="B2767" t="s">
        <v>526</v>
      </c>
      <c r="C2767" t="s">
        <v>174</v>
      </c>
      <c r="D2767" t="s">
        <v>174</v>
      </c>
    </row>
    <row r="2768" spans="1:4">
      <c r="A2768" s="2">
        <v>0.8559445347941453</v>
      </c>
      <c r="B2768" t="s">
        <v>527</v>
      </c>
      <c r="C2768" t="s">
        <v>174</v>
      </c>
      <c r="D2768" t="s">
        <v>174</v>
      </c>
    </row>
    <row r="2769" spans="1:4">
      <c r="A2769" s="2">
        <v>1.755032555853911</v>
      </c>
      <c r="B2769" t="s">
        <v>528</v>
      </c>
      <c r="C2769" t="s">
        <v>174</v>
      </c>
      <c r="D2769" t="s">
        <v>174</v>
      </c>
    </row>
    <row r="2770" spans="1:4">
      <c r="A2770" s="2">
        <v>0.08657558914688415</v>
      </c>
      <c r="B2770" t="s">
        <v>529</v>
      </c>
      <c r="C2770" t="s">
        <v>174</v>
      </c>
      <c r="D2770" t="s">
        <v>174</v>
      </c>
    </row>
    <row r="2771" spans="1:4">
      <c r="A2771" s="2">
        <v>0.41123493852037674</v>
      </c>
      <c r="B2771" t="s">
        <v>530</v>
      </c>
      <c r="C2771" t="s">
        <v>174</v>
      </c>
      <c r="D2771" t="s">
        <v>174</v>
      </c>
    </row>
    <row r="2772" spans="1:4">
      <c r="A2772" s="2">
        <v>0.004628343978524484</v>
      </c>
      <c r="B2772" t="s">
        <v>531</v>
      </c>
      <c r="C2772" t="s">
        <v>174</v>
      </c>
      <c r="D2772" t="s">
        <v>174</v>
      </c>
    </row>
    <row r="2773" spans="1:4">
      <c r="A2773" s="2">
        <v>1.8765598904089025</v>
      </c>
      <c r="B2773" t="s">
        <v>532</v>
      </c>
      <c r="C2773" t="s">
        <v>174</v>
      </c>
      <c r="D2773" t="s">
        <v>174</v>
      </c>
    </row>
    <row r="2774" spans="1:4">
      <c r="A2774" s="2">
        <v>1.836715951878042</v>
      </c>
      <c r="B2774" t="s">
        <v>533</v>
      </c>
      <c r="C2774" t="s">
        <v>174</v>
      </c>
      <c r="D2774" t="s">
        <v>174</v>
      </c>
    </row>
    <row r="2775" spans="1:4">
      <c r="A2775" s="2">
        <v>0.02027028396640809</v>
      </c>
      <c r="B2775" t="s">
        <v>534</v>
      </c>
      <c r="C2775" t="s">
        <v>174</v>
      </c>
      <c r="D2775" t="s">
        <v>174</v>
      </c>
    </row>
    <row r="2776" spans="1:4">
      <c r="A2776" s="2">
        <v>1.8598076958842455</v>
      </c>
      <c r="B2776" t="s">
        <v>535</v>
      </c>
      <c r="C2776" t="s">
        <v>174</v>
      </c>
      <c r="D2776" t="s">
        <v>174</v>
      </c>
    </row>
    <row r="2777" spans="1:4">
      <c r="A2777" s="2">
        <v>1.0625863351397302</v>
      </c>
      <c r="B2777" t="s">
        <v>536</v>
      </c>
      <c r="C2777" t="s">
        <v>174</v>
      </c>
      <c r="D2777" t="s">
        <v>174</v>
      </c>
    </row>
    <row r="2778" spans="1:4">
      <c r="A2778" s="2">
        <v>0.7371369600471768</v>
      </c>
      <c r="B2778" t="s">
        <v>537</v>
      </c>
      <c r="C2778" t="s">
        <v>174</v>
      </c>
      <c r="D2778" t="s">
        <v>174</v>
      </c>
    </row>
    <row r="2779" spans="1:4">
      <c r="A2779" s="2">
        <v>0.7107320540156362</v>
      </c>
      <c r="B2779" t="s">
        <v>538</v>
      </c>
      <c r="C2779" t="s">
        <v>174</v>
      </c>
      <c r="D2779" t="s">
        <v>174</v>
      </c>
    </row>
    <row r="2780" spans="1:4">
      <c r="A2780" s="2">
        <v>0.15598774560270545</v>
      </c>
      <c r="B2780" t="s">
        <v>539</v>
      </c>
      <c r="C2780" t="s">
        <v>174</v>
      </c>
      <c r="D2780" t="s">
        <v>174</v>
      </c>
    </row>
    <row r="2781" spans="1:4">
      <c r="A2781" s="2">
        <v>0.3866228494104002</v>
      </c>
      <c r="B2781" t="s">
        <v>540</v>
      </c>
      <c r="C2781" t="s">
        <v>174</v>
      </c>
      <c r="D2781" t="s">
        <v>174</v>
      </c>
    </row>
    <row r="2782" spans="1:4">
      <c r="A2782" s="2">
        <v>0.2142382758103563</v>
      </c>
      <c r="B2782" t="s">
        <v>541</v>
      </c>
      <c r="C2782" t="s">
        <v>174</v>
      </c>
      <c r="D2782" t="s">
        <v>174</v>
      </c>
    </row>
    <row r="2783" spans="1:4">
      <c r="A2783" s="2">
        <v>1</v>
      </c>
      <c r="B2783" t="s">
        <v>542</v>
      </c>
      <c r="C2783" t="s">
        <v>174</v>
      </c>
      <c r="D2783" t="s">
        <v>174</v>
      </c>
    </row>
    <row r="2784" spans="1:4">
      <c r="A2784" s="2">
        <v>6.9007000000000005</v>
      </c>
      <c r="B2784" t="s">
        <v>364</v>
      </c>
      <c r="C2784" t="s">
        <v>174</v>
      </c>
      <c r="D2784" t="s">
        <v>634</v>
      </c>
    </row>
    <row r="2785" spans="1:4">
      <c r="A2785" s="2">
        <v>7.9402</v>
      </c>
      <c r="B2785" t="s">
        <v>373</v>
      </c>
      <c r="C2785" t="s">
        <v>174</v>
      </c>
      <c r="D2785" t="s">
        <v>634</v>
      </c>
    </row>
    <row r="2786" spans="1:4">
      <c r="A2786" s="2">
        <v>0.043284</v>
      </c>
      <c r="B2786" t="s">
        <v>520</v>
      </c>
      <c r="C2786" t="s">
        <v>174</v>
      </c>
      <c r="D2786" t="s">
        <v>634</v>
      </c>
    </row>
    <row r="2787" spans="1:4">
      <c r="A2787" s="2">
        <v>0.8816299999999999</v>
      </c>
      <c r="B2787" t="s">
        <v>370</v>
      </c>
      <c r="C2787" t="s">
        <v>174</v>
      </c>
      <c r="D2787" t="s">
        <v>634</v>
      </c>
    </row>
    <row r="2788" spans="1:4">
      <c r="A2788" s="2">
        <v>9.2022</v>
      </c>
      <c r="B2788" t="s">
        <v>521</v>
      </c>
      <c r="C2788" t="s">
        <v>174</v>
      </c>
      <c r="D2788" t="s">
        <v>634</v>
      </c>
    </row>
    <row r="2789" spans="1:4">
      <c r="A2789" s="2">
        <v>4.8788</v>
      </c>
      <c r="B2789" t="s">
        <v>522</v>
      </c>
      <c r="C2789" t="s">
        <v>174</v>
      </c>
      <c r="D2789" t="s">
        <v>634</v>
      </c>
    </row>
    <row r="2790" spans="1:4">
      <c r="A2790" s="2">
        <v>4.0327</v>
      </c>
      <c r="B2790" t="s">
        <v>523</v>
      </c>
      <c r="C2790" t="s">
        <v>174</v>
      </c>
      <c r="D2790" t="s">
        <v>634</v>
      </c>
    </row>
    <row r="2791" spans="1:4">
      <c r="A2791" s="2">
        <v>5.3901</v>
      </c>
      <c r="B2791" t="s">
        <v>524</v>
      </c>
      <c r="C2791" t="s">
        <v>174</v>
      </c>
      <c r="D2791" t="s">
        <v>634</v>
      </c>
    </row>
    <row r="2792" spans="1:4">
      <c r="A2792" s="2">
        <v>8.7736</v>
      </c>
      <c r="B2792" t="s">
        <v>525</v>
      </c>
      <c r="C2792" t="s">
        <v>174</v>
      </c>
      <c r="D2792" t="s">
        <v>634</v>
      </c>
    </row>
    <row r="2793" spans="1:4">
      <c r="A2793" s="2">
        <v>5.0544</v>
      </c>
      <c r="B2793" t="s">
        <v>526</v>
      </c>
      <c r="C2793" t="s">
        <v>174</v>
      </c>
      <c r="D2793" t="s">
        <v>634</v>
      </c>
    </row>
    <row r="2794" spans="1:4">
      <c r="A2794" s="2">
        <v>0.8559445347941453</v>
      </c>
      <c r="B2794" t="s">
        <v>527</v>
      </c>
      <c r="C2794" t="s">
        <v>174</v>
      </c>
      <c r="D2794" t="s">
        <v>634</v>
      </c>
    </row>
    <row r="2795" spans="1:4">
      <c r="A2795" s="2">
        <v>1.755032555853911</v>
      </c>
      <c r="B2795" t="s">
        <v>528</v>
      </c>
      <c r="C2795" t="s">
        <v>174</v>
      </c>
      <c r="D2795" t="s">
        <v>634</v>
      </c>
    </row>
    <row r="2796" spans="1:4">
      <c r="A2796" s="2">
        <v>0.08657558914688415</v>
      </c>
      <c r="B2796" t="s">
        <v>529</v>
      </c>
      <c r="C2796" t="s">
        <v>174</v>
      </c>
      <c r="D2796" t="s">
        <v>634</v>
      </c>
    </row>
    <row r="2797" spans="1:4">
      <c r="A2797" s="2">
        <v>0.41123493852037674</v>
      </c>
      <c r="B2797" t="s">
        <v>530</v>
      </c>
      <c r="C2797" t="s">
        <v>174</v>
      </c>
      <c r="D2797" t="s">
        <v>634</v>
      </c>
    </row>
    <row r="2798" spans="1:4">
      <c r="A2798" s="2">
        <v>0.004628343978524484</v>
      </c>
      <c r="B2798" t="s">
        <v>531</v>
      </c>
      <c r="C2798" t="s">
        <v>174</v>
      </c>
      <c r="D2798" t="s">
        <v>634</v>
      </c>
    </row>
    <row r="2799" spans="1:4">
      <c r="A2799" s="2">
        <v>1.8765598904089025</v>
      </c>
      <c r="B2799" t="s">
        <v>532</v>
      </c>
      <c r="C2799" t="s">
        <v>174</v>
      </c>
      <c r="D2799" t="s">
        <v>634</v>
      </c>
    </row>
    <row r="2800" spans="1:4">
      <c r="A2800" s="2">
        <v>1.836715951878042</v>
      </c>
      <c r="B2800" t="s">
        <v>533</v>
      </c>
      <c r="C2800" t="s">
        <v>174</v>
      </c>
      <c r="D2800" t="s">
        <v>634</v>
      </c>
    </row>
    <row r="2801" spans="1:4">
      <c r="A2801" s="2">
        <v>0.02027028396640809</v>
      </c>
      <c r="B2801" t="s">
        <v>534</v>
      </c>
      <c r="C2801" t="s">
        <v>174</v>
      </c>
      <c r="D2801" t="s">
        <v>634</v>
      </c>
    </row>
    <row r="2802" spans="1:4">
      <c r="A2802" s="2">
        <v>1.8598076958842455</v>
      </c>
      <c r="B2802" t="s">
        <v>535</v>
      </c>
      <c r="C2802" t="s">
        <v>174</v>
      </c>
      <c r="D2802" t="s">
        <v>634</v>
      </c>
    </row>
    <row r="2803" spans="1:4">
      <c r="A2803" s="2">
        <v>1.0625863351397302</v>
      </c>
      <c r="B2803" t="s">
        <v>536</v>
      </c>
      <c r="C2803" t="s">
        <v>174</v>
      </c>
      <c r="D2803" t="s">
        <v>634</v>
      </c>
    </row>
    <row r="2804" spans="1:4">
      <c r="A2804" s="2">
        <v>0.7371369600471768</v>
      </c>
      <c r="B2804" t="s">
        <v>537</v>
      </c>
      <c r="C2804" t="s">
        <v>174</v>
      </c>
      <c r="D2804" t="s">
        <v>634</v>
      </c>
    </row>
    <row r="2805" spans="1:4">
      <c r="A2805" s="2">
        <v>0.7107320540156362</v>
      </c>
      <c r="B2805" t="s">
        <v>538</v>
      </c>
      <c r="C2805" t="s">
        <v>174</v>
      </c>
      <c r="D2805" t="s">
        <v>634</v>
      </c>
    </row>
    <row r="2806" spans="1:4">
      <c r="A2806" s="2">
        <v>0.15598774560270545</v>
      </c>
      <c r="B2806" t="s">
        <v>539</v>
      </c>
      <c r="C2806" t="s">
        <v>174</v>
      </c>
      <c r="D2806" t="s">
        <v>634</v>
      </c>
    </row>
    <row r="2807" spans="1:4">
      <c r="A2807" s="2">
        <v>0.3866228494104002</v>
      </c>
      <c r="B2807" t="s">
        <v>540</v>
      </c>
      <c r="C2807" t="s">
        <v>174</v>
      </c>
      <c r="D2807" t="s">
        <v>634</v>
      </c>
    </row>
    <row r="2808" spans="1:4">
      <c r="A2808" s="2">
        <v>0.2142382758103563</v>
      </c>
      <c r="B2808" t="s">
        <v>541</v>
      </c>
      <c r="C2808" t="s">
        <v>174</v>
      </c>
      <c r="D2808" t="s">
        <v>634</v>
      </c>
    </row>
    <row r="2809" spans="1:4">
      <c r="A2809" s="2">
        <v>1</v>
      </c>
      <c r="B2809" t="s">
        <v>542</v>
      </c>
      <c r="C2809" t="s">
        <v>634</v>
      </c>
      <c r="D2809" t="s">
        <v>634</v>
      </c>
    </row>
    <row r="2810" spans="1:4">
      <c r="A2810" s="2">
        <v>6.9007000000000005</v>
      </c>
      <c r="B2810" t="s">
        <v>364</v>
      </c>
      <c r="C2810" t="s">
        <v>174</v>
      </c>
      <c r="D2810" t="s">
        <v>635</v>
      </c>
    </row>
    <row r="2811" spans="1:4">
      <c r="A2811" s="2">
        <v>7.9402</v>
      </c>
      <c r="B2811" t="s">
        <v>373</v>
      </c>
      <c r="C2811" t="s">
        <v>174</v>
      </c>
      <c r="D2811" t="s">
        <v>635</v>
      </c>
    </row>
    <row r="2812" spans="1:4">
      <c r="A2812" s="2">
        <v>0.043284</v>
      </c>
      <c r="B2812" t="s">
        <v>520</v>
      </c>
      <c r="C2812" t="s">
        <v>174</v>
      </c>
      <c r="D2812" t="s">
        <v>635</v>
      </c>
    </row>
    <row r="2813" spans="1:4">
      <c r="A2813" s="2">
        <v>0.8816299999999999</v>
      </c>
      <c r="B2813" t="s">
        <v>370</v>
      </c>
      <c r="C2813" t="s">
        <v>174</v>
      </c>
      <c r="D2813" t="s">
        <v>635</v>
      </c>
    </row>
    <row r="2814" spans="1:4">
      <c r="A2814" s="2">
        <v>9.2022</v>
      </c>
      <c r="B2814" t="s">
        <v>521</v>
      </c>
      <c r="C2814" t="s">
        <v>174</v>
      </c>
      <c r="D2814" t="s">
        <v>635</v>
      </c>
    </row>
    <row r="2815" spans="1:4">
      <c r="A2815" s="2">
        <v>4.8788</v>
      </c>
      <c r="B2815" t="s">
        <v>522</v>
      </c>
      <c r="C2815" t="s">
        <v>174</v>
      </c>
      <c r="D2815" t="s">
        <v>635</v>
      </c>
    </row>
    <row r="2816" spans="1:4">
      <c r="A2816" s="2">
        <v>4.0327</v>
      </c>
      <c r="B2816" t="s">
        <v>523</v>
      </c>
      <c r="C2816" t="s">
        <v>174</v>
      </c>
      <c r="D2816" t="s">
        <v>635</v>
      </c>
    </row>
    <row r="2817" spans="1:4">
      <c r="A2817" s="2">
        <v>5.3901</v>
      </c>
      <c r="B2817" t="s">
        <v>524</v>
      </c>
      <c r="C2817" t="s">
        <v>174</v>
      </c>
      <c r="D2817" t="s">
        <v>635</v>
      </c>
    </row>
    <row r="2818" spans="1:4">
      <c r="A2818" s="2">
        <v>8.7736</v>
      </c>
      <c r="B2818" t="s">
        <v>525</v>
      </c>
      <c r="C2818" t="s">
        <v>174</v>
      </c>
      <c r="D2818" t="s">
        <v>635</v>
      </c>
    </row>
    <row r="2819" spans="1:4">
      <c r="A2819" s="2">
        <v>5.0544</v>
      </c>
      <c r="B2819" t="s">
        <v>526</v>
      </c>
      <c r="C2819" t="s">
        <v>174</v>
      </c>
      <c r="D2819" t="s">
        <v>635</v>
      </c>
    </row>
    <row r="2820" spans="1:4">
      <c r="A2820" s="2">
        <v>0.8559445347941453</v>
      </c>
      <c r="B2820" t="s">
        <v>527</v>
      </c>
      <c r="C2820" t="s">
        <v>174</v>
      </c>
      <c r="D2820" t="s">
        <v>635</v>
      </c>
    </row>
    <row r="2821" spans="1:4">
      <c r="A2821" s="2">
        <v>1.755032555853911</v>
      </c>
      <c r="B2821" t="s">
        <v>528</v>
      </c>
      <c r="C2821" t="s">
        <v>174</v>
      </c>
      <c r="D2821" t="s">
        <v>635</v>
      </c>
    </row>
    <row r="2822" spans="1:4">
      <c r="A2822" s="2">
        <v>0.08657558914688415</v>
      </c>
      <c r="B2822" t="s">
        <v>529</v>
      </c>
      <c r="C2822" t="s">
        <v>174</v>
      </c>
      <c r="D2822" t="s">
        <v>635</v>
      </c>
    </row>
    <row r="2823" spans="1:4">
      <c r="A2823" s="2">
        <v>0.41123493852037674</v>
      </c>
      <c r="B2823" t="s">
        <v>530</v>
      </c>
      <c r="C2823" t="s">
        <v>174</v>
      </c>
      <c r="D2823" t="s">
        <v>635</v>
      </c>
    </row>
    <row r="2824" spans="1:4">
      <c r="A2824" s="2">
        <v>0.004628343978524484</v>
      </c>
      <c r="B2824" t="s">
        <v>531</v>
      </c>
      <c r="C2824" t="s">
        <v>174</v>
      </c>
      <c r="D2824" t="s">
        <v>635</v>
      </c>
    </row>
    <row r="2825" spans="1:4">
      <c r="A2825" s="2">
        <v>1.8765598904089025</v>
      </c>
      <c r="B2825" t="s">
        <v>532</v>
      </c>
      <c r="C2825" t="s">
        <v>174</v>
      </c>
      <c r="D2825" t="s">
        <v>635</v>
      </c>
    </row>
    <row r="2826" spans="1:4">
      <c r="A2826" s="2">
        <v>1.836715951878042</v>
      </c>
      <c r="B2826" t="s">
        <v>533</v>
      </c>
      <c r="C2826" t="s">
        <v>174</v>
      </c>
      <c r="D2826" t="s">
        <v>635</v>
      </c>
    </row>
    <row r="2827" spans="1:4">
      <c r="A2827" s="2">
        <v>0.02027028396640809</v>
      </c>
      <c r="B2827" t="s">
        <v>534</v>
      </c>
      <c r="C2827" t="s">
        <v>174</v>
      </c>
      <c r="D2827" t="s">
        <v>635</v>
      </c>
    </row>
    <row r="2828" spans="1:4">
      <c r="A2828" s="2">
        <v>1.8598076958842455</v>
      </c>
      <c r="B2828" t="s">
        <v>535</v>
      </c>
      <c r="C2828" t="s">
        <v>174</v>
      </c>
      <c r="D2828" t="s">
        <v>635</v>
      </c>
    </row>
    <row r="2829" spans="1:4">
      <c r="A2829" s="2">
        <v>1.0625863351397302</v>
      </c>
      <c r="B2829" t="s">
        <v>536</v>
      </c>
      <c r="C2829" t="s">
        <v>174</v>
      </c>
      <c r="D2829" t="s">
        <v>635</v>
      </c>
    </row>
    <row r="2830" spans="1:4">
      <c r="A2830" s="2">
        <v>0.7371369600471768</v>
      </c>
      <c r="B2830" t="s">
        <v>537</v>
      </c>
      <c r="C2830" t="s">
        <v>174</v>
      </c>
      <c r="D2830" t="s">
        <v>635</v>
      </c>
    </row>
    <row r="2831" spans="1:4">
      <c r="A2831" s="2">
        <v>0.7107320540156362</v>
      </c>
      <c r="B2831" t="s">
        <v>538</v>
      </c>
      <c r="C2831" t="s">
        <v>174</v>
      </c>
      <c r="D2831" t="s">
        <v>635</v>
      </c>
    </row>
    <row r="2832" spans="1:4">
      <c r="A2832" s="2">
        <v>0.15598774560270545</v>
      </c>
      <c r="B2832" t="s">
        <v>539</v>
      </c>
      <c r="C2832" t="s">
        <v>174</v>
      </c>
      <c r="D2832" t="s">
        <v>635</v>
      </c>
    </row>
    <row r="2833" spans="1:4">
      <c r="A2833" s="2">
        <v>0.3866228494104002</v>
      </c>
      <c r="B2833" t="s">
        <v>540</v>
      </c>
      <c r="C2833" t="s">
        <v>174</v>
      </c>
      <c r="D2833" t="s">
        <v>635</v>
      </c>
    </row>
    <row r="2834" spans="1:4">
      <c r="A2834" s="2">
        <v>0.2142382758103563</v>
      </c>
      <c r="B2834" t="s">
        <v>541</v>
      </c>
      <c r="C2834" t="s">
        <v>174</v>
      </c>
      <c r="D2834" t="s">
        <v>635</v>
      </c>
    </row>
    <row r="2835" spans="1:4">
      <c r="A2835" s="2">
        <v>1</v>
      </c>
      <c r="B2835" t="s">
        <v>542</v>
      </c>
      <c r="C2835" t="s">
        <v>635</v>
      </c>
      <c r="D2835" t="s">
        <v>635</v>
      </c>
    </row>
    <row r="2836" spans="1:4">
      <c r="A2836" s="2">
        <v>6.9057</v>
      </c>
      <c r="B2836" t="s">
        <v>364</v>
      </c>
      <c r="C2836" t="s">
        <v>636</v>
      </c>
      <c r="D2836" t="s">
        <v>636</v>
      </c>
    </row>
    <row r="2837" spans="1:4">
      <c r="A2837" s="2">
        <v>7.896</v>
      </c>
      <c r="B2837" t="s">
        <v>373</v>
      </c>
      <c r="C2837" t="s">
        <v>636</v>
      </c>
      <c r="D2837" t="s">
        <v>636</v>
      </c>
    </row>
    <row r="2838" spans="1:4">
      <c r="A2838" s="2">
        <v>0.043276</v>
      </c>
      <c r="B2838" t="s">
        <v>520</v>
      </c>
      <c r="C2838" t="s">
        <v>636</v>
      </c>
      <c r="D2838" t="s">
        <v>636</v>
      </c>
    </row>
    <row r="2839" spans="1:4">
      <c r="A2839" s="2">
        <v>0.88217</v>
      </c>
      <c r="B2839" t="s">
        <v>370</v>
      </c>
      <c r="C2839" t="s">
        <v>636</v>
      </c>
      <c r="D2839" t="s">
        <v>636</v>
      </c>
    </row>
    <row r="2840" spans="1:4">
      <c r="A2840" s="2">
        <v>9.1449</v>
      </c>
      <c r="B2840" t="s">
        <v>521</v>
      </c>
      <c r="C2840" t="s">
        <v>636</v>
      </c>
      <c r="D2840" t="s">
        <v>636</v>
      </c>
    </row>
    <row r="2841" spans="1:4">
      <c r="A2841" s="2">
        <v>4.8337</v>
      </c>
      <c r="B2841" t="s">
        <v>522</v>
      </c>
      <c r="C2841" t="s">
        <v>636</v>
      </c>
      <c r="D2841" t="s">
        <v>636</v>
      </c>
    </row>
    <row r="2842" spans="1:4">
      <c r="A2842" s="2">
        <v>4.0001999999999995</v>
      </c>
      <c r="B2842" t="s">
        <v>523</v>
      </c>
      <c r="C2842" t="s">
        <v>636</v>
      </c>
      <c r="D2842" t="s">
        <v>636</v>
      </c>
    </row>
    <row r="2843" spans="1:4">
      <c r="A2843" s="2">
        <v>5.3826</v>
      </c>
      <c r="B2843" t="s">
        <v>524</v>
      </c>
      <c r="C2843" t="s">
        <v>636</v>
      </c>
      <c r="D2843" t="s">
        <v>636</v>
      </c>
    </row>
    <row r="2844" spans="1:4">
      <c r="A2844" s="2">
        <v>8.737400000000001</v>
      </c>
      <c r="B2844" t="s">
        <v>525</v>
      </c>
      <c r="C2844" t="s">
        <v>636</v>
      </c>
      <c r="D2844" t="s">
        <v>636</v>
      </c>
    </row>
    <row r="2845" spans="1:4">
      <c r="A2845" s="2">
        <v>5.0356</v>
      </c>
      <c r="B2845" t="s">
        <v>526</v>
      </c>
      <c r="C2845" t="s">
        <v>636</v>
      </c>
      <c r="D2845" t="s">
        <v>636</v>
      </c>
    </row>
    <row r="2846" spans="1:4">
      <c r="A2846" s="2">
        <v>0.8560910880917729</v>
      </c>
      <c r="B2846" t="s">
        <v>527</v>
      </c>
      <c r="C2846" t="s">
        <v>636</v>
      </c>
      <c r="D2846" t="s">
        <v>636</v>
      </c>
    </row>
    <row r="2847" spans="1:4">
      <c r="A2847" s="2">
        <v>1.753862882999807</v>
      </c>
      <c r="B2847" t="s">
        <v>528</v>
      </c>
      <c r="C2847" t="s">
        <v>636</v>
      </c>
      <c r="D2847" t="s">
        <v>636</v>
      </c>
    </row>
    <row r="2848" spans="1:4">
      <c r="A2848" s="2">
        <v>0.08614451604010889</v>
      </c>
      <c r="B2848" t="s">
        <v>529</v>
      </c>
      <c r="C2848" t="s">
        <v>636</v>
      </c>
      <c r="D2848" t="s">
        <v>636</v>
      </c>
    </row>
    <row r="2849" spans="1:4">
      <c r="A2849" s="2">
        <v>0.4088140304975266</v>
      </c>
      <c r="B2849" t="s">
        <v>530</v>
      </c>
      <c r="C2849" t="s">
        <v>636</v>
      </c>
      <c r="D2849" t="s">
        <v>636</v>
      </c>
    </row>
    <row r="2850" spans="1:4">
      <c r="A2850" s="2">
        <v>0.004613184481247405</v>
      </c>
      <c r="B2850" t="s">
        <v>531</v>
      </c>
      <c r="C2850" t="s">
        <v>636</v>
      </c>
      <c r="D2850" t="s">
        <v>636</v>
      </c>
    </row>
    <row r="2851" spans="1:4">
      <c r="A2851" s="2">
        <v>1.8798052521758744</v>
      </c>
      <c r="B2851" t="s">
        <v>532</v>
      </c>
      <c r="C2851" t="s">
        <v>636</v>
      </c>
      <c r="D2851" t="s">
        <v>636</v>
      </c>
    </row>
    <row r="2852" spans="1:4">
      <c r="A2852" s="2">
        <v>1.8398586988519283</v>
      </c>
      <c r="B2852" t="s">
        <v>533</v>
      </c>
      <c r="C2852" t="s">
        <v>636</v>
      </c>
      <c r="D2852" t="s">
        <v>636</v>
      </c>
    </row>
    <row r="2853" spans="1:4">
      <c r="A2853" s="2">
        <v>0.020095493786473323</v>
      </c>
      <c r="B2853" t="s">
        <v>534</v>
      </c>
      <c r="C2853" t="s">
        <v>636</v>
      </c>
      <c r="D2853" t="s">
        <v>636</v>
      </c>
    </row>
    <row r="2854" spans="1:4">
      <c r="A2854" s="2">
        <v>1.8475067895874515</v>
      </c>
      <c r="B2854" t="s">
        <v>535</v>
      </c>
      <c r="C2854" t="s">
        <v>636</v>
      </c>
      <c r="D2854" t="s">
        <v>636</v>
      </c>
    </row>
    <row r="2855" spans="1:4">
      <c r="A2855" s="2">
        <v>1.056412423410099</v>
      </c>
      <c r="B2855" t="s">
        <v>536</v>
      </c>
      <c r="C2855" t="s">
        <v>636</v>
      </c>
      <c r="D2855" t="s">
        <v>636</v>
      </c>
    </row>
    <row r="2856" spans="1:4">
      <c r="A2856" s="2">
        <v>0.7305669199298656</v>
      </c>
      <c r="B2856" t="s">
        <v>537</v>
      </c>
      <c r="C2856" t="s">
        <v>636</v>
      </c>
      <c r="D2856" t="s">
        <v>636</v>
      </c>
    </row>
    <row r="2857" spans="1:4">
      <c r="A2857" s="2">
        <v>0.7066139061616732</v>
      </c>
      <c r="B2857" t="s">
        <v>538</v>
      </c>
      <c r="C2857" t="s">
        <v>636</v>
      </c>
      <c r="D2857" t="s">
        <v>636</v>
      </c>
    </row>
    <row r="2858" spans="1:4">
      <c r="A2858" s="2">
        <v>0.15623266793840057</v>
      </c>
      <c r="B2858" t="s">
        <v>539</v>
      </c>
      <c r="C2858" t="s">
        <v>636</v>
      </c>
      <c r="D2858" t="s">
        <v>636</v>
      </c>
    </row>
    <row r="2859" spans="1:4">
      <c r="A2859" s="2">
        <v>0.3862196817549822</v>
      </c>
      <c r="B2859" t="s">
        <v>540</v>
      </c>
      <c r="C2859" t="s">
        <v>636</v>
      </c>
      <c r="D2859" t="s">
        <v>636</v>
      </c>
    </row>
    <row r="2860" spans="1:4">
      <c r="A2860" s="2">
        <v>0.21277501170262564</v>
      </c>
      <c r="B2860" t="s">
        <v>541</v>
      </c>
      <c r="C2860" t="s">
        <v>636</v>
      </c>
      <c r="D2860" t="s">
        <v>636</v>
      </c>
    </row>
    <row r="2861" spans="1:4">
      <c r="A2861" s="2">
        <v>1</v>
      </c>
      <c r="B2861" t="s">
        <v>542</v>
      </c>
      <c r="C2861" t="s">
        <v>636</v>
      </c>
      <c r="D2861" t="s">
        <v>636</v>
      </c>
    </row>
    <row r="2862" spans="1:4">
      <c r="A2862" s="2">
        <v>6.896100000000001</v>
      </c>
      <c r="B2862" t="s">
        <v>364</v>
      </c>
      <c r="C2862" t="s">
        <v>637</v>
      </c>
      <c r="D2862" t="s">
        <v>637</v>
      </c>
    </row>
    <row r="2863" spans="1:4">
      <c r="A2863" s="2">
        <v>7.9238</v>
      </c>
      <c r="B2863" t="s">
        <v>373</v>
      </c>
      <c r="C2863" t="s">
        <v>637</v>
      </c>
      <c r="D2863" t="s">
        <v>637</v>
      </c>
    </row>
    <row r="2864" spans="1:4">
      <c r="A2864" s="2">
        <v>0.043293</v>
      </c>
      <c r="B2864" t="s">
        <v>520</v>
      </c>
      <c r="C2864" t="s">
        <v>637</v>
      </c>
      <c r="D2864" t="s">
        <v>637</v>
      </c>
    </row>
    <row r="2865" spans="1:4">
      <c r="A2865" s="2">
        <v>0.8807299999999999</v>
      </c>
      <c r="B2865" t="s">
        <v>370</v>
      </c>
      <c r="C2865" t="s">
        <v>637</v>
      </c>
      <c r="D2865" t="s">
        <v>637</v>
      </c>
    </row>
    <row r="2866" spans="1:4">
      <c r="A2866" s="2">
        <v>9.1725</v>
      </c>
      <c r="B2866" t="s">
        <v>521</v>
      </c>
      <c r="C2866" t="s">
        <v>637</v>
      </c>
      <c r="D2866" t="s">
        <v>637</v>
      </c>
    </row>
    <row r="2867" spans="1:4">
      <c r="A2867" s="2">
        <v>4.8668000000000005</v>
      </c>
      <c r="B2867" t="s">
        <v>522</v>
      </c>
      <c r="C2867" t="s">
        <v>637</v>
      </c>
      <c r="D2867" t="s">
        <v>637</v>
      </c>
    </row>
    <row r="2868" spans="1:4">
      <c r="A2868" s="2">
        <v>4.0299000000000005</v>
      </c>
      <c r="B2868" t="s">
        <v>523</v>
      </c>
      <c r="C2868" t="s">
        <v>637</v>
      </c>
      <c r="D2868" t="s">
        <v>637</v>
      </c>
    </row>
    <row r="2869" spans="1:4">
      <c r="A2869" s="2">
        <v>5.3922</v>
      </c>
      <c r="B2869" t="s">
        <v>524</v>
      </c>
      <c r="C2869" t="s">
        <v>637</v>
      </c>
      <c r="D2869" t="s">
        <v>637</v>
      </c>
    </row>
    <row r="2870" spans="1:4">
      <c r="A2870" s="2">
        <v>8.7431</v>
      </c>
      <c r="B2870" t="s">
        <v>525</v>
      </c>
      <c r="C2870" t="s">
        <v>637</v>
      </c>
      <c r="D2870" t="s">
        <v>637</v>
      </c>
    </row>
    <row r="2871" spans="1:4">
      <c r="A2871" s="2">
        <v>5.0339</v>
      </c>
      <c r="B2871" t="s">
        <v>526</v>
      </c>
      <c r="C2871" t="s">
        <v>637</v>
      </c>
      <c r="D2871" t="s">
        <v>637</v>
      </c>
    </row>
    <row r="2872" spans="1:4">
      <c r="A2872" s="2">
        <v>0.854627809588924</v>
      </c>
      <c r="B2872" t="s">
        <v>527</v>
      </c>
      <c r="C2872" t="s">
        <v>637</v>
      </c>
      <c r="D2872" t="s">
        <v>637</v>
      </c>
    </row>
    <row r="2873" spans="1:4">
      <c r="A2873" s="2">
        <v>1.7561112672098904</v>
      </c>
      <c r="B2873" t="s">
        <v>528</v>
      </c>
      <c r="C2873" t="s">
        <v>637</v>
      </c>
      <c r="D2873" t="s">
        <v>637</v>
      </c>
    </row>
    <row r="2874" spans="1:4">
      <c r="A2874" s="2">
        <v>0.08473211940450266</v>
      </c>
      <c r="B2874" t="s">
        <v>529</v>
      </c>
      <c r="C2874" t="s">
        <v>637</v>
      </c>
      <c r="D2874" t="s">
        <v>637</v>
      </c>
    </row>
    <row r="2875" spans="1:4">
      <c r="A2875" s="2">
        <v>0.4127285484336952</v>
      </c>
      <c r="B2875" t="s">
        <v>530</v>
      </c>
      <c r="C2875" t="s">
        <v>637</v>
      </c>
      <c r="D2875" t="s">
        <v>637</v>
      </c>
    </row>
    <row r="2876" spans="1:4">
      <c r="A2876" s="2">
        <v>0.004619364375461937</v>
      </c>
      <c r="B2876" t="s">
        <v>531</v>
      </c>
      <c r="C2876" t="s">
        <v>637</v>
      </c>
      <c r="D2876" t="s">
        <v>637</v>
      </c>
    </row>
    <row r="2877" spans="1:4">
      <c r="A2877" s="2">
        <v>1.8764542520453351</v>
      </c>
      <c r="B2877" t="s">
        <v>532</v>
      </c>
      <c r="C2877" t="s">
        <v>637</v>
      </c>
      <c r="D2877" t="s">
        <v>637</v>
      </c>
    </row>
    <row r="2878" spans="1:4">
      <c r="A2878" s="2">
        <v>1.83651356265266</v>
      </c>
      <c r="B2878" t="s">
        <v>533</v>
      </c>
      <c r="C2878" t="s">
        <v>637</v>
      </c>
      <c r="D2878" t="s">
        <v>637</v>
      </c>
    </row>
    <row r="2879" spans="1:4">
      <c r="A2879" s="2">
        <v>0.02028578615535666</v>
      </c>
      <c r="B2879" t="s">
        <v>534</v>
      </c>
      <c r="C2879" t="s">
        <v>637</v>
      </c>
      <c r="D2879" t="s">
        <v>637</v>
      </c>
    </row>
    <row r="2880" spans="1:4">
      <c r="A2880" s="2">
        <v>1.857527630723507</v>
      </c>
      <c r="B2880" t="s">
        <v>535</v>
      </c>
      <c r="C2880" t="s">
        <v>637</v>
      </c>
      <c r="D2880" t="s">
        <v>637</v>
      </c>
    </row>
    <row r="2881" spans="1:4">
      <c r="A2881" s="2">
        <v>1.0599957600169598</v>
      </c>
      <c r="B2881" t="s">
        <v>536</v>
      </c>
      <c r="C2881" t="s">
        <v>637</v>
      </c>
      <c r="D2881" t="s">
        <v>637</v>
      </c>
    </row>
    <row r="2882" spans="1:4">
      <c r="A2882" s="2">
        <v>0.7371369600471768</v>
      </c>
      <c r="B2882" t="s">
        <v>537</v>
      </c>
      <c r="C2882" t="s">
        <v>637</v>
      </c>
      <c r="D2882" t="s">
        <v>637</v>
      </c>
    </row>
    <row r="2883" spans="1:4">
      <c r="A2883" s="2">
        <v>0.7118451025056948</v>
      </c>
      <c r="B2883" t="s">
        <v>538</v>
      </c>
      <c r="C2883" t="s">
        <v>637</v>
      </c>
      <c r="D2883" t="s">
        <v>637</v>
      </c>
    </row>
    <row r="2884" spans="1:4">
      <c r="A2884" s="2">
        <v>0.15599017885833907</v>
      </c>
      <c r="B2884" t="s">
        <v>539</v>
      </c>
      <c r="C2884" t="s">
        <v>637</v>
      </c>
      <c r="D2884" t="s">
        <v>637</v>
      </c>
    </row>
    <row r="2885" spans="1:4">
      <c r="A2885" s="2">
        <v>0.3894080996884735</v>
      </c>
      <c r="B2885" t="s">
        <v>540</v>
      </c>
      <c r="C2885" t="s">
        <v>637</v>
      </c>
      <c r="D2885" t="s">
        <v>637</v>
      </c>
    </row>
    <row r="2886" spans="1:4">
      <c r="A2886" s="2">
        <v>0.2126121529106604</v>
      </c>
      <c r="B2886" t="s">
        <v>541</v>
      </c>
      <c r="C2886" t="s">
        <v>637</v>
      </c>
      <c r="D2886" t="s">
        <v>637</v>
      </c>
    </row>
    <row r="2887" spans="1:4">
      <c r="A2887" s="2">
        <v>1</v>
      </c>
      <c r="B2887" t="s">
        <v>542</v>
      </c>
      <c r="C2887" t="s">
        <v>637</v>
      </c>
      <c r="D2887" t="s">
        <v>637</v>
      </c>
    </row>
    <row r="2888" spans="1:4">
      <c r="A2888" s="2">
        <v>6.8909</v>
      </c>
      <c r="B2888" t="s">
        <v>364</v>
      </c>
      <c r="C2888" t="s">
        <v>638</v>
      </c>
      <c r="D2888" t="s">
        <v>638</v>
      </c>
    </row>
    <row r="2889" spans="1:4">
      <c r="A2889" s="2">
        <v>7.9425</v>
      </c>
      <c r="B2889" t="s">
        <v>373</v>
      </c>
      <c r="C2889" t="s">
        <v>638</v>
      </c>
      <c r="D2889" t="s">
        <v>638</v>
      </c>
    </row>
    <row r="2890" spans="1:4">
      <c r="A2890" s="2">
        <v>0.043316</v>
      </c>
      <c r="B2890" t="s">
        <v>520</v>
      </c>
      <c r="C2890" t="s">
        <v>638</v>
      </c>
      <c r="D2890" t="s">
        <v>638</v>
      </c>
    </row>
    <row r="2891" spans="1:4">
      <c r="A2891" s="2">
        <v>0.8791800000000001</v>
      </c>
      <c r="B2891" t="s">
        <v>370</v>
      </c>
      <c r="C2891" t="s">
        <v>638</v>
      </c>
      <c r="D2891" t="s">
        <v>638</v>
      </c>
    </row>
    <row r="2892" spans="1:4">
      <c r="A2892" s="2">
        <v>9.1943</v>
      </c>
      <c r="B2892" t="s">
        <v>521</v>
      </c>
      <c r="C2892" t="s">
        <v>638</v>
      </c>
      <c r="D2892" t="s">
        <v>638</v>
      </c>
    </row>
    <row r="2893" spans="1:4">
      <c r="A2893" s="2">
        <v>4.8918</v>
      </c>
      <c r="B2893" t="s">
        <v>522</v>
      </c>
      <c r="C2893" t="s">
        <v>638</v>
      </c>
      <c r="D2893" t="s">
        <v>638</v>
      </c>
    </row>
    <row r="2894" spans="1:4">
      <c r="A2894" s="2">
        <v>4.0313</v>
      </c>
      <c r="B2894" t="s">
        <v>523</v>
      </c>
      <c r="C2894" t="s">
        <v>638</v>
      </c>
      <c r="D2894" t="s">
        <v>638</v>
      </c>
    </row>
    <row r="2895" spans="1:4">
      <c r="A2895" s="2">
        <v>5.394299999999999</v>
      </c>
      <c r="B2895" t="s">
        <v>524</v>
      </c>
      <c r="C2895" t="s">
        <v>638</v>
      </c>
      <c r="D2895" t="s">
        <v>638</v>
      </c>
    </row>
    <row r="2896" spans="1:4">
      <c r="A2896" s="2">
        <v>8.7707</v>
      </c>
      <c r="B2896" t="s">
        <v>525</v>
      </c>
      <c r="C2896" t="s">
        <v>638</v>
      </c>
      <c r="D2896" t="s">
        <v>638</v>
      </c>
    </row>
    <row r="2897" spans="1:4">
      <c r="A2897" s="2">
        <v>5.0266</v>
      </c>
      <c r="B2897" t="s">
        <v>526</v>
      </c>
      <c r="C2897" t="s">
        <v>638</v>
      </c>
      <c r="D2897" t="s">
        <v>638</v>
      </c>
    </row>
    <row r="2898" spans="1:4">
      <c r="A2898" s="2">
        <v>0.8531695247845748</v>
      </c>
      <c r="B2898" t="s">
        <v>527</v>
      </c>
      <c r="C2898" t="s">
        <v>638</v>
      </c>
      <c r="D2898" t="s">
        <v>638</v>
      </c>
    </row>
    <row r="2899" spans="1:4">
      <c r="A2899" s="2">
        <v>1.7590458935073616</v>
      </c>
      <c r="B2899" t="s">
        <v>528</v>
      </c>
      <c r="C2899" t="s">
        <v>638</v>
      </c>
      <c r="D2899" t="s">
        <v>638</v>
      </c>
    </row>
    <row r="2900" spans="1:4">
      <c r="A2900" s="2">
        <v>0.08359037373256097</v>
      </c>
      <c r="B2900" t="s">
        <v>529</v>
      </c>
      <c r="C2900" t="s">
        <v>638</v>
      </c>
      <c r="D2900" t="s">
        <v>638</v>
      </c>
    </row>
    <row r="2901" spans="1:4">
      <c r="A2901" s="2">
        <v>0.4126433935792688</v>
      </c>
      <c r="B2901" t="s">
        <v>530</v>
      </c>
      <c r="C2901" t="s">
        <v>638</v>
      </c>
      <c r="D2901" t="s">
        <v>638</v>
      </c>
    </row>
    <row r="2902" spans="1:4">
      <c r="A2902" s="2">
        <v>0.004629843974258067</v>
      </c>
      <c r="B2902" t="s">
        <v>531</v>
      </c>
      <c r="C2902" t="s">
        <v>638</v>
      </c>
      <c r="D2902" t="s">
        <v>638</v>
      </c>
    </row>
    <row r="2903" spans="1:4">
      <c r="A2903" s="2">
        <v>1.8742737189339131</v>
      </c>
      <c r="B2903" t="s">
        <v>532</v>
      </c>
      <c r="C2903" t="s">
        <v>638</v>
      </c>
      <c r="D2903" t="s">
        <v>638</v>
      </c>
    </row>
    <row r="2904" spans="1:4">
      <c r="A2904" s="2">
        <v>1.8335166850018336</v>
      </c>
      <c r="B2904" t="s">
        <v>533</v>
      </c>
      <c r="C2904" t="s">
        <v>638</v>
      </c>
      <c r="D2904" t="s">
        <v>638</v>
      </c>
    </row>
    <row r="2905" spans="1:4">
      <c r="A2905" s="2">
        <v>0.02044947956074518</v>
      </c>
      <c r="B2905" t="s">
        <v>534</v>
      </c>
      <c r="C2905" t="s">
        <v>638</v>
      </c>
      <c r="D2905" t="s">
        <v>638</v>
      </c>
    </row>
    <row r="2906" spans="1:4">
      <c r="A2906" s="2">
        <v>1.865254047601283</v>
      </c>
      <c r="B2906" t="s">
        <v>535</v>
      </c>
      <c r="C2906" t="s">
        <v>638</v>
      </c>
      <c r="D2906" t="s">
        <v>638</v>
      </c>
    </row>
    <row r="2907" spans="1:4">
      <c r="A2907" s="2">
        <v>1.0629251700680271</v>
      </c>
      <c r="B2907" t="s">
        <v>536</v>
      </c>
      <c r="C2907" t="s">
        <v>638</v>
      </c>
      <c r="D2907" t="s">
        <v>638</v>
      </c>
    </row>
    <row r="2908" spans="1:4">
      <c r="A2908" s="2">
        <v>0.7418947993174568</v>
      </c>
      <c r="B2908" t="s">
        <v>537</v>
      </c>
      <c r="C2908" t="s">
        <v>638</v>
      </c>
      <c r="D2908" t="s">
        <v>638</v>
      </c>
    </row>
    <row r="2909" spans="1:4">
      <c r="A2909" s="2">
        <v>0.7180297264306742</v>
      </c>
      <c r="B2909" t="s">
        <v>538</v>
      </c>
      <c r="C2909" t="s">
        <v>638</v>
      </c>
      <c r="D2909" t="s">
        <v>638</v>
      </c>
    </row>
    <row r="2910" spans="1:4">
      <c r="A2910" s="2">
        <v>0.15573946656117915</v>
      </c>
      <c r="B2910" t="s">
        <v>539</v>
      </c>
      <c r="C2910" t="s">
        <v>638</v>
      </c>
      <c r="D2910" t="s">
        <v>638</v>
      </c>
    </row>
    <row r="2911" spans="1:4">
      <c r="A2911" s="2">
        <v>0.3899547652472313</v>
      </c>
      <c r="B2911" t="s">
        <v>540</v>
      </c>
      <c r="C2911" t="s">
        <v>638</v>
      </c>
      <c r="D2911" t="s">
        <v>638</v>
      </c>
    </row>
    <row r="2912" spans="1:4">
      <c r="A2912" s="2">
        <v>0.2128701279349469</v>
      </c>
      <c r="B2912" t="s">
        <v>541</v>
      </c>
      <c r="C2912" t="s">
        <v>638</v>
      </c>
      <c r="D2912" t="s">
        <v>638</v>
      </c>
    </row>
    <row r="2913" spans="1:4">
      <c r="A2913" s="2">
        <v>1</v>
      </c>
      <c r="B2913" t="s">
        <v>542</v>
      </c>
      <c r="C2913" t="s">
        <v>638</v>
      </c>
      <c r="D2913" t="s">
        <v>638</v>
      </c>
    </row>
    <row r="2914" spans="1:4">
      <c r="A2914" s="2">
        <v>6.8975</v>
      </c>
      <c r="B2914" t="s">
        <v>364</v>
      </c>
      <c r="C2914" t="s">
        <v>639</v>
      </c>
      <c r="D2914" t="s">
        <v>639</v>
      </c>
    </row>
    <row r="2915" spans="1:4">
      <c r="A2915" s="2">
        <v>7.9083</v>
      </c>
      <c r="B2915" t="s">
        <v>373</v>
      </c>
      <c r="C2915" t="s">
        <v>639</v>
      </c>
      <c r="D2915" t="s">
        <v>639</v>
      </c>
    </row>
    <row r="2916" spans="1:4">
      <c r="A2916" s="2">
        <v>0.043169000000000006</v>
      </c>
      <c r="B2916" t="s">
        <v>520</v>
      </c>
      <c r="C2916" t="s">
        <v>639</v>
      </c>
      <c r="D2916" t="s">
        <v>639</v>
      </c>
    </row>
    <row r="2917" spans="1:4">
      <c r="A2917" s="2">
        <v>0.88006</v>
      </c>
      <c r="B2917" t="s">
        <v>370</v>
      </c>
      <c r="C2917" t="s">
        <v>639</v>
      </c>
      <c r="D2917" t="s">
        <v>639</v>
      </c>
    </row>
    <row r="2918" spans="1:4">
      <c r="A2918" s="2">
        <v>9.1504</v>
      </c>
      <c r="B2918" t="s">
        <v>521</v>
      </c>
      <c r="C2918" t="s">
        <v>639</v>
      </c>
      <c r="D2918" t="s">
        <v>639</v>
      </c>
    </row>
    <row r="2919" spans="1:4">
      <c r="A2919" s="2">
        <v>4.8485000000000005</v>
      </c>
      <c r="B2919" t="s">
        <v>522</v>
      </c>
      <c r="C2919" t="s">
        <v>639</v>
      </c>
      <c r="D2919" t="s">
        <v>639</v>
      </c>
    </row>
    <row r="2920" spans="1:4">
      <c r="A2920" s="2">
        <v>4.0004</v>
      </c>
      <c r="B2920" t="s">
        <v>523</v>
      </c>
      <c r="C2920" t="s">
        <v>639</v>
      </c>
      <c r="D2920" t="s">
        <v>639</v>
      </c>
    </row>
    <row r="2921" spans="1:4">
      <c r="A2921" s="2">
        <v>5.3734</v>
      </c>
      <c r="B2921" t="s">
        <v>524</v>
      </c>
      <c r="C2921" t="s">
        <v>639</v>
      </c>
      <c r="D2921" t="s">
        <v>639</v>
      </c>
    </row>
    <row r="2922" spans="1:4">
      <c r="A2922" s="2">
        <v>8.7027</v>
      </c>
      <c r="B2922" t="s">
        <v>525</v>
      </c>
      <c r="C2922" t="s">
        <v>639</v>
      </c>
      <c r="D2922" t="s">
        <v>639</v>
      </c>
    </row>
    <row r="2923" spans="1:4">
      <c r="A2923" s="2">
        <v>5.022</v>
      </c>
      <c r="B2923" t="s">
        <v>526</v>
      </c>
      <c r="C2923" t="s">
        <v>639</v>
      </c>
      <c r="D2923" t="s">
        <v>639</v>
      </c>
    </row>
    <row r="2924" spans="1:4">
      <c r="A2924" s="2">
        <v>0.8540438978563498</v>
      </c>
      <c r="B2924" t="s">
        <v>527</v>
      </c>
      <c r="C2924" t="s">
        <v>639</v>
      </c>
      <c r="D2924" t="s">
        <v>639</v>
      </c>
    </row>
    <row r="2925" spans="1:4">
      <c r="A2925" s="2">
        <v>1.7583654235023125</v>
      </c>
      <c r="B2925" t="s">
        <v>528</v>
      </c>
      <c r="C2925" t="s">
        <v>639</v>
      </c>
      <c r="D2925" t="s">
        <v>639</v>
      </c>
    </row>
    <row r="2926" spans="1:4">
      <c r="A2926" s="2">
        <v>0.08234180081518383</v>
      </c>
      <c r="B2926" t="s">
        <v>529</v>
      </c>
      <c r="C2926" t="s">
        <v>639</v>
      </c>
      <c r="D2926" t="s">
        <v>639</v>
      </c>
    </row>
    <row r="2927" spans="1:4">
      <c r="A2927" s="2">
        <v>0.40599244854045713</v>
      </c>
      <c r="B2927" t="s">
        <v>530</v>
      </c>
      <c r="C2927" t="s">
        <v>639</v>
      </c>
      <c r="D2927" t="s">
        <v>639</v>
      </c>
    </row>
    <row r="2928" spans="1:4">
      <c r="A2928" s="2">
        <v>0.004591579044033243</v>
      </c>
      <c r="B2928" t="s">
        <v>531</v>
      </c>
      <c r="C2928" t="s">
        <v>639</v>
      </c>
      <c r="D2928" t="s">
        <v>639</v>
      </c>
    </row>
    <row r="2929" spans="1:4">
      <c r="A2929" s="2">
        <v>1.8777579569993428</v>
      </c>
      <c r="B2929" t="s">
        <v>532</v>
      </c>
      <c r="C2929" t="s">
        <v>639</v>
      </c>
      <c r="D2929" t="s">
        <v>639</v>
      </c>
    </row>
    <row r="2930" spans="1:4">
      <c r="A2930" s="2">
        <v>1.8370871146709775</v>
      </c>
      <c r="B2930" t="s">
        <v>533</v>
      </c>
      <c r="C2930" t="s">
        <v>639</v>
      </c>
      <c r="D2930" t="s">
        <v>639</v>
      </c>
    </row>
    <row r="2931" spans="1:4">
      <c r="A2931" s="2">
        <v>0.02009545340366742</v>
      </c>
      <c r="B2931" t="s">
        <v>534</v>
      </c>
      <c r="C2931" t="s">
        <v>639</v>
      </c>
      <c r="D2931" t="s">
        <v>639</v>
      </c>
    </row>
    <row r="2932" spans="1:4">
      <c r="A2932" s="2">
        <v>1.850172991174675</v>
      </c>
      <c r="B2932" t="s">
        <v>535</v>
      </c>
      <c r="C2932" t="s">
        <v>639</v>
      </c>
      <c r="D2932" t="s">
        <v>639</v>
      </c>
    </row>
    <row r="2933" spans="1:4">
      <c r="A2933" s="2">
        <v>1.0580890911014706</v>
      </c>
      <c r="B2933" t="s">
        <v>536</v>
      </c>
      <c r="C2933" t="s">
        <v>639</v>
      </c>
      <c r="D2933" t="s">
        <v>639</v>
      </c>
    </row>
    <row r="2934" spans="1:4">
      <c r="A2934" s="2">
        <v>0.7334604664808566</v>
      </c>
      <c r="B2934" t="s">
        <v>537</v>
      </c>
      <c r="C2934" t="s">
        <v>639</v>
      </c>
      <c r="D2934" t="s">
        <v>639</v>
      </c>
    </row>
    <row r="2935" spans="1:4">
      <c r="A2935" s="2">
        <v>0.718132854578097</v>
      </c>
      <c r="B2935" t="s">
        <v>538</v>
      </c>
      <c r="C2935" t="s">
        <v>639</v>
      </c>
      <c r="D2935" t="s">
        <v>639</v>
      </c>
    </row>
    <row r="2936" spans="1:4">
      <c r="A2936" s="2">
        <v>0.15564105437475875</v>
      </c>
      <c r="B2936" t="s">
        <v>539</v>
      </c>
      <c r="C2936" t="s">
        <v>639</v>
      </c>
      <c r="D2936" t="s">
        <v>639</v>
      </c>
    </row>
    <row r="2937" spans="1:4">
      <c r="A2937" s="2">
        <v>0.386234598895369</v>
      </c>
      <c r="B2937" t="s">
        <v>540</v>
      </c>
      <c r="C2937" t="s">
        <v>639</v>
      </c>
      <c r="D2937" t="s">
        <v>639</v>
      </c>
    </row>
    <row r="2938" spans="1:4">
      <c r="A2938" s="2">
        <v>0.21014142517914555</v>
      </c>
      <c r="B2938" t="s">
        <v>541</v>
      </c>
      <c r="C2938" t="s">
        <v>639</v>
      </c>
      <c r="D2938" t="s">
        <v>639</v>
      </c>
    </row>
    <row r="2939" spans="1:4">
      <c r="A2939" s="2">
        <v>1</v>
      </c>
      <c r="B2939" t="s">
        <v>542</v>
      </c>
      <c r="C2939" t="s">
        <v>639</v>
      </c>
      <c r="D2939" t="s">
        <v>639</v>
      </c>
    </row>
    <row r="2940" spans="1:4">
      <c r="A2940" s="2">
        <v>6.8898</v>
      </c>
      <c r="B2940" t="s">
        <v>364</v>
      </c>
      <c r="C2940" t="s">
        <v>640</v>
      </c>
      <c r="D2940" t="s">
        <v>640</v>
      </c>
    </row>
    <row r="2941" spans="1:4">
      <c r="A2941" s="2">
        <v>7.9675</v>
      </c>
      <c r="B2941" t="s">
        <v>373</v>
      </c>
      <c r="C2941" t="s">
        <v>640</v>
      </c>
      <c r="D2941" t="s">
        <v>640</v>
      </c>
    </row>
    <row r="2942" spans="1:4">
      <c r="A2942" s="2">
        <v>0.043570000000000005</v>
      </c>
      <c r="B2942" t="s">
        <v>520</v>
      </c>
      <c r="C2942" t="s">
        <v>640</v>
      </c>
      <c r="D2942" t="s">
        <v>640</v>
      </c>
    </row>
    <row r="2943" spans="1:4">
      <c r="A2943" s="2">
        <v>0.8791500000000001</v>
      </c>
      <c r="B2943" t="s">
        <v>370</v>
      </c>
      <c r="C2943" t="s">
        <v>640</v>
      </c>
      <c r="D2943" t="s">
        <v>640</v>
      </c>
    </row>
    <row r="2944" spans="1:4">
      <c r="A2944" s="2">
        <v>9.2395</v>
      </c>
      <c r="B2944" t="s">
        <v>521</v>
      </c>
      <c r="C2944" t="s">
        <v>640</v>
      </c>
      <c r="D2944" t="s">
        <v>640</v>
      </c>
    </row>
    <row r="2945" spans="1:4">
      <c r="A2945" s="2">
        <v>4.8729000000000005</v>
      </c>
      <c r="B2945" t="s">
        <v>522</v>
      </c>
      <c r="C2945" t="s">
        <v>640</v>
      </c>
      <c r="D2945" t="s">
        <v>640</v>
      </c>
    </row>
    <row r="2946" spans="1:4">
      <c r="A2946" s="2">
        <v>4.0382</v>
      </c>
      <c r="B2946" t="s">
        <v>523</v>
      </c>
      <c r="C2946" t="s">
        <v>640</v>
      </c>
      <c r="D2946" t="s">
        <v>640</v>
      </c>
    </row>
    <row r="2947" spans="1:4">
      <c r="A2947" s="2">
        <v>5.386900000000001</v>
      </c>
      <c r="B2947" t="s">
        <v>524</v>
      </c>
      <c r="C2947" t="s">
        <v>640</v>
      </c>
      <c r="D2947" t="s">
        <v>640</v>
      </c>
    </row>
    <row r="2948" spans="1:4">
      <c r="A2948" s="2">
        <v>8.7243</v>
      </c>
      <c r="B2948" t="s">
        <v>525</v>
      </c>
      <c r="C2948" t="s">
        <v>640</v>
      </c>
      <c r="D2948" t="s">
        <v>640</v>
      </c>
    </row>
    <row r="2949" spans="1:4">
      <c r="A2949" s="2">
        <v>5.0105</v>
      </c>
      <c r="B2949" t="s">
        <v>526</v>
      </c>
      <c r="C2949" t="s">
        <v>640</v>
      </c>
      <c r="D2949" t="s">
        <v>640</v>
      </c>
    </row>
    <row r="2950" spans="1:4">
      <c r="A2950" s="2">
        <v>0.8530239699735562</v>
      </c>
      <c r="B2950" t="s">
        <v>527</v>
      </c>
      <c r="C2950" t="s">
        <v>640</v>
      </c>
      <c r="D2950" t="s">
        <v>640</v>
      </c>
    </row>
    <row r="2951" spans="1:4">
      <c r="A2951" s="2">
        <v>1.7482823126278433</v>
      </c>
      <c r="B2951" t="s">
        <v>528</v>
      </c>
      <c r="C2951" t="s">
        <v>640</v>
      </c>
      <c r="D2951" t="s">
        <v>640</v>
      </c>
    </row>
    <row r="2952" spans="1:4">
      <c r="A2952" s="2">
        <v>0.07992838416778567</v>
      </c>
      <c r="B2952" t="s">
        <v>529</v>
      </c>
      <c r="C2952" t="s">
        <v>640</v>
      </c>
      <c r="D2952" t="s">
        <v>640</v>
      </c>
    </row>
    <row r="2953" spans="1:4">
      <c r="A2953" s="2">
        <v>0.4111842105263158</v>
      </c>
      <c r="B2953" t="s">
        <v>530</v>
      </c>
      <c r="C2953" t="s">
        <v>640</v>
      </c>
      <c r="D2953" t="s">
        <v>640</v>
      </c>
    </row>
    <row r="2954" spans="1:4">
      <c r="A2954" s="2">
        <v>0.00461723150798781</v>
      </c>
      <c r="B2954" t="s">
        <v>531</v>
      </c>
      <c r="C2954" t="s">
        <v>640</v>
      </c>
      <c r="D2954" t="s">
        <v>640</v>
      </c>
    </row>
    <row r="2955" spans="1:4">
      <c r="A2955" s="2">
        <v>1.8735714018061227</v>
      </c>
      <c r="B2955" t="s">
        <v>532</v>
      </c>
      <c r="C2955" t="s">
        <v>640</v>
      </c>
      <c r="D2955" t="s">
        <v>640</v>
      </c>
    </row>
    <row r="2956" spans="1:4">
      <c r="A2956" s="2">
        <v>1.83307975730024</v>
      </c>
      <c r="B2956" t="s">
        <v>533</v>
      </c>
      <c r="C2956" t="s">
        <v>640</v>
      </c>
      <c r="D2956" t="s">
        <v>640</v>
      </c>
    </row>
    <row r="2957" spans="1:4">
      <c r="A2957" s="2">
        <v>0.020401085337739967</v>
      </c>
      <c r="B2957" t="s">
        <v>534</v>
      </c>
      <c r="C2957" t="s">
        <v>640</v>
      </c>
      <c r="D2957" t="s">
        <v>640</v>
      </c>
    </row>
    <row r="2958" spans="1:4">
      <c r="A2958" s="2">
        <v>1.8668558413919276</v>
      </c>
      <c r="B2958" t="s">
        <v>535</v>
      </c>
      <c r="C2958" t="s">
        <v>640</v>
      </c>
      <c r="D2958" t="s">
        <v>640</v>
      </c>
    </row>
    <row r="2959" spans="1:4">
      <c r="A2959" s="2">
        <v>1.0663254425250586</v>
      </c>
      <c r="B2959" t="s">
        <v>536</v>
      </c>
      <c r="C2959" t="s">
        <v>640</v>
      </c>
      <c r="D2959" t="s">
        <v>640</v>
      </c>
    </row>
    <row r="2960" spans="1:4">
      <c r="A2960" s="2">
        <v>0.7402472425790214</v>
      </c>
      <c r="B2960" t="s">
        <v>537</v>
      </c>
      <c r="C2960" t="s">
        <v>640</v>
      </c>
      <c r="D2960" t="s">
        <v>640</v>
      </c>
    </row>
    <row r="2961" spans="1:4">
      <c r="A2961" s="2">
        <v>0.7243227582210633</v>
      </c>
      <c r="B2961" t="s">
        <v>538</v>
      </c>
      <c r="C2961" t="s">
        <v>640</v>
      </c>
      <c r="D2961" t="s">
        <v>640</v>
      </c>
    </row>
    <row r="2962" spans="1:4">
      <c r="A2962" s="2">
        <v>0.15530988982316415</v>
      </c>
      <c r="B2962" t="s">
        <v>539</v>
      </c>
      <c r="C2962" t="s">
        <v>640</v>
      </c>
      <c r="D2962" t="s">
        <v>640</v>
      </c>
    </row>
    <row r="2963" spans="1:4">
      <c r="A2963" s="2">
        <v>0.38777726074143015</v>
      </c>
      <c r="B2963" t="s">
        <v>540</v>
      </c>
      <c r="C2963" t="s">
        <v>640</v>
      </c>
      <c r="D2963" t="s">
        <v>640</v>
      </c>
    </row>
    <row r="2964" spans="1:4">
      <c r="A2964" s="2">
        <v>0.21161781822029416</v>
      </c>
      <c r="B2964" t="s">
        <v>541</v>
      </c>
      <c r="C2964" t="s">
        <v>640</v>
      </c>
      <c r="D2964" t="s">
        <v>640</v>
      </c>
    </row>
    <row r="2965" spans="1:4">
      <c r="A2965" s="2">
        <v>1</v>
      </c>
      <c r="B2965" t="s">
        <v>542</v>
      </c>
      <c r="C2965" t="s">
        <v>640</v>
      </c>
      <c r="D2965" t="s">
        <v>640</v>
      </c>
    </row>
    <row r="2966" spans="1:4">
      <c r="A2966" s="2">
        <v>6.8898</v>
      </c>
      <c r="B2966" t="s">
        <v>364</v>
      </c>
      <c r="C2966" t="s">
        <v>640</v>
      </c>
      <c r="D2966" t="s">
        <v>641</v>
      </c>
    </row>
    <row r="2967" spans="1:4">
      <c r="A2967" s="2">
        <v>7.9675</v>
      </c>
      <c r="B2967" t="s">
        <v>373</v>
      </c>
      <c r="C2967" t="s">
        <v>640</v>
      </c>
      <c r="D2967" t="s">
        <v>641</v>
      </c>
    </row>
    <row r="2968" spans="1:4">
      <c r="A2968" s="2">
        <v>0.043570000000000005</v>
      </c>
      <c r="B2968" t="s">
        <v>520</v>
      </c>
      <c r="C2968" t="s">
        <v>640</v>
      </c>
      <c r="D2968" t="s">
        <v>641</v>
      </c>
    </row>
    <row r="2969" spans="1:4">
      <c r="A2969" s="2">
        <v>0.8791500000000001</v>
      </c>
      <c r="B2969" t="s">
        <v>370</v>
      </c>
      <c r="C2969" t="s">
        <v>640</v>
      </c>
      <c r="D2969" t="s">
        <v>641</v>
      </c>
    </row>
    <row r="2970" spans="1:4">
      <c r="A2970" s="2">
        <v>9.2395</v>
      </c>
      <c r="B2970" t="s">
        <v>521</v>
      </c>
      <c r="C2970" t="s">
        <v>640</v>
      </c>
      <c r="D2970" t="s">
        <v>641</v>
      </c>
    </row>
    <row r="2971" spans="1:4">
      <c r="A2971" s="2">
        <v>4.8729000000000005</v>
      </c>
      <c r="B2971" t="s">
        <v>522</v>
      </c>
      <c r="C2971" t="s">
        <v>640</v>
      </c>
      <c r="D2971" t="s">
        <v>641</v>
      </c>
    </row>
    <row r="2972" spans="1:4">
      <c r="A2972" s="2">
        <v>4.0382</v>
      </c>
      <c r="B2972" t="s">
        <v>523</v>
      </c>
      <c r="C2972" t="s">
        <v>640</v>
      </c>
      <c r="D2972" t="s">
        <v>641</v>
      </c>
    </row>
    <row r="2973" spans="1:4">
      <c r="A2973" s="2">
        <v>5.386900000000001</v>
      </c>
      <c r="B2973" t="s">
        <v>524</v>
      </c>
      <c r="C2973" t="s">
        <v>640</v>
      </c>
      <c r="D2973" t="s">
        <v>641</v>
      </c>
    </row>
    <row r="2974" spans="1:4">
      <c r="A2974" s="2">
        <v>8.7243</v>
      </c>
      <c r="B2974" t="s">
        <v>525</v>
      </c>
      <c r="C2974" t="s">
        <v>640</v>
      </c>
      <c r="D2974" t="s">
        <v>641</v>
      </c>
    </row>
    <row r="2975" spans="1:4">
      <c r="A2975" s="2">
        <v>5.0105</v>
      </c>
      <c r="B2975" t="s">
        <v>526</v>
      </c>
      <c r="C2975" t="s">
        <v>640</v>
      </c>
      <c r="D2975" t="s">
        <v>641</v>
      </c>
    </row>
    <row r="2976" spans="1:4">
      <c r="A2976" s="2">
        <v>0.8530239699735562</v>
      </c>
      <c r="B2976" t="s">
        <v>527</v>
      </c>
      <c r="C2976" t="s">
        <v>640</v>
      </c>
      <c r="D2976" t="s">
        <v>641</v>
      </c>
    </row>
    <row r="2977" spans="1:4">
      <c r="A2977" s="2">
        <v>1.7482823126278433</v>
      </c>
      <c r="B2977" t="s">
        <v>528</v>
      </c>
      <c r="C2977" t="s">
        <v>640</v>
      </c>
      <c r="D2977" t="s">
        <v>641</v>
      </c>
    </row>
    <row r="2978" spans="1:4">
      <c r="A2978" s="2">
        <v>0.07992838416778567</v>
      </c>
      <c r="B2978" t="s">
        <v>529</v>
      </c>
      <c r="C2978" t="s">
        <v>640</v>
      </c>
      <c r="D2978" t="s">
        <v>641</v>
      </c>
    </row>
    <row r="2979" spans="1:4">
      <c r="A2979" s="2">
        <v>0.4111842105263158</v>
      </c>
      <c r="B2979" t="s">
        <v>530</v>
      </c>
      <c r="C2979" t="s">
        <v>640</v>
      </c>
      <c r="D2979" t="s">
        <v>641</v>
      </c>
    </row>
    <row r="2980" spans="1:4">
      <c r="A2980" s="2">
        <v>0.00461723150798781</v>
      </c>
      <c r="B2980" t="s">
        <v>531</v>
      </c>
      <c r="C2980" t="s">
        <v>640</v>
      </c>
      <c r="D2980" t="s">
        <v>641</v>
      </c>
    </row>
    <row r="2981" spans="1:4">
      <c r="A2981" s="2">
        <v>1.8735714018061227</v>
      </c>
      <c r="B2981" t="s">
        <v>532</v>
      </c>
      <c r="C2981" t="s">
        <v>640</v>
      </c>
      <c r="D2981" t="s">
        <v>641</v>
      </c>
    </row>
    <row r="2982" spans="1:4">
      <c r="A2982" s="2">
        <v>1.83307975730024</v>
      </c>
      <c r="B2982" t="s">
        <v>533</v>
      </c>
      <c r="C2982" t="s">
        <v>640</v>
      </c>
      <c r="D2982" t="s">
        <v>641</v>
      </c>
    </row>
    <row r="2983" spans="1:4">
      <c r="A2983" s="2">
        <v>0.020401085337739967</v>
      </c>
      <c r="B2983" t="s">
        <v>534</v>
      </c>
      <c r="C2983" t="s">
        <v>640</v>
      </c>
      <c r="D2983" t="s">
        <v>641</v>
      </c>
    </row>
    <row r="2984" spans="1:4">
      <c r="A2984" s="2">
        <v>1.8668558413919276</v>
      </c>
      <c r="B2984" t="s">
        <v>535</v>
      </c>
      <c r="C2984" t="s">
        <v>640</v>
      </c>
      <c r="D2984" t="s">
        <v>641</v>
      </c>
    </row>
    <row r="2985" spans="1:4">
      <c r="A2985" s="2">
        <v>1.0663254425250586</v>
      </c>
      <c r="B2985" t="s">
        <v>536</v>
      </c>
      <c r="C2985" t="s">
        <v>640</v>
      </c>
      <c r="D2985" t="s">
        <v>641</v>
      </c>
    </row>
    <row r="2986" spans="1:4">
      <c r="A2986" s="2">
        <v>0.7402472425790214</v>
      </c>
      <c r="B2986" t="s">
        <v>537</v>
      </c>
      <c r="C2986" t="s">
        <v>640</v>
      </c>
      <c r="D2986" t="s">
        <v>641</v>
      </c>
    </row>
    <row r="2987" spans="1:4">
      <c r="A2987" s="2">
        <v>0.7243227582210633</v>
      </c>
      <c r="B2987" t="s">
        <v>538</v>
      </c>
      <c r="C2987" t="s">
        <v>640</v>
      </c>
      <c r="D2987" t="s">
        <v>641</v>
      </c>
    </row>
    <row r="2988" spans="1:4">
      <c r="A2988" s="2">
        <v>0.15530988982316415</v>
      </c>
      <c r="B2988" t="s">
        <v>539</v>
      </c>
      <c r="C2988" t="s">
        <v>640</v>
      </c>
      <c r="D2988" t="s">
        <v>641</v>
      </c>
    </row>
    <row r="2989" spans="1:4">
      <c r="A2989" s="2">
        <v>0.38777726074143015</v>
      </c>
      <c r="B2989" t="s">
        <v>540</v>
      </c>
      <c r="C2989" t="s">
        <v>640</v>
      </c>
      <c r="D2989" t="s">
        <v>641</v>
      </c>
    </row>
    <row r="2990" spans="1:4">
      <c r="A2990" s="2">
        <v>0.21161781822029416</v>
      </c>
      <c r="B2990" t="s">
        <v>541</v>
      </c>
      <c r="C2990" t="s">
        <v>640</v>
      </c>
      <c r="D2990" t="s">
        <v>641</v>
      </c>
    </row>
    <row r="2991" spans="1:4">
      <c r="A2991" s="2">
        <v>1</v>
      </c>
      <c r="B2991" t="s">
        <v>542</v>
      </c>
      <c r="C2991" t="s">
        <v>641</v>
      </c>
      <c r="D2991" t="s">
        <v>641</v>
      </c>
    </row>
    <row r="2992" spans="1:4">
      <c r="A2992" s="2">
        <v>6.8898</v>
      </c>
      <c r="B2992" t="s">
        <v>364</v>
      </c>
      <c r="C2992" t="s">
        <v>640</v>
      </c>
      <c r="D2992" t="s">
        <v>191</v>
      </c>
    </row>
    <row r="2993" spans="1:4">
      <c r="A2993" s="2">
        <v>7.9675</v>
      </c>
      <c r="B2993" t="s">
        <v>373</v>
      </c>
      <c r="C2993" t="s">
        <v>640</v>
      </c>
      <c r="D2993" t="s">
        <v>191</v>
      </c>
    </row>
    <row r="2994" spans="1:4">
      <c r="A2994" s="2">
        <v>0.043570000000000005</v>
      </c>
      <c r="B2994" t="s">
        <v>520</v>
      </c>
      <c r="C2994" t="s">
        <v>640</v>
      </c>
      <c r="D2994" t="s">
        <v>191</v>
      </c>
    </row>
    <row r="2995" spans="1:4">
      <c r="A2995" s="2">
        <v>0.8791500000000001</v>
      </c>
      <c r="B2995" t="s">
        <v>370</v>
      </c>
      <c r="C2995" t="s">
        <v>640</v>
      </c>
      <c r="D2995" t="s">
        <v>191</v>
      </c>
    </row>
    <row r="2996" spans="1:4">
      <c r="A2996" s="2">
        <v>9.2395</v>
      </c>
      <c r="B2996" t="s">
        <v>521</v>
      </c>
      <c r="C2996" t="s">
        <v>640</v>
      </c>
      <c r="D2996" t="s">
        <v>191</v>
      </c>
    </row>
    <row r="2997" spans="1:4">
      <c r="A2997" s="2">
        <v>4.8729000000000005</v>
      </c>
      <c r="B2997" t="s">
        <v>522</v>
      </c>
      <c r="C2997" t="s">
        <v>640</v>
      </c>
      <c r="D2997" t="s">
        <v>191</v>
      </c>
    </row>
    <row r="2998" spans="1:4">
      <c r="A2998" s="2">
        <v>4.0382</v>
      </c>
      <c r="B2998" t="s">
        <v>523</v>
      </c>
      <c r="C2998" t="s">
        <v>640</v>
      </c>
      <c r="D2998" t="s">
        <v>191</v>
      </c>
    </row>
    <row r="2999" spans="1:4">
      <c r="A2999" s="2">
        <v>5.386900000000001</v>
      </c>
      <c r="B2999" t="s">
        <v>524</v>
      </c>
      <c r="C2999" t="s">
        <v>640</v>
      </c>
      <c r="D2999" t="s">
        <v>191</v>
      </c>
    </row>
    <row r="3000" spans="1:4">
      <c r="A3000" s="2">
        <v>8.7243</v>
      </c>
      <c r="B3000" t="s">
        <v>525</v>
      </c>
      <c r="C3000" t="s">
        <v>640</v>
      </c>
      <c r="D3000" t="s">
        <v>191</v>
      </c>
    </row>
    <row r="3001" spans="1:4">
      <c r="A3001" s="2">
        <v>5.0105</v>
      </c>
      <c r="B3001" t="s">
        <v>526</v>
      </c>
      <c r="C3001" t="s">
        <v>640</v>
      </c>
      <c r="D3001" t="s">
        <v>191</v>
      </c>
    </row>
    <row r="3002" spans="1:4">
      <c r="A3002" s="2">
        <v>0.8530239699735562</v>
      </c>
      <c r="B3002" t="s">
        <v>527</v>
      </c>
      <c r="C3002" t="s">
        <v>640</v>
      </c>
      <c r="D3002" t="s">
        <v>191</v>
      </c>
    </row>
    <row r="3003" spans="1:4">
      <c r="A3003" s="2">
        <v>1.7482823126278433</v>
      </c>
      <c r="B3003" t="s">
        <v>528</v>
      </c>
      <c r="C3003" t="s">
        <v>640</v>
      </c>
      <c r="D3003" t="s">
        <v>191</v>
      </c>
    </row>
    <row r="3004" spans="1:4">
      <c r="A3004" s="2">
        <v>0.07992838416778567</v>
      </c>
      <c r="B3004" t="s">
        <v>529</v>
      </c>
      <c r="C3004" t="s">
        <v>640</v>
      </c>
      <c r="D3004" t="s">
        <v>191</v>
      </c>
    </row>
    <row r="3005" spans="1:4">
      <c r="A3005" s="2">
        <v>0.4111842105263158</v>
      </c>
      <c r="B3005" t="s">
        <v>530</v>
      </c>
      <c r="C3005" t="s">
        <v>640</v>
      </c>
      <c r="D3005" t="s">
        <v>191</v>
      </c>
    </row>
    <row r="3006" spans="1:4">
      <c r="A3006" s="2">
        <v>0.00461723150798781</v>
      </c>
      <c r="B3006" t="s">
        <v>531</v>
      </c>
      <c r="C3006" t="s">
        <v>640</v>
      </c>
      <c r="D3006" t="s">
        <v>191</v>
      </c>
    </row>
    <row r="3007" spans="1:4">
      <c r="A3007" s="2">
        <v>1.8735714018061227</v>
      </c>
      <c r="B3007" t="s">
        <v>532</v>
      </c>
      <c r="C3007" t="s">
        <v>640</v>
      </c>
      <c r="D3007" t="s">
        <v>191</v>
      </c>
    </row>
    <row r="3008" spans="1:4">
      <c r="A3008" s="2">
        <v>1.83307975730024</v>
      </c>
      <c r="B3008" t="s">
        <v>533</v>
      </c>
      <c r="C3008" t="s">
        <v>640</v>
      </c>
      <c r="D3008" t="s">
        <v>191</v>
      </c>
    </row>
    <row r="3009" spans="1:4">
      <c r="A3009" s="2">
        <v>0.020401085337739967</v>
      </c>
      <c r="B3009" t="s">
        <v>534</v>
      </c>
      <c r="C3009" t="s">
        <v>640</v>
      </c>
      <c r="D3009" t="s">
        <v>191</v>
      </c>
    </row>
    <row r="3010" spans="1:4">
      <c r="A3010" s="2">
        <v>1.8668558413919276</v>
      </c>
      <c r="B3010" t="s">
        <v>535</v>
      </c>
      <c r="C3010" t="s">
        <v>640</v>
      </c>
      <c r="D3010" t="s">
        <v>191</v>
      </c>
    </row>
    <row r="3011" spans="1:4">
      <c r="A3011" s="2">
        <v>1.0663254425250586</v>
      </c>
      <c r="B3011" t="s">
        <v>536</v>
      </c>
      <c r="C3011" t="s">
        <v>640</v>
      </c>
      <c r="D3011" t="s">
        <v>191</v>
      </c>
    </row>
    <row r="3012" spans="1:4">
      <c r="A3012" s="2">
        <v>0.7402472425790214</v>
      </c>
      <c r="B3012" t="s">
        <v>537</v>
      </c>
      <c r="C3012" t="s">
        <v>640</v>
      </c>
      <c r="D3012" t="s">
        <v>191</v>
      </c>
    </row>
    <row r="3013" spans="1:4">
      <c r="A3013" s="2">
        <v>0.7243227582210633</v>
      </c>
      <c r="B3013" t="s">
        <v>538</v>
      </c>
      <c r="C3013" t="s">
        <v>640</v>
      </c>
      <c r="D3013" t="s">
        <v>191</v>
      </c>
    </row>
    <row r="3014" spans="1:4">
      <c r="A3014" s="2">
        <v>0.15530988982316415</v>
      </c>
      <c r="B3014" t="s">
        <v>539</v>
      </c>
      <c r="C3014" t="s">
        <v>640</v>
      </c>
      <c r="D3014" t="s">
        <v>191</v>
      </c>
    </row>
    <row r="3015" spans="1:4">
      <c r="A3015" s="2">
        <v>0.38777726074143015</v>
      </c>
      <c r="B3015" t="s">
        <v>540</v>
      </c>
      <c r="C3015" t="s">
        <v>640</v>
      </c>
      <c r="D3015" t="s">
        <v>191</v>
      </c>
    </row>
    <row r="3016" spans="1:4">
      <c r="A3016" s="2">
        <v>0.21161781822029416</v>
      </c>
      <c r="B3016" t="s">
        <v>541</v>
      </c>
      <c r="C3016" t="s">
        <v>640</v>
      </c>
      <c r="D3016" t="s">
        <v>191</v>
      </c>
    </row>
    <row r="3017" spans="1:4">
      <c r="A3017" s="2">
        <v>1</v>
      </c>
      <c r="B3017" t="s">
        <v>542</v>
      </c>
      <c r="C3017" t="s">
        <v>191</v>
      </c>
      <c r="D3017" t="s">
        <v>191</v>
      </c>
    </row>
    <row r="3018" spans="1:4">
      <c r="A3018" s="2">
        <v>6.9041</v>
      </c>
      <c r="B3018" t="s">
        <v>364</v>
      </c>
      <c r="C3018" t="s">
        <v>642</v>
      </c>
      <c r="D3018" t="s">
        <v>642</v>
      </c>
    </row>
    <row r="3019" spans="1:4">
      <c r="A3019" s="2">
        <v>7.9676</v>
      </c>
      <c r="B3019" t="s">
        <v>373</v>
      </c>
      <c r="C3019" t="s">
        <v>642</v>
      </c>
      <c r="D3019" t="s">
        <v>642</v>
      </c>
    </row>
    <row r="3020" spans="1:4">
      <c r="A3020" s="2">
        <v>0.04332</v>
      </c>
      <c r="B3020" t="s">
        <v>520</v>
      </c>
      <c r="C3020" t="s">
        <v>642</v>
      </c>
      <c r="D3020" t="s">
        <v>642</v>
      </c>
    </row>
    <row r="3021" spans="1:4">
      <c r="A3021" s="2">
        <v>0.88114</v>
      </c>
      <c r="B3021" t="s">
        <v>370</v>
      </c>
      <c r="C3021" t="s">
        <v>642</v>
      </c>
      <c r="D3021" t="s">
        <v>642</v>
      </c>
    </row>
    <row r="3022" spans="1:4">
      <c r="A3022" s="2">
        <v>9.1909</v>
      </c>
      <c r="B3022" t="s">
        <v>521</v>
      </c>
      <c r="C3022" t="s">
        <v>642</v>
      </c>
      <c r="D3022" t="s">
        <v>642</v>
      </c>
    </row>
    <row r="3023" spans="1:4">
      <c r="A3023" s="2">
        <v>4.8326</v>
      </c>
      <c r="B3023" t="s">
        <v>522</v>
      </c>
      <c r="C3023" t="s">
        <v>642</v>
      </c>
      <c r="D3023" t="s">
        <v>642</v>
      </c>
    </row>
    <row r="3024" spans="1:4">
      <c r="A3024" s="2">
        <v>4.0207999999999995</v>
      </c>
      <c r="B3024" t="s">
        <v>523</v>
      </c>
      <c r="C3024" t="s">
        <v>642</v>
      </c>
      <c r="D3024" t="s">
        <v>642</v>
      </c>
    </row>
    <row r="3025" spans="1:4">
      <c r="A3025" s="2">
        <v>5.3776</v>
      </c>
      <c r="B3025" t="s">
        <v>524</v>
      </c>
      <c r="C3025" t="s">
        <v>642</v>
      </c>
      <c r="D3025" t="s">
        <v>642</v>
      </c>
    </row>
    <row r="3026" spans="1:4">
      <c r="A3026" s="2">
        <v>8.753400000000001</v>
      </c>
      <c r="B3026" t="s">
        <v>525</v>
      </c>
      <c r="C3026" t="s">
        <v>642</v>
      </c>
      <c r="D3026" t="s">
        <v>642</v>
      </c>
    </row>
    <row r="3027" spans="1:4">
      <c r="A3027" s="2">
        <v>5.0275</v>
      </c>
      <c r="B3027" t="s">
        <v>526</v>
      </c>
      <c r="C3027" t="s">
        <v>642</v>
      </c>
      <c r="D3027" t="s">
        <v>642</v>
      </c>
    </row>
    <row r="3028" spans="1:4">
      <c r="A3028" s="2">
        <v>0.8550662676357418</v>
      </c>
      <c r="B3028" t="s">
        <v>527</v>
      </c>
      <c r="C3028" t="s">
        <v>642</v>
      </c>
      <c r="D3028" t="s">
        <v>642</v>
      </c>
    </row>
    <row r="3029" spans="1:4">
      <c r="A3029" s="2">
        <v>1.7526640493550196</v>
      </c>
      <c r="B3029" t="s">
        <v>528</v>
      </c>
      <c r="C3029" t="s">
        <v>642</v>
      </c>
      <c r="D3029" t="s">
        <v>642</v>
      </c>
    </row>
    <row r="3030" spans="1:4">
      <c r="A3030" s="2">
        <v>0.08288437629506838</v>
      </c>
      <c r="B3030" t="s">
        <v>529</v>
      </c>
      <c r="C3030" t="s">
        <v>642</v>
      </c>
      <c r="D3030" t="s">
        <v>642</v>
      </c>
    </row>
    <row r="3031" spans="1:4">
      <c r="A3031" s="2">
        <v>0.4038772213247173</v>
      </c>
      <c r="B3031" t="s">
        <v>530</v>
      </c>
      <c r="C3031" t="s">
        <v>642</v>
      </c>
      <c r="D3031" t="s">
        <v>642</v>
      </c>
    </row>
    <row r="3032" spans="1:4">
      <c r="A3032" s="2">
        <v>0.004580432392817882</v>
      </c>
      <c r="B3032" t="s">
        <v>531</v>
      </c>
      <c r="C3032" t="s">
        <v>642</v>
      </c>
      <c r="D3032" t="s">
        <v>642</v>
      </c>
    </row>
    <row r="3033" spans="1:4">
      <c r="A3033" s="2">
        <v>1.8766655406673425</v>
      </c>
      <c r="B3033" t="s">
        <v>532</v>
      </c>
      <c r="C3033" t="s">
        <v>642</v>
      </c>
      <c r="D3033" t="s">
        <v>642</v>
      </c>
    </row>
    <row r="3034" spans="1:4">
      <c r="A3034" s="2">
        <v>1.8359066625052785</v>
      </c>
      <c r="B3034" t="s">
        <v>533</v>
      </c>
      <c r="C3034" t="s">
        <v>642</v>
      </c>
      <c r="D3034" t="s">
        <v>642</v>
      </c>
    </row>
    <row r="3035" spans="1:4">
      <c r="A3035" s="2">
        <v>0.02028278255437307</v>
      </c>
      <c r="B3035" t="s">
        <v>534</v>
      </c>
      <c r="C3035" t="s">
        <v>642</v>
      </c>
      <c r="D3035" t="s">
        <v>642</v>
      </c>
    </row>
    <row r="3036" spans="1:4">
      <c r="A3036" s="2">
        <v>1.8652192565236043</v>
      </c>
      <c r="B3036" t="s">
        <v>535</v>
      </c>
      <c r="C3036" t="s">
        <v>642</v>
      </c>
      <c r="D3036" t="s">
        <v>642</v>
      </c>
    </row>
    <row r="3037" spans="1:4">
      <c r="A3037" s="2">
        <v>1.0667804565820356</v>
      </c>
      <c r="B3037" t="s">
        <v>536</v>
      </c>
      <c r="C3037" t="s">
        <v>642</v>
      </c>
      <c r="D3037" t="s">
        <v>642</v>
      </c>
    </row>
    <row r="3038" spans="1:4">
      <c r="A3038" s="2">
        <v>0.7380073800738007</v>
      </c>
      <c r="B3038" t="s">
        <v>537</v>
      </c>
      <c r="C3038" t="s">
        <v>642</v>
      </c>
      <c r="D3038" t="s">
        <v>642</v>
      </c>
    </row>
    <row r="3039" spans="1:4">
      <c r="A3039" s="2">
        <v>0.7201497911565605</v>
      </c>
      <c r="B3039" t="s">
        <v>538</v>
      </c>
      <c r="C3039" t="s">
        <v>642</v>
      </c>
      <c r="D3039" t="s">
        <v>642</v>
      </c>
    </row>
    <row r="3040" spans="1:4">
      <c r="A3040" s="2">
        <v>0.15555292843943078</v>
      </c>
      <c r="B3040" t="s">
        <v>539</v>
      </c>
      <c r="C3040" t="s">
        <v>642</v>
      </c>
      <c r="D3040" t="s">
        <v>642</v>
      </c>
    </row>
    <row r="3041" spans="1:4">
      <c r="A3041" s="2">
        <v>0.3843936190659235</v>
      </c>
      <c r="B3041" t="s">
        <v>540</v>
      </c>
      <c r="C3041" t="s">
        <v>642</v>
      </c>
      <c r="D3041" t="s">
        <v>642</v>
      </c>
    </row>
    <row r="3042" spans="1:4">
      <c r="A3042" s="2">
        <v>0.2093188763762716</v>
      </c>
      <c r="B3042" t="s">
        <v>541</v>
      </c>
      <c r="C3042" t="s">
        <v>642</v>
      </c>
      <c r="D3042" t="s">
        <v>642</v>
      </c>
    </row>
    <row r="3043" spans="1:4">
      <c r="A3043" s="2">
        <v>1</v>
      </c>
      <c r="B3043" t="s">
        <v>542</v>
      </c>
      <c r="C3043" t="s">
        <v>642</v>
      </c>
      <c r="D3043" t="s">
        <v>642</v>
      </c>
    </row>
    <row r="3044" spans="1:4">
      <c r="A3044" s="2">
        <v>6.894299999999999</v>
      </c>
      <c r="B3044" t="s">
        <v>364</v>
      </c>
      <c r="C3044" t="s">
        <v>196</v>
      </c>
      <c r="D3044" t="s">
        <v>196</v>
      </c>
    </row>
    <row r="3045" spans="1:4">
      <c r="A3045" s="2">
        <v>7.9941</v>
      </c>
      <c r="B3045" t="s">
        <v>373</v>
      </c>
      <c r="C3045" t="s">
        <v>196</v>
      </c>
      <c r="D3045" t="s">
        <v>196</v>
      </c>
    </row>
    <row r="3046" spans="1:4">
      <c r="A3046" s="2">
        <v>0.043476</v>
      </c>
      <c r="B3046" t="s">
        <v>520</v>
      </c>
      <c r="C3046" t="s">
        <v>196</v>
      </c>
      <c r="D3046" t="s">
        <v>196</v>
      </c>
    </row>
    <row r="3047" spans="1:4">
      <c r="A3047" s="2">
        <v>0.88015</v>
      </c>
      <c r="B3047" t="s">
        <v>370</v>
      </c>
      <c r="C3047" t="s">
        <v>196</v>
      </c>
      <c r="D3047" t="s">
        <v>196</v>
      </c>
    </row>
    <row r="3048" spans="1:4">
      <c r="A3048" s="2">
        <v>9.2471</v>
      </c>
      <c r="B3048" t="s">
        <v>521</v>
      </c>
      <c r="C3048" t="s">
        <v>196</v>
      </c>
      <c r="D3048" t="s">
        <v>196</v>
      </c>
    </row>
    <row r="3049" spans="1:4">
      <c r="A3049" s="2">
        <v>4.8255</v>
      </c>
      <c r="B3049" t="s">
        <v>522</v>
      </c>
      <c r="C3049" t="s">
        <v>196</v>
      </c>
      <c r="D3049" t="s">
        <v>196</v>
      </c>
    </row>
    <row r="3050" spans="1:4">
      <c r="A3050" s="2">
        <v>4.0301</v>
      </c>
      <c r="B3050" t="s">
        <v>523</v>
      </c>
      <c r="C3050" t="s">
        <v>196</v>
      </c>
      <c r="D3050" t="s">
        <v>196</v>
      </c>
    </row>
    <row r="3051" spans="1:4">
      <c r="A3051" s="2">
        <v>5.4036</v>
      </c>
      <c r="B3051" t="s">
        <v>524</v>
      </c>
      <c r="C3051" t="s">
        <v>196</v>
      </c>
      <c r="D3051" t="s">
        <v>196</v>
      </c>
    </row>
    <row r="3052" spans="1:4">
      <c r="A3052" s="2">
        <v>8.7578</v>
      </c>
      <c r="B3052" t="s">
        <v>525</v>
      </c>
      <c r="C3052" t="s">
        <v>196</v>
      </c>
      <c r="D3052" t="s">
        <v>196</v>
      </c>
    </row>
    <row r="3053" spans="1:4">
      <c r="A3053" s="2">
        <v>5.0183</v>
      </c>
      <c r="B3053" t="s">
        <v>526</v>
      </c>
      <c r="C3053" t="s">
        <v>196</v>
      </c>
      <c r="D3053" t="s">
        <v>196</v>
      </c>
    </row>
    <row r="3054" spans="1:4">
      <c r="A3054" s="2">
        <v>0.8541168431841476</v>
      </c>
      <c r="B3054" t="s">
        <v>527</v>
      </c>
      <c r="C3054" t="s">
        <v>196</v>
      </c>
      <c r="D3054" t="s">
        <v>196</v>
      </c>
    </row>
    <row r="3055" spans="1:4">
      <c r="A3055" s="2">
        <v>1.7529405577856856</v>
      </c>
      <c r="B3055" t="s">
        <v>528</v>
      </c>
      <c r="C3055" t="s">
        <v>196</v>
      </c>
      <c r="D3055" t="s">
        <v>196</v>
      </c>
    </row>
    <row r="3056" spans="1:4">
      <c r="A3056" s="2">
        <v>0.08406964329250351</v>
      </c>
      <c r="B3056" t="s">
        <v>529</v>
      </c>
      <c r="C3056" t="s">
        <v>196</v>
      </c>
      <c r="D3056" t="s">
        <v>196</v>
      </c>
    </row>
    <row r="3057" spans="1:4">
      <c r="A3057" s="2">
        <v>0.4091820450918614</v>
      </c>
      <c r="B3057" t="s">
        <v>530</v>
      </c>
      <c r="C3057" t="s">
        <v>196</v>
      </c>
      <c r="D3057" t="s">
        <v>196</v>
      </c>
    </row>
    <row r="3058" spans="1:4">
      <c r="A3058" s="2">
        <v>0.00461723150798781</v>
      </c>
      <c r="B3058" t="s">
        <v>531</v>
      </c>
      <c r="C3058" t="s">
        <v>196</v>
      </c>
      <c r="D3058" t="s">
        <v>196</v>
      </c>
    </row>
    <row r="3059" spans="1:4">
      <c r="A3059" s="2">
        <v>1.8752930145335207</v>
      </c>
      <c r="B3059" t="s">
        <v>532</v>
      </c>
      <c r="C3059" t="s">
        <v>196</v>
      </c>
      <c r="D3059" t="s">
        <v>196</v>
      </c>
    </row>
    <row r="3060" spans="1:4">
      <c r="A3060" s="2">
        <v>1.8348287187391057</v>
      </c>
      <c r="B3060" t="s">
        <v>533</v>
      </c>
      <c r="C3060" t="s">
        <v>196</v>
      </c>
      <c r="D3060" t="s">
        <v>196</v>
      </c>
    </row>
    <row r="3061" spans="1:4">
      <c r="A3061" s="2">
        <v>0.02061485877790994</v>
      </c>
      <c r="B3061" t="s">
        <v>534</v>
      </c>
      <c r="C3061" t="s">
        <v>196</v>
      </c>
      <c r="D3061" t="s">
        <v>196</v>
      </c>
    </row>
    <row r="3062" spans="1:4">
      <c r="A3062" s="2">
        <v>1.8772996921228504</v>
      </c>
      <c r="B3062" t="s">
        <v>535</v>
      </c>
      <c r="C3062" t="s">
        <v>196</v>
      </c>
      <c r="D3062" t="s">
        <v>196</v>
      </c>
    </row>
    <row r="3063" spans="1:4">
      <c r="A3063" s="2">
        <v>1.0702054794520548</v>
      </c>
      <c r="B3063" t="s">
        <v>536</v>
      </c>
      <c r="C3063" t="s">
        <v>196</v>
      </c>
      <c r="D3063" t="s">
        <v>196</v>
      </c>
    </row>
    <row r="3064" spans="1:4">
      <c r="A3064" s="2">
        <v>0.7381163271331562</v>
      </c>
      <c r="B3064" t="s">
        <v>537</v>
      </c>
      <c r="C3064" t="s">
        <v>196</v>
      </c>
      <c r="D3064" t="s">
        <v>196</v>
      </c>
    </row>
    <row r="3065" spans="1:4">
      <c r="A3065" s="2">
        <v>0.7073136228603764</v>
      </c>
      <c r="B3065" t="s">
        <v>538</v>
      </c>
      <c r="C3065" t="s">
        <v>196</v>
      </c>
      <c r="D3065" t="s">
        <v>196</v>
      </c>
    </row>
    <row r="3066" spans="1:4">
      <c r="A3066" s="2">
        <v>0.15534656264660832</v>
      </c>
      <c r="B3066" t="s">
        <v>539</v>
      </c>
      <c r="C3066" t="s">
        <v>196</v>
      </c>
      <c r="D3066" t="s">
        <v>196</v>
      </c>
    </row>
    <row r="3067" spans="1:4">
      <c r="A3067" s="2">
        <v>0.38726667183022223</v>
      </c>
      <c r="B3067" t="s">
        <v>540</v>
      </c>
      <c r="C3067" t="s">
        <v>196</v>
      </c>
      <c r="D3067" t="s">
        <v>196</v>
      </c>
    </row>
    <row r="3068" spans="1:4">
      <c r="A3068" s="2">
        <v>0.212300702715326</v>
      </c>
      <c r="B3068" t="s">
        <v>541</v>
      </c>
      <c r="C3068" t="s">
        <v>196</v>
      </c>
      <c r="D3068" t="s">
        <v>196</v>
      </c>
    </row>
    <row r="3069" spans="1:4">
      <c r="A3069" s="2">
        <v>1</v>
      </c>
      <c r="B3069" t="s">
        <v>542</v>
      </c>
      <c r="C3069" t="s">
        <v>196</v>
      </c>
      <c r="D3069" t="s">
        <v>196</v>
      </c>
    </row>
    <row r="3070" spans="1:4">
      <c r="A3070" s="2">
        <v>6.8911</v>
      </c>
      <c r="B3070" t="s">
        <v>364</v>
      </c>
      <c r="C3070" t="s">
        <v>201</v>
      </c>
      <c r="D3070" t="s">
        <v>201</v>
      </c>
    </row>
    <row r="3071" spans="1:4">
      <c r="A3071" s="2">
        <v>8.0008</v>
      </c>
      <c r="B3071" t="s">
        <v>373</v>
      </c>
      <c r="C3071" t="s">
        <v>201</v>
      </c>
      <c r="D3071" t="s">
        <v>201</v>
      </c>
    </row>
    <row r="3072" spans="1:4">
      <c r="A3072" s="2">
        <v>0.043394</v>
      </c>
      <c r="B3072" t="s">
        <v>520</v>
      </c>
      <c r="C3072" t="s">
        <v>201</v>
      </c>
      <c r="D3072" t="s">
        <v>201</v>
      </c>
    </row>
    <row r="3073" spans="1:4">
      <c r="A3073" s="2">
        <v>0.88092</v>
      </c>
      <c r="B3073" t="s">
        <v>370</v>
      </c>
      <c r="C3073" t="s">
        <v>201</v>
      </c>
      <c r="D3073" t="s">
        <v>201</v>
      </c>
    </row>
    <row r="3074" spans="1:4">
      <c r="A3074" s="2">
        <v>9.2426</v>
      </c>
      <c r="B3074" t="s">
        <v>521</v>
      </c>
      <c r="C3074" t="s">
        <v>201</v>
      </c>
      <c r="D3074" t="s">
        <v>201</v>
      </c>
    </row>
    <row r="3075" spans="1:4">
      <c r="A3075" s="2">
        <v>4.8187</v>
      </c>
      <c r="B3075" t="s">
        <v>522</v>
      </c>
      <c r="C3075" t="s">
        <v>201</v>
      </c>
      <c r="D3075" t="s">
        <v>201</v>
      </c>
    </row>
    <row r="3076" spans="1:4">
      <c r="A3076" s="2">
        <v>4.0192000000000005</v>
      </c>
      <c r="B3076" t="s">
        <v>523</v>
      </c>
      <c r="C3076" t="s">
        <v>201</v>
      </c>
      <c r="D3076" t="s">
        <v>201</v>
      </c>
    </row>
    <row r="3077" spans="1:4">
      <c r="A3077" s="2">
        <v>5.3908000000000005</v>
      </c>
      <c r="B3077" t="s">
        <v>524</v>
      </c>
      <c r="C3077" t="s">
        <v>201</v>
      </c>
      <c r="D3077" t="s">
        <v>201</v>
      </c>
    </row>
    <row r="3078" spans="1:4">
      <c r="A3078" s="2">
        <v>8.7418</v>
      </c>
      <c r="B3078" t="s">
        <v>525</v>
      </c>
      <c r="C3078" t="s">
        <v>201</v>
      </c>
      <c r="D3078" t="s">
        <v>201</v>
      </c>
    </row>
    <row r="3079" spans="1:4">
      <c r="A3079" s="2">
        <v>5.0045</v>
      </c>
      <c r="B3079" t="s">
        <v>526</v>
      </c>
      <c r="C3079" t="s">
        <v>201</v>
      </c>
      <c r="D3079" t="s">
        <v>201</v>
      </c>
    </row>
    <row r="3080" spans="1:4">
      <c r="A3080" s="2">
        <v>0.8549200649739249</v>
      </c>
      <c r="B3080" t="s">
        <v>527</v>
      </c>
      <c r="C3080" t="s">
        <v>201</v>
      </c>
      <c r="D3080" t="s">
        <v>201</v>
      </c>
    </row>
    <row r="3081" spans="1:4">
      <c r="A3081" s="2">
        <v>1.7438920182062323</v>
      </c>
      <c r="B3081" t="s">
        <v>528</v>
      </c>
      <c r="C3081" t="s">
        <v>201</v>
      </c>
      <c r="D3081" t="s">
        <v>201</v>
      </c>
    </row>
    <row r="3082" spans="1:4">
      <c r="A3082" s="2">
        <v>0.08557394444539528</v>
      </c>
      <c r="B3082" t="s">
        <v>529</v>
      </c>
      <c r="C3082" t="s">
        <v>201</v>
      </c>
      <c r="D3082" t="s">
        <v>201</v>
      </c>
    </row>
    <row r="3083" spans="1:4">
      <c r="A3083" s="2">
        <v>0.4072490327835471</v>
      </c>
      <c r="B3083" t="s">
        <v>530</v>
      </c>
      <c r="C3083" t="s">
        <v>201</v>
      </c>
      <c r="D3083" t="s">
        <v>201</v>
      </c>
    </row>
    <row r="3084" spans="1:4">
      <c r="A3084" s="2">
        <v>0.004605535854096624</v>
      </c>
      <c r="B3084" t="s">
        <v>531</v>
      </c>
      <c r="C3084" t="s">
        <v>201</v>
      </c>
      <c r="D3084" t="s">
        <v>201</v>
      </c>
    </row>
    <row r="3085" spans="1:4">
      <c r="A3085" s="2">
        <v>1.8744142455482664</v>
      </c>
      <c r="B3085" t="s">
        <v>532</v>
      </c>
      <c r="C3085" t="s">
        <v>201</v>
      </c>
      <c r="D3085" t="s">
        <v>201</v>
      </c>
    </row>
    <row r="3086" spans="1:4">
      <c r="A3086" s="2">
        <v>1.834189288334556</v>
      </c>
      <c r="B3086" t="s">
        <v>533</v>
      </c>
      <c r="C3086" t="s">
        <v>201</v>
      </c>
      <c r="D3086" t="s">
        <v>201</v>
      </c>
    </row>
    <row r="3087" spans="1:4">
      <c r="A3087" s="2">
        <v>0.02048042992518499</v>
      </c>
      <c r="B3087" t="s">
        <v>534</v>
      </c>
      <c r="C3087" t="s">
        <v>201</v>
      </c>
      <c r="D3087" t="s">
        <v>201</v>
      </c>
    </row>
    <row r="3088" spans="1:4">
      <c r="A3088" s="2">
        <v>1.873711823121604</v>
      </c>
      <c r="B3088" t="s">
        <v>535</v>
      </c>
      <c r="C3088" t="s">
        <v>201</v>
      </c>
      <c r="D3088" t="s">
        <v>201</v>
      </c>
    </row>
    <row r="3089" spans="1:4">
      <c r="A3089" s="2">
        <v>1.070663811563169</v>
      </c>
      <c r="B3089" t="s">
        <v>536</v>
      </c>
      <c r="C3089" t="s">
        <v>201</v>
      </c>
      <c r="D3089" t="s">
        <v>201</v>
      </c>
    </row>
    <row r="3090" spans="1:4">
      <c r="A3090" s="2">
        <v>0.7400281210686006</v>
      </c>
      <c r="B3090" t="s">
        <v>537</v>
      </c>
      <c r="C3090" t="s">
        <v>201</v>
      </c>
      <c r="D3090" t="s">
        <v>201</v>
      </c>
    </row>
    <row r="3091" spans="1:4">
      <c r="A3091" s="2">
        <v>0.710277718587968</v>
      </c>
      <c r="B3091" t="s">
        <v>538</v>
      </c>
      <c r="C3091" t="s">
        <v>201</v>
      </c>
      <c r="D3091" t="s">
        <v>201</v>
      </c>
    </row>
    <row r="3092" spans="1:4">
      <c r="A3092" s="2">
        <v>0.15529373032622554</v>
      </c>
      <c r="B3092" t="s">
        <v>539</v>
      </c>
      <c r="C3092" t="s">
        <v>201</v>
      </c>
      <c r="D3092" t="s">
        <v>201</v>
      </c>
    </row>
    <row r="3093" spans="1:4">
      <c r="A3093" s="2">
        <v>0.38842493688094776</v>
      </c>
      <c r="B3093" t="s">
        <v>540</v>
      </c>
      <c r="C3093" t="s">
        <v>201</v>
      </c>
      <c r="D3093" t="s">
        <v>201</v>
      </c>
    </row>
    <row r="3094" spans="1:4">
      <c r="A3094" s="2">
        <v>0.2120800814387513</v>
      </c>
      <c r="B3094" t="s">
        <v>541</v>
      </c>
      <c r="C3094" t="s">
        <v>201</v>
      </c>
      <c r="D3094" t="s">
        <v>201</v>
      </c>
    </row>
    <row r="3095" spans="1:4">
      <c r="A3095" s="2">
        <v>1</v>
      </c>
      <c r="B3095" t="s">
        <v>542</v>
      </c>
      <c r="C3095" t="s">
        <v>201</v>
      </c>
      <c r="D3095" t="s">
        <v>201</v>
      </c>
    </row>
    <row r="3096" spans="1:4">
      <c r="A3096" s="2">
        <v>6.9056</v>
      </c>
      <c r="B3096" t="s">
        <v>364</v>
      </c>
      <c r="C3096" t="s">
        <v>207</v>
      </c>
      <c r="D3096" t="s">
        <v>207</v>
      </c>
    </row>
    <row r="3097" spans="1:4">
      <c r="A3097" s="2">
        <v>7.9798</v>
      </c>
      <c r="B3097" t="s">
        <v>373</v>
      </c>
      <c r="C3097" t="s">
        <v>207</v>
      </c>
      <c r="D3097" t="s">
        <v>207</v>
      </c>
    </row>
    <row r="3098" spans="1:4">
      <c r="A3098" s="2">
        <v>0.043337</v>
      </c>
      <c r="B3098" t="s">
        <v>520</v>
      </c>
      <c r="C3098" t="s">
        <v>207</v>
      </c>
      <c r="D3098" t="s">
        <v>207</v>
      </c>
    </row>
    <row r="3099" spans="1:4">
      <c r="A3099" s="2">
        <v>0.88357</v>
      </c>
      <c r="B3099" t="s">
        <v>370</v>
      </c>
      <c r="C3099" t="s">
        <v>207</v>
      </c>
      <c r="D3099" t="s">
        <v>207</v>
      </c>
    </row>
    <row r="3100" spans="1:4">
      <c r="A3100" s="2">
        <v>9.2285</v>
      </c>
      <c r="B3100" t="s">
        <v>521</v>
      </c>
      <c r="C3100" t="s">
        <v>207</v>
      </c>
      <c r="D3100" t="s">
        <v>207</v>
      </c>
    </row>
    <row r="3101" spans="1:4">
      <c r="A3101" s="2">
        <v>4.7958</v>
      </c>
      <c r="B3101" t="s">
        <v>522</v>
      </c>
      <c r="C3101" t="s">
        <v>207</v>
      </c>
      <c r="D3101" t="s">
        <v>207</v>
      </c>
    </row>
    <row r="3102" spans="1:4">
      <c r="A3102" s="2">
        <v>4.010400000000001</v>
      </c>
      <c r="B3102" t="s">
        <v>523</v>
      </c>
      <c r="C3102" t="s">
        <v>207</v>
      </c>
      <c r="D3102" t="s">
        <v>207</v>
      </c>
    </row>
    <row r="3103" spans="1:4">
      <c r="A3103" s="2">
        <v>5.3876</v>
      </c>
      <c r="B3103" t="s">
        <v>524</v>
      </c>
      <c r="C3103" t="s">
        <v>207</v>
      </c>
      <c r="D3103" t="s">
        <v>207</v>
      </c>
    </row>
    <row r="3104" spans="1:4">
      <c r="A3104" s="2">
        <v>8.7262</v>
      </c>
      <c r="B3104" t="s">
        <v>525</v>
      </c>
      <c r="C3104" t="s">
        <v>207</v>
      </c>
      <c r="D3104" t="s">
        <v>207</v>
      </c>
    </row>
    <row r="3105" spans="1:4">
      <c r="A3105" s="2">
        <v>5.0009</v>
      </c>
      <c r="B3105" t="s">
        <v>526</v>
      </c>
      <c r="C3105" t="s">
        <v>207</v>
      </c>
      <c r="D3105" t="s">
        <v>207</v>
      </c>
    </row>
    <row r="3106" spans="1:4">
      <c r="A3106" s="2">
        <v>0.8574123295892996</v>
      </c>
      <c r="B3106" t="s">
        <v>527</v>
      </c>
      <c r="C3106" t="s">
        <v>207</v>
      </c>
      <c r="D3106" t="s">
        <v>207</v>
      </c>
    </row>
    <row r="3107" spans="1:4">
      <c r="A3107" s="2">
        <v>1.7418264792461375</v>
      </c>
      <c r="B3107" t="s">
        <v>528</v>
      </c>
      <c r="C3107" t="s">
        <v>207</v>
      </c>
      <c r="D3107" t="s">
        <v>207</v>
      </c>
    </row>
    <row r="3108" spans="1:4">
      <c r="A3108" s="2">
        <v>0.08526094111026798</v>
      </c>
      <c r="B3108" t="s">
        <v>529</v>
      </c>
      <c r="C3108" t="s">
        <v>207</v>
      </c>
      <c r="D3108" t="s">
        <v>207</v>
      </c>
    </row>
    <row r="3109" spans="1:4">
      <c r="A3109" s="2">
        <v>0.40661976985321024</v>
      </c>
      <c r="B3109" t="s">
        <v>530</v>
      </c>
      <c r="C3109" t="s">
        <v>207</v>
      </c>
      <c r="D3109" t="s">
        <v>207</v>
      </c>
    </row>
    <row r="3110" spans="1:4">
      <c r="A3110" s="2">
        <v>0.004589261128958238</v>
      </c>
      <c r="B3110" t="s">
        <v>531</v>
      </c>
      <c r="C3110" t="s">
        <v>207</v>
      </c>
      <c r="D3110" t="s">
        <v>207</v>
      </c>
    </row>
    <row r="3111" spans="1:4">
      <c r="A3111" s="2">
        <v>1.880300095895305</v>
      </c>
      <c r="B3111" t="s">
        <v>532</v>
      </c>
      <c r="C3111" t="s">
        <v>207</v>
      </c>
      <c r="D3111" t="s">
        <v>207</v>
      </c>
    </row>
    <row r="3112" spans="1:4">
      <c r="A3112" s="2">
        <v>1.8408070097930933</v>
      </c>
      <c r="B3112" t="s">
        <v>533</v>
      </c>
      <c r="C3112" t="s">
        <v>207</v>
      </c>
      <c r="D3112" t="s">
        <v>207</v>
      </c>
    </row>
    <row r="3113" spans="1:4">
      <c r="A3113" s="2">
        <v>0.020614731286977675</v>
      </c>
      <c r="B3113" t="s">
        <v>534</v>
      </c>
      <c r="C3113" t="s">
        <v>207</v>
      </c>
      <c r="D3113" t="s">
        <v>207</v>
      </c>
    </row>
    <row r="3114" spans="1:4">
      <c r="A3114" s="2">
        <v>1.8673787604339789</v>
      </c>
      <c r="B3114" t="s">
        <v>535</v>
      </c>
      <c r="C3114" t="s">
        <v>207</v>
      </c>
      <c r="D3114" t="s">
        <v>207</v>
      </c>
    </row>
    <row r="3115" spans="1:4">
      <c r="A3115" s="2">
        <v>1.068604402650139</v>
      </c>
      <c r="B3115" t="s">
        <v>536</v>
      </c>
      <c r="C3115" t="s">
        <v>207</v>
      </c>
      <c r="D3115" t="s">
        <v>207</v>
      </c>
    </row>
    <row r="3116" spans="1:4">
      <c r="A3116" s="2">
        <v>0.7383343177790904</v>
      </c>
      <c r="B3116" t="s">
        <v>537</v>
      </c>
      <c r="C3116" t="s">
        <v>207</v>
      </c>
      <c r="D3116" t="s">
        <v>207</v>
      </c>
    </row>
    <row r="3117" spans="1:4">
      <c r="A3117" s="2">
        <v>0.7130124777183601</v>
      </c>
      <c r="B3117" t="s">
        <v>538</v>
      </c>
      <c r="C3117" t="s">
        <v>207</v>
      </c>
      <c r="D3117" t="s">
        <v>207</v>
      </c>
    </row>
    <row r="3118" spans="1:4">
      <c r="A3118" s="2">
        <v>0.15568709385129392</v>
      </c>
      <c r="B3118" t="s">
        <v>539</v>
      </c>
      <c r="C3118" t="s">
        <v>207</v>
      </c>
      <c r="D3118" t="s">
        <v>207</v>
      </c>
    </row>
    <row r="3119" spans="1:4">
      <c r="A3119" s="2">
        <v>0.3882138281765597</v>
      </c>
      <c r="B3119" t="s">
        <v>540</v>
      </c>
      <c r="C3119" t="s">
        <v>207</v>
      </c>
      <c r="D3119" t="s">
        <v>207</v>
      </c>
    </row>
    <row r="3120" spans="1:4">
      <c r="A3120" s="2">
        <v>0.21089482674989984</v>
      </c>
      <c r="B3120" t="s">
        <v>541</v>
      </c>
      <c r="C3120" t="s">
        <v>207</v>
      </c>
      <c r="D3120" t="s">
        <v>207</v>
      </c>
    </row>
    <row r="3121" spans="1:4">
      <c r="A3121" s="2">
        <v>1</v>
      </c>
      <c r="B3121" t="s">
        <v>542</v>
      </c>
      <c r="C3121" t="s">
        <v>207</v>
      </c>
      <c r="D3121" t="s">
        <v>207</v>
      </c>
    </row>
    <row r="3122" spans="1:4">
      <c r="A3122" s="2">
        <v>6.9140999999999995</v>
      </c>
      <c r="B3122" t="s">
        <v>364</v>
      </c>
      <c r="C3122" t="s">
        <v>643</v>
      </c>
      <c r="D3122" t="s">
        <v>643</v>
      </c>
    </row>
    <row r="3123" spans="1:4">
      <c r="A3123" s="2">
        <v>7.968500000000001</v>
      </c>
      <c r="B3123" t="s">
        <v>373</v>
      </c>
      <c r="C3123" t="s">
        <v>643</v>
      </c>
      <c r="D3123" t="s">
        <v>643</v>
      </c>
    </row>
    <row r="3124" spans="1:4">
      <c r="A3124" s="2">
        <v>0.043271</v>
      </c>
      <c r="B3124" t="s">
        <v>520</v>
      </c>
      <c r="C3124" t="s">
        <v>643</v>
      </c>
      <c r="D3124" t="s">
        <v>643</v>
      </c>
    </row>
    <row r="3125" spans="1:4">
      <c r="A3125" s="2">
        <v>0.88361</v>
      </c>
      <c r="B3125" t="s">
        <v>370</v>
      </c>
      <c r="C3125" t="s">
        <v>643</v>
      </c>
      <c r="D3125" t="s">
        <v>643</v>
      </c>
    </row>
    <row r="3126" spans="1:4">
      <c r="A3126" s="2">
        <v>9.213</v>
      </c>
      <c r="B3126" t="s">
        <v>521</v>
      </c>
      <c r="C3126" t="s">
        <v>643</v>
      </c>
      <c r="D3126" t="s">
        <v>643</v>
      </c>
    </row>
    <row r="3127" spans="1:4">
      <c r="A3127" s="2">
        <v>4.7607</v>
      </c>
      <c r="B3127" t="s">
        <v>522</v>
      </c>
      <c r="C3127" t="s">
        <v>643</v>
      </c>
      <c r="D3127" t="s">
        <v>643</v>
      </c>
    </row>
    <row r="3128" spans="1:4">
      <c r="A3128" s="2">
        <v>3.981</v>
      </c>
      <c r="B3128" t="s">
        <v>523</v>
      </c>
      <c r="C3128" t="s">
        <v>643</v>
      </c>
      <c r="D3128" t="s">
        <v>643</v>
      </c>
    </row>
    <row r="3129" spans="1:4">
      <c r="A3129" s="2">
        <v>5.374199999999999</v>
      </c>
      <c r="B3129" t="s">
        <v>524</v>
      </c>
      <c r="C3129" t="s">
        <v>643</v>
      </c>
      <c r="D3129" t="s">
        <v>643</v>
      </c>
    </row>
    <row r="3130" spans="1:4">
      <c r="A3130" s="2">
        <v>8.6953</v>
      </c>
      <c r="B3130" t="s">
        <v>525</v>
      </c>
      <c r="C3130" t="s">
        <v>643</v>
      </c>
      <c r="D3130" t="s">
        <v>643</v>
      </c>
    </row>
    <row r="3131" spans="1:4">
      <c r="A3131" s="2">
        <v>4.9877</v>
      </c>
      <c r="B3131" t="s">
        <v>526</v>
      </c>
      <c r="C3131" t="s">
        <v>643</v>
      </c>
      <c r="D3131" t="s">
        <v>643</v>
      </c>
    </row>
    <row r="3132" spans="1:4">
      <c r="A3132" s="2">
        <v>0.8574858514834505</v>
      </c>
      <c r="B3132" t="s">
        <v>527</v>
      </c>
      <c r="C3132" t="s">
        <v>643</v>
      </c>
      <c r="D3132" t="s">
        <v>643</v>
      </c>
    </row>
    <row r="3133" spans="1:4">
      <c r="A3133" s="2">
        <v>1.728339584161496</v>
      </c>
      <c r="B3133" t="s">
        <v>528</v>
      </c>
      <c r="C3133" t="s">
        <v>643</v>
      </c>
      <c r="D3133" t="s">
        <v>643</v>
      </c>
    </row>
    <row r="3134" spans="1:4">
      <c r="A3134" s="2">
        <v>0.08490838385382173</v>
      </c>
      <c r="B3134" t="s">
        <v>529</v>
      </c>
      <c r="C3134" t="s">
        <v>643</v>
      </c>
      <c r="D3134" t="s">
        <v>643</v>
      </c>
    </row>
    <row r="3135" spans="1:4">
      <c r="A3135" s="2">
        <v>0.4046617028164454</v>
      </c>
      <c r="B3135" t="s">
        <v>530</v>
      </c>
      <c r="C3135" t="s">
        <v>643</v>
      </c>
      <c r="D3135" t="s">
        <v>643</v>
      </c>
    </row>
    <row r="3136" spans="1:4">
      <c r="A3136" s="2">
        <v>0.004577706569008927</v>
      </c>
      <c r="B3136" t="s">
        <v>531</v>
      </c>
      <c r="C3136" t="s">
        <v>643</v>
      </c>
      <c r="D3136" t="s">
        <v>643</v>
      </c>
    </row>
    <row r="3137" spans="1:4">
      <c r="A3137" s="2">
        <v>1.8810428501561265</v>
      </c>
      <c r="B3137" t="s">
        <v>532</v>
      </c>
      <c r="C3137" t="s">
        <v>643</v>
      </c>
      <c r="D3137" t="s">
        <v>643</v>
      </c>
    </row>
    <row r="3138" spans="1:4">
      <c r="A3138" s="2">
        <v>1.8414849734826164</v>
      </c>
      <c r="B3138" t="s">
        <v>533</v>
      </c>
      <c r="C3138" t="s">
        <v>643</v>
      </c>
      <c r="D3138" t="s">
        <v>643</v>
      </c>
    </row>
    <row r="3139" spans="1:4">
      <c r="A3139" s="2">
        <v>0.020552365371730632</v>
      </c>
      <c r="B3139" t="s">
        <v>534</v>
      </c>
      <c r="C3139" t="s">
        <v>643</v>
      </c>
      <c r="D3139" t="s">
        <v>643</v>
      </c>
    </row>
    <row r="3140" spans="1:4">
      <c r="A3140" s="2">
        <v>1.8637939389421103</v>
      </c>
      <c r="B3140" t="s">
        <v>535</v>
      </c>
      <c r="C3140" t="s">
        <v>643</v>
      </c>
      <c r="D3140" t="s">
        <v>643</v>
      </c>
    </row>
    <row r="3141" spans="1:4">
      <c r="A3141" s="2">
        <v>1.0665529010238908</v>
      </c>
      <c r="B3141" t="s">
        <v>536</v>
      </c>
      <c r="C3141" t="s">
        <v>643</v>
      </c>
      <c r="D3141" t="s">
        <v>643</v>
      </c>
    </row>
    <row r="3142" spans="1:4">
      <c r="A3142" s="2">
        <v>0.7330840847445202</v>
      </c>
      <c r="B3142" t="s">
        <v>537</v>
      </c>
      <c r="C3142" t="s">
        <v>643</v>
      </c>
      <c r="D3142" t="s">
        <v>643</v>
      </c>
    </row>
    <row r="3143" spans="1:4">
      <c r="A3143" s="2">
        <v>0.7125552230297848</v>
      </c>
      <c r="B3143" t="s">
        <v>538</v>
      </c>
      <c r="C3143" t="s">
        <v>643</v>
      </c>
      <c r="D3143" t="s">
        <v>643</v>
      </c>
    </row>
    <row r="3144" spans="1:4">
      <c r="A3144" s="2">
        <v>0.15539097924287298</v>
      </c>
      <c r="B3144" t="s">
        <v>539</v>
      </c>
      <c r="C3144" t="s">
        <v>643</v>
      </c>
      <c r="D3144" t="s">
        <v>643</v>
      </c>
    </row>
    <row r="3145" spans="1:4">
      <c r="A3145" s="2">
        <v>0.3855644663787785</v>
      </c>
      <c r="B3145" t="s">
        <v>540</v>
      </c>
      <c r="C3145" t="s">
        <v>643</v>
      </c>
      <c r="D3145" t="s">
        <v>643</v>
      </c>
    </row>
    <row r="3146" spans="1:4">
      <c r="A3146" s="2">
        <v>0.2096392109180101</v>
      </c>
      <c r="B3146" t="s">
        <v>541</v>
      </c>
      <c r="C3146" t="s">
        <v>643</v>
      </c>
      <c r="D3146" t="s">
        <v>643</v>
      </c>
    </row>
    <row r="3147" spans="1:4">
      <c r="A3147" s="2">
        <v>1</v>
      </c>
      <c r="B3147" t="s">
        <v>542</v>
      </c>
      <c r="C3147" t="s">
        <v>643</v>
      </c>
      <c r="D3147" t="s">
        <v>643</v>
      </c>
    </row>
    <row r="3148" spans="1:4">
      <c r="A3148" s="2">
        <v>6.9140999999999995</v>
      </c>
      <c r="B3148" t="s">
        <v>364</v>
      </c>
      <c r="C3148" t="s">
        <v>643</v>
      </c>
      <c r="D3148" t="s">
        <v>644</v>
      </c>
    </row>
    <row r="3149" spans="1:4">
      <c r="A3149" s="2">
        <v>7.968500000000001</v>
      </c>
      <c r="B3149" t="s">
        <v>373</v>
      </c>
      <c r="C3149" t="s">
        <v>643</v>
      </c>
      <c r="D3149" t="s">
        <v>644</v>
      </c>
    </row>
    <row r="3150" spans="1:4">
      <c r="A3150" s="2">
        <v>0.043271</v>
      </c>
      <c r="B3150" t="s">
        <v>520</v>
      </c>
      <c r="C3150" t="s">
        <v>643</v>
      </c>
      <c r="D3150" t="s">
        <v>644</v>
      </c>
    </row>
    <row r="3151" spans="1:4">
      <c r="A3151" s="2">
        <v>0.88361</v>
      </c>
      <c r="B3151" t="s">
        <v>370</v>
      </c>
      <c r="C3151" t="s">
        <v>643</v>
      </c>
      <c r="D3151" t="s">
        <v>644</v>
      </c>
    </row>
    <row r="3152" spans="1:4">
      <c r="A3152" s="2">
        <v>9.213</v>
      </c>
      <c r="B3152" t="s">
        <v>521</v>
      </c>
      <c r="C3152" t="s">
        <v>643</v>
      </c>
      <c r="D3152" t="s">
        <v>644</v>
      </c>
    </row>
    <row r="3153" spans="1:4">
      <c r="A3153" s="2">
        <v>4.7607</v>
      </c>
      <c r="B3153" t="s">
        <v>522</v>
      </c>
      <c r="C3153" t="s">
        <v>643</v>
      </c>
      <c r="D3153" t="s">
        <v>644</v>
      </c>
    </row>
    <row r="3154" spans="1:4">
      <c r="A3154" s="2">
        <v>3.981</v>
      </c>
      <c r="B3154" t="s">
        <v>523</v>
      </c>
      <c r="C3154" t="s">
        <v>643</v>
      </c>
      <c r="D3154" t="s">
        <v>644</v>
      </c>
    </row>
    <row r="3155" spans="1:4">
      <c r="A3155" s="2">
        <v>5.374199999999999</v>
      </c>
      <c r="B3155" t="s">
        <v>524</v>
      </c>
      <c r="C3155" t="s">
        <v>643</v>
      </c>
      <c r="D3155" t="s">
        <v>644</v>
      </c>
    </row>
    <row r="3156" spans="1:4">
      <c r="A3156" s="2">
        <v>8.6953</v>
      </c>
      <c r="B3156" t="s">
        <v>525</v>
      </c>
      <c r="C3156" t="s">
        <v>643</v>
      </c>
      <c r="D3156" t="s">
        <v>644</v>
      </c>
    </row>
    <row r="3157" spans="1:4">
      <c r="A3157" s="2">
        <v>4.9877</v>
      </c>
      <c r="B3157" t="s">
        <v>526</v>
      </c>
      <c r="C3157" t="s">
        <v>643</v>
      </c>
      <c r="D3157" t="s">
        <v>644</v>
      </c>
    </row>
    <row r="3158" spans="1:4">
      <c r="A3158" s="2">
        <v>0.8574858514834505</v>
      </c>
      <c r="B3158" t="s">
        <v>527</v>
      </c>
      <c r="C3158" t="s">
        <v>643</v>
      </c>
      <c r="D3158" t="s">
        <v>644</v>
      </c>
    </row>
    <row r="3159" spans="1:4">
      <c r="A3159" s="2">
        <v>1.728339584161496</v>
      </c>
      <c r="B3159" t="s">
        <v>528</v>
      </c>
      <c r="C3159" t="s">
        <v>643</v>
      </c>
      <c r="D3159" t="s">
        <v>644</v>
      </c>
    </row>
    <row r="3160" spans="1:4">
      <c r="A3160" s="2">
        <v>0.08490838385382173</v>
      </c>
      <c r="B3160" t="s">
        <v>529</v>
      </c>
      <c r="C3160" t="s">
        <v>643</v>
      </c>
      <c r="D3160" t="s">
        <v>644</v>
      </c>
    </row>
    <row r="3161" spans="1:4">
      <c r="A3161" s="2">
        <v>0.4046617028164454</v>
      </c>
      <c r="B3161" t="s">
        <v>530</v>
      </c>
      <c r="C3161" t="s">
        <v>643</v>
      </c>
      <c r="D3161" t="s">
        <v>644</v>
      </c>
    </row>
    <row r="3162" spans="1:4">
      <c r="A3162" s="2">
        <v>0.004577706569008927</v>
      </c>
      <c r="B3162" t="s">
        <v>531</v>
      </c>
      <c r="C3162" t="s">
        <v>643</v>
      </c>
      <c r="D3162" t="s">
        <v>644</v>
      </c>
    </row>
    <row r="3163" spans="1:4">
      <c r="A3163" s="2">
        <v>1.8810428501561265</v>
      </c>
      <c r="B3163" t="s">
        <v>532</v>
      </c>
      <c r="C3163" t="s">
        <v>643</v>
      </c>
      <c r="D3163" t="s">
        <v>644</v>
      </c>
    </row>
    <row r="3164" spans="1:4">
      <c r="A3164" s="2">
        <v>1.8414849734826164</v>
      </c>
      <c r="B3164" t="s">
        <v>533</v>
      </c>
      <c r="C3164" t="s">
        <v>643</v>
      </c>
      <c r="D3164" t="s">
        <v>644</v>
      </c>
    </row>
    <row r="3165" spans="1:4">
      <c r="A3165" s="2">
        <v>0.020552365371730632</v>
      </c>
      <c r="B3165" t="s">
        <v>534</v>
      </c>
      <c r="C3165" t="s">
        <v>643</v>
      </c>
      <c r="D3165" t="s">
        <v>644</v>
      </c>
    </row>
    <row r="3166" spans="1:4">
      <c r="A3166" s="2">
        <v>1.8637939389421103</v>
      </c>
      <c r="B3166" t="s">
        <v>535</v>
      </c>
      <c r="C3166" t="s">
        <v>643</v>
      </c>
      <c r="D3166" t="s">
        <v>644</v>
      </c>
    </row>
    <row r="3167" spans="1:4">
      <c r="A3167" s="2">
        <v>1.0665529010238908</v>
      </c>
      <c r="B3167" t="s">
        <v>536</v>
      </c>
      <c r="C3167" t="s">
        <v>643</v>
      </c>
      <c r="D3167" t="s">
        <v>644</v>
      </c>
    </row>
    <row r="3168" spans="1:4">
      <c r="A3168" s="2">
        <v>0.7330840847445202</v>
      </c>
      <c r="B3168" t="s">
        <v>537</v>
      </c>
      <c r="C3168" t="s">
        <v>643</v>
      </c>
      <c r="D3168" t="s">
        <v>644</v>
      </c>
    </row>
    <row r="3169" spans="1:4">
      <c r="A3169" s="2">
        <v>0.7125552230297848</v>
      </c>
      <c r="B3169" t="s">
        <v>538</v>
      </c>
      <c r="C3169" t="s">
        <v>643</v>
      </c>
      <c r="D3169" t="s">
        <v>644</v>
      </c>
    </row>
    <row r="3170" spans="1:4">
      <c r="A3170" s="2">
        <v>0.15539097924287298</v>
      </c>
      <c r="B3170" t="s">
        <v>539</v>
      </c>
      <c r="C3170" t="s">
        <v>643</v>
      </c>
      <c r="D3170" t="s">
        <v>644</v>
      </c>
    </row>
    <row r="3171" spans="1:4">
      <c r="A3171" s="2">
        <v>0.3855644663787785</v>
      </c>
      <c r="B3171" t="s">
        <v>540</v>
      </c>
      <c r="C3171" t="s">
        <v>643</v>
      </c>
      <c r="D3171" t="s">
        <v>644</v>
      </c>
    </row>
    <row r="3172" spans="1:4">
      <c r="A3172" s="2">
        <v>0.2096392109180101</v>
      </c>
      <c r="B3172" t="s">
        <v>541</v>
      </c>
      <c r="C3172" t="s">
        <v>643</v>
      </c>
      <c r="D3172" t="s">
        <v>644</v>
      </c>
    </row>
    <row r="3173" spans="1:4">
      <c r="A3173" s="2">
        <v>1</v>
      </c>
      <c r="B3173" t="s">
        <v>542</v>
      </c>
      <c r="C3173" t="s">
        <v>644</v>
      </c>
      <c r="D3173" t="s">
        <v>644</v>
      </c>
    </row>
    <row r="3174" spans="1:4">
      <c r="A3174" s="2">
        <v>6.9140999999999995</v>
      </c>
      <c r="B3174" t="s">
        <v>364</v>
      </c>
      <c r="C3174" t="s">
        <v>643</v>
      </c>
      <c r="D3174" t="s">
        <v>645</v>
      </c>
    </row>
    <row r="3175" spans="1:4">
      <c r="A3175" s="2">
        <v>7.968500000000001</v>
      </c>
      <c r="B3175" t="s">
        <v>373</v>
      </c>
      <c r="C3175" t="s">
        <v>643</v>
      </c>
      <c r="D3175" t="s">
        <v>645</v>
      </c>
    </row>
    <row r="3176" spans="1:4">
      <c r="A3176" s="2">
        <v>0.043271</v>
      </c>
      <c r="B3176" t="s">
        <v>520</v>
      </c>
      <c r="C3176" t="s">
        <v>643</v>
      </c>
      <c r="D3176" t="s">
        <v>645</v>
      </c>
    </row>
    <row r="3177" spans="1:4">
      <c r="A3177" s="2">
        <v>0.88361</v>
      </c>
      <c r="B3177" t="s">
        <v>370</v>
      </c>
      <c r="C3177" t="s">
        <v>643</v>
      </c>
      <c r="D3177" t="s">
        <v>645</v>
      </c>
    </row>
    <row r="3178" spans="1:4">
      <c r="A3178" s="2">
        <v>9.213</v>
      </c>
      <c r="B3178" t="s">
        <v>521</v>
      </c>
      <c r="C3178" t="s">
        <v>643</v>
      </c>
      <c r="D3178" t="s">
        <v>645</v>
      </c>
    </row>
    <row r="3179" spans="1:4">
      <c r="A3179" s="2">
        <v>4.7607</v>
      </c>
      <c r="B3179" t="s">
        <v>522</v>
      </c>
      <c r="C3179" t="s">
        <v>643</v>
      </c>
      <c r="D3179" t="s">
        <v>645</v>
      </c>
    </row>
    <row r="3180" spans="1:4">
      <c r="A3180" s="2">
        <v>3.981</v>
      </c>
      <c r="B3180" t="s">
        <v>523</v>
      </c>
      <c r="C3180" t="s">
        <v>643</v>
      </c>
      <c r="D3180" t="s">
        <v>645</v>
      </c>
    </row>
    <row r="3181" spans="1:4">
      <c r="A3181" s="2">
        <v>5.374199999999999</v>
      </c>
      <c r="B3181" t="s">
        <v>524</v>
      </c>
      <c r="C3181" t="s">
        <v>643</v>
      </c>
      <c r="D3181" t="s">
        <v>645</v>
      </c>
    </row>
    <row r="3182" spans="1:4">
      <c r="A3182" s="2">
        <v>8.6953</v>
      </c>
      <c r="B3182" t="s">
        <v>525</v>
      </c>
      <c r="C3182" t="s">
        <v>643</v>
      </c>
      <c r="D3182" t="s">
        <v>645</v>
      </c>
    </row>
    <row r="3183" spans="1:4">
      <c r="A3183" s="2">
        <v>4.9877</v>
      </c>
      <c r="B3183" t="s">
        <v>526</v>
      </c>
      <c r="C3183" t="s">
        <v>643</v>
      </c>
      <c r="D3183" t="s">
        <v>645</v>
      </c>
    </row>
    <row r="3184" spans="1:4">
      <c r="A3184" s="2">
        <v>0.8574858514834505</v>
      </c>
      <c r="B3184" t="s">
        <v>527</v>
      </c>
      <c r="C3184" t="s">
        <v>643</v>
      </c>
      <c r="D3184" t="s">
        <v>645</v>
      </c>
    </row>
    <row r="3185" spans="1:4">
      <c r="A3185" s="2">
        <v>1.728339584161496</v>
      </c>
      <c r="B3185" t="s">
        <v>528</v>
      </c>
      <c r="C3185" t="s">
        <v>643</v>
      </c>
      <c r="D3185" t="s">
        <v>645</v>
      </c>
    </row>
    <row r="3186" spans="1:4">
      <c r="A3186" s="2">
        <v>0.08490838385382173</v>
      </c>
      <c r="B3186" t="s">
        <v>529</v>
      </c>
      <c r="C3186" t="s">
        <v>643</v>
      </c>
      <c r="D3186" t="s">
        <v>645</v>
      </c>
    </row>
    <row r="3187" spans="1:4">
      <c r="A3187" s="2">
        <v>0.4046617028164454</v>
      </c>
      <c r="B3187" t="s">
        <v>530</v>
      </c>
      <c r="C3187" t="s">
        <v>643</v>
      </c>
      <c r="D3187" t="s">
        <v>645</v>
      </c>
    </row>
    <row r="3188" spans="1:4">
      <c r="A3188" s="2">
        <v>0.004577706569008927</v>
      </c>
      <c r="B3188" t="s">
        <v>531</v>
      </c>
      <c r="C3188" t="s">
        <v>643</v>
      </c>
      <c r="D3188" t="s">
        <v>645</v>
      </c>
    </row>
    <row r="3189" spans="1:4">
      <c r="A3189" s="2">
        <v>1.8810428501561265</v>
      </c>
      <c r="B3189" t="s">
        <v>532</v>
      </c>
      <c r="C3189" t="s">
        <v>643</v>
      </c>
      <c r="D3189" t="s">
        <v>645</v>
      </c>
    </row>
    <row r="3190" spans="1:4">
      <c r="A3190" s="2">
        <v>1.8414849734826164</v>
      </c>
      <c r="B3190" t="s">
        <v>533</v>
      </c>
      <c r="C3190" t="s">
        <v>643</v>
      </c>
      <c r="D3190" t="s">
        <v>645</v>
      </c>
    </row>
    <row r="3191" spans="1:4">
      <c r="A3191" s="2">
        <v>0.020552365371730632</v>
      </c>
      <c r="B3191" t="s">
        <v>534</v>
      </c>
      <c r="C3191" t="s">
        <v>643</v>
      </c>
      <c r="D3191" t="s">
        <v>645</v>
      </c>
    </row>
    <row r="3192" spans="1:4">
      <c r="A3192" s="2">
        <v>1.8637939389421103</v>
      </c>
      <c r="B3192" t="s">
        <v>535</v>
      </c>
      <c r="C3192" t="s">
        <v>643</v>
      </c>
      <c r="D3192" t="s">
        <v>645</v>
      </c>
    </row>
    <row r="3193" spans="1:4">
      <c r="A3193" s="2">
        <v>1.0665529010238908</v>
      </c>
      <c r="B3193" t="s">
        <v>536</v>
      </c>
      <c r="C3193" t="s">
        <v>643</v>
      </c>
      <c r="D3193" t="s">
        <v>645</v>
      </c>
    </row>
    <row r="3194" spans="1:4">
      <c r="A3194" s="2">
        <v>0.7330840847445202</v>
      </c>
      <c r="B3194" t="s">
        <v>537</v>
      </c>
      <c r="C3194" t="s">
        <v>643</v>
      </c>
      <c r="D3194" t="s">
        <v>645</v>
      </c>
    </row>
    <row r="3195" spans="1:4">
      <c r="A3195" s="2">
        <v>0.7125552230297848</v>
      </c>
      <c r="B3195" t="s">
        <v>538</v>
      </c>
      <c r="C3195" t="s">
        <v>643</v>
      </c>
      <c r="D3195" t="s">
        <v>645</v>
      </c>
    </row>
    <row r="3196" spans="1:4">
      <c r="A3196" s="2">
        <v>0.15539097924287298</v>
      </c>
      <c r="B3196" t="s">
        <v>539</v>
      </c>
      <c r="C3196" t="s">
        <v>643</v>
      </c>
      <c r="D3196" t="s">
        <v>645</v>
      </c>
    </row>
    <row r="3197" spans="1:4">
      <c r="A3197" s="2">
        <v>0.3855644663787785</v>
      </c>
      <c r="B3197" t="s">
        <v>540</v>
      </c>
      <c r="C3197" t="s">
        <v>643</v>
      </c>
      <c r="D3197" t="s">
        <v>645</v>
      </c>
    </row>
    <row r="3198" spans="1:4">
      <c r="A3198" s="2">
        <v>0.2096392109180101</v>
      </c>
      <c r="B3198" t="s">
        <v>541</v>
      </c>
      <c r="C3198" t="s">
        <v>643</v>
      </c>
      <c r="D3198" t="s">
        <v>645</v>
      </c>
    </row>
    <row r="3199" spans="1:4">
      <c r="A3199" s="2">
        <v>1</v>
      </c>
      <c r="B3199" t="s">
        <v>542</v>
      </c>
      <c r="C3199" t="s">
        <v>645</v>
      </c>
      <c r="D3199" t="s">
        <v>645</v>
      </c>
    </row>
    <row r="3200" spans="1:4">
      <c r="A3200" s="2">
        <v>6.9223</v>
      </c>
      <c r="B3200" t="s">
        <v>364</v>
      </c>
      <c r="C3200" t="s">
        <v>646</v>
      </c>
      <c r="D3200" t="s">
        <v>646</v>
      </c>
    </row>
    <row r="3201" spans="1:4">
      <c r="A3201" s="2">
        <v>7.9551</v>
      </c>
      <c r="B3201" t="s">
        <v>373</v>
      </c>
      <c r="C3201" t="s">
        <v>646</v>
      </c>
      <c r="D3201" t="s">
        <v>646</v>
      </c>
    </row>
    <row r="3202" spans="1:4">
      <c r="A3202" s="2">
        <v>0.043171</v>
      </c>
      <c r="B3202" t="s">
        <v>520</v>
      </c>
      <c r="C3202" t="s">
        <v>646</v>
      </c>
      <c r="D3202" t="s">
        <v>646</v>
      </c>
    </row>
    <row r="3203" spans="1:4">
      <c r="A3203" s="2">
        <v>0.88384</v>
      </c>
      <c r="B3203" t="s">
        <v>370</v>
      </c>
      <c r="C3203" t="s">
        <v>646</v>
      </c>
      <c r="D3203" t="s">
        <v>646</v>
      </c>
    </row>
    <row r="3204" spans="1:4">
      <c r="A3204" s="2">
        <v>9.1666</v>
      </c>
      <c r="B3204" t="s">
        <v>521</v>
      </c>
      <c r="C3204" t="s">
        <v>646</v>
      </c>
      <c r="D3204" t="s">
        <v>646</v>
      </c>
    </row>
    <row r="3205" spans="1:4">
      <c r="A3205" s="2">
        <v>4.7419</v>
      </c>
      <c r="B3205" t="s">
        <v>522</v>
      </c>
      <c r="C3205" t="s">
        <v>646</v>
      </c>
      <c r="D3205" t="s">
        <v>646</v>
      </c>
    </row>
    <row r="3206" spans="1:4">
      <c r="A3206" s="2">
        <v>3.9672</v>
      </c>
      <c r="B3206" t="s">
        <v>523</v>
      </c>
      <c r="C3206" t="s">
        <v>646</v>
      </c>
      <c r="D3206" t="s">
        <v>646</v>
      </c>
    </row>
    <row r="3207" spans="1:4">
      <c r="A3207" s="2">
        <v>5.3655</v>
      </c>
      <c r="B3207" t="s">
        <v>524</v>
      </c>
      <c r="C3207" t="s">
        <v>646</v>
      </c>
      <c r="D3207" t="s">
        <v>646</v>
      </c>
    </row>
    <row r="3208" spans="1:4">
      <c r="A3208" s="2">
        <v>8.6526</v>
      </c>
      <c r="B3208" t="s">
        <v>525</v>
      </c>
      <c r="C3208" t="s">
        <v>646</v>
      </c>
      <c r="D3208" t="s">
        <v>646</v>
      </c>
    </row>
    <row r="3209" spans="1:4">
      <c r="A3209" s="2">
        <v>4.9795</v>
      </c>
      <c r="B3209" t="s">
        <v>526</v>
      </c>
      <c r="C3209" t="s">
        <v>646</v>
      </c>
      <c r="D3209" t="s">
        <v>646</v>
      </c>
    </row>
    <row r="3210" spans="1:4">
      <c r="A3210" s="2">
        <v>0.858074480864939</v>
      </c>
      <c r="B3210" t="s">
        <v>527</v>
      </c>
      <c r="C3210" t="s">
        <v>646</v>
      </c>
      <c r="D3210" t="s">
        <v>646</v>
      </c>
    </row>
    <row r="3211" spans="1:4">
      <c r="A3211" s="2">
        <v>1.724821912137572</v>
      </c>
      <c r="B3211" t="s">
        <v>528</v>
      </c>
      <c r="C3211" t="s">
        <v>646</v>
      </c>
      <c r="D3211" t="s">
        <v>646</v>
      </c>
    </row>
    <row r="3212" spans="1:4">
      <c r="A3212" s="2">
        <v>0.0849033375501991</v>
      </c>
      <c r="B3212" t="s">
        <v>529</v>
      </c>
      <c r="C3212" t="s">
        <v>646</v>
      </c>
      <c r="D3212" t="s">
        <v>646</v>
      </c>
    </row>
    <row r="3213" spans="1:4">
      <c r="A3213" s="2">
        <v>0.4033396523212197</v>
      </c>
      <c r="B3213" t="s">
        <v>530</v>
      </c>
      <c r="C3213" t="s">
        <v>646</v>
      </c>
      <c r="D3213" t="s">
        <v>646</v>
      </c>
    </row>
    <row r="3214" spans="1:4">
      <c r="A3214" s="2">
        <v>0.004578335317278638</v>
      </c>
      <c r="B3214" t="s">
        <v>531</v>
      </c>
      <c r="C3214" t="s">
        <v>646</v>
      </c>
      <c r="D3214" t="s">
        <v>646</v>
      </c>
    </row>
    <row r="3215" spans="1:4">
      <c r="A3215" s="2">
        <v>1.8839487565938209</v>
      </c>
      <c r="B3215" t="s">
        <v>532</v>
      </c>
      <c r="C3215" t="s">
        <v>646</v>
      </c>
      <c r="D3215" t="s">
        <v>646</v>
      </c>
    </row>
    <row r="3216" spans="1:4">
      <c r="A3216" s="2">
        <v>1.8440657962676108</v>
      </c>
      <c r="B3216" t="s">
        <v>533</v>
      </c>
      <c r="C3216" t="s">
        <v>646</v>
      </c>
      <c r="D3216" t="s">
        <v>646</v>
      </c>
    </row>
    <row r="3217" spans="1:4">
      <c r="A3217" s="2">
        <v>0.020424377720271808</v>
      </c>
      <c r="B3217" t="s">
        <v>534</v>
      </c>
      <c r="C3217" t="s">
        <v>646</v>
      </c>
      <c r="D3217" t="s">
        <v>646</v>
      </c>
    </row>
    <row r="3218" spans="1:4">
      <c r="A3218" s="2">
        <v>1.85649308456326</v>
      </c>
      <c r="B3218" t="s">
        <v>535</v>
      </c>
      <c r="C3218" t="s">
        <v>646</v>
      </c>
      <c r="D3218" t="s">
        <v>646</v>
      </c>
    </row>
    <row r="3219" spans="1:4">
      <c r="A3219" s="2">
        <v>1.0645092612305729</v>
      </c>
      <c r="B3219" t="s">
        <v>536</v>
      </c>
      <c r="C3219" t="s">
        <v>646</v>
      </c>
      <c r="D3219" t="s">
        <v>646</v>
      </c>
    </row>
    <row r="3220" spans="1:4">
      <c r="A3220" s="2">
        <v>0.7303534910896875</v>
      </c>
      <c r="B3220" t="s">
        <v>537</v>
      </c>
      <c r="C3220" t="s">
        <v>646</v>
      </c>
      <c r="D3220" t="s">
        <v>646</v>
      </c>
    </row>
    <row r="3221" spans="1:4">
      <c r="A3221" s="2">
        <v>0.7100759781296598</v>
      </c>
      <c r="B3221" t="s">
        <v>538</v>
      </c>
      <c r="C3221" t="s">
        <v>646</v>
      </c>
      <c r="D3221" t="s">
        <v>646</v>
      </c>
    </row>
    <row r="3222" spans="1:4">
      <c r="A3222" s="2">
        <v>0.15567497555902882</v>
      </c>
      <c r="B3222" t="s">
        <v>539</v>
      </c>
      <c r="C3222" t="s">
        <v>646</v>
      </c>
      <c r="D3222" t="s">
        <v>646</v>
      </c>
    </row>
    <row r="3223" spans="1:4">
      <c r="A3223" s="2">
        <v>0.3814609956131986</v>
      </c>
      <c r="B3223" t="s">
        <v>540</v>
      </c>
      <c r="C3223" t="s">
        <v>646</v>
      </c>
      <c r="D3223" t="s">
        <v>646</v>
      </c>
    </row>
    <row r="3224" spans="1:4">
      <c r="A3224" s="2">
        <v>0.2100354959988238</v>
      </c>
      <c r="B3224" t="s">
        <v>541</v>
      </c>
      <c r="C3224" t="s">
        <v>646</v>
      </c>
      <c r="D3224" t="s">
        <v>646</v>
      </c>
    </row>
    <row r="3225" spans="1:4">
      <c r="A3225" s="2">
        <v>1</v>
      </c>
      <c r="B3225" t="s">
        <v>542</v>
      </c>
      <c r="C3225" t="s">
        <v>646</v>
      </c>
      <c r="D3225" t="s">
        <v>646</v>
      </c>
    </row>
    <row r="3226" spans="1:4">
      <c r="A3226" s="2">
        <v>6.9194</v>
      </c>
      <c r="B3226" t="s">
        <v>364</v>
      </c>
      <c r="C3226" t="s">
        <v>380</v>
      </c>
      <c r="D3226" t="s">
        <v>380</v>
      </c>
    </row>
    <row r="3227" spans="1:4">
      <c r="A3227" s="2">
        <v>7.9302</v>
      </c>
      <c r="B3227" t="s">
        <v>373</v>
      </c>
      <c r="C3227" t="s">
        <v>380</v>
      </c>
      <c r="D3227" t="s">
        <v>380</v>
      </c>
    </row>
    <row r="3228" spans="1:4">
      <c r="A3228" s="2">
        <v>0.043296</v>
      </c>
      <c r="B3228" t="s">
        <v>520</v>
      </c>
      <c r="C3228" t="s">
        <v>380</v>
      </c>
      <c r="D3228" t="s">
        <v>380</v>
      </c>
    </row>
    <row r="3229" spans="1:4">
      <c r="A3229" s="2">
        <v>0.88295</v>
      </c>
      <c r="B3229" t="s">
        <v>370</v>
      </c>
      <c r="C3229" t="s">
        <v>380</v>
      </c>
      <c r="D3229" t="s">
        <v>380</v>
      </c>
    </row>
    <row r="3230" spans="1:4">
      <c r="A3230" s="2">
        <v>9.1169</v>
      </c>
      <c r="B3230" t="s">
        <v>521</v>
      </c>
      <c r="C3230" t="s">
        <v>380</v>
      </c>
      <c r="D3230" t="s">
        <v>380</v>
      </c>
    </row>
    <row r="3231" spans="1:4">
      <c r="A3231" s="2">
        <v>4.7382</v>
      </c>
      <c r="B3231" t="s">
        <v>522</v>
      </c>
      <c r="C3231" t="s">
        <v>380</v>
      </c>
      <c r="D3231" t="s">
        <v>380</v>
      </c>
    </row>
    <row r="3232" spans="1:4">
      <c r="A3232" s="2">
        <v>3.9558</v>
      </c>
      <c r="B3232" t="s">
        <v>523</v>
      </c>
      <c r="C3232" t="s">
        <v>380</v>
      </c>
      <c r="D3232" t="s">
        <v>380</v>
      </c>
    </row>
    <row r="3233" spans="1:4">
      <c r="A3233" s="2">
        <v>5.3575</v>
      </c>
      <c r="B3233" t="s">
        <v>524</v>
      </c>
      <c r="C3233" t="s">
        <v>380</v>
      </c>
      <c r="D3233" t="s">
        <v>380</v>
      </c>
    </row>
    <row r="3234" spans="1:4">
      <c r="A3234" s="2">
        <v>8.6524</v>
      </c>
      <c r="B3234" t="s">
        <v>525</v>
      </c>
      <c r="C3234" t="s">
        <v>380</v>
      </c>
      <c r="D3234" t="s">
        <v>380</v>
      </c>
    </row>
    <row r="3235" spans="1:4">
      <c r="A3235" s="2">
        <v>4.9684</v>
      </c>
      <c r="B3235" t="s">
        <v>526</v>
      </c>
      <c r="C3235" t="s">
        <v>380</v>
      </c>
      <c r="D3235" t="s">
        <v>380</v>
      </c>
    </row>
    <row r="3236" spans="1:4">
      <c r="A3236" s="2">
        <v>0.8567511994516792</v>
      </c>
      <c r="B3236" t="s">
        <v>527</v>
      </c>
      <c r="C3236" t="s">
        <v>380</v>
      </c>
      <c r="D3236" t="s">
        <v>380</v>
      </c>
    </row>
    <row r="3237" spans="1:4">
      <c r="A3237" s="2">
        <v>1.715648429323863</v>
      </c>
      <c r="B3237" t="s">
        <v>528</v>
      </c>
      <c r="C3237" t="s">
        <v>380</v>
      </c>
      <c r="D3237" t="s">
        <v>380</v>
      </c>
    </row>
    <row r="3238" spans="1:4">
      <c r="A3238" s="2">
        <v>0.08510421010527391</v>
      </c>
      <c r="B3238" t="s">
        <v>529</v>
      </c>
      <c r="C3238" t="s">
        <v>380</v>
      </c>
      <c r="D3238" t="s">
        <v>380</v>
      </c>
    </row>
    <row r="3239" spans="1:4">
      <c r="A3239" s="2">
        <v>0.4022849786788961</v>
      </c>
      <c r="B3239" t="s">
        <v>530</v>
      </c>
      <c r="C3239" t="s">
        <v>380</v>
      </c>
      <c r="D3239" t="s">
        <v>380</v>
      </c>
    </row>
    <row r="3240" spans="1:4">
      <c r="A3240" s="2">
        <v>0.0045466945530599255</v>
      </c>
      <c r="B3240" t="s">
        <v>531</v>
      </c>
      <c r="C3240" t="s">
        <v>380</v>
      </c>
      <c r="D3240" t="s">
        <v>380</v>
      </c>
    </row>
    <row r="3241" spans="1:4">
      <c r="A3241" s="2">
        <v>1.8840552404996516</v>
      </c>
      <c r="B3241" t="s">
        <v>532</v>
      </c>
      <c r="C3241" t="s">
        <v>380</v>
      </c>
      <c r="D3241" t="s">
        <v>380</v>
      </c>
    </row>
    <row r="3242" spans="1:4">
      <c r="A3242" s="2">
        <v>1.8440998026813211</v>
      </c>
      <c r="B3242" t="s">
        <v>533</v>
      </c>
      <c r="C3242" t="s">
        <v>380</v>
      </c>
      <c r="D3242" t="s">
        <v>380</v>
      </c>
    </row>
    <row r="3243" spans="1:4">
      <c r="A3243" s="2">
        <v>0.02041337075784639</v>
      </c>
      <c r="B3243" t="s">
        <v>534</v>
      </c>
      <c r="C3243" t="s">
        <v>380</v>
      </c>
      <c r="D3243" t="s">
        <v>380</v>
      </c>
    </row>
    <row r="3244" spans="1:4">
      <c r="A3244" s="2">
        <v>1.8479164741753673</v>
      </c>
      <c r="B3244" t="s">
        <v>535</v>
      </c>
      <c r="C3244" t="s">
        <v>380</v>
      </c>
      <c r="D3244" t="s">
        <v>380</v>
      </c>
    </row>
    <row r="3245" spans="1:4">
      <c r="A3245" s="2">
        <v>1.0612331529236974</v>
      </c>
      <c r="B3245" t="s">
        <v>536</v>
      </c>
      <c r="C3245" t="s">
        <v>380</v>
      </c>
      <c r="D3245" t="s">
        <v>380</v>
      </c>
    </row>
    <row r="3246" spans="1:4">
      <c r="A3246" s="2">
        <v>0.7242702976750924</v>
      </c>
      <c r="B3246" t="s">
        <v>537</v>
      </c>
      <c r="C3246" t="s">
        <v>380</v>
      </c>
      <c r="D3246" t="s">
        <v>380</v>
      </c>
    </row>
    <row r="3247" spans="1:4">
      <c r="A3247" s="2">
        <v>0.7106815436003127</v>
      </c>
      <c r="B3247" t="s">
        <v>538</v>
      </c>
      <c r="C3247" t="s">
        <v>380</v>
      </c>
      <c r="D3247" t="s">
        <v>380</v>
      </c>
    </row>
    <row r="3248" spans="1:4">
      <c r="A3248" s="2">
        <v>0.1555962526198519</v>
      </c>
      <c r="B3248" t="s">
        <v>539</v>
      </c>
      <c r="C3248" t="s">
        <v>380</v>
      </c>
      <c r="D3248" t="s">
        <v>380</v>
      </c>
    </row>
    <row r="3249" spans="1:4">
      <c r="A3249" s="2">
        <v>0.3814318953350879</v>
      </c>
      <c r="B3249" t="s">
        <v>540</v>
      </c>
      <c r="C3249" t="s">
        <v>380</v>
      </c>
      <c r="D3249" t="s">
        <v>380</v>
      </c>
    </row>
    <row r="3250" spans="1:4">
      <c r="A3250" s="2">
        <v>0.21069487168682313</v>
      </c>
      <c r="B3250" t="s">
        <v>541</v>
      </c>
      <c r="C3250" t="s">
        <v>380</v>
      </c>
      <c r="D3250" t="s">
        <v>380</v>
      </c>
    </row>
    <row r="3251" spans="1:4">
      <c r="A3251" s="2">
        <v>1</v>
      </c>
      <c r="B3251" t="s">
        <v>542</v>
      </c>
      <c r="C3251" t="s">
        <v>380</v>
      </c>
      <c r="D3251" t="s">
        <v>380</v>
      </c>
    </row>
    <row r="3252" spans="1:4">
      <c r="A3252" s="2">
        <v>6.9025</v>
      </c>
      <c r="B3252" t="s">
        <v>364</v>
      </c>
      <c r="C3252" t="s">
        <v>647</v>
      </c>
      <c r="D3252" t="s">
        <v>647</v>
      </c>
    </row>
    <row r="3253" spans="1:4">
      <c r="A3253" s="2">
        <v>7.980599999999999</v>
      </c>
      <c r="B3253" t="s">
        <v>373</v>
      </c>
      <c r="C3253" t="s">
        <v>647</v>
      </c>
      <c r="D3253" t="s">
        <v>647</v>
      </c>
    </row>
    <row r="3254" spans="1:4">
      <c r="A3254" s="2">
        <v>0.04346</v>
      </c>
      <c r="B3254" t="s">
        <v>520</v>
      </c>
      <c r="C3254" t="s">
        <v>647</v>
      </c>
      <c r="D3254" t="s">
        <v>647</v>
      </c>
    </row>
    <row r="3255" spans="1:4">
      <c r="A3255" s="2">
        <v>0.8806499999999999</v>
      </c>
      <c r="B3255" t="s">
        <v>370</v>
      </c>
      <c r="C3255" t="s">
        <v>647</v>
      </c>
      <c r="D3255" t="s">
        <v>647</v>
      </c>
    </row>
    <row r="3256" spans="1:4">
      <c r="A3256" s="2">
        <v>9.133</v>
      </c>
      <c r="B3256" t="s">
        <v>521</v>
      </c>
      <c r="C3256" t="s">
        <v>647</v>
      </c>
      <c r="D3256" t="s">
        <v>647</v>
      </c>
    </row>
    <row r="3257" spans="1:4">
      <c r="A3257" s="2">
        <v>4.7649</v>
      </c>
      <c r="B3257" t="s">
        <v>522</v>
      </c>
      <c r="C3257" t="s">
        <v>647</v>
      </c>
      <c r="D3257" t="s">
        <v>647</v>
      </c>
    </row>
    <row r="3258" spans="1:4">
      <c r="A3258" s="2">
        <v>3.9624</v>
      </c>
      <c r="B3258" t="s">
        <v>523</v>
      </c>
      <c r="C3258" t="s">
        <v>647</v>
      </c>
      <c r="D3258" t="s">
        <v>647</v>
      </c>
    </row>
    <row r="3259" spans="1:4">
      <c r="A3259" s="2">
        <v>5.3726</v>
      </c>
      <c r="B3259" t="s">
        <v>524</v>
      </c>
      <c r="C3259" t="s">
        <v>647</v>
      </c>
      <c r="D3259" t="s">
        <v>647</v>
      </c>
    </row>
    <row r="3260" spans="1:4">
      <c r="A3260" s="2">
        <v>8.639</v>
      </c>
      <c r="B3260" t="s">
        <v>525</v>
      </c>
      <c r="C3260" t="s">
        <v>647</v>
      </c>
      <c r="D3260" t="s">
        <v>647</v>
      </c>
    </row>
    <row r="3261" spans="1:4">
      <c r="A3261" s="2">
        <v>4.9582</v>
      </c>
      <c r="B3261" t="s">
        <v>526</v>
      </c>
      <c r="C3261" t="s">
        <v>647</v>
      </c>
      <c r="D3261" t="s">
        <v>647</v>
      </c>
    </row>
    <row r="3262" spans="1:4">
      <c r="A3262" s="2">
        <v>0.8549931600547196</v>
      </c>
      <c r="B3262" t="s">
        <v>527</v>
      </c>
      <c r="C3262" t="s">
        <v>647</v>
      </c>
      <c r="D3262" t="s">
        <v>647</v>
      </c>
    </row>
    <row r="3263" spans="1:4">
      <c r="A3263" s="2">
        <v>1.706979840568083</v>
      </c>
      <c r="B3263" t="s">
        <v>528</v>
      </c>
      <c r="C3263" t="s">
        <v>647</v>
      </c>
      <c r="D3263" t="s">
        <v>647</v>
      </c>
    </row>
    <row r="3264" spans="1:4">
      <c r="A3264" s="2">
        <v>0.0847860001356576</v>
      </c>
      <c r="B3264" t="s">
        <v>529</v>
      </c>
      <c r="C3264" t="s">
        <v>647</v>
      </c>
      <c r="D3264" t="s">
        <v>647</v>
      </c>
    </row>
    <row r="3265" spans="1:4">
      <c r="A3265" s="2">
        <v>0.40841331427404537</v>
      </c>
      <c r="B3265" t="s">
        <v>530</v>
      </c>
      <c r="C3265" t="s">
        <v>647</v>
      </c>
      <c r="D3265" t="s">
        <v>647</v>
      </c>
    </row>
    <row r="3266" spans="1:4">
      <c r="A3266" s="2">
        <v>0.0045764495904077615</v>
      </c>
      <c r="B3266" t="s">
        <v>531</v>
      </c>
      <c r="C3266" t="s">
        <v>647</v>
      </c>
      <c r="D3266" t="s">
        <v>647</v>
      </c>
    </row>
    <row r="3267" spans="1:4">
      <c r="A3267" s="2">
        <v>1.877440672874737</v>
      </c>
      <c r="B3267" t="s">
        <v>532</v>
      </c>
      <c r="C3267" t="s">
        <v>647</v>
      </c>
      <c r="D3267" t="s">
        <v>647</v>
      </c>
    </row>
    <row r="3268" spans="1:4">
      <c r="A3268" s="2">
        <v>1.8373571454819384</v>
      </c>
      <c r="B3268" t="s">
        <v>533</v>
      </c>
      <c r="C3268" t="s">
        <v>647</v>
      </c>
      <c r="D3268" t="s">
        <v>647</v>
      </c>
    </row>
    <row r="3269" spans="1:4">
      <c r="A3269" s="2">
        <v>0.02075485404148895</v>
      </c>
      <c r="B3269" t="s">
        <v>534</v>
      </c>
      <c r="C3269" t="s">
        <v>647</v>
      </c>
      <c r="D3269" t="s">
        <v>647</v>
      </c>
    </row>
    <row r="3270" spans="1:4">
      <c r="A3270" s="2">
        <v>1.860949828792616</v>
      </c>
      <c r="B3270" t="s">
        <v>535</v>
      </c>
      <c r="C3270" t="s">
        <v>647</v>
      </c>
      <c r="D3270" t="s">
        <v>647</v>
      </c>
    </row>
    <row r="3271" spans="1:4">
      <c r="A3271" s="2">
        <v>1.0672358591248663</v>
      </c>
      <c r="B3271" t="s">
        <v>536</v>
      </c>
      <c r="C3271" t="s">
        <v>647</v>
      </c>
      <c r="D3271" t="s">
        <v>647</v>
      </c>
    </row>
    <row r="3272" spans="1:4">
      <c r="A3272" s="2">
        <v>0.7290755322251385</v>
      </c>
      <c r="B3272" t="s">
        <v>537</v>
      </c>
      <c r="C3272" t="s">
        <v>647</v>
      </c>
      <c r="D3272" t="s">
        <v>647</v>
      </c>
    </row>
    <row r="3273" spans="1:4">
      <c r="A3273" s="2">
        <v>0.7123014459719353</v>
      </c>
      <c r="B3273" t="s">
        <v>538</v>
      </c>
      <c r="C3273" t="s">
        <v>647</v>
      </c>
      <c r="D3273" t="s">
        <v>647</v>
      </c>
    </row>
    <row r="3274" spans="1:4">
      <c r="A3274" s="2">
        <v>0.1551356894307606</v>
      </c>
      <c r="B3274" t="s">
        <v>539</v>
      </c>
      <c r="C3274" t="s">
        <v>647</v>
      </c>
      <c r="D3274" t="s">
        <v>647</v>
      </c>
    </row>
    <row r="3275" spans="1:4">
      <c r="A3275" s="2">
        <v>0.385297064036372</v>
      </c>
      <c r="B3275" t="s">
        <v>540</v>
      </c>
      <c r="C3275" t="s">
        <v>647</v>
      </c>
      <c r="D3275" t="s">
        <v>647</v>
      </c>
    </row>
    <row r="3276" spans="1:4">
      <c r="A3276" s="2">
        <v>0.21178812715759152</v>
      </c>
      <c r="B3276" t="s">
        <v>541</v>
      </c>
      <c r="C3276" t="s">
        <v>647</v>
      </c>
      <c r="D3276" t="s">
        <v>647</v>
      </c>
    </row>
    <row r="3277" spans="1:4">
      <c r="A3277" s="2">
        <v>1</v>
      </c>
      <c r="B3277" t="s">
        <v>542</v>
      </c>
      <c r="C3277" t="s">
        <v>647</v>
      </c>
      <c r="D3277" t="s">
        <v>647</v>
      </c>
    </row>
    <row r="3278" spans="1:4">
      <c r="A3278" s="2">
        <v>6.888</v>
      </c>
      <c r="B3278" t="s">
        <v>364</v>
      </c>
      <c r="C3278" t="s">
        <v>648</v>
      </c>
      <c r="D3278" t="s">
        <v>648</v>
      </c>
    </row>
    <row r="3279" spans="1:4">
      <c r="A3279" s="2">
        <v>7.98</v>
      </c>
      <c r="B3279" t="s">
        <v>373</v>
      </c>
      <c r="C3279" t="s">
        <v>648</v>
      </c>
      <c r="D3279" t="s">
        <v>648</v>
      </c>
    </row>
    <row r="3280" spans="1:4">
      <c r="A3280" s="2">
        <v>0.04338</v>
      </c>
      <c r="B3280" t="s">
        <v>520</v>
      </c>
      <c r="C3280" t="s">
        <v>648</v>
      </c>
      <c r="D3280" t="s">
        <v>648</v>
      </c>
    </row>
    <row r="3281" spans="1:4">
      <c r="A3281" s="2">
        <v>0.8787600000000001</v>
      </c>
      <c r="B3281" t="s">
        <v>370</v>
      </c>
      <c r="C3281" t="s">
        <v>648</v>
      </c>
      <c r="D3281" t="s">
        <v>648</v>
      </c>
    </row>
    <row r="3282" spans="1:4">
      <c r="A3282" s="2">
        <v>9.1584</v>
      </c>
      <c r="B3282" t="s">
        <v>521</v>
      </c>
      <c r="C3282" t="s">
        <v>648</v>
      </c>
      <c r="D3282" t="s">
        <v>648</v>
      </c>
    </row>
    <row r="3283" spans="1:4">
      <c r="A3283" s="2">
        <v>4.7653</v>
      </c>
      <c r="B3283" t="s">
        <v>522</v>
      </c>
      <c r="C3283" t="s">
        <v>648</v>
      </c>
      <c r="D3283" t="s">
        <v>648</v>
      </c>
    </row>
    <row r="3284" spans="1:4">
      <c r="A3284" s="2">
        <v>3.9563</v>
      </c>
      <c r="B3284" t="s">
        <v>523</v>
      </c>
      <c r="C3284" t="s">
        <v>648</v>
      </c>
      <c r="D3284" t="s">
        <v>648</v>
      </c>
    </row>
    <row r="3285" spans="1:4">
      <c r="A3285" s="2">
        <v>5.367000000000001</v>
      </c>
      <c r="B3285" t="s">
        <v>524</v>
      </c>
      <c r="C3285" t="s">
        <v>648</v>
      </c>
      <c r="D3285" t="s">
        <v>648</v>
      </c>
    </row>
    <row r="3286" spans="1:4">
      <c r="A3286" s="2">
        <v>8.6724</v>
      </c>
      <c r="B3286" t="s">
        <v>525</v>
      </c>
      <c r="C3286" t="s">
        <v>648</v>
      </c>
      <c r="D3286" t="s">
        <v>648</v>
      </c>
    </row>
    <row r="3287" spans="1:4">
      <c r="A3287" s="2">
        <v>4.9592</v>
      </c>
      <c r="B3287" t="s">
        <v>526</v>
      </c>
      <c r="C3287" t="s">
        <v>648</v>
      </c>
      <c r="D3287" t="s">
        <v>648</v>
      </c>
    </row>
    <row r="3288" spans="1:4">
      <c r="A3288" s="2">
        <v>0.8531695247845748</v>
      </c>
      <c r="B3288" t="s">
        <v>527</v>
      </c>
      <c r="C3288" t="s">
        <v>648</v>
      </c>
      <c r="D3288" t="s">
        <v>648</v>
      </c>
    </row>
    <row r="3289" spans="1:4">
      <c r="A3289" s="2">
        <v>1.712094233666621</v>
      </c>
      <c r="B3289" t="s">
        <v>528</v>
      </c>
      <c r="C3289" t="s">
        <v>648</v>
      </c>
      <c r="D3289" t="s">
        <v>648</v>
      </c>
    </row>
    <row r="3290" spans="1:4">
      <c r="A3290" s="2">
        <v>0.08559518612673224</v>
      </c>
      <c r="B3290" t="s">
        <v>529</v>
      </c>
      <c r="C3290" t="s">
        <v>648</v>
      </c>
      <c r="D3290" t="s">
        <v>648</v>
      </c>
    </row>
    <row r="3291" spans="1:4">
      <c r="A3291" s="2">
        <v>0.4093830597289884</v>
      </c>
      <c r="B3291" t="s">
        <v>530</v>
      </c>
      <c r="C3291" t="s">
        <v>648</v>
      </c>
      <c r="D3291" t="s">
        <v>648</v>
      </c>
    </row>
    <row r="3292" spans="1:4">
      <c r="A3292" s="2">
        <v>0.004551661356395084</v>
      </c>
      <c r="B3292" t="s">
        <v>531</v>
      </c>
      <c r="C3292" t="s">
        <v>648</v>
      </c>
      <c r="D3292" t="s">
        <v>648</v>
      </c>
    </row>
    <row r="3293" spans="1:4">
      <c r="A3293" s="2">
        <v>1.8745899334520577</v>
      </c>
      <c r="B3293" t="s">
        <v>532</v>
      </c>
      <c r="C3293" t="s">
        <v>648</v>
      </c>
      <c r="D3293" t="s">
        <v>648</v>
      </c>
    </row>
    <row r="3294" spans="1:4">
      <c r="A3294" s="2">
        <v>1.834222931455089</v>
      </c>
      <c r="B3294" t="s">
        <v>533</v>
      </c>
      <c r="C3294" t="s">
        <v>648</v>
      </c>
      <c r="D3294" t="s">
        <v>648</v>
      </c>
    </row>
    <row r="3295" spans="1:4">
      <c r="A3295" s="2">
        <v>0.020834201425059377</v>
      </c>
      <c r="B3295" t="s">
        <v>534</v>
      </c>
      <c r="C3295" t="s">
        <v>648</v>
      </c>
      <c r="D3295" t="s">
        <v>648</v>
      </c>
    </row>
    <row r="3296" spans="1:4">
      <c r="A3296" s="2">
        <v>1.8641413764819923</v>
      </c>
      <c r="B3296" t="s">
        <v>535</v>
      </c>
      <c r="C3296" t="s">
        <v>648</v>
      </c>
      <c r="D3296" t="s">
        <v>648</v>
      </c>
    </row>
    <row r="3297" spans="1:4">
      <c r="A3297" s="2">
        <v>1.0673497705197994</v>
      </c>
      <c r="B3297" t="s">
        <v>536</v>
      </c>
      <c r="C3297" t="s">
        <v>648</v>
      </c>
      <c r="D3297" t="s">
        <v>648</v>
      </c>
    </row>
    <row r="3298" spans="1:4">
      <c r="A3298" s="2">
        <v>0.7313683902581731</v>
      </c>
      <c r="B3298" t="s">
        <v>537</v>
      </c>
      <c r="C3298" t="s">
        <v>648</v>
      </c>
      <c r="D3298" t="s">
        <v>648</v>
      </c>
    </row>
    <row r="3299" spans="1:4">
      <c r="A3299" s="2">
        <v>0.7082654578936185</v>
      </c>
      <c r="B3299" t="s">
        <v>538</v>
      </c>
      <c r="C3299" t="s">
        <v>648</v>
      </c>
      <c r="D3299" t="s">
        <v>648</v>
      </c>
    </row>
    <row r="3300" spans="1:4">
      <c r="A3300" s="2">
        <v>0.1547848645168081</v>
      </c>
      <c r="B3300" t="s">
        <v>539</v>
      </c>
      <c r="C3300" t="s">
        <v>648</v>
      </c>
      <c r="D3300" t="s">
        <v>648</v>
      </c>
    </row>
    <row r="3301" spans="1:4">
      <c r="A3301" s="2">
        <v>0.3866826495495147</v>
      </c>
      <c r="B3301" t="s">
        <v>540</v>
      </c>
      <c r="C3301" t="s">
        <v>648</v>
      </c>
      <c r="D3301" t="s">
        <v>648</v>
      </c>
    </row>
    <row r="3302" spans="1:4">
      <c r="A3302" s="2">
        <v>0.2110506099362627</v>
      </c>
      <c r="B3302" t="s">
        <v>541</v>
      </c>
      <c r="C3302" t="s">
        <v>648</v>
      </c>
      <c r="D3302" t="s">
        <v>648</v>
      </c>
    </row>
    <row r="3303" spans="1:4">
      <c r="A3303" s="2">
        <v>1</v>
      </c>
      <c r="B3303" t="s">
        <v>542</v>
      </c>
      <c r="C3303" t="s">
        <v>648</v>
      </c>
      <c r="D3303" t="s">
        <v>648</v>
      </c>
    </row>
    <row r="3304" spans="1:4">
      <c r="A3304" s="2">
        <v>6.8929</v>
      </c>
      <c r="B3304" t="s">
        <v>364</v>
      </c>
      <c r="C3304" t="s">
        <v>649</v>
      </c>
      <c r="D3304" t="s">
        <v>649</v>
      </c>
    </row>
    <row r="3305" spans="1:4">
      <c r="A3305" s="2">
        <v>7.9518</v>
      </c>
      <c r="B3305" t="s">
        <v>373</v>
      </c>
      <c r="C3305" t="s">
        <v>649</v>
      </c>
      <c r="D3305" t="s">
        <v>649</v>
      </c>
    </row>
    <row r="3306" spans="1:4">
      <c r="A3306" s="2">
        <v>0.043187</v>
      </c>
      <c r="B3306" t="s">
        <v>520</v>
      </c>
      <c r="C3306" t="s">
        <v>649</v>
      </c>
      <c r="D3306" t="s">
        <v>649</v>
      </c>
    </row>
    <row r="3307" spans="1:4">
      <c r="A3307" s="2">
        <v>0.87945</v>
      </c>
      <c r="B3307" t="s">
        <v>370</v>
      </c>
      <c r="C3307" t="s">
        <v>649</v>
      </c>
      <c r="D3307" t="s">
        <v>649</v>
      </c>
    </row>
    <row r="3308" spans="1:4">
      <c r="A3308" s="2">
        <v>9.1153</v>
      </c>
      <c r="B3308" t="s">
        <v>521</v>
      </c>
      <c r="C3308" t="s">
        <v>649</v>
      </c>
      <c r="D3308" t="s">
        <v>649</v>
      </c>
    </row>
    <row r="3309" spans="1:4">
      <c r="A3309" s="2">
        <v>4.7619</v>
      </c>
      <c r="B3309" t="s">
        <v>522</v>
      </c>
      <c r="C3309" t="s">
        <v>649</v>
      </c>
      <c r="D3309" t="s">
        <v>649</v>
      </c>
    </row>
    <row r="3310" spans="1:4">
      <c r="A3310" s="2">
        <v>3.9397</v>
      </c>
      <c r="B3310" t="s">
        <v>523</v>
      </c>
      <c r="C3310" t="s">
        <v>649</v>
      </c>
      <c r="D3310" t="s">
        <v>649</v>
      </c>
    </row>
    <row r="3311" spans="1:4">
      <c r="A3311" s="2">
        <v>5.3603</v>
      </c>
      <c r="B3311" t="s">
        <v>524</v>
      </c>
      <c r="C3311" t="s">
        <v>649</v>
      </c>
      <c r="D3311" t="s">
        <v>649</v>
      </c>
    </row>
    <row r="3312" spans="1:4">
      <c r="A3312" s="2">
        <v>8.6276</v>
      </c>
      <c r="B3312" t="s">
        <v>525</v>
      </c>
      <c r="C3312" t="s">
        <v>649</v>
      </c>
      <c r="D3312" t="s">
        <v>649</v>
      </c>
    </row>
    <row r="3313" spans="1:4">
      <c r="A3313" s="2">
        <v>4.9497</v>
      </c>
      <c r="B3313" t="s">
        <v>526</v>
      </c>
      <c r="C3313" t="s">
        <v>649</v>
      </c>
      <c r="D3313" t="s">
        <v>649</v>
      </c>
    </row>
    <row r="3314" spans="1:4">
      <c r="A3314" s="2">
        <v>0.8538251366120219</v>
      </c>
      <c r="B3314" t="s">
        <v>527</v>
      </c>
      <c r="C3314" t="s">
        <v>649</v>
      </c>
      <c r="D3314" t="s">
        <v>649</v>
      </c>
    </row>
    <row r="3315" spans="1:4">
      <c r="A3315" s="2">
        <v>1.7063099341364365</v>
      </c>
      <c r="B3315" t="s">
        <v>528</v>
      </c>
      <c r="C3315" t="s">
        <v>649</v>
      </c>
      <c r="D3315" t="s">
        <v>649</v>
      </c>
    </row>
    <row r="3316" spans="1:4">
      <c r="A3316" s="2">
        <v>0.08566631257924134</v>
      </c>
      <c r="B3316" t="s">
        <v>529</v>
      </c>
      <c r="C3316" t="s">
        <v>649</v>
      </c>
      <c r="D3316" t="s">
        <v>649</v>
      </c>
    </row>
    <row r="3317" spans="1:4">
      <c r="A3317" s="2">
        <v>0.40648754115686353</v>
      </c>
      <c r="B3317" t="s">
        <v>530</v>
      </c>
      <c r="C3317" t="s">
        <v>649</v>
      </c>
      <c r="D3317" t="s">
        <v>649</v>
      </c>
    </row>
    <row r="3318" spans="1:4">
      <c r="A3318" s="2">
        <v>0.004564334291843534</v>
      </c>
      <c r="B3318" t="s">
        <v>531</v>
      </c>
      <c r="C3318" t="s">
        <v>649</v>
      </c>
      <c r="D3318" t="s">
        <v>649</v>
      </c>
    </row>
    <row r="3319" spans="1:4">
      <c r="A3319" s="2">
        <v>1.875082034839024</v>
      </c>
      <c r="B3319" t="s">
        <v>532</v>
      </c>
      <c r="C3319" t="s">
        <v>649</v>
      </c>
      <c r="D3319" t="s">
        <v>649</v>
      </c>
    </row>
    <row r="3320" spans="1:4">
      <c r="A3320" s="2">
        <v>1.8346267451886915</v>
      </c>
      <c r="B3320" t="s">
        <v>533</v>
      </c>
      <c r="C3320" t="s">
        <v>649</v>
      </c>
      <c r="D3320" t="s">
        <v>649</v>
      </c>
    </row>
    <row r="3321" spans="1:4">
      <c r="A3321" s="2">
        <v>0.0206914674595637</v>
      </c>
      <c r="B3321" t="s">
        <v>534</v>
      </c>
      <c r="C3321" t="s">
        <v>649</v>
      </c>
      <c r="D3321" t="s">
        <v>649</v>
      </c>
    </row>
    <row r="3322" spans="1:4">
      <c r="A3322" s="2">
        <v>1.8585633305454885</v>
      </c>
      <c r="B3322" t="s">
        <v>535</v>
      </c>
      <c r="C3322" t="s">
        <v>649</v>
      </c>
      <c r="D3322" t="s">
        <v>649</v>
      </c>
    </row>
    <row r="3323" spans="1:4">
      <c r="A3323" s="2">
        <v>1.0639429726566656</v>
      </c>
      <c r="B3323" t="s">
        <v>536</v>
      </c>
      <c r="C3323" t="s">
        <v>649</v>
      </c>
      <c r="D3323" t="s">
        <v>649</v>
      </c>
    </row>
    <row r="3324" spans="1:4">
      <c r="A3324" s="2">
        <v>0.7309407207075506</v>
      </c>
      <c r="B3324" t="s">
        <v>537</v>
      </c>
      <c r="C3324" t="s">
        <v>649</v>
      </c>
      <c r="D3324" t="s">
        <v>649</v>
      </c>
    </row>
    <row r="3325" spans="1:4">
      <c r="A3325" s="2">
        <v>0.7081651441116068</v>
      </c>
      <c r="B3325" t="s">
        <v>538</v>
      </c>
      <c r="C3325" t="s">
        <v>649</v>
      </c>
      <c r="D3325" t="s">
        <v>649</v>
      </c>
    </row>
    <row r="3326" spans="1:4">
      <c r="A3326" s="2">
        <v>0.15455496670113242</v>
      </c>
      <c r="B3326" t="s">
        <v>539</v>
      </c>
      <c r="C3326" t="s">
        <v>649</v>
      </c>
      <c r="D3326" t="s">
        <v>649</v>
      </c>
    </row>
    <row r="3327" spans="1:4">
      <c r="A3327" s="2">
        <v>0.3857578212398256</v>
      </c>
      <c r="B3327" t="s">
        <v>540</v>
      </c>
      <c r="C3327" t="s">
        <v>649</v>
      </c>
      <c r="D3327" t="s">
        <v>649</v>
      </c>
    </row>
    <row r="3328" spans="1:4">
      <c r="A3328" s="2">
        <v>0.21120216271014616</v>
      </c>
      <c r="B3328" t="s">
        <v>541</v>
      </c>
      <c r="C3328" t="s">
        <v>649</v>
      </c>
      <c r="D3328" t="s">
        <v>649</v>
      </c>
    </row>
    <row r="3329" spans="1:4">
      <c r="A3329" s="2">
        <v>1</v>
      </c>
      <c r="B3329" t="s">
        <v>542</v>
      </c>
      <c r="C3329" t="s">
        <v>649</v>
      </c>
      <c r="D3329" t="s">
        <v>649</v>
      </c>
    </row>
    <row r="3330" spans="1:4">
      <c r="A3330" s="2">
        <v>6.8929</v>
      </c>
      <c r="B3330" t="s">
        <v>364</v>
      </c>
      <c r="C3330" t="s">
        <v>649</v>
      </c>
      <c r="D3330" t="s">
        <v>650</v>
      </c>
    </row>
    <row r="3331" spans="1:4">
      <c r="A3331" s="2">
        <v>7.9518</v>
      </c>
      <c r="B3331" t="s">
        <v>373</v>
      </c>
      <c r="C3331" t="s">
        <v>649</v>
      </c>
      <c r="D3331" t="s">
        <v>650</v>
      </c>
    </row>
    <row r="3332" spans="1:4">
      <c r="A3332" s="2">
        <v>0.043187</v>
      </c>
      <c r="B3332" t="s">
        <v>520</v>
      </c>
      <c r="C3332" t="s">
        <v>649</v>
      </c>
      <c r="D3332" t="s">
        <v>650</v>
      </c>
    </row>
    <row r="3333" spans="1:4">
      <c r="A3333" s="2">
        <v>0.87945</v>
      </c>
      <c r="B3333" t="s">
        <v>370</v>
      </c>
      <c r="C3333" t="s">
        <v>649</v>
      </c>
      <c r="D3333" t="s">
        <v>650</v>
      </c>
    </row>
    <row r="3334" spans="1:4">
      <c r="A3334" s="2">
        <v>9.1153</v>
      </c>
      <c r="B3334" t="s">
        <v>521</v>
      </c>
      <c r="C3334" t="s">
        <v>649</v>
      </c>
      <c r="D3334" t="s">
        <v>650</v>
      </c>
    </row>
    <row r="3335" spans="1:4">
      <c r="A3335" s="2">
        <v>4.7619</v>
      </c>
      <c r="B3335" t="s">
        <v>522</v>
      </c>
      <c r="C3335" t="s">
        <v>649</v>
      </c>
      <c r="D3335" t="s">
        <v>650</v>
      </c>
    </row>
    <row r="3336" spans="1:4">
      <c r="A3336" s="2">
        <v>3.9397</v>
      </c>
      <c r="B3336" t="s">
        <v>523</v>
      </c>
      <c r="C3336" t="s">
        <v>649</v>
      </c>
      <c r="D3336" t="s">
        <v>650</v>
      </c>
    </row>
    <row r="3337" spans="1:4">
      <c r="A3337" s="2">
        <v>5.3603</v>
      </c>
      <c r="B3337" t="s">
        <v>524</v>
      </c>
      <c r="C3337" t="s">
        <v>649</v>
      </c>
      <c r="D3337" t="s">
        <v>650</v>
      </c>
    </row>
    <row r="3338" spans="1:4">
      <c r="A3338" s="2">
        <v>8.6276</v>
      </c>
      <c r="B3338" t="s">
        <v>525</v>
      </c>
      <c r="C3338" t="s">
        <v>649</v>
      </c>
      <c r="D3338" t="s">
        <v>650</v>
      </c>
    </row>
    <row r="3339" spans="1:4">
      <c r="A3339" s="2">
        <v>4.9497</v>
      </c>
      <c r="B3339" t="s">
        <v>526</v>
      </c>
      <c r="C3339" t="s">
        <v>649</v>
      </c>
      <c r="D3339" t="s">
        <v>650</v>
      </c>
    </row>
    <row r="3340" spans="1:4">
      <c r="A3340" s="2">
        <v>0.8538251366120219</v>
      </c>
      <c r="B3340" t="s">
        <v>527</v>
      </c>
      <c r="C3340" t="s">
        <v>649</v>
      </c>
      <c r="D3340" t="s">
        <v>650</v>
      </c>
    </row>
    <row r="3341" spans="1:4">
      <c r="A3341" s="2">
        <v>1.7063099341364365</v>
      </c>
      <c r="B3341" t="s">
        <v>528</v>
      </c>
      <c r="C3341" t="s">
        <v>649</v>
      </c>
      <c r="D3341" t="s">
        <v>650</v>
      </c>
    </row>
    <row r="3342" spans="1:4">
      <c r="A3342" s="2">
        <v>0.08566631257924134</v>
      </c>
      <c r="B3342" t="s">
        <v>529</v>
      </c>
      <c r="C3342" t="s">
        <v>649</v>
      </c>
      <c r="D3342" t="s">
        <v>650</v>
      </c>
    </row>
    <row r="3343" spans="1:4">
      <c r="A3343" s="2">
        <v>0.40648754115686353</v>
      </c>
      <c r="B3343" t="s">
        <v>530</v>
      </c>
      <c r="C3343" t="s">
        <v>649</v>
      </c>
      <c r="D3343" t="s">
        <v>650</v>
      </c>
    </row>
    <row r="3344" spans="1:4">
      <c r="A3344" s="2">
        <v>0.004564334291843534</v>
      </c>
      <c r="B3344" t="s">
        <v>531</v>
      </c>
      <c r="C3344" t="s">
        <v>649</v>
      </c>
      <c r="D3344" t="s">
        <v>650</v>
      </c>
    </row>
    <row r="3345" spans="1:4">
      <c r="A3345" s="2">
        <v>1.875082034839024</v>
      </c>
      <c r="B3345" t="s">
        <v>532</v>
      </c>
      <c r="C3345" t="s">
        <v>649</v>
      </c>
      <c r="D3345" t="s">
        <v>650</v>
      </c>
    </row>
    <row r="3346" spans="1:4">
      <c r="A3346" s="2">
        <v>1.8346267451886915</v>
      </c>
      <c r="B3346" t="s">
        <v>533</v>
      </c>
      <c r="C3346" t="s">
        <v>649</v>
      </c>
      <c r="D3346" t="s">
        <v>650</v>
      </c>
    </row>
    <row r="3347" spans="1:4">
      <c r="A3347" s="2">
        <v>0.0206914674595637</v>
      </c>
      <c r="B3347" t="s">
        <v>534</v>
      </c>
      <c r="C3347" t="s">
        <v>649</v>
      </c>
      <c r="D3347" t="s">
        <v>650</v>
      </c>
    </row>
    <row r="3348" spans="1:4">
      <c r="A3348" s="2">
        <v>1.8585633305454885</v>
      </c>
      <c r="B3348" t="s">
        <v>535</v>
      </c>
      <c r="C3348" t="s">
        <v>649</v>
      </c>
      <c r="D3348" t="s">
        <v>650</v>
      </c>
    </row>
    <row r="3349" spans="1:4">
      <c r="A3349" s="2">
        <v>1.0639429726566656</v>
      </c>
      <c r="B3349" t="s">
        <v>536</v>
      </c>
      <c r="C3349" t="s">
        <v>649</v>
      </c>
      <c r="D3349" t="s">
        <v>650</v>
      </c>
    </row>
    <row r="3350" spans="1:4">
      <c r="A3350" s="2">
        <v>0.7309407207075506</v>
      </c>
      <c r="B3350" t="s">
        <v>537</v>
      </c>
      <c r="C3350" t="s">
        <v>649</v>
      </c>
      <c r="D3350" t="s">
        <v>650</v>
      </c>
    </row>
    <row r="3351" spans="1:4">
      <c r="A3351" s="2">
        <v>0.7081651441116068</v>
      </c>
      <c r="B3351" t="s">
        <v>538</v>
      </c>
      <c r="C3351" t="s">
        <v>649</v>
      </c>
      <c r="D3351" t="s">
        <v>650</v>
      </c>
    </row>
    <row r="3352" spans="1:4">
      <c r="A3352" s="2">
        <v>0.15455496670113242</v>
      </c>
      <c r="B3352" t="s">
        <v>539</v>
      </c>
      <c r="C3352" t="s">
        <v>649</v>
      </c>
      <c r="D3352" t="s">
        <v>650</v>
      </c>
    </row>
    <row r="3353" spans="1:4">
      <c r="A3353" s="2">
        <v>0.3857578212398256</v>
      </c>
      <c r="B3353" t="s">
        <v>540</v>
      </c>
      <c r="C3353" t="s">
        <v>649</v>
      </c>
      <c r="D3353" t="s">
        <v>650</v>
      </c>
    </row>
    <row r="3354" spans="1:4">
      <c r="A3354" s="2">
        <v>0.21120216271014616</v>
      </c>
      <c r="B3354" t="s">
        <v>541</v>
      </c>
      <c r="C3354" t="s">
        <v>649</v>
      </c>
      <c r="D3354" t="s">
        <v>650</v>
      </c>
    </row>
    <row r="3355" spans="1:4">
      <c r="A3355" s="2">
        <v>1</v>
      </c>
      <c r="B3355" t="s">
        <v>542</v>
      </c>
      <c r="C3355" t="s">
        <v>650</v>
      </c>
      <c r="D3355" t="s">
        <v>650</v>
      </c>
    </row>
    <row r="3356" spans="1:4">
      <c r="A3356" s="2">
        <v>6.8929</v>
      </c>
      <c r="B3356" t="s">
        <v>364</v>
      </c>
      <c r="C3356" t="s">
        <v>649</v>
      </c>
      <c r="D3356" t="s">
        <v>651</v>
      </c>
    </row>
    <row r="3357" spans="1:4">
      <c r="A3357" s="2">
        <v>7.9518</v>
      </c>
      <c r="B3357" t="s">
        <v>373</v>
      </c>
      <c r="C3357" t="s">
        <v>649</v>
      </c>
      <c r="D3357" t="s">
        <v>651</v>
      </c>
    </row>
    <row r="3358" spans="1:4">
      <c r="A3358" s="2">
        <v>0.043187</v>
      </c>
      <c r="B3358" t="s">
        <v>520</v>
      </c>
      <c r="C3358" t="s">
        <v>649</v>
      </c>
      <c r="D3358" t="s">
        <v>651</v>
      </c>
    </row>
    <row r="3359" spans="1:4">
      <c r="A3359" s="2">
        <v>0.87945</v>
      </c>
      <c r="B3359" t="s">
        <v>370</v>
      </c>
      <c r="C3359" t="s">
        <v>649</v>
      </c>
      <c r="D3359" t="s">
        <v>651</v>
      </c>
    </row>
    <row r="3360" spans="1:4">
      <c r="A3360" s="2">
        <v>9.1153</v>
      </c>
      <c r="B3360" t="s">
        <v>521</v>
      </c>
      <c r="C3360" t="s">
        <v>649</v>
      </c>
      <c r="D3360" t="s">
        <v>651</v>
      </c>
    </row>
    <row r="3361" spans="1:4">
      <c r="A3361" s="2">
        <v>4.7619</v>
      </c>
      <c r="B3361" t="s">
        <v>522</v>
      </c>
      <c r="C3361" t="s">
        <v>649</v>
      </c>
      <c r="D3361" t="s">
        <v>651</v>
      </c>
    </row>
    <row r="3362" spans="1:4">
      <c r="A3362" s="2">
        <v>3.9397</v>
      </c>
      <c r="B3362" t="s">
        <v>523</v>
      </c>
      <c r="C3362" t="s">
        <v>649</v>
      </c>
      <c r="D3362" t="s">
        <v>651</v>
      </c>
    </row>
    <row r="3363" spans="1:4">
      <c r="A3363" s="2">
        <v>5.3603</v>
      </c>
      <c r="B3363" t="s">
        <v>524</v>
      </c>
      <c r="C3363" t="s">
        <v>649</v>
      </c>
      <c r="D3363" t="s">
        <v>651</v>
      </c>
    </row>
    <row r="3364" spans="1:4">
      <c r="A3364" s="2">
        <v>8.6276</v>
      </c>
      <c r="B3364" t="s">
        <v>525</v>
      </c>
      <c r="C3364" t="s">
        <v>649</v>
      </c>
      <c r="D3364" t="s">
        <v>651</v>
      </c>
    </row>
    <row r="3365" spans="1:4">
      <c r="A3365" s="2">
        <v>4.9497</v>
      </c>
      <c r="B3365" t="s">
        <v>526</v>
      </c>
      <c r="C3365" t="s">
        <v>649</v>
      </c>
      <c r="D3365" t="s">
        <v>651</v>
      </c>
    </row>
    <row r="3366" spans="1:4">
      <c r="A3366" s="2">
        <v>0.8538251366120219</v>
      </c>
      <c r="B3366" t="s">
        <v>527</v>
      </c>
      <c r="C3366" t="s">
        <v>649</v>
      </c>
      <c r="D3366" t="s">
        <v>651</v>
      </c>
    </row>
    <row r="3367" spans="1:4">
      <c r="A3367" s="2">
        <v>1.7063099341364365</v>
      </c>
      <c r="B3367" t="s">
        <v>528</v>
      </c>
      <c r="C3367" t="s">
        <v>649</v>
      </c>
      <c r="D3367" t="s">
        <v>651</v>
      </c>
    </row>
    <row r="3368" spans="1:4">
      <c r="A3368" s="2">
        <v>0.08566631257924134</v>
      </c>
      <c r="B3368" t="s">
        <v>529</v>
      </c>
      <c r="C3368" t="s">
        <v>649</v>
      </c>
      <c r="D3368" t="s">
        <v>651</v>
      </c>
    </row>
    <row r="3369" spans="1:4">
      <c r="A3369" s="2">
        <v>0.40648754115686353</v>
      </c>
      <c r="B3369" t="s">
        <v>530</v>
      </c>
      <c r="C3369" t="s">
        <v>649</v>
      </c>
      <c r="D3369" t="s">
        <v>651</v>
      </c>
    </row>
    <row r="3370" spans="1:4">
      <c r="A3370" s="2">
        <v>0.004564334291843534</v>
      </c>
      <c r="B3370" t="s">
        <v>531</v>
      </c>
      <c r="C3370" t="s">
        <v>649</v>
      </c>
      <c r="D3370" t="s">
        <v>651</v>
      </c>
    </row>
    <row r="3371" spans="1:4">
      <c r="A3371" s="2">
        <v>1.875082034839024</v>
      </c>
      <c r="B3371" t="s">
        <v>532</v>
      </c>
      <c r="C3371" t="s">
        <v>649</v>
      </c>
      <c r="D3371" t="s">
        <v>651</v>
      </c>
    </row>
    <row r="3372" spans="1:4">
      <c r="A3372" s="2">
        <v>1.8346267451886915</v>
      </c>
      <c r="B3372" t="s">
        <v>533</v>
      </c>
      <c r="C3372" t="s">
        <v>649</v>
      </c>
      <c r="D3372" t="s">
        <v>651</v>
      </c>
    </row>
    <row r="3373" spans="1:4">
      <c r="A3373" s="2">
        <v>0.0206914674595637</v>
      </c>
      <c r="B3373" t="s">
        <v>534</v>
      </c>
      <c r="C3373" t="s">
        <v>649</v>
      </c>
      <c r="D3373" t="s">
        <v>651</v>
      </c>
    </row>
    <row r="3374" spans="1:4">
      <c r="A3374" s="2">
        <v>1.8585633305454885</v>
      </c>
      <c r="B3374" t="s">
        <v>535</v>
      </c>
      <c r="C3374" t="s">
        <v>649</v>
      </c>
      <c r="D3374" t="s">
        <v>651</v>
      </c>
    </row>
    <row r="3375" spans="1:4">
      <c r="A3375" s="2">
        <v>1.0639429726566656</v>
      </c>
      <c r="B3375" t="s">
        <v>536</v>
      </c>
      <c r="C3375" t="s">
        <v>649</v>
      </c>
      <c r="D3375" t="s">
        <v>651</v>
      </c>
    </row>
    <row r="3376" spans="1:4">
      <c r="A3376" s="2">
        <v>0.7309407207075506</v>
      </c>
      <c r="B3376" t="s">
        <v>537</v>
      </c>
      <c r="C3376" t="s">
        <v>649</v>
      </c>
      <c r="D3376" t="s">
        <v>651</v>
      </c>
    </row>
    <row r="3377" spans="1:4">
      <c r="A3377" s="2">
        <v>0.7081651441116068</v>
      </c>
      <c r="B3377" t="s">
        <v>538</v>
      </c>
      <c r="C3377" t="s">
        <v>649</v>
      </c>
      <c r="D3377" t="s">
        <v>651</v>
      </c>
    </row>
    <row r="3378" spans="1:4">
      <c r="A3378" s="2">
        <v>0.15455496670113242</v>
      </c>
      <c r="B3378" t="s">
        <v>539</v>
      </c>
      <c r="C3378" t="s">
        <v>649</v>
      </c>
      <c r="D3378" t="s">
        <v>651</v>
      </c>
    </row>
    <row r="3379" spans="1:4">
      <c r="A3379" s="2">
        <v>0.3857578212398256</v>
      </c>
      <c r="B3379" t="s">
        <v>540</v>
      </c>
      <c r="C3379" t="s">
        <v>649</v>
      </c>
      <c r="D3379" t="s">
        <v>651</v>
      </c>
    </row>
    <row r="3380" spans="1:4">
      <c r="A3380" s="2">
        <v>0.21120216271014616</v>
      </c>
      <c r="B3380" t="s">
        <v>541</v>
      </c>
      <c r="C3380" t="s">
        <v>649</v>
      </c>
      <c r="D3380" t="s">
        <v>651</v>
      </c>
    </row>
    <row r="3381" spans="1:4">
      <c r="A3381" s="2">
        <v>1</v>
      </c>
      <c r="B3381" t="s">
        <v>542</v>
      </c>
      <c r="C3381" t="s">
        <v>651</v>
      </c>
      <c r="D3381" t="s">
        <v>651</v>
      </c>
    </row>
    <row r="3382" spans="1:4">
      <c r="A3382" s="2">
        <v>6.8929</v>
      </c>
      <c r="B3382" t="s">
        <v>364</v>
      </c>
      <c r="C3382" t="s">
        <v>649</v>
      </c>
      <c r="D3382" t="s">
        <v>652</v>
      </c>
    </row>
    <row r="3383" spans="1:4">
      <c r="A3383" s="2">
        <v>7.9518</v>
      </c>
      <c r="B3383" t="s">
        <v>373</v>
      </c>
      <c r="C3383" t="s">
        <v>649</v>
      </c>
      <c r="D3383" t="s">
        <v>652</v>
      </c>
    </row>
    <row r="3384" spans="1:4">
      <c r="A3384" s="2">
        <v>0.043187</v>
      </c>
      <c r="B3384" t="s">
        <v>520</v>
      </c>
      <c r="C3384" t="s">
        <v>649</v>
      </c>
      <c r="D3384" t="s">
        <v>652</v>
      </c>
    </row>
    <row r="3385" spans="1:4">
      <c r="A3385" s="2">
        <v>0.87945</v>
      </c>
      <c r="B3385" t="s">
        <v>370</v>
      </c>
      <c r="C3385" t="s">
        <v>649</v>
      </c>
      <c r="D3385" t="s">
        <v>652</v>
      </c>
    </row>
    <row r="3386" spans="1:4">
      <c r="A3386" s="2">
        <v>9.1153</v>
      </c>
      <c r="B3386" t="s">
        <v>521</v>
      </c>
      <c r="C3386" t="s">
        <v>649</v>
      </c>
      <c r="D3386" t="s">
        <v>652</v>
      </c>
    </row>
    <row r="3387" spans="1:4">
      <c r="A3387" s="2">
        <v>4.7619</v>
      </c>
      <c r="B3387" t="s">
        <v>522</v>
      </c>
      <c r="C3387" t="s">
        <v>649</v>
      </c>
      <c r="D3387" t="s">
        <v>652</v>
      </c>
    </row>
    <row r="3388" spans="1:4">
      <c r="A3388" s="2">
        <v>3.9397</v>
      </c>
      <c r="B3388" t="s">
        <v>523</v>
      </c>
      <c r="C3388" t="s">
        <v>649</v>
      </c>
      <c r="D3388" t="s">
        <v>652</v>
      </c>
    </row>
    <row r="3389" spans="1:4">
      <c r="A3389" s="2">
        <v>5.3603</v>
      </c>
      <c r="B3389" t="s">
        <v>524</v>
      </c>
      <c r="C3389" t="s">
        <v>649</v>
      </c>
      <c r="D3389" t="s">
        <v>652</v>
      </c>
    </row>
    <row r="3390" spans="1:4">
      <c r="A3390" s="2">
        <v>8.6276</v>
      </c>
      <c r="B3390" t="s">
        <v>525</v>
      </c>
      <c r="C3390" t="s">
        <v>649</v>
      </c>
      <c r="D3390" t="s">
        <v>652</v>
      </c>
    </row>
    <row r="3391" spans="1:4">
      <c r="A3391" s="2">
        <v>4.9497</v>
      </c>
      <c r="B3391" t="s">
        <v>526</v>
      </c>
      <c r="C3391" t="s">
        <v>649</v>
      </c>
      <c r="D3391" t="s">
        <v>652</v>
      </c>
    </row>
    <row r="3392" spans="1:4">
      <c r="A3392" s="2">
        <v>0.8538251366120219</v>
      </c>
      <c r="B3392" t="s">
        <v>527</v>
      </c>
      <c r="C3392" t="s">
        <v>649</v>
      </c>
      <c r="D3392" t="s">
        <v>652</v>
      </c>
    </row>
    <row r="3393" spans="1:4">
      <c r="A3393" s="2">
        <v>1.7063099341364365</v>
      </c>
      <c r="B3393" t="s">
        <v>528</v>
      </c>
      <c r="C3393" t="s">
        <v>649</v>
      </c>
      <c r="D3393" t="s">
        <v>652</v>
      </c>
    </row>
    <row r="3394" spans="1:4">
      <c r="A3394" s="2">
        <v>0.08566631257924134</v>
      </c>
      <c r="B3394" t="s">
        <v>529</v>
      </c>
      <c r="C3394" t="s">
        <v>649</v>
      </c>
      <c r="D3394" t="s">
        <v>652</v>
      </c>
    </row>
    <row r="3395" spans="1:4">
      <c r="A3395" s="2">
        <v>0.40648754115686353</v>
      </c>
      <c r="B3395" t="s">
        <v>530</v>
      </c>
      <c r="C3395" t="s">
        <v>649</v>
      </c>
      <c r="D3395" t="s">
        <v>652</v>
      </c>
    </row>
    <row r="3396" spans="1:4">
      <c r="A3396" s="2">
        <v>0.004564334291843534</v>
      </c>
      <c r="B3396" t="s">
        <v>531</v>
      </c>
      <c r="C3396" t="s">
        <v>649</v>
      </c>
      <c r="D3396" t="s">
        <v>652</v>
      </c>
    </row>
    <row r="3397" spans="1:4">
      <c r="A3397" s="2">
        <v>1.875082034839024</v>
      </c>
      <c r="B3397" t="s">
        <v>532</v>
      </c>
      <c r="C3397" t="s">
        <v>649</v>
      </c>
      <c r="D3397" t="s">
        <v>652</v>
      </c>
    </row>
    <row r="3398" spans="1:4">
      <c r="A3398" s="2">
        <v>1.8346267451886915</v>
      </c>
      <c r="B3398" t="s">
        <v>533</v>
      </c>
      <c r="C3398" t="s">
        <v>649</v>
      </c>
      <c r="D3398" t="s">
        <v>652</v>
      </c>
    </row>
    <row r="3399" spans="1:4">
      <c r="A3399" s="2">
        <v>0.0206914674595637</v>
      </c>
      <c r="B3399" t="s">
        <v>534</v>
      </c>
      <c r="C3399" t="s">
        <v>649</v>
      </c>
      <c r="D3399" t="s">
        <v>652</v>
      </c>
    </row>
    <row r="3400" spans="1:4">
      <c r="A3400" s="2">
        <v>1.8585633305454885</v>
      </c>
      <c r="B3400" t="s">
        <v>535</v>
      </c>
      <c r="C3400" t="s">
        <v>649</v>
      </c>
      <c r="D3400" t="s">
        <v>652</v>
      </c>
    </row>
    <row r="3401" spans="1:4">
      <c r="A3401" s="2">
        <v>1.0639429726566656</v>
      </c>
      <c r="B3401" t="s">
        <v>536</v>
      </c>
      <c r="C3401" t="s">
        <v>649</v>
      </c>
      <c r="D3401" t="s">
        <v>652</v>
      </c>
    </row>
    <row r="3402" spans="1:4">
      <c r="A3402" s="2">
        <v>0.7309407207075506</v>
      </c>
      <c r="B3402" t="s">
        <v>537</v>
      </c>
      <c r="C3402" t="s">
        <v>649</v>
      </c>
      <c r="D3402" t="s">
        <v>652</v>
      </c>
    </row>
    <row r="3403" spans="1:4">
      <c r="A3403" s="2">
        <v>0.7081651441116068</v>
      </c>
      <c r="B3403" t="s">
        <v>538</v>
      </c>
      <c r="C3403" t="s">
        <v>649</v>
      </c>
      <c r="D3403" t="s">
        <v>652</v>
      </c>
    </row>
    <row r="3404" spans="1:4">
      <c r="A3404" s="2">
        <v>0.15455496670113242</v>
      </c>
      <c r="B3404" t="s">
        <v>539</v>
      </c>
      <c r="C3404" t="s">
        <v>649</v>
      </c>
      <c r="D3404" t="s">
        <v>652</v>
      </c>
    </row>
    <row r="3405" spans="1:4">
      <c r="A3405" s="2">
        <v>0.3857578212398256</v>
      </c>
      <c r="B3405" t="s">
        <v>540</v>
      </c>
      <c r="C3405" t="s">
        <v>649</v>
      </c>
      <c r="D3405" t="s">
        <v>652</v>
      </c>
    </row>
    <row r="3406" spans="1:4">
      <c r="A3406" s="2">
        <v>0.21120216271014616</v>
      </c>
      <c r="B3406" t="s">
        <v>541</v>
      </c>
      <c r="C3406" t="s">
        <v>649</v>
      </c>
      <c r="D3406" t="s">
        <v>652</v>
      </c>
    </row>
    <row r="3407" spans="1:4">
      <c r="A3407" s="2">
        <v>1</v>
      </c>
      <c r="B3407" t="s">
        <v>542</v>
      </c>
      <c r="C3407" t="s">
        <v>652</v>
      </c>
      <c r="D3407" t="s">
        <v>652</v>
      </c>
    </row>
    <row r="3408" spans="1:4">
      <c r="A3408" s="2">
        <v>6.8854</v>
      </c>
      <c r="B3408" t="s">
        <v>364</v>
      </c>
      <c r="C3408" t="s">
        <v>653</v>
      </c>
      <c r="D3408" t="s">
        <v>653</v>
      </c>
    </row>
    <row r="3409" spans="1:4">
      <c r="A3409" s="2">
        <v>7.9398</v>
      </c>
      <c r="B3409" t="s">
        <v>373</v>
      </c>
      <c r="C3409" t="s">
        <v>653</v>
      </c>
      <c r="D3409" t="s">
        <v>653</v>
      </c>
    </row>
    <row r="3410" spans="1:4">
      <c r="A3410" s="2">
        <v>0.043119</v>
      </c>
      <c r="B3410" t="s">
        <v>520</v>
      </c>
      <c r="C3410" t="s">
        <v>653</v>
      </c>
      <c r="D3410" t="s">
        <v>653</v>
      </c>
    </row>
    <row r="3411" spans="1:4">
      <c r="A3411" s="2">
        <v>0.87858</v>
      </c>
      <c r="B3411" t="s">
        <v>370</v>
      </c>
      <c r="C3411" t="s">
        <v>653</v>
      </c>
      <c r="D3411" t="s">
        <v>653</v>
      </c>
    </row>
    <row r="3412" spans="1:4">
      <c r="A3412" s="2">
        <v>9.1034</v>
      </c>
      <c r="B3412" t="s">
        <v>521</v>
      </c>
      <c r="C3412" t="s">
        <v>653</v>
      </c>
      <c r="D3412" t="s">
        <v>653</v>
      </c>
    </row>
    <row r="3413" spans="1:4">
      <c r="A3413" s="2">
        <v>4.7584</v>
      </c>
      <c r="B3413" t="s">
        <v>522</v>
      </c>
      <c r="C3413" t="s">
        <v>653</v>
      </c>
      <c r="D3413" t="s">
        <v>653</v>
      </c>
    </row>
    <row r="3414" spans="1:4">
      <c r="A3414" s="2">
        <v>3.9287</v>
      </c>
      <c r="B3414" t="s">
        <v>523</v>
      </c>
      <c r="C3414" t="s">
        <v>653</v>
      </c>
      <c r="D3414" t="s">
        <v>653</v>
      </c>
    </row>
    <row r="3415" spans="1:4">
      <c r="A3415" s="2">
        <v>5.355499999999999</v>
      </c>
      <c r="B3415" t="s">
        <v>524</v>
      </c>
      <c r="C3415" t="s">
        <v>653</v>
      </c>
      <c r="D3415" t="s">
        <v>653</v>
      </c>
    </row>
    <row r="3416" spans="1:4">
      <c r="A3416" s="2">
        <v>8.6204</v>
      </c>
      <c r="B3416" t="s">
        <v>525</v>
      </c>
      <c r="C3416" t="s">
        <v>653</v>
      </c>
      <c r="D3416" t="s">
        <v>653</v>
      </c>
    </row>
    <row r="3417" spans="1:4">
      <c r="A3417" s="2">
        <v>4.9454</v>
      </c>
      <c r="B3417" t="s">
        <v>526</v>
      </c>
      <c r="C3417" t="s">
        <v>653</v>
      </c>
      <c r="D3417" t="s">
        <v>653</v>
      </c>
    </row>
    <row r="3418" spans="1:4">
      <c r="A3418" s="2">
        <v>0.8525876033762468</v>
      </c>
      <c r="B3418" t="s">
        <v>527</v>
      </c>
      <c r="C3418" t="s">
        <v>653</v>
      </c>
      <c r="D3418" t="s">
        <v>653</v>
      </c>
    </row>
    <row r="3419" spans="1:4">
      <c r="A3419" s="2">
        <v>1.7090511348099535</v>
      </c>
      <c r="B3419" t="s">
        <v>528</v>
      </c>
      <c r="C3419" t="s">
        <v>653</v>
      </c>
      <c r="D3419" t="s">
        <v>653</v>
      </c>
    </row>
    <row r="3420" spans="1:4">
      <c r="A3420" s="2">
        <v>0.087070091423596</v>
      </c>
      <c r="B3420" t="s">
        <v>529</v>
      </c>
      <c r="C3420" t="s">
        <v>653</v>
      </c>
      <c r="D3420" t="s">
        <v>653</v>
      </c>
    </row>
    <row r="3421" spans="1:4">
      <c r="A3421" s="2">
        <v>0.4081132922499286</v>
      </c>
      <c r="B3421" t="s">
        <v>530</v>
      </c>
      <c r="C3421" t="s">
        <v>653</v>
      </c>
      <c r="D3421" t="s">
        <v>653</v>
      </c>
    </row>
    <row r="3422" spans="1:4">
      <c r="A3422" s="2">
        <v>0.004562876437306078</v>
      </c>
      <c r="B3422" t="s">
        <v>531</v>
      </c>
      <c r="C3422" t="s">
        <v>653</v>
      </c>
      <c r="D3422" t="s">
        <v>653</v>
      </c>
    </row>
    <row r="3423" spans="1:4">
      <c r="A3423" s="2">
        <v>1.873606505161786</v>
      </c>
      <c r="B3423" t="s">
        <v>532</v>
      </c>
      <c r="C3423" t="s">
        <v>653</v>
      </c>
      <c r="D3423" t="s">
        <v>653</v>
      </c>
    </row>
    <row r="3424" spans="1:4">
      <c r="A3424" s="2">
        <v>1.832878168588134</v>
      </c>
      <c r="B3424" t="s">
        <v>533</v>
      </c>
      <c r="C3424" t="s">
        <v>653</v>
      </c>
      <c r="D3424" t="s">
        <v>653</v>
      </c>
    </row>
    <row r="3425" spans="1:4">
      <c r="A3425" s="2">
        <v>0.020809748951188655</v>
      </c>
      <c r="B3425" t="s">
        <v>534</v>
      </c>
      <c r="C3425" t="s">
        <v>653</v>
      </c>
      <c r="D3425" t="s">
        <v>653</v>
      </c>
    </row>
    <row r="3426" spans="1:4">
      <c r="A3426" s="2">
        <v>1.8624054829217416</v>
      </c>
      <c r="B3426" t="s">
        <v>535</v>
      </c>
      <c r="C3426" t="s">
        <v>653</v>
      </c>
      <c r="D3426" t="s">
        <v>653</v>
      </c>
    </row>
    <row r="3427" spans="1:4">
      <c r="A3427" s="2">
        <v>1.0625863351397302</v>
      </c>
      <c r="B3427" t="s">
        <v>536</v>
      </c>
      <c r="C3427" t="s">
        <v>653</v>
      </c>
      <c r="D3427" t="s">
        <v>653</v>
      </c>
    </row>
    <row r="3428" spans="1:4">
      <c r="A3428" s="2">
        <v>0.7279609812914027</v>
      </c>
      <c r="B3428" t="s">
        <v>537</v>
      </c>
      <c r="C3428" t="s">
        <v>653</v>
      </c>
      <c r="D3428" t="s">
        <v>653</v>
      </c>
    </row>
    <row r="3429" spans="1:4">
      <c r="A3429" s="2">
        <v>0.7087172218284905</v>
      </c>
      <c r="B3429" t="s">
        <v>538</v>
      </c>
      <c r="C3429" t="s">
        <v>653</v>
      </c>
      <c r="D3429" t="s">
        <v>653</v>
      </c>
    </row>
    <row r="3430" spans="1:4">
      <c r="A3430" s="2">
        <v>0.15433718353160517</v>
      </c>
      <c r="B3430" t="s">
        <v>539</v>
      </c>
      <c r="C3430" t="s">
        <v>653</v>
      </c>
      <c r="D3430" t="s">
        <v>653</v>
      </c>
    </row>
    <row r="3431" spans="1:4">
      <c r="A3431" s="2">
        <v>0.3875968992248062</v>
      </c>
      <c r="B3431" t="s">
        <v>540</v>
      </c>
      <c r="C3431" t="s">
        <v>653</v>
      </c>
      <c r="D3431" t="s">
        <v>653</v>
      </c>
    </row>
    <row r="3432" spans="1:4">
      <c r="A3432" s="2">
        <v>0.21126016689553184</v>
      </c>
      <c r="B3432" t="s">
        <v>541</v>
      </c>
      <c r="C3432" t="s">
        <v>653</v>
      </c>
      <c r="D3432" t="s">
        <v>653</v>
      </c>
    </row>
    <row r="3433" spans="1:4">
      <c r="A3433" s="2">
        <v>1</v>
      </c>
      <c r="B3433" t="s">
        <v>542</v>
      </c>
      <c r="C3433" t="s">
        <v>653</v>
      </c>
      <c r="D3433" t="s">
        <v>653</v>
      </c>
    </row>
    <row r="3434" spans="1:4">
      <c r="A3434" s="2">
        <v>6.867999999999999</v>
      </c>
      <c r="B3434" t="s">
        <v>364</v>
      </c>
      <c r="C3434" t="s">
        <v>654</v>
      </c>
      <c r="D3434" t="s">
        <v>654</v>
      </c>
    </row>
    <row r="3435" spans="1:4">
      <c r="A3435" s="2">
        <v>7.999</v>
      </c>
      <c r="B3435" t="s">
        <v>373</v>
      </c>
      <c r="C3435" t="s">
        <v>654</v>
      </c>
      <c r="D3435" t="s">
        <v>654</v>
      </c>
    </row>
    <row r="3436" spans="1:4">
      <c r="A3436" s="2">
        <v>0.043169000000000006</v>
      </c>
      <c r="B3436" t="s">
        <v>520</v>
      </c>
      <c r="C3436" t="s">
        <v>654</v>
      </c>
      <c r="D3436" t="s">
        <v>654</v>
      </c>
    </row>
    <row r="3437" spans="1:4">
      <c r="A3437" s="2">
        <v>0.87652</v>
      </c>
      <c r="B3437" t="s">
        <v>370</v>
      </c>
      <c r="C3437" t="s">
        <v>654</v>
      </c>
      <c r="D3437" t="s">
        <v>654</v>
      </c>
    </row>
    <row r="3438" spans="1:4">
      <c r="A3438" s="2">
        <v>9.1704</v>
      </c>
      <c r="B3438" t="s">
        <v>521</v>
      </c>
      <c r="C3438" t="s">
        <v>654</v>
      </c>
      <c r="D3438" t="s">
        <v>654</v>
      </c>
    </row>
    <row r="3439" spans="1:4">
      <c r="A3439" s="2">
        <v>4.8349</v>
      </c>
      <c r="B3439" t="s">
        <v>522</v>
      </c>
      <c r="C3439" t="s">
        <v>654</v>
      </c>
      <c r="D3439" t="s">
        <v>654</v>
      </c>
    </row>
    <row r="3440" spans="1:4">
      <c r="A3440" s="2">
        <v>3.9681</v>
      </c>
      <c r="B3440" t="s">
        <v>523</v>
      </c>
      <c r="C3440" t="s">
        <v>654</v>
      </c>
      <c r="D3440" t="s">
        <v>654</v>
      </c>
    </row>
    <row r="3441" spans="1:4">
      <c r="A3441" s="2">
        <v>5.367100000000001</v>
      </c>
      <c r="B3441" t="s">
        <v>524</v>
      </c>
      <c r="C3441" t="s">
        <v>654</v>
      </c>
      <c r="D3441" t="s">
        <v>654</v>
      </c>
    </row>
    <row r="3442" spans="1:4">
      <c r="A3442" s="2">
        <v>8.6551</v>
      </c>
      <c r="B3442" t="s">
        <v>525</v>
      </c>
      <c r="C3442" t="s">
        <v>654</v>
      </c>
      <c r="D3442" t="s">
        <v>654</v>
      </c>
    </row>
    <row r="3443" spans="1:4">
      <c r="A3443" s="2">
        <v>4.9456</v>
      </c>
      <c r="B3443" t="s">
        <v>526</v>
      </c>
      <c r="C3443" t="s">
        <v>654</v>
      </c>
      <c r="D3443" t="s">
        <v>654</v>
      </c>
    </row>
    <row r="3444" spans="1:4">
      <c r="A3444" s="2">
        <v>0.8506294658046955</v>
      </c>
      <c r="B3444" t="s">
        <v>527</v>
      </c>
      <c r="C3444" t="s">
        <v>654</v>
      </c>
      <c r="D3444" t="s">
        <v>654</v>
      </c>
    </row>
    <row r="3445" spans="1:4">
      <c r="A3445" s="2">
        <v>1.708934308565179</v>
      </c>
      <c r="B3445" t="s">
        <v>528</v>
      </c>
      <c r="C3445" t="s">
        <v>654</v>
      </c>
      <c r="D3445" t="s">
        <v>654</v>
      </c>
    </row>
    <row r="3446" spans="1:4">
      <c r="A3446" s="2">
        <v>0.08728288382648162</v>
      </c>
      <c r="B3446" t="s">
        <v>529</v>
      </c>
      <c r="C3446" t="s">
        <v>654</v>
      </c>
      <c r="D3446" t="s">
        <v>654</v>
      </c>
    </row>
    <row r="3447" spans="1:4">
      <c r="A3447" s="2">
        <v>0.41517894212405543</v>
      </c>
      <c r="B3447" t="s">
        <v>530</v>
      </c>
      <c r="C3447" t="s">
        <v>654</v>
      </c>
      <c r="D3447" t="s">
        <v>654</v>
      </c>
    </row>
    <row r="3448" spans="1:4">
      <c r="A3448" s="2">
        <v>0.004604899613188432</v>
      </c>
      <c r="B3448" t="s">
        <v>531</v>
      </c>
      <c r="C3448" t="s">
        <v>654</v>
      </c>
      <c r="D3448" t="s">
        <v>654</v>
      </c>
    </row>
    <row r="3449" spans="1:4">
      <c r="A3449" s="2">
        <v>1.865636835133673</v>
      </c>
      <c r="B3449" t="s">
        <v>532</v>
      </c>
      <c r="C3449" t="s">
        <v>654</v>
      </c>
      <c r="D3449" t="s">
        <v>654</v>
      </c>
    </row>
    <row r="3450" spans="1:4">
      <c r="A3450" s="2">
        <v>1.8249840313897252</v>
      </c>
      <c r="B3450" t="s">
        <v>533</v>
      </c>
      <c r="C3450" t="s">
        <v>654</v>
      </c>
      <c r="D3450" t="s">
        <v>654</v>
      </c>
    </row>
    <row r="3451" spans="1:4">
      <c r="A3451" s="2">
        <v>0.021248926929190077</v>
      </c>
      <c r="B3451" t="s">
        <v>534</v>
      </c>
      <c r="C3451" t="s">
        <v>654</v>
      </c>
      <c r="D3451" t="s">
        <v>654</v>
      </c>
    </row>
    <row r="3452" spans="1:4">
      <c r="A3452" s="2">
        <v>1.8797345814770956</v>
      </c>
      <c r="B3452" t="s">
        <v>535</v>
      </c>
      <c r="C3452" t="s">
        <v>654</v>
      </c>
      <c r="D3452" t="s">
        <v>654</v>
      </c>
    </row>
    <row r="3453" spans="1:4">
      <c r="A3453" s="2">
        <v>1.0702054794520548</v>
      </c>
      <c r="B3453" t="s">
        <v>536</v>
      </c>
      <c r="C3453" t="s">
        <v>654</v>
      </c>
      <c r="D3453" t="s">
        <v>654</v>
      </c>
    </row>
    <row r="3454" spans="1:4">
      <c r="A3454" s="2">
        <v>0.733998825601879</v>
      </c>
      <c r="B3454" t="s">
        <v>537</v>
      </c>
      <c r="C3454" t="s">
        <v>654</v>
      </c>
      <c r="D3454" t="s">
        <v>654</v>
      </c>
    </row>
    <row r="3455" spans="1:4">
      <c r="A3455" s="2">
        <v>0.7135212272565109</v>
      </c>
      <c r="B3455" t="s">
        <v>538</v>
      </c>
      <c r="C3455" t="s">
        <v>654</v>
      </c>
      <c r="D3455" t="s">
        <v>654</v>
      </c>
    </row>
    <row r="3456" spans="1:4">
      <c r="A3456" s="2">
        <v>0.15381657373582003</v>
      </c>
      <c r="B3456" t="s">
        <v>539</v>
      </c>
      <c r="C3456" t="s">
        <v>654</v>
      </c>
      <c r="D3456" t="s">
        <v>654</v>
      </c>
    </row>
    <row r="3457" spans="1:4">
      <c r="A3457" s="2">
        <v>0.3910680067263697</v>
      </c>
      <c r="B3457" t="s">
        <v>540</v>
      </c>
      <c r="C3457" t="s">
        <v>654</v>
      </c>
      <c r="D3457" t="s">
        <v>654</v>
      </c>
    </row>
    <row r="3458" spans="1:4">
      <c r="A3458" s="2">
        <v>0.21313327223512865</v>
      </c>
      <c r="B3458" t="s">
        <v>541</v>
      </c>
      <c r="C3458" t="s">
        <v>654</v>
      </c>
      <c r="D3458" t="s">
        <v>654</v>
      </c>
    </row>
    <row r="3459" spans="1:4">
      <c r="A3459" s="2">
        <v>1</v>
      </c>
      <c r="B3459" t="s">
        <v>542</v>
      </c>
      <c r="C3459" t="s">
        <v>654</v>
      </c>
      <c r="D3459" t="s">
        <v>654</v>
      </c>
    </row>
    <row r="3460" spans="1:4">
      <c r="A3460" s="2">
        <v>6.8649</v>
      </c>
      <c r="B3460" t="s">
        <v>364</v>
      </c>
      <c r="C3460" t="s">
        <v>655</v>
      </c>
      <c r="D3460" t="s">
        <v>655</v>
      </c>
    </row>
    <row r="3461" spans="1:4">
      <c r="A3461" s="2">
        <v>7.9754</v>
      </c>
      <c r="B3461" t="s">
        <v>373</v>
      </c>
      <c r="C3461" t="s">
        <v>655</v>
      </c>
      <c r="D3461" t="s">
        <v>655</v>
      </c>
    </row>
    <row r="3462" spans="1:4">
      <c r="A3462" s="2">
        <v>0.043158</v>
      </c>
      <c r="B3462" t="s">
        <v>520</v>
      </c>
      <c r="C3462" t="s">
        <v>655</v>
      </c>
      <c r="D3462" t="s">
        <v>655</v>
      </c>
    </row>
    <row r="3463" spans="1:4">
      <c r="A3463" s="2">
        <v>0.87651</v>
      </c>
      <c r="B3463" t="s">
        <v>370</v>
      </c>
      <c r="C3463" t="s">
        <v>655</v>
      </c>
      <c r="D3463" t="s">
        <v>655</v>
      </c>
    </row>
    <row r="3464" spans="1:4">
      <c r="A3464" s="2">
        <v>9.1633</v>
      </c>
      <c r="B3464" t="s">
        <v>521</v>
      </c>
      <c r="C3464" t="s">
        <v>655</v>
      </c>
      <c r="D3464" t="s">
        <v>655</v>
      </c>
    </row>
    <row r="3465" spans="1:4">
      <c r="A3465" s="2">
        <v>4.8178</v>
      </c>
      <c r="B3465" t="s">
        <v>522</v>
      </c>
      <c r="C3465" t="s">
        <v>655</v>
      </c>
      <c r="D3465" t="s">
        <v>655</v>
      </c>
    </row>
    <row r="3466" spans="1:4">
      <c r="A3466" s="2">
        <v>3.9842</v>
      </c>
      <c r="B3466" t="s">
        <v>523</v>
      </c>
      <c r="C3466" t="s">
        <v>655</v>
      </c>
      <c r="D3466" t="s">
        <v>655</v>
      </c>
    </row>
    <row r="3467" spans="1:4">
      <c r="A3467" s="2">
        <v>5.3689</v>
      </c>
      <c r="B3467" t="s">
        <v>524</v>
      </c>
      <c r="C3467" t="s">
        <v>655</v>
      </c>
      <c r="D3467" t="s">
        <v>655</v>
      </c>
    </row>
    <row r="3468" spans="1:4">
      <c r="A3468" s="2">
        <v>8.6467</v>
      </c>
      <c r="B3468" t="s">
        <v>525</v>
      </c>
      <c r="C3468" t="s">
        <v>655</v>
      </c>
      <c r="D3468" t="s">
        <v>655</v>
      </c>
    </row>
    <row r="3469" spans="1:4">
      <c r="A3469" s="2">
        <v>4.9402</v>
      </c>
      <c r="B3469" t="s">
        <v>526</v>
      </c>
      <c r="C3469" t="s">
        <v>655</v>
      </c>
      <c r="D3469" t="s">
        <v>655</v>
      </c>
    </row>
    <row r="3470" spans="1:4">
      <c r="A3470" s="2">
        <v>0.8505571149102663</v>
      </c>
      <c r="B3470" t="s">
        <v>527</v>
      </c>
      <c r="C3470" t="s">
        <v>655</v>
      </c>
      <c r="D3470" t="s">
        <v>655</v>
      </c>
    </row>
    <row r="3471" spans="1:4">
      <c r="A3471" s="2">
        <v>1.7224155155189638</v>
      </c>
      <c r="B3471" t="s">
        <v>528</v>
      </c>
      <c r="C3471" t="s">
        <v>655</v>
      </c>
      <c r="D3471" t="s">
        <v>655</v>
      </c>
    </row>
    <row r="3472" spans="1:4">
      <c r="A3472" s="2">
        <v>0.08706175290133292</v>
      </c>
      <c r="B3472" t="s">
        <v>529</v>
      </c>
      <c r="C3472" t="s">
        <v>655</v>
      </c>
      <c r="D3472" t="s">
        <v>655</v>
      </c>
    </row>
    <row r="3473" spans="1:4">
      <c r="A3473" s="2">
        <v>0.4165972337943677</v>
      </c>
      <c r="B3473" t="s">
        <v>530</v>
      </c>
      <c r="C3473" t="s">
        <v>655</v>
      </c>
      <c r="D3473" t="s">
        <v>655</v>
      </c>
    </row>
    <row r="3474" spans="1:4">
      <c r="A3474" s="2">
        <v>0.004621712806766188</v>
      </c>
      <c r="B3474" t="s">
        <v>531</v>
      </c>
      <c r="C3474" t="s">
        <v>655</v>
      </c>
      <c r="D3474" t="s">
        <v>655</v>
      </c>
    </row>
    <row r="3475" spans="1:4">
      <c r="A3475" s="2">
        <v>1.8637939389421103</v>
      </c>
      <c r="B3475" t="s">
        <v>532</v>
      </c>
      <c r="C3475" t="s">
        <v>655</v>
      </c>
      <c r="D3475" t="s">
        <v>655</v>
      </c>
    </row>
    <row r="3476" spans="1:4">
      <c r="A3476" s="2">
        <v>1.8241850453309985</v>
      </c>
      <c r="B3476" t="s">
        <v>533</v>
      </c>
      <c r="C3476" t="s">
        <v>655</v>
      </c>
      <c r="D3476" t="s">
        <v>655</v>
      </c>
    </row>
    <row r="3477" spans="1:4">
      <c r="A3477" s="2">
        <v>0.02121282187805597</v>
      </c>
      <c r="B3477" t="s">
        <v>534</v>
      </c>
      <c r="C3477" t="s">
        <v>655</v>
      </c>
      <c r="D3477" t="s">
        <v>655</v>
      </c>
    </row>
    <row r="3478" spans="1:4">
      <c r="A3478" s="2">
        <v>1.87863986473793</v>
      </c>
      <c r="B3478" t="s">
        <v>535</v>
      </c>
      <c r="C3478" t="s">
        <v>655</v>
      </c>
      <c r="D3478" t="s">
        <v>655</v>
      </c>
    </row>
    <row r="3479" spans="1:4">
      <c r="A3479" s="2">
        <v>1.0675776662752214</v>
      </c>
      <c r="B3479" t="s">
        <v>536</v>
      </c>
      <c r="C3479" t="s">
        <v>655</v>
      </c>
      <c r="D3479" t="s">
        <v>655</v>
      </c>
    </row>
    <row r="3480" spans="1:4">
      <c r="A3480" s="2">
        <v>0.7342683016374183</v>
      </c>
      <c r="B3480" t="s">
        <v>537</v>
      </c>
      <c r="C3480" t="s">
        <v>655</v>
      </c>
      <c r="D3480" t="s">
        <v>655</v>
      </c>
    </row>
    <row r="3481" spans="1:4">
      <c r="A3481" s="2">
        <v>0.714694110920526</v>
      </c>
      <c r="B3481" t="s">
        <v>538</v>
      </c>
      <c r="C3481" t="s">
        <v>655</v>
      </c>
      <c r="D3481" t="s">
        <v>655</v>
      </c>
    </row>
    <row r="3482" spans="1:4">
      <c r="A3482" s="2">
        <v>0.15391979854976767</v>
      </c>
      <c r="B3482" t="s">
        <v>539</v>
      </c>
      <c r="C3482" t="s">
        <v>655</v>
      </c>
      <c r="D3482" t="s">
        <v>655</v>
      </c>
    </row>
    <row r="3483" spans="1:4">
      <c r="A3483" s="2">
        <v>0.3928346951602765</v>
      </c>
      <c r="B3483" t="s">
        <v>540</v>
      </c>
      <c r="C3483" t="s">
        <v>655</v>
      </c>
      <c r="D3483" t="s">
        <v>655</v>
      </c>
    </row>
    <row r="3484" spans="1:4">
      <c r="A3484" s="2">
        <v>0.21326508850501175</v>
      </c>
      <c r="B3484" t="s">
        <v>541</v>
      </c>
      <c r="C3484" t="s">
        <v>655</v>
      </c>
      <c r="D3484" t="s">
        <v>655</v>
      </c>
    </row>
    <row r="3485" spans="1:4">
      <c r="A3485" s="2">
        <v>1</v>
      </c>
      <c r="B3485" t="s">
        <v>542</v>
      </c>
      <c r="C3485" t="s">
        <v>655</v>
      </c>
      <c r="D3485" t="s">
        <v>655</v>
      </c>
    </row>
    <row r="3486" spans="1:4">
      <c r="A3486" s="2">
        <v>6.865399999999999</v>
      </c>
      <c r="B3486" t="s">
        <v>364</v>
      </c>
      <c r="C3486" t="s">
        <v>656</v>
      </c>
      <c r="D3486" t="s">
        <v>656</v>
      </c>
    </row>
    <row r="3487" spans="1:4">
      <c r="A3487" s="2">
        <v>8.003</v>
      </c>
      <c r="B3487" t="s">
        <v>373</v>
      </c>
      <c r="C3487" t="s">
        <v>656</v>
      </c>
      <c r="D3487" t="s">
        <v>656</v>
      </c>
    </row>
    <row r="3488" spans="1:4">
      <c r="A3488" s="2">
        <v>0.043056</v>
      </c>
      <c r="B3488" t="s">
        <v>520</v>
      </c>
      <c r="C3488" t="s">
        <v>656</v>
      </c>
      <c r="D3488" t="s">
        <v>656</v>
      </c>
    </row>
    <row r="3489" spans="1:4">
      <c r="A3489" s="2">
        <v>0.87641</v>
      </c>
      <c r="B3489" t="s">
        <v>370</v>
      </c>
      <c r="C3489" t="s">
        <v>656</v>
      </c>
      <c r="D3489" t="s">
        <v>656</v>
      </c>
    </row>
    <row r="3490" spans="1:4">
      <c r="A3490" s="2">
        <v>9.1912</v>
      </c>
      <c r="B3490" t="s">
        <v>521</v>
      </c>
      <c r="C3490" t="s">
        <v>656</v>
      </c>
      <c r="D3490" t="s">
        <v>656</v>
      </c>
    </row>
    <row r="3491" spans="1:4">
      <c r="A3491" s="2">
        <v>4.841600000000001</v>
      </c>
      <c r="B3491" t="s">
        <v>522</v>
      </c>
      <c r="C3491" t="s">
        <v>656</v>
      </c>
      <c r="D3491" t="s">
        <v>656</v>
      </c>
    </row>
    <row r="3492" spans="1:4">
      <c r="A3492" s="2">
        <v>4.0039</v>
      </c>
      <c r="B3492" t="s">
        <v>523</v>
      </c>
      <c r="C3492" t="s">
        <v>656</v>
      </c>
      <c r="D3492" t="s">
        <v>656</v>
      </c>
    </row>
    <row r="3493" spans="1:4">
      <c r="A3493" s="2">
        <v>5.3773</v>
      </c>
      <c r="B3493" t="s">
        <v>524</v>
      </c>
      <c r="C3493" t="s">
        <v>656</v>
      </c>
      <c r="D3493" t="s">
        <v>656</v>
      </c>
    </row>
    <row r="3494" spans="1:4">
      <c r="A3494" s="2">
        <v>8.656799999999999</v>
      </c>
      <c r="B3494" t="s">
        <v>525</v>
      </c>
      <c r="C3494" t="s">
        <v>656</v>
      </c>
      <c r="D3494" t="s">
        <v>656</v>
      </c>
    </row>
    <row r="3495" spans="1:4">
      <c r="A3495" s="2">
        <v>4.9507</v>
      </c>
      <c r="B3495" t="s">
        <v>526</v>
      </c>
      <c r="C3495" t="s">
        <v>656</v>
      </c>
      <c r="D3495" t="s">
        <v>656</v>
      </c>
    </row>
    <row r="3496" spans="1:4">
      <c r="A3496" s="2">
        <v>0.8504847763225039</v>
      </c>
      <c r="B3496" t="s">
        <v>527</v>
      </c>
      <c r="C3496" t="s">
        <v>656</v>
      </c>
      <c r="D3496" t="s">
        <v>656</v>
      </c>
    </row>
    <row r="3497" spans="1:4">
      <c r="A3497" s="2">
        <v>1.7216445148405757</v>
      </c>
      <c r="B3497" t="s">
        <v>528</v>
      </c>
      <c r="C3497" t="s">
        <v>656</v>
      </c>
      <c r="D3497" t="s">
        <v>656</v>
      </c>
    </row>
    <row r="3498" spans="1:4">
      <c r="A3498" s="2">
        <v>0.08806848205164336</v>
      </c>
      <c r="B3498" t="s">
        <v>529</v>
      </c>
      <c r="C3498" t="s">
        <v>656</v>
      </c>
      <c r="D3498" t="s">
        <v>656</v>
      </c>
    </row>
    <row r="3499" spans="1:4">
      <c r="A3499" s="2">
        <v>0.41785057663379577</v>
      </c>
      <c r="B3499" t="s">
        <v>530</v>
      </c>
      <c r="C3499" t="s">
        <v>656</v>
      </c>
      <c r="D3499" t="s">
        <v>656</v>
      </c>
    </row>
    <row r="3500" spans="1:4">
      <c r="A3500" s="2">
        <v>0.004633490872022982</v>
      </c>
      <c r="B3500" t="s">
        <v>531</v>
      </c>
      <c r="C3500" t="s">
        <v>656</v>
      </c>
      <c r="D3500" t="s">
        <v>656</v>
      </c>
    </row>
    <row r="3501" spans="1:4">
      <c r="A3501" s="2">
        <v>1.8629953238817372</v>
      </c>
      <c r="B3501" t="s">
        <v>532</v>
      </c>
      <c r="C3501" t="s">
        <v>656</v>
      </c>
      <c r="D3501" t="s">
        <v>656</v>
      </c>
    </row>
    <row r="3502" spans="1:4">
      <c r="A3502" s="2">
        <v>1.823486506199854</v>
      </c>
      <c r="B3502" t="s">
        <v>533</v>
      </c>
      <c r="C3502" t="s">
        <v>656</v>
      </c>
      <c r="D3502" t="s">
        <v>656</v>
      </c>
    </row>
    <row r="3503" spans="1:4">
      <c r="A3503" s="2">
        <v>0.021262028992902735</v>
      </c>
      <c r="B3503" t="s">
        <v>534</v>
      </c>
      <c r="C3503" t="s">
        <v>656</v>
      </c>
      <c r="D3503" t="s">
        <v>656</v>
      </c>
    </row>
    <row r="3504" spans="1:4">
      <c r="A3504" s="2">
        <v>1.885902876001886</v>
      </c>
      <c r="B3504" t="s">
        <v>535</v>
      </c>
      <c r="C3504" t="s">
        <v>656</v>
      </c>
      <c r="D3504" t="s">
        <v>656</v>
      </c>
    </row>
    <row r="3505" spans="1:4">
      <c r="A3505" s="2">
        <v>1.0707784559374665</v>
      </c>
      <c r="B3505" t="s">
        <v>536</v>
      </c>
      <c r="C3505" t="s">
        <v>656</v>
      </c>
      <c r="D3505" t="s">
        <v>656</v>
      </c>
    </row>
    <row r="3506" spans="1:4">
      <c r="A3506" s="2">
        <v>0.7367567965814485</v>
      </c>
      <c r="B3506" t="s">
        <v>537</v>
      </c>
      <c r="C3506" t="s">
        <v>656</v>
      </c>
      <c r="D3506" t="s">
        <v>656</v>
      </c>
    </row>
    <row r="3507" spans="1:4">
      <c r="A3507" s="2">
        <v>0.7202016564638098</v>
      </c>
      <c r="B3507" t="s">
        <v>538</v>
      </c>
      <c r="C3507" t="s">
        <v>656</v>
      </c>
      <c r="D3507" t="s">
        <v>656</v>
      </c>
    </row>
    <row r="3508" spans="1:4">
      <c r="A3508" s="2">
        <v>0.15335071308081585</v>
      </c>
      <c r="B3508" t="s">
        <v>539</v>
      </c>
      <c r="C3508" t="s">
        <v>656</v>
      </c>
      <c r="D3508" t="s">
        <v>656</v>
      </c>
    </row>
    <row r="3509" spans="1:4">
      <c r="A3509" s="2">
        <v>0.39441508243275225</v>
      </c>
      <c r="B3509" t="s">
        <v>540</v>
      </c>
      <c r="C3509" t="s">
        <v>656</v>
      </c>
      <c r="D3509" t="s">
        <v>656</v>
      </c>
    </row>
    <row r="3510" spans="1:4">
      <c r="A3510" s="2">
        <v>0.21321052407146815</v>
      </c>
      <c r="B3510" t="s">
        <v>541</v>
      </c>
      <c r="C3510" t="s">
        <v>656</v>
      </c>
      <c r="D3510" t="s">
        <v>656</v>
      </c>
    </row>
    <row r="3511" spans="1:4">
      <c r="A3511" s="2">
        <v>1</v>
      </c>
      <c r="B3511" t="s">
        <v>542</v>
      </c>
      <c r="C3511" t="s">
        <v>656</v>
      </c>
      <c r="D3511" t="s">
        <v>656</v>
      </c>
    </row>
    <row r="3512" spans="1:4">
      <c r="A3512" s="2">
        <v>6.865399999999999</v>
      </c>
      <c r="B3512" t="s">
        <v>364</v>
      </c>
      <c r="C3512" t="s">
        <v>656</v>
      </c>
      <c r="D3512" t="s">
        <v>657</v>
      </c>
    </row>
    <row r="3513" spans="1:4">
      <c r="A3513" s="2">
        <v>8.003</v>
      </c>
      <c r="B3513" t="s">
        <v>373</v>
      </c>
      <c r="C3513" t="s">
        <v>656</v>
      </c>
      <c r="D3513" t="s">
        <v>657</v>
      </c>
    </row>
    <row r="3514" spans="1:4">
      <c r="A3514" s="2">
        <v>0.043056</v>
      </c>
      <c r="B3514" t="s">
        <v>520</v>
      </c>
      <c r="C3514" t="s">
        <v>656</v>
      </c>
      <c r="D3514" t="s">
        <v>657</v>
      </c>
    </row>
    <row r="3515" spans="1:4">
      <c r="A3515" s="2">
        <v>0.87641</v>
      </c>
      <c r="B3515" t="s">
        <v>370</v>
      </c>
      <c r="C3515" t="s">
        <v>656</v>
      </c>
      <c r="D3515" t="s">
        <v>657</v>
      </c>
    </row>
    <row r="3516" spans="1:4">
      <c r="A3516" s="2">
        <v>9.1912</v>
      </c>
      <c r="B3516" t="s">
        <v>521</v>
      </c>
      <c r="C3516" t="s">
        <v>656</v>
      </c>
      <c r="D3516" t="s">
        <v>657</v>
      </c>
    </row>
    <row r="3517" spans="1:4">
      <c r="A3517" s="2">
        <v>4.841600000000001</v>
      </c>
      <c r="B3517" t="s">
        <v>522</v>
      </c>
      <c r="C3517" t="s">
        <v>656</v>
      </c>
      <c r="D3517" t="s">
        <v>657</v>
      </c>
    </row>
    <row r="3518" spans="1:4">
      <c r="A3518" s="2">
        <v>4.0039</v>
      </c>
      <c r="B3518" t="s">
        <v>523</v>
      </c>
      <c r="C3518" t="s">
        <v>656</v>
      </c>
      <c r="D3518" t="s">
        <v>657</v>
      </c>
    </row>
    <row r="3519" spans="1:4">
      <c r="A3519" s="2">
        <v>5.3773</v>
      </c>
      <c r="B3519" t="s">
        <v>524</v>
      </c>
      <c r="C3519" t="s">
        <v>656</v>
      </c>
      <c r="D3519" t="s">
        <v>657</v>
      </c>
    </row>
    <row r="3520" spans="1:4">
      <c r="A3520" s="2">
        <v>8.656799999999999</v>
      </c>
      <c r="B3520" t="s">
        <v>525</v>
      </c>
      <c r="C3520" t="s">
        <v>656</v>
      </c>
      <c r="D3520" t="s">
        <v>657</v>
      </c>
    </row>
    <row r="3521" spans="1:4">
      <c r="A3521" s="2">
        <v>4.9507</v>
      </c>
      <c r="B3521" t="s">
        <v>526</v>
      </c>
      <c r="C3521" t="s">
        <v>656</v>
      </c>
      <c r="D3521" t="s">
        <v>657</v>
      </c>
    </row>
    <row r="3522" spans="1:4">
      <c r="A3522" s="2">
        <v>0.8504847763225039</v>
      </c>
      <c r="B3522" t="s">
        <v>527</v>
      </c>
      <c r="C3522" t="s">
        <v>656</v>
      </c>
      <c r="D3522" t="s">
        <v>657</v>
      </c>
    </row>
    <row r="3523" spans="1:4">
      <c r="A3523" s="2">
        <v>1.7216445148405757</v>
      </c>
      <c r="B3523" t="s">
        <v>528</v>
      </c>
      <c r="C3523" t="s">
        <v>656</v>
      </c>
      <c r="D3523" t="s">
        <v>657</v>
      </c>
    </row>
    <row r="3524" spans="1:4">
      <c r="A3524" s="2">
        <v>0.08806848205164336</v>
      </c>
      <c r="B3524" t="s">
        <v>529</v>
      </c>
      <c r="C3524" t="s">
        <v>656</v>
      </c>
      <c r="D3524" t="s">
        <v>657</v>
      </c>
    </row>
    <row r="3525" spans="1:4">
      <c r="A3525" s="2">
        <v>0.41785057663379577</v>
      </c>
      <c r="B3525" t="s">
        <v>530</v>
      </c>
      <c r="C3525" t="s">
        <v>656</v>
      </c>
      <c r="D3525" t="s">
        <v>657</v>
      </c>
    </row>
    <row r="3526" spans="1:4">
      <c r="A3526" s="2">
        <v>0.004633490872022982</v>
      </c>
      <c r="B3526" t="s">
        <v>531</v>
      </c>
      <c r="C3526" t="s">
        <v>656</v>
      </c>
      <c r="D3526" t="s">
        <v>657</v>
      </c>
    </row>
    <row r="3527" spans="1:4">
      <c r="A3527" s="2">
        <v>1.8629953238817372</v>
      </c>
      <c r="B3527" t="s">
        <v>532</v>
      </c>
      <c r="C3527" t="s">
        <v>656</v>
      </c>
      <c r="D3527" t="s">
        <v>657</v>
      </c>
    </row>
    <row r="3528" spans="1:4">
      <c r="A3528" s="2">
        <v>1.823486506199854</v>
      </c>
      <c r="B3528" t="s">
        <v>533</v>
      </c>
      <c r="C3528" t="s">
        <v>656</v>
      </c>
      <c r="D3528" t="s">
        <v>657</v>
      </c>
    </row>
    <row r="3529" spans="1:4">
      <c r="A3529" s="2">
        <v>0.021262028992902735</v>
      </c>
      <c r="B3529" t="s">
        <v>534</v>
      </c>
      <c r="C3529" t="s">
        <v>656</v>
      </c>
      <c r="D3529" t="s">
        <v>657</v>
      </c>
    </row>
    <row r="3530" spans="1:4">
      <c r="A3530" s="2">
        <v>1.885902876001886</v>
      </c>
      <c r="B3530" t="s">
        <v>535</v>
      </c>
      <c r="C3530" t="s">
        <v>656</v>
      </c>
      <c r="D3530" t="s">
        <v>657</v>
      </c>
    </row>
    <row r="3531" spans="1:4">
      <c r="A3531" s="2">
        <v>1.0707784559374665</v>
      </c>
      <c r="B3531" t="s">
        <v>536</v>
      </c>
      <c r="C3531" t="s">
        <v>656</v>
      </c>
      <c r="D3531" t="s">
        <v>657</v>
      </c>
    </row>
    <row r="3532" spans="1:4">
      <c r="A3532" s="2">
        <v>0.7367567965814485</v>
      </c>
      <c r="B3532" t="s">
        <v>537</v>
      </c>
      <c r="C3532" t="s">
        <v>656</v>
      </c>
      <c r="D3532" t="s">
        <v>657</v>
      </c>
    </row>
    <row r="3533" spans="1:4">
      <c r="A3533" s="2">
        <v>0.7202016564638098</v>
      </c>
      <c r="B3533" t="s">
        <v>538</v>
      </c>
      <c r="C3533" t="s">
        <v>656</v>
      </c>
      <c r="D3533" t="s">
        <v>657</v>
      </c>
    </row>
    <row r="3534" spans="1:4">
      <c r="A3534" s="2">
        <v>0.15335071308081585</v>
      </c>
      <c r="B3534" t="s">
        <v>539</v>
      </c>
      <c r="C3534" t="s">
        <v>656</v>
      </c>
      <c r="D3534" t="s">
        <v>657</v>
      </c>
    </row>
    <row r="3535" spans="1:4">
      <c r="A3535" s="2">
        <v>0.39441508243275225</v>
      </c>
      <c r="B3535" t="s">
        <v>540</v>
      </c>
      <c r="C3535" t="s">
        <v>656</v>
      </c>
      <c r="D3535" t="s">
        <v>657</v>
      </c>
    </row>
    <row r="3536" spans="1:4">
      <c r="A3536" s="2">
        <v>0.21321052407146815</v>
      </c>
      <c r="B3536" t="s">
        <v>541</v>
      </c>
      <c r="C3536" t="s">
        <v>656</v>
      </c>
      <c r="D3536" t="s">
        <v>657</v>
      </c>
    </row>
    <row r="3537" spans="1:4">
      <c r="A3537" s="2">
        <v>1</v>
      </c>
      <c r="B3537" t="s">
        <v>542</v>
      </c>
      <c r="C3537" t="s">
        <v>657</v>
      </c>
      <c r="D3537" t="s">
        <v>657</v>
      </c>
    </row>
    <row r="3538" spans="1:4">
      <c r="A3538" s="2">
        <v>6.865399999999999</v>
      </c>
      <c r="B3538" t="s">
        <v>364</v>
      </c>
      <c r="C3538" t="s">
        <v>656</v>
      </c>
      <c r="D3538" t="s">
        <v>214</v>
      </c>
    </row>
    <row r="3539" spans="1:4">
      <c r="A3539" s="2">
        <v>8.003</v>
      </c>
      <c r="B3539" t="s">
        <v>373</v>
      </c>
      <c r="C3539" t="s">
        <v>656</v>
      </c>
      <c r="D3539" t="s">
        <v>214</v>
      </c>
    </row>
    <row r="3540" spans="1:4">
      <c r="A3540" s="2">
        <v>0.043056</v>
      </c>
      <c r="B3540" t="s">
        <v>520</v>
      </c>
      <c r="C3540" t="s">
        <v>656</v>
      </c>
      <c r="D3540" t="s">
        <v>214</v>
      </c>
    </row>
    <row r="3541" spans="1:4">
      <c r="A3541" s="2">
        <v>0.87641</v>
      </c>
      <c r="B3541" t="s">
        <v>370</v>
      </c>
      <c r="C3541" t="s">
        <v>656</v>
      </c>
      <c r="D3541" t="s">
        <v>214</v>
      </c>
    </row>
    <row r="3542" spans="1:4">
      <c r="A3542" s="2">
        <v>9.1912</v>
      </c>
      <c r="B3542" t="s">
        <v>521</v>
      </c>
      <c r="C3542" t="s">
        <v>656</v>
      </c>
      <c r="D3542" t="s">
        <v>214</v>
      </c>
    </row>
    <row r="3543" spans="1:4">
      <c r="A3543" s="2">
        <v>4.841600000000001</v>
      </c>
      <c r="B3543" t="s">
        <v>522</v>
      </c>
      <c r="C3543" t="s">
        <v>656</v>
      </c>
      <c r="D3543" t="s">
        <v>214</v>
      </c>
    </row>
    <row r="3544" spans="1:4">
      <c r="A3544" s="2">
        <v>4.0039</v>
      </c>
      <c r="B3544" t="s">
        <v>523</v>
      </c>
      <c r="C3544" t="s">
        <v>656</v>
      </c>
      <c r="D3544" t="s">
        <v>214</v>
      </c>
    </row>
    <row r="3545" spans="1:4">
      <c r="A3545" s="2">
        <v>5.3773</v>
      </c>
      <c r="B3545" t="s">
        <v>524</v>
      </c>
      <c r="C3545" t="s">
        <v>656</v>
      </c>
      <c r="D3545" t="s">
        <v>214</v>
      </c>
    </row>
    <row r="3546" spans="1:4">
      <c r="A3546" s="2">
        <v>8.656799999999999</v>
      </c>
      <c r="B3546" t="s">
        <v>525</v>
      </c>
      <c r="C3546" t="s">
        <v>656</v>
      </c>
      <c r="D3546" t="s">
        <v>214</v>
      </c>
    </row>
    <row r="3547" spans="1:4">
      <c r="A3547" s="2">
        <v>4.9507</v>
      </c>
      <c r="B3547" t="s">
        <v>526</v>
      </c>
      <c r="C3547" t="s">
        <v>656</v>
      </c>
      <c r="D3547" t="s">
        <v>214</v>
      </c>
    </row>
    <row r="3548" spans="1:4">
      <c r="A3548" s="2">
        <v>0.8504847763225039</v>
      </c>
      <c r="B3548" t="s">
        <v>527</v>
      </c>
      <c r="C3548" t="s">
        <v>656</v>
      </c>
      <c r="D3548" t="s">
        <v>214</v>
      </c>
    </row>
    <row r="3549" spans="1:4">
      <c r="A3549" s="2">
        <v>1.7216445148405757</v>
      </c>
      <c r="B3549" t="s">
        <v>528</v>
      </c>
      <c r="C3549" t="s">
        <v>656</v>
      </c>
      <c r="D3549" t="s">
        <v>214</v>
      </c>
    </row>
    <row r="3550" spans="1:4">
      <c r="A3550" s="2">
        <v>0.08806848205164336</v>
      </c>
      <c r="B3550" t="s">
        <v>529</v>
      </c>
      <c r="C3550" t="s">
        <v>656</v>
      </c>
      <c r="D3550" t="s">
        <v>214</v>
      </c>
    </row>
    <row r="3551" spans="1:4">
      <c r="A3551" s="2">
        <v>0.41785057663379577</v>
      </c>
      <c r="B3551" t="s">
        <v>530</v>
      </c>
      <c r="C3551" t="s">
        <v>656</v>
      </c>
      <c r="D3551" t="s">
        <v>214</v>
      </c>
    </row>
    <row r="3552" spans="1:4">
      <c r="A3552" s="2">
        <v>0.004633490872022982</v>
      </c>
      <c r="B3552" t="s">
        <v>531</v>
      </c>
      <c r="C3552" t="s">
        <v>656</v>
      </c>
      <c r="D3552" t="s">
        <v>214</v>
      </c>
    </row>
    <row r="3553" spans="1:4">
      <c r="A3553" s="2">
        <v>1.8629953238817372</v>
      </c>
      <c r="B3553" t="s">
        <v>532</v>
      </c>
      <c r="C3553" t="s">
        <v>656</v>
      </c>
      <c r="D3553" t="s">
        <v>214</v>
      </c>
    </row>
    <row r="3554" spans="1:4">
      <c r="A3554" s="2">
        <v>1.823486506199854</v>
      </c>
      <c r="B3554" t="s">
        <v>533</v>
      </c>
      <c r="C3554" t="s">
        <v>656</v>
      </c>
      <c r="D3554" t="s">
        <v>214</v>
      </c>
    </row>
    <row r="3555" spans="1:4">
      <c r="A3555" s="2">
        <v>0.021262028992902735</v>
      </c>
      <c r="B3555" t="s">
        <v>534</v>
      </c>
      <c r="C3555" t="s">
        <v>656</v>
      </c>
      <c r="D3555" t="s">
        <v>214</v>
      </c>
    </row>
    <row r="3556" spans="1:4">
      <c r="A3556" s="2">
        <v>1.885902876001886</v>
      </c>
      <c r="B3556" t="s">
        <v>535</v>
      </c>
      <c r="C3556" t="s">
        <v>656</v>
      </c>
      <c r="D3556" t="s">
        <v>214</v>
      </c>
    </row>
    <row r="3557" spans="1:4">
      <c r="A3557" s="2">
        <v>1.0707784559374665</v>
      </c>
      <c r="B3557" t="s">
        <v>536</v>
      </c>
      <c r="C3557" t="s">
        <v>656</v>
      </c>
      <c r="D3557" t="s">
        <v>214</v>
      </c>
    </row>
    <row r="3558" spans="1:4">
      <c r="A3558" s="2">
        <v>0.7367567965814485</v>
      </c>
      <c r="B3558" t="s">
        <v>537</v>
      </c>
      <c r="C3558" t="s">
        <v>656</v>
      </c>
      <c r="D3558" t="s">
        <v>214</v>
      </c>
    </row>
    <row r="3559" spans="1:4">
      <c r="A3559" s="2">
        <v>0.7202016564638098</v>
      </c>
      <c r="B3559" t="s">
        <v>538</v>
      </c>
      <c r="C3559" t="s">
        <v>656</v>
      </c>
      <c r="D3559" t="s">
        <v>214</v>
      </c>
    </row>
    <row r="3560" spans="1:4">
      <c r="A3560" s="2">
        <v>0.15335071308081585</v>
      </c>
      <c r="B3560" t="s">
        <v>539</v>
      </c>
      <c r="C3560" t="s">
        <v>656</v>
      </c>
      <c r="D3560" t="s">
        <v>214</v>
      </c>
    </row>
    <row r="3561" spans="1:4">
      <c r="A3561" s="2">
        <v>0.39441508243275225</v>
      </c>
      <c r="B3561" t="s">
        <v>540</v>
      </c>
      <c r="C3561" t="s">
        <v>656</v>
      </c>
      <c r="D3561" t="s">
        <v>214</v>
      </c>
    </row>
    <row r="3562" spans="1:4">
      <c r="A3562" s="2">
        <v>0.21321052407146815</v>
      </c>
      <c r="B3562" t="s">
        <v>541</v>
      </c>
      <c r="C3562" t="s">
        <v>656</v>
      </c>
      <c r="D3562" t="s">
        <v>214</v>
      </c>
    </row>
    <row r="3563" spans="1:4">
      <c r="A3563" s="2">
        <v>1</v>
      </c>
      <c r="B3563" t="s">
        <v>542</v>
      </c>
      <c r="C3563" t="s">
        <v>214</v>
      </c>
      <c r="D3563" t="s">
        <v>214</v>
      </c>
    </row>
    <row r="3564" spans="1:4">
      <c r="A3564" s="2">
        <v>6.8657</v>
      </c>
      <c r="B3564" t="s">
        <v>364</v>
      </c>
      <c r="C3564" t="s">
        <v>658</v>
      </c>
      <c r="D3564" t="s">
        <v>658</v>
      </c>
    </row>
    <row r="3565" spans="1:4">
      <c r="A3565" s="2">
        <v>8.0014</v>
      </c>
      <c r="B3565" t="s">
        <v>373</v>
      </c>
      <c r="C3565" t="s">
        <v>658</v>
      </c>
      <c r="D3565" t="s">
        <v>658</v>
      </c>
    </row>
    <row r="3566" spans="1:4">
      <c r="A3566" s="2">
        <v>0.042939</v>
      </c>
      <c r="B3566" t="s">
        <v>520</v>
      </c>
      <c r="C3566" t="s">
        <v>658</v>
      </c>
      <c r="D3566" t="s">
        <v>658</v>
      </c>
    </row>
    <row r="3567" spans="1:4">
      <c r="A3567" s="2">
        <v>0.87646</v>
      </c>
      <c r="B3567" t="s">
        <v>370</v>
      </c>
      <c r="C3567" t="s">
        <v>658</v>
      </c>
      <c r="D3567" t="s">
        <v>658</v>
      </c>
    </row>
    <row r="3568" spans="1:4">
      <c r="A3568" s="2">
        <v>9.1764</v>
      </c>
      <c r="B3568" t="s">
        <v>521</v>
      </c>
      <c r="C3568" t="s">
        <v>658</v>
      </c>
      <c r="D3568" t="s">
        <v>658</v>
      </c>
    </row>
    <row r="3569" spans="1:4">
      <c r="A3569" s="2">
        <v>4.8105</v>
      </c>
      <c r="B3569" t="s">
        <v>522</v>
      </c>
      <c r="C3569" t="s">
        <v>658</v>
      </c>
      <c r="D3569" t="s">
        <v>658</v>
      </c>
    </row>
    <row r="3570" spans="1:4">
      <c r="A3570" s="2">
        <v>3.9774</v>
      </c>
      <c r="B3570" t="s">
        <v>523</v>
      </c>
      <c r="C3570" t="s">
        <v>658</v>
      </c>
      <c r="D3570" t="s">
        <v>658</v>
      </c>
    </row>
    <row r="3571" spans="1:4">
      <c r="A3571" s="2">
        <v>5.3609</v>
      </c>
      <c r="B3571" t="s">
        <v>524</v>
      </c>
      <c r="C3571" t="s">
        <v>658</v>
      </c>
      <c r="D3571" t="s">
        <v>658</v>
      </c>
    </row>
    <row r="3572" spans="1:4">
      <c r="A3572" s="2">
        <v>8.6464</v>
      </c>
      <c r="B3572" t="s">
        <v>525</v>
      </c>
      <c r="C3572" t="s">
        <v>658</v>
      </c>
      <c r="D3572" t="s">
        <v>658</v>
      </c>
    </row>
    <row r="3573" spans="1:4">
      <c r="A3573" s="2">
        <v>4.9384</v>
      </c>
      <c r="B3573" t="s">
        <v>526</v>
      </c>
      <c r="C3573" t="s">
        <v>658</v>
      </c>
      <c r="D3573" t="s">
        <v>658</v>
      </c>
    </row>
    <row r="3574" spans="1:4">
      <c r="A3574" s="2">
        <v>0.8504847763225039</v>
      </c>
      <c r="B3574" t="s">
        <v>527</v>
      </c>
      <c r="C3574" t="s">
        <v>658</v>
      </c>
      <c r="D3574" t="s">
        <v>658</v>
      </c>
    </row>
    <row r="3575" spans="1:4">
      <c r="A3575" s="2">
        <v>1.7265193370165746</v>
      </c>
      <c r="B3575" t="s">
        <v>528</v>
      </c>
      <c r="C3575" t="s">
        <v>658</v>
      </c>
      <c r="D3575" t="s">
        <v>658</v>
      </c>
    </row>
    <row r="3576" spans="1:4">
      <c r="A3576" s="2">
        <v>0.08881862348897317</v>
      </c>
      <c r="B3576" t="s">
        <v>529</v>
      </c>
      <c r="C3576" t="s">
        <v>658</v>
      </c>
      <c r="D3576" t="s">
        <v>658</v>
      </c>
    </row>
    <row r="3577" spans="1:4">
      <c r="A3577" s="2">
        <v>0.412847824291966</v>
      </c>
      <c r="B3577" t="s">
        <v>530</v>
      </c>
      <c r="C3577" t="s">
        <v>658</v>
      </c>
      <c r="D3577" t="s">
        <v>658</v>
      </c>
    </row>
    <row r="3578" spans="1:4">
      <c r="A3578" s="2">
        <v>0.004602356406480118</v>
      </c>
      <c r="B3578" t="s">
        <v>531</v>
      </c>
      <c r="C3578" t="s">
        <v>658</v>
      </c>
      <c r="D3578" t="s">
        <v>658</v>
      </c>
    </row>
    <row r="3579" spans="1:4">
      <c r="A3579" s="2">
        <v>1.8653236336504384</v>
      </c>
      <c r="B3579" t="s">
        <v>532</v>
      </c>
      <c r="C3579" t="s">
        <v>658</v>
      </c>
      <c r="D3579" t="s">
        <v>658</v>
      </c>
    </row>
    <row r="3580" spans="1:4">
      <c r="A3580" s="2">
        <v>1.8256503879507076</v>
      </c>
      <c r="B3580" t="s">
        <v>533</v>
      </c>
      <c r="C3580" t="s">
        <v>658</v>
      </c>
      <c r="D3580" t="s">
        <v>658</v>
      </c>
    </row>
    <row r="3581" spans="1:4">
      <c r="A3581" s="2">
        <v>0.021722555180720797</v>
      </c>
      <c r="B3581" t="s">
        <v>534</v>
      </c>
      <c r="C3581" t="s">
        <v>658</v>
      </c>
      <c r="D3581" t="s">
        <v>658</v>
      </c>
    </row>
    <row r="3582" spans="1:4">
      <c r="A3582" s="2">
        <v>1.879840589518009</v>
      </c>
      <c r="B3582" t="s">
        <v>535</v>
      </c>
      <c r="C3582" t="s">
        <v>658</v>
      </c>
      <c r="D3582" t="s">
        <v>658</v>
      </c>
    </row>
    <row r="3583" spans="1:4">
      <c r="A3583" s="2">
        <v>1.0707784559374665</v>
      </c>
      <c r="B3583" t="s">
        <v>536</v>
      </c>
      <c r="C3583" t="s">
        <v>658</v>
      </c>
      <c r="D3583" t="s">
        <v>658</v>
      </c>
    </row>
    <row r="3584" spans="1:4">
      <c r="A3584" s="2">
        <v>0.7334066740007334</v>
      </c>
      <c r="B3584" t="s">
        <v>537</v>
      </c>
      <c r="C3584" t="s">
        <v>658</v>
      </c>
      <c r="D3584" t="s">
        <v>658</v>
      </c>
    </row>
    <row r="3585" spans="1:4">
      <c r="A3585" s="2">
        <v>0.7182876023559833</v>
      </c>
      <c r="B3585" t="s">
        <v>538</v>
      </c>
      <c r="C3585" t="s">
        <v>658</v>
      </c>
      <c r="D3585" t="s">
        <v>658</v>
      </c>
    </row>
    <row r="3586" spans="1:4">
      <c r="A3586" s="2">
        <v>0.15334459904987688</v>
      </c>
      <c r="B3586" t="s">
        <v>539</v>
      </c>
      <c r="C3586" t="s">
        <v>658</v>
      </c>
      <c r="D3586" t="s">
        <v>658</v>
      </c>
    </row>
    <row r="3587" spans="1:4">
      <c r="A3587" s="2">
        <v>0.3931281204544561</v>
      </c>
      <c r="B3587" t="s">
        <v>540</v>
      </c>
      <c r="C3587" t="s">
        <v>658</v>
      </c>
      <c r="D3587" t="s">
        <v>658</v>
      </c>
    </row>
    <row r="3588" spans="1:4">
      <c r="A3588" s="2">
        <v>0.21146566854871113</v>
      </c>
      <c r="B3588" t="s">
        <v>541</v>
      </c>
      <c r="C3588" t="s">
        <v>658</v>
      </c>
      <c r="D3588" t="s">
        <v>658</v>
      </c>
    </row>
    <row r="3589" spans="1:4">
      <c r="A3589" s="2">
        <v>1</v>
      </c>
      <c r="B3589" t="s">
        <v>542</v>
      </c>
      <c r="C3589" t="s">
        <v>658</v>
      </c>
      <c r="D3589" t="s">
        <v>658</v>
      </c>
    </row>
    <row r="3590" spans="1:4">
      <c r="A3590" s="2">
        <v>6.859299999999999</v>
      </c>
      <c r="B3590" t="s">
        <v>364</v>
      </c>
      <c r="C3590" t="s">
        <v>659</v>
      </c>
      <c r="D3590" t="s">
        <v>659</v>
      </c>
    </row>
    <row r="3591" spans="1:4">
      <c r="A3591" s="2">
        <v>8.0456</v>
      </c>
      <c r="B3591" t="s">
        <v>373</v>
      </c>
      <c r="C3591" t="s">
        <v>659</v>
      </c>
      <c r="D3591" t="s">
        <v>659</v>
      </c>
    </row>
    <row r="3592" spans="1:4">
      <c r="A3592" s="2">
        <v>0.042969999999999994</v>
      </c>
      <c r="B3592" t="s">
        <v>520</v>
      </c>
      <c r="C3592" t="s">
        <v>659</v>
      </c>
      <c r="D3592" t="s">
        <v>659</v>
      </c>
    </row>
    <row r="3593" spans="1:4">
      <c r="A3593" s="2">
        <v>0.87579</v>
      </c>
      <c r="B3593" t="s">
        <v>370</v>
      </c>
      <c r="C3593" t="s">
        <v>659</v>
      </c>
      <c r="D3593" t="s">
        <v>659</v>
      </c>
    </row>
    <row r="3594" spans="1:4">
      <c r="A3594" s="2">
        <v>9.238</v>
      </c>
      <c r="B3594" t="s">
        <v>521</v>
      </c>
      <c r="C3594" t="s">
        <v>659</v>
      </c>
      <c r="D3594" t="s">
        <v>659</v>
      </c>
    </row>
    <row r="3595" spans="1:4">
      <c r="A3595" s="2">
        <v>4.8501</v>
      </c>
      <c r="B3595" t="s">
        <v>522</v>
      </c>
      <c r="C3595" t="s">
        <v>659</v>
      </c>
      <c r="D3595" t="s">
        <v>659</v>
      </c>
    </row>
    <row r="3596" spans="1:4">
      <c r="A3596" s="2">
        <v>4.0095</v>
      </c>
      <c r="B3596" t="s">
        <v>523</v>
      </c>
      <c r="C3596" t="s">
        <v>659</v>
      </c>
      <c r="D3596" t="s">
        <v>659</v>
      </c>
    </row>
    <row r="3597" spans="1:4">
      <c r="A3597" s="2">
        <v>5.375</v>
      </c>
      <c r="B3597" t="s">
        <v>524</v>
      </c>
      <c r="C3597" t="s">
        <v>659</v>
      </c>
      <c r="D3597" t="s">
        <v>659</v>
      </c>
    </row>
    <row r="3598" spans="1:4">
      <c r="A3598" s="2">
        <v>8.7284</v>
      </c>
      <c r="B3598" t="s">
        <v>525</v>
      </c>
      <c r="C3598" t="s">
        <v>659</v>
      </c>
      <c r="D3598" t="s">
        <v>659</v>
      </c>
    </row>
    <row r="3599" spans="1:4">
      <c r="A3599" s="2">
        <v>4.9572</v>
      </c>
      <c r="B3599" t="s">
        <v>526</v>
      </c>
      <c r="C3599" t="s">
        <v>659</v>
      </c>
      <c r="D3599" t="s">
        <v>659</v>
      </c>
    </row>
    <row r="3600" spans="1:4">
      <c r="A3600" s="2">
        <v>0.8498342823149486</v>
      </c>
      <c r="B3600" t="s">
        <v>527</v>
      </c>
      <c r="C3600" t="s">
        <v>659</v>
      </c>
      <c r="D3600" t="s">
        <v>659</v>
      </c>
    </row>
    <row r="3601" spans="1:4">
      <c r="A3601" s="2">
        <v>1.724554202738592</v>
      </c>
      <c r="B3601" t="s">
        <v>528</v>
      </c>
      <c r="C3601" t="s">
        <v>659</v>
      </c>
      <c r="D3601" t="s">
        <v>659</v>
      </c>
    </row>
    <row r="3602" spans="1:4">
      <c r="A3602" s="2">
        <v>0.08968448996430557</v>
      </c>
      <c r="B3602" t="s">
        <v>529</v>
      </c>
      <c r="C3602" t="s">
        <v>659</v>
      </c>
      <c r="D3602" t="s">
        <v>659</v>
      </c>
    </row>
    <row r="3603" spans="1:4">
      <c r="A3603" s="2">
        <v>0.4173971116119876</v>
      </c>
      <c r="B3603" t="s">
        <v>530</v>
      </c>
      <c r="C3603" t="s">
        <v>659</v>
      </c>
      <c r="D3603" t="s">
        <v>659</v>
      </c>
    </row>
    <row r="3604" spans="1:4">
      <c r="A3604" s="2">
        <v>0.004618937644341801</v>
      </c>
      <c r="B3604" t="s">
        <v>531</v>
      </c>
      <c r="C3604" t="s">
        <v>659</v>
      </c>
      <c r="D3604" t="s">
        <v>659</v>
      </c>
    </row>
    <row r="3605" spans="1:4">
      <c r="A3605" s="2">
        <v>1.860949828792616</v>
      </c>
      <c r="B3605" t="s">
        <v>532</v>
      </c>
      <c r="C3605" t="s">
        <v>659</v>
      </c>
      <c r="D3605" t="s">
        <v>659</v>
      </c>
    </row>
    <row r="3606" spans="1:4">
      <c r="A3606" s="2">
        <v>1.821294576184752</v>
      </c>
      <c r="B3606" t="s">
        <v>533</v>
      </c>
      <c r="C3606" t="s">
        <v>659</v>
      </c>
      <c r="D3606" t="s">
        <v>659</v>
      </c>
    </row>
    <row r="3607" spans="1:4">
      <c r="A3607" s="2">
        <v>0.02217466987460224</v>
      </c>
      <c r="B3607" t="s">
        <v>534</v>
      </c>
      <c r="C3607" t="s">
        <v>659</v>
      </c>
      <c r="D3607" t="s">
        <v>659</v>
      </c>
    </row>
    <row r="3608" spans="1:4">
      <c r="A3608" s="2">
        <v>1.8961299986727091</v>
      </c>
      <c r="B3608" t="s">
        <v>535</v>
      </c>
      <c r="C3608" t="s">
        <v>659</v>
      </c>
      <c r="D3608" t="s">
        <v>659</v>
      </c>
    </row>
    <row r="3609" spans="1:4">
      <c r="A3609" s="2">
        <v>1.0763104079216446</v>
      </c>
      <c r="B3609" t="s">
        <v>536</v>
      </c>
      <c r="C3609" t="s">
        <v>659</v>
      </c>
      <c r="D3609" t="s">
        <v>659</v>
      </c>
    </row>
    <row r="3610" spans="1:4">
      <c r="A3610" s="2">
        <v>0.7442691277165823</v>
      </c>
      <c r="B3610" t="s">
        <v>537</v>
      </c>
      <c r="C3610" t="s">
        <v>659</v>
      </c>
      <c r="D3610" t="s">
        <v>659</v>
      </c>
    </row>
    <row r="3611" spans="1:4">
      <c r="A3611" s="2">
        <v>0.7236937328122738</v>
      </c>
      <c r="B3611" t="s">
        <v>538</v>
      </c>
      <c r="C3611" t="s">
        <v>659</v>
      </c>
      <c r="D3611" t="s">
        <v>659</v>
      </c>
    </row>
    <row r="3612" spans="1:4">
      <c r="A3612" s="2">
        <v>0.1529924559419975</v>
      </c>
      <c r="B3612" t="s">
        <v>539</v>
      </c>
      <c r="C3612" t="s">
        <v>659</v>
      </c>
      <c r="D3612" t="s">
        <v>659</v>
      </c>
    </row>
    <row r="3613" spans="1:4">
      <c r="A3613" s="2">
        <v>0.39583580730712903</v>
      </c>
      <c r="B3613" t="s">
        <v>540</v>
      </c>
      <c r="C3613" t="s">
        <v>659</v>
      </c>
      <c r="D3613" t="s">
        <v>659</v>
      </c>
    </row>
    <row r="3614" spans="1:4">
      <c r="A3614" s="2">
        <v>0.2132787339774351</v>
      </c>
      <c r="B3614" t="s">
        <v>541</v>
      </c>
      <c r="C3614" t="s">
        <v>659</v>
      </c>
      <c r="D3614" t="s">
        <v>659</v>
      </c>
    </row>
    <row r="3615" spans="1:4">
      <c r="A3615" s="2">
        <v>1</v>
      </c>
      <c r="B3615" t="s">
        <v>542</v>
      </c>
      <c r="C3615" t="s">
        <v>659</v>
      </c>
      <c r="D3615" t="s">
        <v>659</v>
      </c>
    </row>
    <row r="3616" spans="1:4">
      <c r="A3616" s="2">
        <v>6.8582</v>
      </c>
      <c r="B3616" t="s">
        <v>364</v>
      </c>
      <c r="C3616" t="s">
        <v>660</v>
      </c>
      <c r="D3616" t="s">
        <v>660</v>
      </c>
    </row>
    <row r="3617" spans="1:4">
      <c r="A3617" s="2">
        <v>8.059800000000001</v>
      </c>
      <c r="B3617" t="s">
        <v>373</v>
      </c>
      <c r="C3617" t="s">
        <v>660</v>
      </c>
      <c r="D3617" t="s">
        <v>660</v>
      </c>
    </row>
    <row r="3618" spans="1:4">
      <c r="A3618" s="2">
        <v>0.043031</v>
      </c>
      <c r="B3618" t="s">
        <v>520</v>
      </c>
      <c r="C3618" t="s">
        <v>660</v>
      </c>
      <c r="D3618" t="s">
        <v>660</v>
      </c>
    </row>
    <row r="3619" spans="1:4">
      <c r="A3619" s="2">
        <v>0.8754000000000001</v>
      </c>
      <c r="B3619" t="s">
        <v>370</v>
      </c>
      <c r="C3619" t="s">
        <v>660</v>
      </c>
      <c r="D3619" t="s">
        <v>660</v>
      </c>
    </row>
    <row r="3620" spans="1:4">
      <c r="A3620" s="2">
        <v>9.2729</v>
      </c>
      <c r="B3620" t="s">
        <v>521</v>
      </c>
      <c r="C3620" t="s">
        <v>660</v>
      </c>
      <c r="D3620" t="s">
        <v>660</v>
      </c>
    </row>
    <row r="3621" spans="1:4">
      <c r="A3621" s="2">
        <v>4.8693</v>
      </c>
      <c r="B3621" t="s">
        <v>522</v>
      </c>
      <c r="C3621" t="s">
        <v>660</v>
      </c>
      <c r="D3621" t="s">
        <v>660</v>
      </c>
    </row>
    <row r="3622" spans="1:4">
      <c r="A3622" s="2">
        <v>4.0309</v>
      </c>
      <c r="B3622" t="s">
        <v>523</v>
      </c>
      <c r="C3622" t="s">
        <v>660</v>
      </c>
      <c r="D3622" t="s">
        <v>660</v>
      </c>
    </row>
    <row r="3623" spans="1:4">
      <c r="A3623" s="2">
        <v>5.3763</v>
      </c>
      <c r="B3623" t="s">
        <v>524</v>
      </c>
      <c r="C3623" t="s">
        <v>660</v>
      </c>
      <c r="D3623" t="s">
        <v>660</v>
      </c>
    </row>
    <row r="3624" spans="1:4">
      <c r="A3624" s="2">
        <v>8.752</v>
      </c>
      <c r="B3624" t="s">
        <v>525</v>
      </c>
      <c r="C3624" t="s">
        <v>660</v>
      </c>
      <c r="D3624" t="s">
        <v>660</v>
      </c>
    </row>
    <row r="3625" spans="1:4">
      <c r="A3625" s="2">
        <v>4.9603</v>
      </c>
      <c r="B3625" t="s">
        <v>526</v>
      </c>
      <c r="C3625" t="s">
        <v>660</v>
      </c>
      <c r="D3625" t="s">
        <v>660</v>
      </c>
    </row>
    <row r="3626" spans="1:4">
      <c r="A3626" s="2">
        <v>0.8499065102838688</v>
      </c>
      <c r="B3626" t="s">
        <v>527</v>
      </c>
      <c r="C3626" t="s">
        <v>660</v>
      </c>
      <c r="D3626" t="s">
        <v>660</v>
      </c>
    </row>
    <row r="3627" spans="1:4">
      <c r="A3627" s="2">
        <v>1.7317216776919613</v>
      </c>
      <c r="B3627" t="s">
        <v>528</v>
      </c>
      <c r="C3627" t="s">
        <v>660</v>
      </c>
      <c r="D3627" t="s">
        <v>660</v>
      </c>
    </row>
    <row r="3628" spans="1:4">
      <c r="A3628" s="2">
        <v>0.0902910079185214</v>
      </c>
      <c r="B3628" t="s">
        <v>529</v>
      </c>
      <c r="C3628" t="s">
        <v>660</v>
      </c>
      <c r="D3628" t="s">
        <v>660</v>
      </c>
    </row>
    <row r="3629" spans="1:4">
      <c r="A3629" s="2">
        <v>0.41842754926984393</v>
      </c>
      <c r="B3629" t="s">
        <v>530</v>
      </c>
      <c r="C3629" t="s">
        <v>660</v>
      </c>
      <c r="D3629" t="s">
        <v>660</v>
      </c>
    </row>
    <row r="3630" spans="1:4">
      <c r="A3630" s="2">
        <v>0.004634349800722959</v>
      </c>
      <c r="B3630" t="s">
        <v>531</v>
      </c>
      <c r="C3630" t="s">
        <v>660</v>
      </c>
      <c r="D3630" t="s">
        <v>660</v>
      </c>
    </row>
    <row r="3631" spans="1:4">
      <c r="A3631" s="2">
        <v>1.8592890078833857</v>
      </c>
      <c r="B3631" t="s">
        <v>532</v>
      </c>
      <c r="C3631" t="s">
        <v>660</v>
      </c>
      <c r="D3631" t="s">
        <v>660</v>
      </c>
    </row>
    <row r="3632" spans="1:4">
      <c r="A3632" s="2">
        <v>1.8197699810743924</v>
      </c>
      <c r="B3632" t="s">
        <v>533</v>
      </c>
      <c r="C3632" t="s">
        <v>660</v>
      </c>
      <c r="D3632" t="s">
        <v>660</v>
      </c>
    </row>
    <row r="3633" spans="1:4">
      <c r="A3633" s="2">
        <v>0.022187215726298504</v>
      </c>
      <c r="B3633" t="s">
        <v>534</v>
      </c>
      <c r="C3633" t="s">
        <v>660</v>
      </c>
      <c r="D3633" t="s">
        <v>660</v>
      </c>
    </row>
    <row r="3634" spans="1:4">
      <c r="A3634" s="2">
        <v>1.9035653779529056</v>
      </c>
      <c r="B3634" t="s">
        <v>535</v>
      </c>
      <c r="C3634" t="s">
        <v>660</v>
      </c>
      <c r="D3634" t="s">
        <v>660</v>
      </c>
    </row>
    <row r="3635" spans="1:4">
      <c r="A3635" s="2">
        <v>1.078515962036238</v>
      </c>
      <c r="B3635" t="s">
        <v>536</v>
      </c>
      <c r="C3635" t="s">
        <v>660</v>
      </c>
      <c r="D3635" t="s">
        <v>660</v>
      </c>
    </row>
    <row r="3636" spans="1:4">
      <c r="A3636" s="2">
        <v>0.7438262421898245</v>
      </c>
      <c r="B3636" t="s">
        <v>537</v>
      </c>
      <c r="C3636" t="s">
        <v>660</v>
      </c>
      <c r="D3636" t="s">
        <v>660</v>
      </c>
    </row>
    <row r="3637" spans="1:4">
      <c r="A3637" s="2">
        <v>0.7230657989877078</v>
      </c>
      <c r="B3637" t="s">
        <v>538</v>
      </c>
      <c r="C3637" t="s">
        <v>660</v>
      </c>
      <c r="D3637" t="s">
        <v>660</v>
      </c>
    </row>
    <row r="3638" spans="1:4">
      <c r="A3638" s="2">
        <v>0.1527557130636686</v>
      </c>
      <c r="B3638" t="s">
        <v>539</v>
      </c>
      <c r="C3638" t="s">
        <v>660</v>
      </c>
      <c r="D3638" t="s">
        <v>660</v>
      </c>
    </row>
    <row r="3639" spans="1:4">
      <c r="A3639" s="2">
        <v>0.396463545177021</v>
      </c>
      <c r="B3639" t="s">
        <v>540</v>
      </c>
      <c r="C3639" t="s">
        <v>660</v>
      </c>
      <c r="D3639" t="s">
        <v>660</v>
      </c>
    </row>
    <row r="3640" spans="1:4">
      <c r="A3640" s="2">
        <v>0.21330603016147268</v>
      </c>
      <c r="B3640" t="s">
        <v>541</v>
      </c>
      <c r="C3640" t="s">
        <v>660</v>
      </c>
      <c r="D3640" t="s">
        <v>660</v>
      </c>
    </row>
    <row r="3641" spans="1:4">
      <c r="A3641" s="2">
        <v>1</v>
      </c>
      <c r="B3641" t="s">
        <v>542</v>
      </c>
      <c r="C3641" t="s">
        <v>660</v>
      </c>
      <c r="D3641" t="s">
        <v>660</v>
      </c>
    </row>
    <row r="3642" spans="1:4">
      <c r="A3642" s="2">
        <v>6.861599999999999</v>
      </c>
      <c r="B3642" t="s">
        <v>364</v>
      </c>
      <c r="C3642" t="s">
        <v>661</v>
      </c>
      <c r="D3642" t="s">
        <v>661</v>
      </c>
    </row>
    <row r="3643" spans="1:4">
      <c r="A3643" s="2">
        <v>8.0724</v>
      </c>
      <c r="B3643" t="s">
        <v>373</v>
      </c>
      <c r="C3643" t="s">
        <v>661</v>
      </c>
      <c r="D3643" t="s">
        <v>661</v>
      </c>
    </row>
    <row r="3644" spans="1:4">
      <c r="A3644" s="2">
        <v>0.043047</v>
      </c>
      <c r="B3644" t="s">
        <v>520</v>
      </c>
      <c r="C3644" t="s">
        <v>661</v>
      </c>
      <c r="D3644" t="s">
        <v>661</v>
      </c>
    </row>
    <row r="3645" spans="1:4">
      <c r="A3645" s="2">
        <v>0.87629</v>
      </c>
      <c r="B3645" t="s">
        <v>370</v>
      </c>
      <c r="C3645" t="s">
        <v>661</v>
      </c>
      <c r="D3645" t="s">
        <v>661</v>
      </c>
    </row>
    <row r="3646" spans="1:4">
      <c r="A3646" s="2">
        <v>9.2799</v>
      </c>
      <c r="B3646" t="s">
        <v>521</v>
      </c>
      <c r="C3646" t="s">
        <v>661</v>
      </c>
      <c r="D3646" t="s">
        <v>661</v>
      </c>
    </row>
    <row r="3647" spans="1:4">
      <c r="A3647" s="2">
        <v>4.904100000000001</v>
      </c>
      <c r="B3647" t="s">
        <v>522</v>
      </c>
      <c r="C3647" t="s">
        <v>661</v>
      </c>
      <c r="D3647" t="s">
        <v>661</v>
      </c>
    </row>
    <row r="3648" spans="1:4">
      <c r="A3648" s="2">
        <v>4.0431</v>
      </c>
      <c r="B3648" t="s">
        <v>523</v>
      </c>
      <c r="C3648" t="s">
        <v>661</v>
      </c>
      <c r="D3648" t="s">
        <v>661</v>
      </c>
    </row>
    <row r="3649" spans="1:4">
      <c r="A3649" s="2">
        <v>5.380800000000001</v>
      </c>
      <c r="B3649" t="s">
        <v>524</v>
      </c>
      <c r="C3649" t="s">
        <v>661</v>
      </c>
      <c r="D3649" t="s">
        <v>661</v>
      </c>
    </row>
    <row r="3650" spans="1:4">
      <c r="A3650" s="2">
        <v>8.7553</v>
      </c>
      <c r="B3650" t="s">
        <v>525</v>
      </c>
      <c r="C3650" t="s">
        <v>661</v>
      </c>
      <c r="D3650" t="s">
        <v>661</v>
      </c>
    </row>
    <row r="3651" spans="1:4">
      <c r="A3651" s="2">
        <v>4.9773000000000005</v>
      </c>
      <c r="B3651" t="s">
        <v>526</v>
      </c>
      <c r="C3651" t="s">
        <v>661</v>
      </c>
      <c r="D3651" t="s">
        <v>661</v>
      </c>
    </row>
    <row r="3652" spans="1:4">
      <c r="A3652" s="2">
        <v>0.8503401360544218</v>
      </c>
      <c r="B3652" t="s">
        <v>527</v>
      </c>
      <c r="C3652" t="s">
        <v>661</v>
      </c>
      <c r="D3652" t="s">
        <v>661</v>
      </c>
    </row>
    <row r="3653" spans="1:4">
      <c r="A3653" s="2">
        <v>1.731092146034933</v>
      </c>
      <c r="B3653" t="s">
        <v>528</v>
      </c>
      <c r="C3653" t="s">
        <v>661</v>
      </c>
      <c r="D3653" t="s">
        <v>661</v>
      </c>
    </row>
    <row r="3654" spans="1:4">
      <c r="A3654" s="2">
        <v>0.09029589966319627</v>
      </c>
      <c r="B3654" t="s">
        <v>529</v>
      </c>
      <c r="C3654" t="s">
        <v>661</v>
      </c>
      <c r="D3654" t="s">
        <v>661</v>
      </c>
    </row>
    <row r="3655" spans="1:4">
      <c r="A3655" s="2">
        <v>0.4178331174528893</v>
      </c>
      <c r="B3655" t="s">
        <v>530</v>
      </c>
      <c r="C3655" t="s">
        <v>661</v>
      </c>
      <c r="D3655" t="s">
        <v>661</v>
      </c>
    </row>
    <row r="3656" spans="1:4">
      <c r="A3656" s="2">
        <v>0.004627915586819697</v>
      </c>
      <c r="B3656" t="s">
        <v>531</v>
      </c>
      <c r="C3656" t="s">
        <v>661</v>
      </c>
      <c r="D3656" t="s">
        <v>661</v>
      </c>
    </row>
    <row r="3657" spans="1:4">
      <c r="A3657" s="2">
        <v>1.8612269207861825</v>
      </c>
      <c r="B3657" t="s">
        <v>532</v>
      </c>
      <c r="C3657" t="s">
        <v>661</v>
      </c>
      <c r="D3657" t="s">
        <v>661</v>
      </c>
    </row>
    <row r="3658" spans="1:4">
      <c r="A3658" s="2">
        <v>1.8222570475791315</v>
      </c>
      <c r="B3658" t="s">
        <v>533</v>
      </c>
      <c r="C3658" t="s">
        <v>661</v>
      </c>
      <c r="D3658" t="s">
        <v>661</v>
      </c>
    </row>
    <row r="3659" spans="1:4">
      <c r="A3659" s="2">
        <v>0.022232350292911218</v>
      </c>
      <c r="B3659" t="s">
        <v>534</v>
      </c>
      <c r="C3659" t="s">
        <v>661</v>
      </c>
      <c r="D3659" t="s">
        <v>661</v>
      </c>
    </row>
    <row r="3660" spans="1:4">
      <c r="A3660" s="2">
        <v>1.9085426368425071</v>
      </c>
      <c r="B3660" t="s">
        <v>535</v>
      </c>
      <c r="C3660" t="s">
        <v>661</v>
      </c>
      <c r="D3660" t="s">
        <v>661</v>
      </c>
    </row>
    <row r="3661" spans="1:4">
      <c r="A3661" s="2">
        <v>1.080263584314573</v>
      </c>
      <c r="B3661" t="s">
        <v>536</v>
      </c>
      <c r="C3661" t="s">
        <v>661</v>
      </c>
      <c r="D3661" t="s">
        <v>661</v>
      </c>
    </row>
    <row r="3662" spans="1:4">
      <c r="A3662" s="2">
        <v>0.7461016190405133</v>
      </c>
      <c r="B3662" t="s">
        <v>537</v>
      </c>
      <c r="C3662" t="s">
        <v>661</v>
      </c>
      <c r="D3662" t="s">
        <v>661</v>
      </c>
    </row>
    <row r="3663" spans="1:4">
      <c r="A3663" s="2">
        <v>0.72811999417504</v>
      </c>
      <c r="B3663" t="s">
        <v>538</v>
      </c>
      <c r="C3663" t="s">
        <v>661</v>
      </c>
      <c r="D3663" t="s">
        <v>661</v>
      </c>
    </row>
    <row r="3664" spans="1:4">
      <c r="A3664" s="2">
        <v>0.15291642200039146</v>
      </c>
      <c r="B3664" t="s">
        <v>539</v>
      </c>
      <c r="C3664" t="s">
        <v>661</v>
      </c>
      <c r="D3664" t="s">
        <v>661</v>
      </c>
    </row>
    <row r="3665" spans="1:4">
      <c r="A3665" s="2">
        <v>0.3967939052456154</v>
      </c>
      <c r="B3665" t="s">
        <v>540</v>
      </c>
      <c r="C3665" t="s">
        <v>661</v>
      </c>
      <c r="D3665" t="s">
        <v>661</v>
      </c>
    </row>
    <row r="3666" spans="1:4">
      <c r="A3666" s="2">
        <v>0.21313327223512865</v>
      </c>
      <c r="B3666" t="s">
        <v>541</v>
      </c>
      <c r="C3666" t="s">
        <v>661</v>
      </c>
      <c r="D3666" t="s">
        <v>661</v>
      </c>
    </row>
    <row r="3667" spans="1:4">
      <c r="A3667" s="2">
        <v>1</v>
      </c>
      <c r="B3667" t="s">
        <v>542</v>
      </c>
      <c r="C3667" t="s">
        <v>661</v>
      </c>
      <c r="D3667" t="s">
        <v>661</v>
      </c>
    </row>
    <row r="3668" spans="1:4">
      <c r="A3668" s="2">
        <v>6.8622000000000005</v>
      </c>
      <c r="B3668" t="s">
        <v>364</v>
      </c>
      <c r="C3668" t="s">
        <v>222</v>
      </c>
      <c r="D3668" t="s">
        <v>222</v>
      </c>
    </row>
    <row r="3669" spans="1:4">
      <c r="A3669" s="2">
        <v>8.0618</v>
      </c>
      <c r="B3669" t="s">
        <v>373</v>
      </c>
      <c r="C3669" t="s">
        <v>222</v>
      </c>
      <c r="D3669" t="s">
        <v>222</v>
      </c>
    </row>
    <row r="3670" spans="1:4">
      <c r="A3670" s="2">
        <v>0.043011999999999995</v>
      </c>
      <c r="B3670" t="s">
        <v>520</v>
      </c>
      <c r="C3670" t="s">
        <v>222</v>
      </c>
      <c r="D3670" t="s">
        <v>222</v>
      </c>
    </row>
    <row r="3671" spans="1:4">
      <c r="A3671" s="2">
        <v>0.87697</v>
      </c>
      <c r="B3671" t="s">
        <v>370</v>
      </c>
      <c r="C3671" t="s">
        <v>222</v>
      </c>
      <c r="D3671" t="s">
        <v>222</v>
      </c>
    </row>
    <row r="3672" spans="1:4">
      <c r="A3672" s="2">
        <v>9.2573</v>
      </c>
      <c r="B3672" t="s">
        <v>521</v>
      </c>
      <c r="C3672" t="s">
        <v>222</v>
      </c>
      <c r="D3672" t="s">
        <v>222</v>
      </c>
    </row>
    <row r="3673" spans="1:4">
      <c r="A3673" s="2">
        <v>4.9005</v>
      </c>
      <c r="B3673" t="s">
        <v>522</v>
      </c>
      <c r="C3673" t="s">
        <v>222</v>
      </c>
      <c r="D3673" t="s">
        <v>222</v>
      </c>
    </row>
    <row r="3674" spans="1:4">
      <c r="A3674" s="2">
        <v>4.03</v>
      </c>
      <c r="B3674" t="s">
        <v>523</v>
      </c>
      <c r="C3674" t="s">
        <v>222</v>
      </c>
      <c r="D3674" t="s">
        <v>222</v>
      </c>
    </row>
    <row r="3675" spans="1:4">
      <c r="A3675" s="2">
        <v>5.3751</v>
      </c>
      <c r="B3675" t="s">
        <v>524</v>
      </c>
      <c r="C3675" t="s">
        <v>222</v>
      </c>
      <c r="D3675" t="s">
        <v>222</v>
      </c>
    </row>
    <row r="3676" spans="1:4">
      <c r="A3676" s="2">
        <v>8.7415</v>
      </c>
      <c r="B3676" t="s">
        <v>525</v>
      </c>
      <c r="C3676" t="s">
        <v>222</v>
      </c>
      <c r="D3676" t="s">
        <v>222</v>
      </c>
    </row>
    <row r="3677" spans="1:4">
      <c r="A3677" s="2">
        <v>4.9923</v>
      </c>
      <c r="B3677" t="s">
        <v>526</v>
      </c>
      <c r="C3677" t="s">
        <v>222</v>
      </c>
      <c r="D3677" t="s">
        <v>222</v>
      </c>
    </row>
    <row r="3678" spans="1:4">
      <c r="A3678" s="2">
        <v>0.851063829787234</v>
      </c>
      <c r="B3678" t="s">
        <v>527</v>
      </c>
      <c r="C3678" t="s">
        <v>222</v>
      </c>
      <c r="D3678" t="s">
        <v>222</v>
      </c>
    </row>
    <row r="3679" spans="1:4">
      <c r="A3679" s="2">
        <v>1.7307026652821045</v>
      </c>
      <c r="B3679" t="s">
        <v>528</v>
      </c>
      <c r="C3679" t="s">
        <v>222</v>
      </c>
      <c r="D3679" t="s">
        <v>222</v>
      </c>
    </row>
    <row r="3680" spans="1:4">
      <c r="A3680" s="2">
        <v>0.08950067573010177</v>
      </c>
      <c r="B3680" t="s">
        <v>529</v>
      </c>
      <c r="C3680" t="s">
        <v>222</v>
      </c>
      <c r="D3680" t="s">
        <v>222</v>
      </c>
    </row>
    <row r="3681" spans="1:4">
      <c r="A3681" s="2">
        <v>0.4174668113884946</v>
      </c>
      <c r="B3681" t="s">
        <v>530</v>
      </c>
      <c r="C3681" t="s">
        <v>222</v>
      </c>
      <c r="D3681" t="s">
        <v>222</v>
      </c>
    </row>
    <row r="3682" spans="1:4">
      <c r="A3682" s="2">
        <v>0.004617657923900997</v>
      </c>
      <c r="B3682" t="s">
        <v>531</v>
      </c>
      <c r="C3682" t="s">
        <v>222</v>
      </c>
      <c r="D3682" t="s">
        <v>222</v>
      </c>
    </row>
    <row r="3683" spans="1:4">
      <c r="A3683" s="2">
        <v>1.8620240201098597</v>
      </c>
      <c r="B3683" t="s">
        <v>532</v>
      </c>
      <c r="C3683" t="s">
        <v>222</v>
      </c>
      <c r="D3683" t="s">
        <v>222</v>
      </c>
    </row>
    <row r="3684" spans="1:4">
      <c r="A3684" s="2">
        <v>1.8231540565177755</v>
      </c>
      <c r="B3684" t="s">
        <v>533</v>
      </c>
      <c r="C3684" t="s">
        <v>222</v>
      </c>
      <c r="D3684" t="s">
        <v>222</v>
      </c>
    </row>
    <row r="3685" spans="1:4">
      <c r="A3685" s="2">
        <v>0.02211469565755836</v>
      </c>
      <c r="B3685" t="s">
        <v>534</v>
      </c>
      <c r="C3685" t="s">
        <v>222</v>
      </c>
      <c r="D3685" t="s">
        <v>222</v>
      </c>
    </row>
    <row r="3686" spans="1:4">
      <c r="A3686" s="2">
        <v>1.9032030908018196</v>
      </c>
      <c r="B3686" t="s">
        <v>535</v>
      </c>
      <c r="C3686" t="s">
        <v>222</v>
      </c>
      <c r="D3686" t="s">
        <v>222</v>
      </c>
    </row>
    <row r="3687" spans="1:4">
      <c r="A3687" s="2">
        <v>1.0787486515641855</v>
      </c>
      <c r="B3687" t="s">
        <v>536</v>
      </c>
      <c r="C3687" t="s">
        <v>222</v>
      </c>
      <c r="D3687" t="s">
        <v>222</v>
      </c>
    </row>
    <row r="3688" spans="1:4">
      <c r="A3688" s="2">
        <v>0.7442691277165823</v>
      </c>
      <c r="B3688" t="s">
        <v>537</v>
      </c>
      <c r="C3688" t="s">
        <v>222</v>
      </c>
      <c r="D3688" t="s">
        <v>222</v>
      </c>
    </row>
    <row r="3689" spans="1:4">
      <c r="A3689" s="2">
        <v>0.7307270734380709</v>
      </c>
      <c r="B3689" t="s">
        <v>538</v>
      </c>
      <c r="C3689" t="s">
        <v>222</v>
      </c>
      <c r="D3689" t="s">
        <v>222</v>
      </c>
    </row>
    <row r="3690" spans="1:4">
      <c r="A3690" s="2">
        <v>0.15259254737998595</v>
      </c>
      <c r="B3690" t="s">
        <v>539</v>
      </c>
      <c r="C3690" t="s">
        <v>222</v>
      </c>
      <c r="D3690" t="s">
        <v>222</v>
      </c>
    </row>
    <row r="3691" spans="1:4">
      <c r="A3691" s="2">
        <v>0.3972352427107333</v>
      </c>
      <c r="B3691" t="s">
        <v>540</v>
      </c>
      <c r="C3691" t="s">
        <v>222</v>
      </c>
      <c r="D3691" t="s">
        <v>222</v>
      </c>
    </row>
    <row r="3692" spans="1:4">
      <c r="A3692" s="2">
        <v>0.21336974843706655</v>
      </c>
      <c r="B3692" t="s">
        <v>541</v>
      </c>
      <c r="C3692" t="s">
        <v>222</v>
      </c>
      <c r="D3692" t="s">
        <v>222</v>
      </c>
    </row>
    <row r="3693" spans="1:4">
      <c r="A3693" s="2">
        <v>1</v>
      </c>
      <c r="B3693" t="s">
        <v>542</v>
      </c>
      <c r="C3693" t="s">
        <v>222</v>
      </c>
      <c r="D3693" t="s">
        <v>222</v>
      </c>
    </row>
    <row r="3694" spans="1:4">
      <c r="A3694" s="2">
        <v>6.8622000000000005</v>
      </c>
      <c r="B3694" t="s">
        <v>364</v>
      </c>
      <c r="C3694" t="s">
        <v>222</v>
      </c>
      <c r="D3694" t="s">
        <v>662</v>
      </c>
    </row>
    <row r="3695" spans="1:4">
      <c r="A3695" s="2">
        <v>8.0618</v>
      </c>
      <c r="B3695" t="s">
        <v>373</v>
      </c>
      <c r="C3695" t="s">
        <v>222</v>
      </c>
      <c r="D3695" t="s">
        <v>662</v>
      </c>
    </row>
    <row r="3696" spans="1:4">
      <c r="A3696" s="2">
        <v>0.043011999999999995</v>
      </c>
      <c r="B3696" t="s">
        <v>520</v>
      </c>
      <c r="C3696" t="s">
        <v>222</v>
      </c>
      <c r="D3696" t="s">
        <v>662</v>
      </c>
    </row>
    <row r="3697" spans="1:4">
      <c r="A3697" s="2">
        <v>0.87697</v>
      </c>
      <c r="B3697" t="s">
        <v>370</v>
      </c>
      <c r="C3697" t="s">
        <v>222</v>
      </c>
      <c r="D3697" t="s">
        <v>662</v>
      </c>
    </row>
    <row r="3698" spans="1:4">
      <c r="A3698" s="2">
        <v>9.2573</v>
      </c>
      <c r="B3698" t="s">
        <v>521</v>
      </c>
      <c r="C3698" t="s">
        <v>222</v>
      </c>
      <c r="D3698" t="s">
        <v>662</v>
      </c>
    </row>
    <row r="3699" spans="1:4">
      <c r="A3699" s="2">
        <v>4.9005</v>
      </c>
      <c r="B3699" t="s">
        <v>522</v>
      </c>
      <c r="C3699" t="s">
        <v>222</v>
      </c>
      <c r="D3699" t="s">
        <v>662</v>
      </c>
    </row>
    <row r="3700" spans="1:4">
      <c r="A3700" s="2">
        <v>4.03</v>
      </c>
      <c r="B3700" t="s">
        <v>523</v>
      </c>
      <c r="C3700" t="s">
        <v>222</v>
      </c>
      <c r="D3700" t="s">
        <v>662</v>
      </c>
    </row>
    <row r="3701" spans="1:4">
      <c r="A3701" s="2">
        <v>5.3751</v>
      </c>
      <c r="B3701" t="s">
        <v>524</v>
      </c>
      <c r="C3701" t="s">
        <v>222</v>
      </c>
      <c r="D3701" t="s">
        <v>662</v>
      </c>
    </row>
    <row r="3702" spans="1:4">
      <c r="A3702" s="2">
        <v>8.7415</v>
      </c>
      <c r="B3702" t="s">
        <v>525</v>
      </c>
      <c r="C3702" t="s">
        <v>222</v>
      </c>
      <c r="D3702" t="s">
        <v>662</v>
      </c>
    </row>
    <row r="3703" spans="1:4">
      <c r="A3703" s="2">
        <v>4.9923</v>
      </c>
      <c r="B3703" t="s">
        <v>526</v>
      </c>
      <c r="C3703" t="s">
        <v>222</v>
      </c>
      <c r="D3703" t="s">
        <v>662</v>
      </c>
    </row>
    <row r="3704" spans="1:4">
      <c r="A3704" s="2">
        <v>0.851063829787234</v>
      </c>
      <c r="B3704" t="s">
        <v>527</v>
      </c>
      <c r="C3704" t="s">
        <v>222</v>
      </c>
      <c r="D3704" t="s">
        <v>662</v>
      </c>
    </row>
    <row r="3705" spans="1:4">
      <c r="A3705" s="2">
        <v>1.7307026652821045</v>
      </c>
      <c r="B3705" t="s">
        <v>528</v>
      </c>
      <c r="C3705" t="s">
        <v>222</v>
      </c>
      <c r="D3705" t="s">
        <v>662</v>
      </c>
    </row>
    <row r="3706" spans="1:4">
      <c r="A3706" s="2">
        <v>0.08950067573010177</v>
      </c>
      <c r="B3706" t="s">
        <v>529</v>
      </c>
      <c r="C3706" t="s">
        <v>222</v>
      </c>
      <c r="D3706" t="s">
        <v>662</v>
      </c>
    </row>
    <row r="3707" spans="1:4">
      <c r="A3707" s="2">
        <v>0.4174668113884946</v>
      </c>
      <c r="B3707" t="s">
        <v>530</v>
      </c>
      <c r="C3707" t="s">
        <v>222</v>
      </c>
      <c r="D3707" t="s">
        <v>662</v>
      </c>
    </row>
    <row r="3708" spans="1:4">
      <c r="A3708" s="2">
        <v>0.004617657923900997</v>
      </c>
      <c r="B3708" t="s">
        <v>531</v>
      </c>
      <c r="C3708" t="s">
        <v>222</v>
      </c>
      <c r="D3708" t="s">
        <v>662</v>
      </c>
    </row>
    <row r="3709" spans="1:4">
      <c r="A3709" s="2">
        <v>1.8620240201098597</v>
      </c>
      <c r="B3709" t="s">
        <v>532</v>
      </c>
      <c r="C3709" t="s">
        <v>222</v>
      </c>
      <c r="D3709" t="s">
        <v>662</v>
      </c>
    </row>
    <row r="3710" spans="1:4">
      <c r="A3710" s="2">
        <v>1.8231540565177755</v>
      </c>
      <c r="B3710" t="s">
        <v>533</v>
      </c>
      <c r="C3710" t="s">
        <v>222</v>
      </c>
      <c r="D3710" t="s">
        <v>662</v>
      </c>
    </row>
    <row r="3711" spans="1:4">
      <c r="A3711" s="2">
        <v>0.02211469565755836</v>
      </c>
      <c r="B3711" t="s">
        <v>534</v>
      </c>
      <c r="C3711" t="s">
        <v>222</v>
      </c>
      <c r="D3711" t="s">
        <v>662</v>
      </c>
    </row>
    <row r="3712" spans="1:4">
      <c r="A3712" s="2">
        <v>1.9032030908018196</v>
      </c>
      <c r="B3712" t="s">
        <v>535</v>
      </c>
      <c r="C3712" t="s">
        <v>222</v>
      </c>
      <c r="D3712" t="s">
        <v>662</v>
      </c>
    </row>
    <row r="3713" spans="1:4">
      <c r="A3713" s="2">
        <v>1.0787486515641855</v>
      </c>
      <c r="B3713" t="s">
        <v>536</v>
      </c>
      <c r="C3713" t="s">
        <v>222</v>
      </c>
      <c r="D3713" t="s">
        <v>662</v>
      </c>
    </row>
    <row r="3714" spans="1:4">
      <c r="A3714" s="2">
        <v>0.7442691277165823</v>
      </c>
      <c r="B3714" t="s">
        <v>537</v>
      </c>
      <c r="C3714" t="s">
        <v>222</v>
      </c>
      <c r="D3714" t="s">
        <v>662</v>
      </c>
    </row>
    <row r="3715" spans="1:4">
      <c r="A3715" s="2">
        <v>0.7307270734380709</v>
      </c>
      <c r="B3715" t="s">
        <v>538</v>
      </c>
      <c r="C3715" t="s">
        <v>222</v>
      </c>
      <c r="D3715" t="s">
        <v>662</v>
      </c>
    </row>
    <row r="3716" spans="1:4">
      <c r="A3716" s="2">
        <v>0.15259254737998595</v>
      </c>
      <c r="B3716" t="s">
        <v>539</v>
      </c>
      <c r="C3716" t="s">
        <v>222</v>
      </c>
      <c r="D3716" t="s">
        <v>662</v>
      </c>
    </row>
    <row r="3717" spans="1:4">
      <c r="A3717" s="2">
        <v>0.3972352427107333</v>
      </c>
      <c r="B3717" t="s">
        <v>540</v>
      </c>
      <c r="C3717" t="s">
        <v>222</v>
      </c>
      <c r="D3717" t="s">
        <v>662</v>
      </c>
    </row>
    <row r="3718" spans="1:4">
      <c r="A3718" s="2">
        <v>0.21336974843706655</v>
      </c>
      <c r="B3718" t="s">
        <v>541</v>
      </c>
      <c r="C3718" t="s">
        <v>222</v>
      </c>
      <c r="D3718" t="s">
        <v>662</v>
      </c>
    </row>
    <row r="3719" spans="1:4">
      <c r="A3719" s="2">
        <v>1</v>
      </c>
      <c r="B3719" t="s">
        <v>542</v>
      </c>
      <c r="C3719" t="s">
        <v>662</v>
      </c>
      <c r="D3719" t="s">
        <v>662</v>
      </c>
    </row>
    <row r="3720" spans="1:4">
      <c r="A3720" s="2">
        <v>6.8622000000000005</v>
      </c>
      <c r="B3720" t="s">
        <v>364</v>
      </c>
      <c r="C3720" t="s">
        <v>222</v>
      </c>
      <c r="D3720" t="s">
        <v>663</v>
      </c>
    </row>
    <row r="3721" spans="1:4">
      <c r="A3721" s="2">
        <v>8.0618</v>
      </c>
      <c r="B3721" t="s">
        <v>373</v>
      </c>
      <c r="C3721" t="s">
        <v>222</v>
      </c>
      <c r="D3721" t="s">
        <v>663</v>
      </c>
    </row>
    <row r="3722" spans="1:4">
      <c r="A3722" s="2">
        <v>0.043011999999999995</v>
      </c>
      <c r="B3722" t="s">
        <v>520</v>
      </c>
      <c r="C3722" t="s">
        <v>222</v>
      </c>
      <c r="D3722" t="s">
        <v>663</v>
      </c>
    </row>
    <row r="3723" spans="1:4">
      <c r="A3723" s="2">
        <v>0.87697</v>
      </c>
      <c r="B3723" t="s">
        <v>370</v>
      </c>
      <c r="C3723" t="s">
        <v>222</v>
      </c>
      <c r="D3723" t="s">
        <v>663</v>
      </c>
    </row>
    <row r="3724" spans="1:4">
      <c r="A3724" s="2">
        <v>9.2573</v>
      </c>
      <c r="B3724" t="s">
        <v>521</v>
      </c>
      <c r="C3724" t="s">
        <v>222</v>
      </c>
      <c r="D3724" t="s">
        <v>663</v>
      </c>
    </row>
    <row r="3725" spans="1:4">
      <c r="A3725" s="2">
        <v>4.9005</v>
      </c>
      <c r="B3725" t="s">
        <v>522</v>
      </c>
      <c r="C3725" t="s">
        <v>222</v>
      </c>
      <c r="D3725" t="s">
        <v>663</v>
      </c>
    </row>
    <row r="3726" spans="1:4">
      <c r="A3726" s="2">
        <v>4.03</v>
      </c>
      <c r="B3726" t="s">
        <v>523</v>
      </c>
      <c r="C3726" t="s">
        <v>222</v>
      </c>
      <c r="D3726" t="s">
        <v>663</v>
      </c>
    </row>
    <row r="3727" spans="1:4">
      <c r="A3727" s="2">
        <v>5.3751</v>
      </c>
      <c r="B3727" t="s">
        <v>524</v>
      </c>
      <c r="C3727" t="s">
        <v>222</v>
      </c>
      <c r="D3727" t="s">
        <v>663</v>
      </c>
    </row>
    <row r="3728" spans="1:4">
      <c r="A3728" s="2">
        <v>8.7415</v>
      </c>
      <c r="B3728" t="s">
        <v>525</v>
      </c>
      <c r="C3728" t="s">
        <v>222</v>
      </c>
      <c r="D3728" t="s">
        <v>663</v>
      </c>
    </row>
    <row r="3729" spans="1:4">
      <c r="A3729" s="2">
        <v>4.9923</v>
      </c>
      <c r="B3729" t="s">
        <v>526</v>
      </c>
      <c r="C3729" t="s">
        <v>222</v>
      </c>
      <c r="D3729" t="s">
        <v>663</v>
      </c>
    </row>
    <row r="3730" spans="1:4">
      <c r="A3730" s="2">
        <v>0.851063829787234</v>
      </c>
      <c r="B3730" t="s">
        <v>527</v>
      </c>
      <c r="C3730" t="s">
        <v>222</v>
      </c>
      <c r="D3730" t="s">
        <v>663</v>
      </c>
    </row>
    <row r="3731" spans="1:4">
      <c r="A3731" s="2">
        <v>1.7307026652821045</v>
      </c>
      <c r="B3731" t="s">
        <v>528</v>
      </c>
      <c r="C3731" t="s">
        <v>222</v>
      </c>
      <c r="D3731" t="s">
        <v>663</v>
      </c>
    </row>
    <row r="3732" spans="1:4">
      <c r="A3732" s="2">
        <v>0.08950067573010177</v>
      </c>
      <c r="B3732" t="s">
        <v>529</v>
      </c>
      <c r="C3732" t="s">
        <v>222</v>
      </c>
      <c r="D3732" t="s">
        <v>663</v>
      </c>
    </row>
    <row r="3733" spans="1:4">
      <c r="A3733" s="2">
        <v>0.4174668113884946</v>
      </c>
      <c r="B3733" t="s">
        <v>530</v>
      </c>
      <c r="C3733" t="s">
        <v>222</v>
      </c>
      <c r="D3733" t="s">
        <v>663</v>
      </c>
    </row>
    <row r="3734" spans="1:4">
      <c r="A3734" s="2">
        <v>0.004617657923900997</v>
      </c>
      <c r="B3734" t="s">
        <v>531</v>
      </c>
      <c r="C3734" t="s">
        <v>222</v>
      </c>
      <c r="D3734" t="s">
        <v>663</v>
      </c>
    </row>
    <row r="3735" spans="1:4">
      <c r="A3735" s="2">
        <v>1.8620240201098597</v>
      </c>
      <c r="B3735" t="s">
        <v>532</v>
      </c>
      <c r="C3735" t="s">
        <v>222</v>
      </c>
      <c r="D3735" t="s">
        <v>663</v>
      </c>
    </row>
    <row r="3736" spans="1:4">
      <c r="A3736" s="2">
        <v>1.8231540565177755</v>
      </c>
      <c r="B3736" t="s">
        <v>533</v>
      </c>
      <c r="C3736" t="s">
        <v>222</v>
      </c>
      <c r="D3736" t="s">
        <v>663</v>
      </c>
    </row>
    <row r="3737" spans="1:4">
      <c r="A3737" s="2">
        <v>0.02211469565755836</v>
      </c>
      <c r="B3737" t="s">
        <v>534</v>
      </c>
      <c r="C3737" t="s">
        <v>222</v>
      </c>
      <c r="D3737" t="s">
        <v>663</v>
      </c>
    </row>
    <row r="3738" spans="1:4">
      <c r="A3738" s="2">
        <v>1.9032030908018196</v>
      </c>
      <c r="B3738" t="s">
        <v>535</v>
      </c>
      <c r="C3738" t="s">
        <v>222</v>
      </c>
      <c r="D3738" t="s">
        <v>663</v>
      </c>
    </row>
    <row r="3739" spans="1:4">
      <c r="A3739" s="2">
        <v>1.0787486515641855</v>
      </c>
      <c r="B3739" t="s">
        <v>536</v>
      </c>
      <c r="C3739" t="s">
        <v>222</v>
      </c>
      <c r="D3739" t="s">
        <v>663</v>
      </c>
    </row>
    <row r="3740" spans="1:4">
      <c r="A3740" s="2">
        <v>0.7442691277165823</v>
      </c>
      <c r="B3740" t="s">
        <v>537</v>
      </c>
      <c r="C3740" t="s">
        <v>222</v>
      </c>
      <c r="D3740" t="s">
        <v>663</v>
      </c>
    </row>
    <row r="3741" spans="1:4">
      <c r="A3741" s="2">
        <v>0.7307270734380709</v>
      </c>
      <c r="B3741" t="s">
        <v>538</v>
      </c>
      <c r="C3741" t="s">
        <v>222</v>
      </c>
      <c r="D3741" t="s">
        <v>663</v>
      </c>
    </row>
    <row r="3742" spans="1:4">
      <c r="A3742" s="2">
        <v>0.15259254737998595</v>
      </c>
      <c r="B3742" t="s">
        <v>539</v>
      </c>
      <c r="C3742" t="s">
        <v>222</v>
      </c>
      <c r="D3742" t="s">
        <v>663</v>
      </c>
    </row>
    <row r="3743" spans="1:4">
      <c r="A3743" s="2">
        <v>0.3972352427107333</v>
      </c>
      <c r="B3743" t="s">
        <v>540</v>
      </c>
      <c r="C3743" t="s">
        <v>222</v>
      </c>
      <c r="D3743" t="s">
        <v>663</v>
      </c>
    </row>
    <row r="3744" spans="1:4">
      <c r="A3744" s="2">
        <v>0.21336974843706655</v>
      </c>
      <c r="B3744" t="s">
        <v>541</v>
      </c>
      <c r="C3744" t="s">
        <v>222</v>
      </c>
      <c r="D3744" t="s">
        <v>663</v>
      </c>
    </row>
    <row r="3745" spans="1:4">
      <c r="A3745" s="2">
        <v>1</v>
      </c>
      <c r="B3745" t="s">
        <v>542</v>
      </c>
      <c r="C3745" t="s">
        <v>663</v>
      </c>
      <c r="D3745" t="s">
        <v>663</v>
      </c>
    </row>
    <row r="3746" spans="1:4">
      <c r="A3746" s="2">
        <v>6.8648</v>
      </c>
      <c r="B3746" t="s">
        <v>364</v>
      </c>
      <c r="C3746" t="s">
        <v>664</v>
      </c>
      <c r="D3746" t="s">
        <v>664</v>
      </c>
    </row>
    <row r="3747" spans="1:4">
      <c r="A3747" s="2">
        <v>8.0402</v>
      </c>
      <c r="B3747" t="s">
        <v>373</v>
      </c>
      <c r="C3747" t="s">
        <v>664</v>
      </c>
      <c r="D3747" t="s">
        <v>664</v>
      </c>
    </row>
    <row r="3748" spans="1:4">
      <c r="A3748" s="2">
        <v>0.043049</v>
      </c>
      <c r="B3748" t="s">
        <v>520</v>
      </c>
      <c r="C3748" t="s">
        <v>664</v>
      </c>
      <c r="D3748" t="s">
        <v>664</v>
      </c>
    </row>
    <row r="3749" spans="1:4">
      <c r="A3749" s="2">
        <v>0.87663</v>
      </c>
      <c r="B3749" t="s">
        <v>370</v>
      </c>
      <c r="C3749" t="s">
        <v>664</v>
      </c>
      <c r="D3749" t="s">
        <v>664</v>
      </c>
    </row>
    <row r="3750" spans="1:4">
      <c r="A3750" s="2">
        <v>9.2332</v>
      </c>
      <c r="B3750" t="s">
        <v>521</v>
      </c>
      <c r="C3750" t="s">
        <v>664</v>
      </c>
      <c r="D3750" t="s">
        <v>664</v>
      </c>
    </row>
    <row r="3751" spans="1:4">
      <c r="A3751" s="2">
        <v>4.8891</v>
      </c>
      <c r="B3751" t="s">
        <v>522</v>
      </c>
      <c r="C3751" t="s">
        <v>664</v>
      </c>
      <c r="D3751" t="s">
        <v>664</v>
      </c>
    </row>
    <row r="3752" spans="1:4">
      <c r="A3752" s="2">
        <v>4.0172</v>
      </c>
      <c r="B3752" t="s">
        <v>523</v>
      </c>
      <c r="C3752" t="s">
        <v>664</v>
      </c>
      <c r="D3752" t="s">
        <v>664</v>
      </c>
    </row>
    <row r="3753" spans="1:4">
      <c r="A3753" s="2">
        <v>5.3767</v>
      </c>
      <c r="B3753" t="s">
        <v>524</v>
      </c>
      <c r="C3753" t="s">
        <v>664</v>
      </c>
      <c r="D3753" t="s">
        <v>664</v>
      </c>
    </row>
    <row r="3754" spans="1:4">
      <c r="A3754" s="2">
        <v>8.744</v>
      </c>
      <c r="B3754" t="s">
        <v>525</v>
      </c>
      <c r="C3754" t="s">
        <v>664</v>
      </c>
      <c r="D3754" t="s">
        <v>664</v>
      </c>
    </row>
    <row r="3755" spans="1:4">
      <c r="A3755" s="2">
        <v>4.9931</v>
      </c>
      <c r="B3755" t="s">
        <v>526</v>
      </c>
      <c r="C3755" t="s">
        <v>664</v>
      </c>
      <c r="D3755" t="s">
        <v>664</v>
      </c>
    </row>
    <row r="3756" spans="1:4">
      <c r="A3756" s="2">
        <v>0.8507018290089324</v>
      </c>
      <c r="B3756" t="s">
        <v>527</v>
      </c>
      <c r="C3756" t="s">
        <v>664</v>
      </c>
      <c r="D3756" t="s">
        <v>664</v>
      </c>
    </row>
    <row r="3757" spans="1:4">
      <c r="A3757" s="2">
        <v>1.733613022901028</v>
      </c>
      <c r="B3757" t="s">
        <v>528</v>
      </c>
      <c r="C3757" t="s">
        <v>664</v>
      </c>
      <c r="D3757" t="s">
        <v>664</v>
      </c>
    </row>
    <row r="3758" spans="1:4">
      <c r="A3758" s="2">
        <v>0.08978433802007578</v>
      </c>
      <c r="B3758" t="s">
        <v>529</v>
      </c>
      <c r="C3758" t="s">
        <v>664</v>
      </c>
      <c r="D3758" t="s">
        <v>664</v>
      </c>
    </row>
    <row r="3759" spans="1:4">
      <c r="A3759" s="2">
        <v>0.4169620147604553</v>
      </c>
      <c r="B3759" t="s">
        <v>530</v>
      </c>
      <c r="C3759" t="s">
        <v>664</v>
      </c>
      <c r="D3759" t="s">
        <v>664</v>
      </c>
    </row>
    <row r="3760" spans="1:4">
      <c r="A3760" s="2">
        <v>0.004655060050274649</v>
      </c>
      <c r="B3760" t="s">
        <v>531</v>
      </c>
      <c r="C3760" t="s">
        <v>664</v>
      </c>
      <c r="D3760" t="s">
        <v>664</v>
      </c>
    </row>
    <row r="3761" spans="1:4">
      <c r="A3761" s="2">
        <v>1.8629606170125568</v>
      </c>
      <c r="B3761" t="s">
        <v>532</v>
      </c>
      <c r="C3761" t="s">
        <v>664</v>
      </c>
      <c r="D3761" t="s">
        <v>664</v>
      </c>
    </row>
    <row r="3762" spans="1:4">
      <c r="A3762" s="2">
        <v>1.8241850453309985</v>
      </c>
      <c r="B3762" t="s">
        <v>533</v>
      </c>
      <c r="C3762" t="s">
        <v>664</v>
      </c>
      <c r="D3762" t="s">
        <v>664</v>
      </c>
    </row>
    <row r="3763" spans="1:4">
      <c r="A3763" s="2">
        <v>0.02221723568710134</v>
      </c>
      <c r="B3763" t="s">
        <v>534</v>
      </c>
      <c r="C3763" t="s">
        <v>664</v>
      </c>
      <c r="D3763" t="s">
        <v>664</v>
      </c>
    </row>
    <row r="3764" spans="1:4">
      <c r="A3764" s="2">
        <v>1.9027323236167135</v>
      </c>
      <c r="B3764" t="s">
        <v>535</v>
      </c>
      <c r="C3764" t="s">
        <v>664</v>
      </c>
      <c r="D3764" t="s">
        <v>664</v>
      </c>
    </row>
    <row r="3765" spans="1:4">
      <c r="A3765" s="2">
        <v>1.0759629868732516</v>
      </c>
      <c r="B3765" t="s">
        <v>536</v>
      </c>
      <c r="C3765" t="s">
        <v>664</v>
      </c>
      <c r="D3765" t="s">
        <v>664</v>
      </c>
    </row>
    <row r="3766" spans="1:4">
      <c r="A3766" s="2">
        <v>0.7449344457687723</v>
      </c>
      <c r="B3766" t="s">
        <v>537</v>
      </c>
      <c r="C3766" t="s">
        <v>664</v>
      </c>
      <c r="D3766" t="s">
        <v>664</v>
      </c>
    </row>
    <row r="3767" spans="1:4">
      <c r="A3767" s="2">
        <v>0.7293946024799417</v>
      </c>
      <c r="B3767" t="s">
        <v>538</v>
      </c>
      <c r="C3767" t="s">
        <v>664</v>
      </c>
      <c r="D3767" t="s">
        <v>664</v>
      </c>
    </row>
    <row r="3768" spans="1:4">
      <c r="A3768" s="2">
        <v>0.15265520836672666</v>
      </c>
      <c r="B3768" t="s">
        <v>539</v>
      </c>
      <c r="C3768" t="s">
        <v>664</v>
      </c>
      <c r="D3768" t="s">
        <v>664</v>
      </c>
    </row>
    <row r="3769" spans="1:4">
      <c r="A3769" s="2">
        <v>0.394570707070707</v>
      </c>
      <c r="B3769" t="s">
        <v>540</v>
      </c>
      <c r="C3769" t="s">
        <v>664</v>
      </c>
      <c r="D3769" t="s">
        <v>664</v>
      </c>
    </row>
    <row r="3770" spans="1:4">
      <c r="A3770" s="2">
        <v>0.21331058020477817</v>
      </c>
      <c r="B3770" t="s">
        <v>541</v>
      </c>
      <c r="C3770" t="s">
        <v>664</v>
      </c>
      <c r="D3770" t="s">
        <v>664</v>
      </c>
    </row>
    <row r="3771" spans="1:4">
      <c r="A3771" s="2">
        <v>1</v>
      </c>
      <c r="B3771" t="s">
        <v>542</v>
      </c>
      <c r="C3771" t="s">
        <v>664</v>
      </c>
      <c r="D3771" t="s">
        <v>664</v>
      </c>
    </row>
    <row r="3772" spans="1:4">
      <c r="A3772" s="2">
        <v>6.859400000000001</v>
      </c>
      <c r="B3772" t="s">
        <v>364</v>
      </c>
      <c r="C3772" t="s">
        <v>665</v>
      </c>
      <c r="D3772" t="s">
        <v>665</v>
      </c>
    </row>
    <row r="3773" spans="1:4">
      <c r="A3773" s="2">
        <v>8.0565</v>
      </c>
      <c r="B3773" t="s">
        <v>373</v>
      </c>
      <c r="C3773" t="s">
        <v>665</v>
      </c>
      <c r="D3773" t="s">
        <v>665</v>
      </c>
    </row>
    <row r="3774" spans="1:4">
      <c r="A3774" s="2">
        <v>0.043065</v>
      </c>
      <c r="B3774" t="s">
        <v>520</v>
      </c>
      <c r="C3774" t="s">
        <v>665</v>
      </c>
      <c r="D3774" t="s">
        <v>665</v>
      </c>
    </row>
    <row r="3775" spans="1:4">
      <c r="A3775" s="2">
        <v>0.87588</v>
      </c>
      <c r="B3775" t="s">
        <v>370</v>
      </c>
      <c r="C3775" t="s">
        <v>665</v>
      </c>
      <c r="D3775" t="s">
        <v>665</v>
      </c>
    </row>
    <row r="3776" spans="1:4">
      <c r="A3776" s="2">
        <v>9.2489</v>
      </c>
      <c r="B3776" t="s">
        <v>521</v>
      </c>
      <c r="C3776" t="s">
        <v>665</v>
      </c>
      <c r="D3776" t="s">
        <v>665</v>
      </c>
    </row>
    <row r="3777" spans="1:4">
      <c r="A3777" s="2">
        <v>4.9038</v>
      </c>
      <c r="B3777" t="s">
        <v>522</v>
      </c>
      <c r="C3777" t="s">
        <v>665</v>
      </c>
      <c r="D3777" t="s">
        <v>665</v>
      </c>
    </row>
    <row r="3778" spans="1:4">
      <c r="A3778" s="2">
        <v>4.0367</v>
      </c>
      <c r="B3778" t="s">
        <v>523</v>
      </c>
      <c r="C3778" t="s">
        <v>665</v>
      </c>
      <c r="D3778" t="s">
        <v>665</v>
      </c>
    </row>
    <row r="3779" spans="1:4">
      <c r="A3779" s="2">
        <v>5.3844</v>
      </c>
      <c r="B3779" t="s">
        <v>524</v>
      </c>
      <c r="C3779" t="s">
        <v>665</v>
      </c>
      <c r="D3779" t="s">
        <v>665</v>
      </c>
    </row>
    <row r="3780" spans="1:4">
      <c r="A3780" s="2">
        <v>8.7847</v>
      </c>
      <c r="B3780" t="s">
        <v>525</v>
      </c>
      <c r="C3780" t="s">
        <v>665</v>
      </c>
      <c r="D3780" t="s">
        <v>665</v>
      </c>
    </row>
    <row r="3781" spans="1:4">
      <c r="A3781" s="2">
        <v>5.0084</v>
      </c>
      <c r="B3781" t="s">
        <v>526</v>
      </c>
      <c r="C3781" t="s">
        <v>665</v>
      </c>
      <c r="D3781" t="s">
        <v>665</v>
      </c>
    </row>
    <row r="3782" spans="1:4">
      <c r="A3782" s="2">
        <v>0.8499787505312367</v>
      </c>
      <c r="B3782" t="s">
        <v>527</v>
      </c>
      <c r="C3782" t="s">
        <v>665</v>
      </c>
      <c r="D3782" t="s">
        <v>665</v>
      </c>
    </row>
    <row r="3783" spans="1:4">
      <c r="A3783" s="2">
        <v>1.7321416198988429</v>
      </c>
      <c r="B3783" t="s">
        <v>528</v>
      </c>
      <c r="C3783" t="s">
        <v>665</v>
      </c>
      <c r="D3783" t="s">
        <v>665</v>
      </c>
    </row>
    <row r="3784" spans="1:4">
      <c r="A3784" s="2">
        <v>0.09096366911055724</v>
      </c>
      <c r="B3784" t="s">
        <v>529</v>
      </c>
      <c r="C3784" t="s">
        <v>665</v>
      </c>
      <c r="D3784" t="s">
        <v>665</v>
      </c>
    </row>
    <row r="3785" spans="1:4">
      <c r="A3785" s="2">
        <v>0.4182700351346829</v>
      </c>
      <c r="B3785" t="s">
        <v>530</v>
      </c>
      <c r="C3785" t="s">
        <v>665</v>
      </c>
      <c r="D3785" t="s">
        <v>665</v>
      </c>
    </row>
    <row r="3786" spans="1:4">
      <c r="A3786" s="2">
        <v>0.004642956634785031</v>
      </c>
      <c r="B3786" t="s">
        <v>531</v>
      </c>
      <c r="C3786" t="s">
        <v>665</v>
      </c>
      <c r="D3786" t="s">
        <v>665</v>
      </c>
    </row>
    <row r="3787" spans="1:4">
      <c r="A3787" s="2">
        <v>1.8603612821609956</v>
      </c>
      <c r="B3787" t="s">
        <v>532</v>
      </c>
      <c r="C3787" t="s">
        <v>665</v>
      </c>
      <c r="D3787" t="s">
        <v>665</v>
      </c>
    </row>
    <row r="3788" spans="1:4">
      <c r="A3788" s="2">
        <v>1.8216263480034975</v>
      </c>
      <c r="B3788" t="s">
        <v>533</v>
      </c>
      <c r="C3788" t="s">
        <v>665</v>
      </c>
      <c r="D3788" t="s">
        <v>665</v>
      </c>
    </row>
    <row r="3789" spans="1:4">
      <c r="A3789" s="2">
        <v>0.022293164024183625</v>
      </c>
      <c r="B3789" t="s">
        <v>534</v>
      </c>
      <c r="C3789" t="s">
        <v>665</v>
      </c>
      <c r="D3789" t="s">
        <v>665</v>
      </c>
    </row>
    <row r="3790" spans="1:4">
      <c r="A3790" s="2">
        <v>1.9067594622938315</v>
      </c>
      <c r="B3790" t="s">
        <v>535</v>
      </c>
      <c r="C3790" t="s">
        <v>665</v>
      </c>
      <c r="D3790" t="s">
        <v>665</v>
      </c>
    </row>
    <row r="3791" spans="1:4">
      <c r="A3791" s="2">
        <v>1.0780508840017249</v>
      </c>
      <c r="B3791" t="s">
        <v>536</v>
      </c>
      <c r="C3791" t="s">
        <v>665</v>
      </c>
      <c r="D3791" t="s">
        <v>665</v>
      </c>
    </row>
    <row r="3792" spans="1:4">
      <c r="A3792" s="2">
        <v>0.7490075649764063</v>
      </c>
      <c r="B3792" t="s">
        <v>537</v>
      </c>
      <c r="C3792" t="s">
        <v>665</v>
      </c>
      <c r="D3792" t="s">
        <v>665</v>
      </c>
    </row>
    <row r="3793" spans="1:4">
      <c r="A3793" s="2">
        <v>0.7338910905621606</v>
      </c>
      <c r="B3793" t="s">
        <v>538</v>
      </c>
      <c r="C3793" t="s">
        <v>665</v>
      </c>
      <c r="D3793" t="s">
        <v>665</v>
      </c>
    </row>
    <row r="3794" spans="1:4">
      <c r="A3794" s="2">
        <v>0.1523869898083581</v>
      </c>
      <c r="B3794" t="s">
        <v>539</v>
      </c>
      <c r="C3794" t="s">
        <v>665</v>
      </c>
      <c r="D3794" t="s">
        <v>665</v>
      </c>
    </row>
    <row r="3795" spans="1:4">
      <c r="A3795" s="2">
        <v>0.39566352773601327</v>
      </c>
      <c r="B3795" t="s">
        <v>540</v>
      </c>
      <c r="C3795" t="s">
        <v>665</v>
      </c>
      <c r="D3795" t="s">
        <v>665</v>
      </c>
    </row>
    <row r="3796" spans="1:4">
      <c r="A3796" s="2">
        <v>0.21316961906589071</v>
      </c>
      <c r="B3796" t="s">
        <v>541</v>
      </c>
      <c r="C3796" t="s">
        <v>665</v>
      </c>
      <c r="D3796" t="s">
        <v>665</v>
      </c>
    </row>
    <row r="3797" spans="1:4">
      <c r="A3797" s="2">
        <v>1</v>
      </c>
      <c r="B3797" t="s">
        <v>542</v>
      </c>
      <c r="C3797" t="s">
        <v>665</v>
      </c>
      <c r="D3797" t="s">
        <v>665</v>
      </c>
    </row>
    <row r="3798" spans="1:4">
      <c r="A3798" s="2">
        <v>6.8635</v>
      </c>
      <c r="B3798" t="s">
        <v>364</v>
      </c>
      <c r="C3798" t="s">
        <v>230</v>
      </c>
      <c r="D3798" t="s">
        <v>230</v>
      </c>
    </row>
    <row r="3799" spans="1:4">
      <c r="A3799" s="2">
        <v>8.036200000000001</v>
      </c>
      <c r="B3799" t="s">
        <v>373</v>
      </c>
      <c r="C3799" t="s">
        <v>230</v>
      </c>
      <c r="D3799" t="s">
        <v>230</v>
      </c>
    </row>
    <row r="3800" spans="1:4">
      <c r="A3800" s="2">
        <v>0.042976</v>
      </c>
      <c r="B3800" t="s">
        <v>520</v>
      </c>
      <c r="C3800" t="s">
        <v>230</v>
      </c>
      <c r="D3800" t="s">
        <v>230</v>
      </c>
    </row>
    <row r="3801" spans="1:4">
      <c r="A3801" s="2">
        <v>0.8764</v>
      </c>
      <c r="B3801" t="s">
        <v>370</v>
      </c>
      <c r="C3801" t="s">
        <v>230</v>
      </c>
      <c r="D3801" t="s">
        <v>230</v>
      </c>
    </row>
    <row r="3802" spans="1:4">
      <c r="A3802" s="2">
        <v>9.2446</v>
      </c>
      <c r="B3802" t="s">
        <v>521</v>
      </c>
      <c r="C3802" t="s">
        <v>230</v>
      </c>
      <c r="D3802" t="s">
        <v>230</v>
      </c>
    </row>
    <row r="3803" spans="1:4">
      <c r="A3803" s="2">
        <v>4.8966</v>
      </c>
      <c r="B3803" t="s">
        <v>522</v>
      </c>
      <c r="C3803" t="s">
        <v>230</v>
      </c>
      <c r="D3803" t="s">
        <v>230</v>
      </c>
    </row>
    <row r="3804" spans="1:4">
      <c r="A3804" s="2">
        <v>4.0360000000000005</v>
      </c>
      <c r="B3804" t="s">
        <v>523</v>
      </c>
      <c r="C3804" t="s">
        <v>230</v>
      </c>
      <c r="D3804" t="s">
        <v>230</v>
      </c>
    </row>
    <row r="3805" spans="1:4">
      <c r="A3805" s="2">
        <v>5.3738</v>
      </c>
      <c r="B3805" t="s">
        <v>524</v>
      </c>
      <c r="C3805" t="s">
        <v>230</v>
      </c>
      <c r="D3805" t="s">
        <v>230</v>
      </c>
    </row>
    <row r="3806" spans="1:4">
      <c r="A3806" s="2">
        <v>8.7689</v>
      </c>
      <c r="B3806" t="s">
        <v>525</v>
      </c>
      <c r="C3806" t="s">
        <v>230</v>
      </c>
      <c r="D3806" t="s">
        <v>230</v>
      </c>
    </row>
    <row r="3807" spans="1:4">
      <c r="A3807" s="2">
        <v>5.0081999999999995</v>
      </c>
      <c r="B3807" t="s">
        <v>526</v>
      </c>
      <c r="C3807" t="s">
        <v>230</v>
      </c>
      <c r="D3807" t="s">
        <v>230</v>
      </c>
    </row>
    <row r="3808" spans="1:4">
      <c r="A3808" s="2">
        <v>0.8504847763225039</v>
      </c>
      <c r="B3808" t="s">
        <v>527</v>
      </c>
      <c r="C3808" t="s">
        <v>230</v>
      </c>
      <c r="D3808" t="s">
        <v>230</v>
      </c>
    </row>
    <row r="3809" spans="1:4">
      <c r="A3809" s="2">
        <v>1.732892023498016</v>
      </c>
      <c r="B3809" t="s">
        <v>528</v>
      </c>
      <c r="C3809" t="s">
        <v>230</v>
      </c>
      <c r="D3809" t="s">
        <v>230</v>
      </c>
    </row>
    <row r="3810" spans="1:4">
      <c r="A3810" s="2">
        <v>0.09096449655699382</v>
      </c>
      <c r="B3810" t="s">
        <v>529</v>
      </c>
      <c r="C3810" t="s">
        <v>230</v>
      </c>
      <c r="D3810" t="s">
        <v>230</v>
      </c>
    </row>
    <row r="3811" spans="1:4">
      <c r="A3811" s="2">
        <v>0.4155930512841825</v>
      </c>
      <c r="B3811" t="s">
        <v>530</v>
      </c>
      <c r="C3811" t="s">
        <v>230</v>
      </c>
      <c r="D3811" t="s">
        <v>230</v>
      </c>
    </row>
    <row r="3812" spans="1:4">
      <c r="A3812" s="2">
        <v>0.004616592031762153</v>
      </c>
      <c r="B3812" t="s">
        <v>531</v>
      </c>
      <c r="C3812" t="s">
        <v>230</v>
      </c>
      <c r="D3812" t="s">
        <v>230</v>
      </c>
    </row>
    <row r="3813" spans="1:4">
      <c r="A3813" s="2">
        <v>1.862370798025887</v>
      </c>
      <c r="B3813" t="s">
        <v>532</v>
      </c>
      <c r="C3813" t="s">
        <v>230</v>
      </c>
      <c r="D3813" t="s">
        <v>230</v>
      </c>
    </row>
    <row r="3814" spans="1:4">
      <c r="A3814" s="2">
        <v>1.823985408116735</v>
      </c>
      <c r="B3814" t="s">
        <v>533</v>
      </c>
      <c r="C3814" t="s">
        <v>230</v>
      </c>
      <c r="D3814" t="s">
        <v>230</v>
      </c>
    </row>
    <row r="3815" spans="1:4">
      <c r="A3815" s="2">
        <v>0.022105211966877553</v>
      </c>
      <c r="B3815" t="s">
        <v>534</v>
      </c>
      <c r="C3815" t="s">
        <v>230</v>
      </c>
      <c r="D3815" t="s">
        <v>230</v>
      </c>
    </row>
    <row r="3816" spans="1:4">
      <c r="A3816" s="2">
        <v>1.897065240073606</v>
      </c>
      <c r="B3816" t="s">
        <v>535</v>
      </c>
      <c r="C3816" t="s">
        <v>230</v>
      </c>
      <c r="D3816" t="s">
        <v>230</v>
      </c>
    </row>
    <row r="3817" spans="1:4">
      <c r="A3817" s="2">
        <v>1.075268817204301</v>
      </c>
      <c r="B3817" t="s">
        <v>536</v>
      </c>
      <c r="C3817" t="s">
        <v>230</v>
      </c>
      <c r="D3817" t="s">
        <v>230</v>
      </c>
    </row>
    <row r="3818" spans="1:4">
      <c r="A3818" s="2">
        <v>0.7449344457687723</v>
      </c>
      <c r="B3818" t="s">
        <v>537</v>
      </c>
      <c r="C3818" t="s">
        <v>230</v>
      </c>
      <c r="D3818" t="s">
        <v>230</v>
      </c>
    </row>
    <row r="3819" spans="1:4">
      <c r="A3819" s="2">
        <v>0.7325470661490001</v>
      </c>
      <c r="B3819" t="s">
        <v>538</v>
      </c>
      <c r="C3819" t="s">
        <v>230</v>
      </c>
      <c r="D3819" t="s">
        <v>230</v>
      </c>
    </row>
    <row r="3820" spans="1:4">
      <c r="A3820" s="2">
        <v>0.15236005728738153</v>
      </c>
      <c r="B3820" t="s">
        <v>539</v>
      </c>
      <c r="C3820" t="s">
        <v>230</v>
      </c>
      <c r="D3820" t="s">
        <v>230</v>
      </c>
    </row>
    <row r="3821" spans="1:4">
      <c r="A3821" s="2">
        <v>0.3954444795950649</v>
      </c>
      <c r="B3821" t="s">
        <v>540</v>
      </c>
      <c r="C3821" t="s">
        <v>230</v>
      </c>
      <c r="D3821" t="s">
        <v>230</v>
      </c>
    </row>
    <row r="3822" spans="1:4">
      <c r="A3822" s="2">
        <v>0.212300702715326</v>
      </c>
      <c r="B3822" t="s">
        <v>541</v>
      </c>
      <c r="C3822" t="s">
        <v>230</v>
      </c>
      <c r="D3822" t="s">
        <v>230</v>
      </c>
    </row>
    <row r="3823" spans="1:4">
      <c r="A3823" s="2">
        <v>1</v>
      </c>
      <c r="B3823" t="s">
        <v>542</v>
      </c>
      <c r="C3823" t="s">
        <v>230</v>
      </c>
      <c r="D3823" t="s">
        <v>230</v>
      </c>
    </row>
    <row r="3824" spans="1:4">
      <c r="A3824" s="2">
        <v>6.865</v>
      </c>
      <c r="B3824" t="s">
        <v>364</v>
      </c>
      <c r="C3824" t="s">
        <v>666</v>
      </c>
      <c r="D3824" t="s">
        <v>666</v>
      </c>
    </row>
    <row r="3825" spans="1:4">
      <c r="A3825" s="2">
        <v>8.0178</v>
      </c>
      <c r="B3825" t="s">
        <v>373</v>
      </c>
      <c r="C3825" t="s">
        <v>666</v>
      </c>
      <c r="D3825" t="s">
        <v>666</v>
      </c>
    </row>
    <row r="3826" spans="1:4">
      <c r="A3826" s="2">
        <v>0.042988</v>
      </c>
      <c r="B3826" t="s">
        <v>520</v>
      </c>
      <c r="C3826" t="s">
        <v>666</v>
      </c>
      <c r="D3826" t="s">
        <v>666</v>
      </c>
    </row>
    <row r="3827" spans="1:4">
      <c r="A3827" s="2">
        <v>0.8764799999999999</v>
      </c>
      <c r="B3827" t="s">
        <v>370</v>
      </c>
      <c r="C3827" t="s">
        <v>666</v>
      </c>
      <c r="D3827" t="s">
        <v>666</v>
      </c>
    </row>
    <row r="3828" spans="1:4">
      <c r="A3828" s="2">
        <v>9.2467</v>
      </c>
      <c r="B3828" t="s">
        <v>521</v>
      </c>
      <c r="C3828" t="s">
        <v>666</v>
      </c>
      <c r="D3828" t="s">
        <v>666</v>
      </c>
    </row>
    <row r="3829" spans="1:4">
      <c r="A3829" s="2">
        <v>4.9032</v>
      </c>
      <c r="B3829" t="s">
        <v>522</v>
      </c>
      <c r="C3829" t="s">
        <v>666</v>
      </c>
      <c r="D3829" t="s">
        <v>666</v>
      </c>
    </row>
    <row r="3830" spans="1:4">
      <c r="A3830" s="2">
        <v>4.0441</v>
      </c>
      <c r="B3830" t="s">
        <v>523</v>
      </c>
      <c r="C3830" t="s">
        <v>666</v>
      </c>
      <c r="D3830" t="s">
        <v>666</v>
      </c>
    </row>
    <row r="3831" spans="1:4">
      <c r="A3831" s="2">
        <v>5.367999999999999</v>
      </c>
      <c r="B3831" t="s">
        <v>524</v>
      </c>
      <c r="C3831" t="s">
        <v>666</v>
      </c>
      <c r="D3831" t="s">
        <v>666</v>
      </c>
    </row>
    <row r="3832" spans="1:4">
      <c r="A3832" s="2">
        <v>8.7308</v>
      </c>
      <c r="B3832" t="s">
        <v>525</v>
      </c>
      <c r="C3832" t="s">
        <v>666</v>
      </c>
      <c r="D3832" t="s">
        <v>666</v>
      </c>
    </row>
    <row r="3833" spans="1:4">
      <c r="A3833" s="2">
        <v>5.0079</v>
      </c>
      <c r="B3833" t="s">
        <v>526</v>
      </c>
      <c r="C3833" t="s">
        <v>666</v>
      </c>
      <c r="D3833" t="s">
        <v>666</v>
      </c>
    </row>
    <row r="3834" spans="1:4">
      <c r="A3834" s="2">
        <v>0.8505571149102663</v>
      </c>
      <c r="B3834" t="s">
        <v>527</v>
      </c>
      <c r="C3834" t="s">
        <v>666</v>
      </c>
      <c r="D3834" t="s">
        <v>666</v>
      </c>
    </row>
    <row r="3835" spans="1:4">
      <c r="A3835" s="2">
        <v>1.7332524482190832</v>
      </c>
      <c r="B3835" t="s">
        <v>528</v>
      </c>
      <c r="C3835" t="s">
        <v>666</v>
      </c>
      <c r="D3835" t="s">
        <v>666</v>
      </c>
    </row>
    <row r="3836" spans="1:4">
      <c r="A3836" s="2">
        <v>0.09094629621208676</v>
      </c>
      <c r="B3836" t="s">
        <v>529</v>
      </c>
      <c r="C3836" t="s">
        <v>666</v>
      </c>
      <c r="D3836" t="s">
        <v>666</v>
      </c>
    </row>
    <row r="3837" spans="1:4">
      <c r="A3837" s="2">
        <v>0.4158522892668524</v>
      </c>
      <c r="B3837" t="s">
        <v>530</v>
      </c>
      <c r="C3837" t="s">
        <v>666</v>
      </c>
      <c r="D3837" t="s">
        <v>666</v>
      </c>
    </row>
    <row r="3838" spans="1:4">
      <c r="A3838" s="2">
        <v>0.0046219264189314106</v>
      </c>
      <c r="B3838" t="s">
        <v>531</v>
      </c>
      <c r="C3838" t="s">
        <v>666</v>
      </c>
      <c r="D3838" t="s">
        <v>666</v>
      </c>
    </row>
    <row r="3839" spans="1:4">
      <c r="A3839" s="2">
        <v>1.8637244669748023</v>
      </c>
      <c r="B3839" t="s">
        <v>532</v>
      </c>
      <c r="C3839" t="s">
        <v>666</v>
      </c>
      <c r="D3839" t="s">
        <v>666</v>
      </c>
    </row>
    <row r="3840" spans="1:4">
      <c r="A3840" s="2">
        <v>1.8250839538618775</v>
      </c>
      <c r="B3840" t="s">
        <v>533</v>
      </c>
      <c r="C3840" t="s">
        <v>666</v>
      </c>
      <c r="D3840" t="s">
        <v>666</v>
      </c>
    </row>
    <row r="3841" spans="1:4">
      <c r="A3841" s="2">
        <v>0.02199658612983265</v>
      </c>
      <c r="B3841" t="s">
        <v>534</v>
      </c>
      <c r="C3841" t="s">
        <v>666</v>
      </c>
      <c r="D3841" t="s">
        <v>666</v>
      </c>
    </row>
    <row r="3842" spans="1:4">
      <c r="A3842" s="2">
        <v>1.8909310944709177</v>
      </c>
      <c r="B3842" t="s">
        <v>535</v>
      </c>
      <c r="C3842" t="s">
        <v>666</v>
      </c>
      <c r="D3842" t="s">
        <v>666</v>
      </c>
    </row>
    <row r="3843" spans="1:4">
      <c r="A3843" s="2">
        <v>1.07284626113078</v>
      </c>
      <c r="B3843" t="s">
        <v>536</v>
      </c>
      <c r="C3843" t="s">
        <v>666</v>
      </c>
      <c r="D3843" t="s">
        <v>666</v>
      </c>
    </row>
    <row r="3844" spans="1:4">
      <c r="A3844" s="2">
        <v>0.743383883437407</v>
      </c>
      <c r="B3844" t="s">
        <v>537</v>
      </c>
      <c r="C3844" t="s">
        <v>666</v>
      </c>
      <c r="D3844" t="s">
        <v>666</v>
      </c>
    </row>
    <row r="3845" spans="1:4">
      <c r="A3845" s="2">
        <v>0.7359434795407713</v>
      </c>
      <c r="B3845" t="s">
        <v>538</v>
      </c>
      <c r="C3845" t="s">
        <v>666</v>
      </c>
      <c r="D3845" t="s">
        <v>666</v>
      </c>
    </row>
    <row r="3846" spans="1:4">
      <c r="A3846" s="2">
        <v>0.15245552491199504</v>
      </c>
      <c r="B3846" t="s">
        <v>539</v>
      </c>
      <c r="C3846" t="s">
        <v>666</v>
      </c>
      <c r="D3846" t="s">
        <v>666</v>
      </c>
    </row>
    <row r="3847" spans="1:4">
      <c r="A3847" s="2">
        <v>0.3953194180898166</v>
      </c>
      <c r="B3847" t="s">
        <v>540</v>
      </c>
      <c r="C3847" t="s">
        <v>666</v>
      </c>
      <c r="D3847" t="s">
        <v>666</v>
      </c>
    </row>
    <row r="3848" spans="1:4">
      <c r="A3848" s="2">
        <v>0.21198566976872363</v>
      </c>
      <c r="B3848" t="s">
        <v>541</v>
      </c>
      <c r="C3848" t="s">
        <v>666</v>
      </c>
      <c r="D3848" t="s">
        <v>666</v>
      </c>
    </row>
    <row r="3849" spans="1:4">
      <c r="A3849" s="2">
        <v>1</v>
      </c>
      <c r="B3849" t="s">
        <v>542</v>
      </c>
      <c r="C3849" t="s">
        <v>666</v>
      </c>
      <c r="D3849" t="s">
        <v>666</v>
      </c>
    </row>
    <row r="3850" spans="1:4">
      <c r="A3850" s="2">
        <v>6.8674</v>
      </c>
      <c r="B3850" t="s">
        <v>364</v>
      </c>
      <c r="C3850" t="s">
        <v>236</v>
      </c>
      <c r="D3850" t="s">
        <v>236</v>
      </c>
    </row>
    <row r="3851" spans="1:4">
      <c r="A3851" s="2">
        <v>8.0079</v>
      </c>
      <c r="B3851" t="s">
        <v>373</v>
      </c>
      <c r="C3851" t="s">
        <v>236</v>
      </c>
      <c r="D3851" t="s">
        <v>236</v>
      </c>
    </row>
    <row r="3852" spans="1:4">
      <c r="A3852" s="2">
        <v>0.042944</v>
      </c>
      <c r="B3852" t="s">
        <v>520</v>
      </c>
      <c r="C3852" t="s">
        <v>236</v>
      </c>
      <c r="D3852" t="s">
        <v>236</v>
      </c>
    </row>
    <row r="3853" spans="1:4">
      <c r="A3853" s="2">
        <v>0.87666</v>
      </c>
      <c r="B3853" t="s">
        <v>370</v>
      </c>
      <c r="C3853" t="s">
        <v>236</v>
      </c>
      <c r="D3853" t="s">
        <v>236</v>
      </c>
    </row>
    <row r="3854" spans="1:4">
      <c r="A3854" s="2">
        <v>9.2304</v>
      </c>
      <c r="B3854" t="s">
        <v>521</v>
      </c>
      <c r="C3854" t="s">
        <v>236</v>
      </c>
      <c r="D3854" t="s">
        <v>236</v>
      </c>
    </row>
    <row r="3855" spans="1:4">
      <c r="A3855" s="2">
        <v>4.8884</v>
      </c>
      <c r="B3855" t="s">
        <v>522</v>
      </c>
      <c r="C3855" t="s">
        <v>236</v>
      </c>
      <c r="D3855" t="s">
        <v>236</v>
      </c>
    </row>
    <row r="3856" spans="1:4">
      <c r="A3856" s="2">
        <v>4.0126</v>
      </c>
      <c r="B3856" t="s">
        <v>523</v>
      </c>
      <c r="C3856" t="s">
        <v>236</v>
      </c>
      <c r="D3856" t="s">
        <v>236</v>
      </c>
    </row>
    <row r="3857" spans="1:4">
      <c r="A3857" s="2">
        <v>5.3637</v>
      </c>
      <c r="B3857" t="s">
        <v>524</v>
      </c>
      <c r="C3857" t="s">
        <v>236</v>
      </c>
      <c r="D3857" t="s">
        <v>236</v>
      </c>
    </row>
    <row r="3858" spans="1:4">
      <c r="A3858" s="2">
        <v>8.7201</v>
      </c>
      <c r="B3858" t="s">
        <v>525</v>
      </c>
      <c r="C3858" t="s">
        <v>236</v>
      </c>
      <c r="D3858" t="s">
        <v>236</v>
      </c>
    </row>
    <row r="3859" spans="1:4">
      <c r="A3859" s="2">
        <v>5.0028</v>
      </c>
      <c r="B3859" t="s">
        <v>526</v>
      </c>
      <c r="C3859" t="s">
        <v>236</v>
      </c>
      <c r="D3859" t="s">
        <v>236</v>
      </c>
    </row>
    <row r="3860" spans="1:4">
      <c r="A3860" s="2">
        <v>0.8507742045261187</v>
      </c>
      <c r="B3860" t="s">
        <v>527</v>
      </c>
      <c r="C3860" t="s">
        <v>236</v>
      </c>
      <c r="D3860" t="s">
        <v>236</v>
      </c>
    </row>
    <row r="3861" spans="1:4">
      <c r="A3861" s="2">
        <v>1.7289970088351747</v>
      </c>
      <c r="B3861" t="s">
        <v>528</v>
      </c>
      <c r="C3861" t="s">
        <v>236</v>
      </c>
      <c r="D3861" t="s">
        <v>236</v>
      </c>
    </row>
    <row r="3862" spans="1:4">
      <c r="A3862" s="2">
        <v>0.09031220930757627</v>
      </c>
      <c r="B3862" t="s">
        <v>529</v>
      </c>
      <c r="C3862" t="s">
        <v>236</v>
      </c>
      <c r="D3862" t="s">
        <v>236</v>
      </c>
    </row>
    <row r="3863" spans="1:4">
      <c r="A3863" s="2">
        <v>0.4122351389232418</v>
      </c>
      <c r="B3863" t="s">
        <v>530</v>
      </c>
      <c r="C3863" t="s">
        <v>236</v>
      </c>
      <c r="D3863" t="s">
        <v>236</v>
      </c>
    </row>
    <row r="3864" spans="1:4">
      <c r="A3864" s="2">
        <v>0.004618937644341801</v>
      </c>
      <c r="B3864" t="s">
        <v>531</v>
      </c>
      <c r="C3864" t="s">
        <v>236</v>
      </c>
      <c r="D3864" t="s">
        <v>236</v>
      </c>
    </row>
    <row r="3865" spans="1:4">
      <c r="A3865" s="2">
        <v>1.8656020297750084</v>
      </c>
      <c r="B3865" t="s">
        <v>532</v>
      </c>
      <c r="C3865" t="s">
        <v>236</v>
      </c>
      <c r="D3865" t="s">
        <v>236</v>
      </c>
    </row>
    <row r="3866" spans="1:4">
      <c r="A3866" s="2">
        <v>1.8268844312908763</v>
      </c>
      <c r="B3866" t="s">
        <v>533</v>
      </c>
      <c r="C3866" t="s">
        <v>236</v>
      </c>
      <c r="D3866" t="s">
        <v>236</v>
      </c>
    </row>
    <row r="3867" spans="1:4">
      <c r="A3867" s="2">
        <v>0.02185768461546868</v>
      </c>
      <c r="B3867" t="s">
        <v>534</v>
      </c>
      <c r="C3867" t="s">
        <v>236</v>
      </c>
      <c r="D3867" t="s">
        <v>236</v>
      </c>
    </row>
    <row r="3868" spans="1:4">
      <c r="A3868" s="2">
        <v>1.8887168058021384</v>
      </c>
      <c r="B3868" t="s">
        <v>535</v>
      </c>
      <c r="C3868" t="s">
        <v>236</v>
      </c>
      <c r="D3868" t="s">
        <v>236</v>
      </c>
    </row>
    <row r="3869" spans="1:4">
      <c r="A3869" s="2">
        <v>1.0715816545220749</v>
      </c>
      <c r="B3869" t="s">
        <v>536</v>
      </c>
      <c r="C3869" t="s">
        <v>236</v>
      </c>
      <c r="D3869" t="s">
        <v>236</v>
      </c>
    </row>
    <row r="3870" spans="1:4">
      <c r="A3870" s="2">
        <v>0.7402472425790214</v>
      </c>
      <c r="B3870" t="s">
        <v>537</v>
      </c>
      <c r="C3870" t="s">
        <v>236</v>
      </c>
      <c r="D3870" t="s">
        <v>236</v>
      </c>
    </row>
    <row r="3871" spans="1:4">
      <c r="A3871" s="2">
        <v>0.7345919341805627</v>
      </c>
      <c r="B3871" t="s">
        <v>538</v>
      </c>
      <c r="C3871" t="s">
        <v>236</v>
      </c>
      <c r="D3871" t="s">
        <v>236</v>
      </c>
    </row>
    <row r="3872" spans="1:4">
      <c r="A3872" s="2">
        <v>0.15242345675060626</v>
      </c>
      <c r="B3872" t="s">
        <v>539</v>
      </c>
      <c r="C3872" t="s">
        <v>236</v>
      </c>
      <c r="D3872" t="s">
        <v>236</v>
      </c>
    </row>
    <row r="3873" spans="1:4">
      <c r="A3873" s="2">
        <v>0.3938558487593541</v>
      </c>
      <c r="B3873" t="s">
        <v>540</v>
      </c>
      <c r="C3873" t="s">
        <v>236</v>
      </c>
      <c r="D3873" t="s">
        <v>236</v>
      </c>
    </row>
    <row r="3874" spans="1:4">
      <c r="A3874" s="2">
        <v>0.21081035500463785</v>
      </c>
      <c r="B3874" t="s">
        <v>541</v>
      </c>
      <c r="C3874" t="s">
        <v>236</v>
      </c>
      <c r="D3874" t="s">
        <v>236</v>
      </c>
    </row>
    <row r="3875" spans="1:4">
      <c r="A3875" s="2">
        <v>1</v>
      </c>
      <c r="B3875" t="s">
        <v>542</v>
      </c>
      <c r="C3875" t="s">
        <v>236</v>
      </c>
      <c r="D3875" t="s">
        <v>236</v>
      </c>
    </row>
    <row r="3876" spans="1:4">
      <c r="A3876" s="2">
        <v>6.8674</v>
      </c>
      <c r="B3876" t="s">
        <v>364</v>
      </c>
      <c r="C3876" t="s">
        <v>236</v>
      </c>
      <c r="D3876" t="s">
        <v>241</v>
      </c>
    </row>
    <row r="3877" spans="1:4">
      <c r="A3877" s="2">
        <v>8.0079</v>
      </c>
      <c r="B3877" t="s">
        <v>373</v>
      </c>
      <c r="C3877" t="s">
        <v>236</v>
      </c>
      <c r="D3877" t="s">
        <v>241</v>
      </c>
    </row>
    <row r="3878" spans="1:4">
      <c r="A3878" s="2">
        <v>0.042944</v>
      </c>
      <c r="B3878" t="s">
        <v>520</v>
      </c>
      <c r="C3878" t="s">
        <v>236</v>
      </c>
      <c r="D3878" t="s">
        <v>241</v>
      </c>
    </row>
    <row r="3879" spans="1:4">
      <c r="A3879" s="2">
        <v>0.87666</v>
      </c>
      <c r="B3879" t="s">
        <v>370</v>
      </c>
      <c r="C3879" t="s">
        <v>236</v>
      </c>
      <c r="D3879" t="s">
        <v>241</v>
      </c>
    </row>
    <row r="3880" spans="1:4">
      <c r="A3880" s="2">
        <v>9.2304</v>
      </c>
      <c r="B3880" t="s">
        <v>521</v>
      </c>
      <c r="C3880" t="s">
        <v>236</v>
      </c>
      <c r="D3880" t="s">
        <v>241</v>
      </c>
    </row>
    <row r="3881" spans="1:4">
      <c r="A3881" s="2">
        <v>4.8884</v>
      </c>
      <c r="B3881" t="s">
        <v>522</v>
      </c>
      <c r="C3881" t="s">
        <v>236</v>
      </c>
      <c r="D3881" t="s">
        <v>241</v>
      </c>
    </row>
    <row r="3882" spans="1:4">
      <c r="A3882" s="2">
        <v>4.0126</v>
      </c>
      <c r="B3882" t="s">
        <v>523</v>
      </c>
      <c r="C3882" t="s">
        <v>236</v>
      </c>
      <c r="D3882" t="s">
        <v>241</v>
      </c>
    </row>
    <row r="3883" spans="1:4">
      <c r="A3883" s="2">
        <v>5.3637</v>
      </c>
      <c r="B3883" t="s">
        <v>524</v>
      </c>
      <c r="C3883" t="s">
        <v>236</v>
      </c>
      <c r="D3883" t="s">
        <v>241</v>
      </c>
    </row>
    <row r="3884" spans="1:4">
      <c r="A3884" s="2">
        <v>8.7201</v>
      </c>
      <c r="B3884" t="s">
        <v>525</v>
      </c>
      <c r="C3884" t="s">
        <v>236</v>
      </c>
      <c r="D3884" t="s">
        <v>241</v>
      </c>
    </row>
    <row r="3885" spans="1:4">
      <c r="A3885" s="2">
        <v>5.0028</v>
      </c>
      <c r="B3885" t="s">
        <v>526</v>
      </c>
      <c r="C3885" t="s">
        <v>236</v>
      </c>
      <c r="D3885" t="s">
        <v>241</v>
      </c>
    </row>
    <row r="3886" spans="1:4">
      <c r="A3886" s="2">
        <v>0.8507742045261187</v>
      </c>
      <c r="B3886" t="s">
        <v>527</v>
      </c>
      <c r="C3886" t="s">
        <v>236</v>
      </c>
      <c r="D3886" t="s">
        <v>241</v>
      </c>
    </row>
    <row r="3887" spans="1:4">
      <c r="A3887" s="2">
        <v>1.7289970088351747</v>
      </c>
      <c r="B3887" t="s">
        <v>528</v>
      </c>
      <c r="C3887" t="s">
        <v>236</v>
      </c>
      <c r="D3887" t="s">
        <v>241</v>
      </c>
    </row>
    <row r="3888" spans="1:4">
      <c r="A3888" s="2">
        <v>0.09031220930757627</v>
      </c>
      <c r="B3888" t="s">
        <v>529</v>
      </c>
      <c r="C3888" t="s">
        <v>236</v>
      </c>
      <c r="D3888" t="s">
        <v>241</v>
      </c>
    </row>
    <row r="3889" spans="1:4">
      <c r="A3889" s="2">
        <v>0.4122351389232418</v>
      </c>
      <c r="B3889" t="s">
        <v>530</v>
      </c>
      <c r="C3889" t="s">
        <v>236</v>
      </c>
      <c r="D3889" t="s">
        <v>241</v>
      </c>
    </row>
    <row r="3890" spans="1:4">
      <c r="A3890" s="2">
        <v>0.004618937644341801</v>
      </c>
      <c r="B3890" t="s">
        <v>531</v>
      </c>
      <c r="C3890" t="s">
        <v>236</v>
      </c>
      <c r="D3890" t="s">
        <v>241</v>
      </c>
    </row>
    <row r="3891" spans="1:4">
      <c r="A3891" s="2">
        <v>1.8656020297750084</v>
      </c>
      <c r="B3891" t="s">
        <v>532</v>
      </c>
      <c r="C3891" t="s">
        <v>236</v>
      </c>
      <c r="D3891" t="s">
        <v>241</v>
      </c>
    </row>
    <row r="3892" spans="1:4">
      <c r="A3892" s="2">
        <v>1.8268844312908763</v>
      </c>
      <c r="B3892" t="s">
        <v>533</v>
      </c>
      <c r="C3892" t="s">
        <v>236</v>
      </c>
      <c r="D3892" t="s">
        <v>241</v>
      </c>
    </row>
    <row r="3893" spans="1:4">
      <c r="A3893" s="2">
        <v>0.02185768461546868</v>
      </c>
      <c r="B3893" t="s">
        <v>534</v>
      </c>
      <c r="C3893" t="s">
        <v>236</v>
      </c>
      <c r="D3893" t="s">
        <v>241</v>
      </c>
    </row>
    <row r="3894" spans="1:4">
      <c r="A3894" s="2">
        <v>1.8887168058021384</v>
      </c>
      <c r="B3894" t="s">
        <v>535</v>
      </c>
      <c r="C3894" t="s">
        <v>236</v>
      </c>
      <c r="D3894" t="s">
        <v>241</v>
      </c>
    </row>
    <row r="3895" spans="1:4">
      <c r="A3895" s="2">
        <v>1.0715816545220749</v>
      </c>
      <c r="B3895" t="s">
        <v>536</v>
      </c>
      <c r="C3895" t="s">
        <v>236</v>
      </c>
      <c r="D3895" t="s">
        <v>241</v>
      </c>
    </row>
    <row r="3896" spans="1:4">
      <c r="A3896" s="2">
        <v>0.7402472425790214</v>
      </c>
      <c r="B3896" t="s">
        <v>537</v>
      </c>
      <c r="C3896" t="s">
        <v>236</v>
      </c>
      <c r="D3896" t="s">
        <v>241</v>
      </c>
    </row>
    <row r="3897" spans="1:4">
      <c r="A3897" s="2">
        <v>0.7345919341805627</v>
      </c>
      <c r="B3897" t="s">
        <v>538</v>
      </c>
      <c r="C3897" t="s">
        <v>236</v>
      </c>
      <c r="D3897" t="s">
        <v>241</v>
      </c>
    </row>
    <row r="3898" spans="1:4">
      <c r="A3898" s="2">
        <v>0.15242345675060626</v>
      </c>
      <c r="B3898" t="s">
        <v>539</v>
      </c>
      <c r="C3898" t="s">
        <v>236</v>
      </c>
      <c r="D3898" t="s">
        <v>241</v>
      </c>
    </row>
    <row r="3899" spans="1:4">
      <c r="A3899" s="2">
        <v>0.3938558487593541</v>
      </c>
      <c r="B3899" t="s">
        <v>540</v>
      </c>
      <c r="C3899" t="s">
        <v>236</v>
      </c>
      <c r="D3899" t="s">
        <v>241</v>
      </c>
    </row>
    <row r="3900" spans="1:4">
      <c r="A3900" s="2">
        <v>0.21081035500463785</v>
      </c>
      <c r="B3900" t="s">
        <v>541</v>
      </c>
      <c r="C3900" t="s">
        <v>236</v>
      </c>
      <c r="D3900" t="s">
        <v>241</v>
      </c>
    </row>
    <row r="3901" spans="1:4">
      <c r="A3901" s="2">
        <v>1</v>
      </c>
      <c r="B3901" t="s">
        <v>542</v>
      </c>
      <c r="C3901" t="s">
        <v>241</v>
      </c>
      <c r="D3901" t="s">
        <v>241</v>
      </c>
    </row>
    <row r="3902" spans="1:4">
      <c r="A3902" s="2">
        <v>6.8674</v>
      </c>
      <c r="B3902" t="s">
        <v>364</v>
      </c>
      <c r="C3902" t="s">
        <v>236</v>
      </c>
      <c r="D3902" t="s">
        <v>251</v>
      </c>
    </row>
    <row r="3903" spans="1:4">
      <c r="A3903" s="2">
        <v>8.0079</v>
      </c>
      <c r="B3903" t="s">
        <v>373</v>
      </c>
      <c r="C3903" t="s">
        <v>236</v>
      </c>
      <c r="D3903" t="s">
        <v>251</v>
      </c>
    </row>
    <row r="3904" spans="1:4">
      <c r="A3904" s="2">
        <v>0.042944</v>
      </c>
      <c r="B3904" t="s">
        <v>520</v>
      </c>
      <c r="C3904" t="s">
        <v>236</v>
      </c>
      <c r="D3904" t="s">
        <v>251</v>
      </c>
    </row>
    <row r="3905" spans="1:4">
      <c r="A3905" s="2">
        <v>0.87666</v>
      </c>
      <c r="B3905" t="s">
        <v>370</v>
      </c>
      <c r="C3905" t="s">
        <v>236</v>
      </c>
      <c r="D3905" t="s">
        <v>251</v>
      </c>
    </row>
    <row r="3906" spans="1:4">
      <c r="A3906" s="2">
        <v>9.2304</v>
      </c>
      <c r="B3906" t="s">
        <v>521</v>
      </c>
      <c r="C3906" t="s">
        <v>236</v>
      </c>
      <c r="D3906" t="s">
        <v>251</v>
      </c>
    </row>
    <row r="3907" spans="1:4">
      <c r="A3907" s="2">
        <v>4.8884</v>
      </c>
      <c r="B3907" t="s">
        <v>522</v>
      </c>
      <c r="C3907" t="s">
        <v>236</v>
      </c>
      <c r="D3907" t="s">
        <v>251</v>
      </c>
    </row>
    <row r="3908" spans="1:4">
      <c r="A3908" s="2">
        <v>4.0126</v>
      </c>
      <c r="B3908" t="s">
        <v>523</v>
      </c>
      <c r="C3908" t="s">
        <v>236</v>
      </c>
      <c r="D3908" t="s">
        <v>251</v>
      </c>
    </row>
    <row r="3909" spans="1:4">
      <c r="A3909" s="2">
        <v>5.3637</v>
      </c>
      <c r="B3909" t="s">
        <v>524</v>
      </c>
      <c r="C3909" t="s">
        <v>236</v>
      </c>
      <c r="D3909" t="s">
        <v>251</v>
      </c>
    </row>
    <row r="3910" spans="1:4">
      <c r="A3910" s="2">
        <v>8.7201</v>
      </c>
      <c r="B3910" t="s">
        <v>525</v>
      </c>
      <c r="C3910" t="s">
        <v>236</v>
      </c>
      <c r="D3910" t="s">
        <v>251</v>
      </c>
    </row>
    <row r="3911" spans="1:4">
      <c r="A3911" s="2">
        <v>5.0028</v>
      </c>
      <c r="B3911" t="s">
        <v>526</v>
      </c>
      <c r="C3911" t="s">
        <v>236</v>
      </c>
      <c r="D3911" t="s">
        <v>251</v>
      </c>
    </row>
    <row r="3912" spans="1:4">
      <c r="A3912" s="2">
        <v>0.8507742045261187</v>
      </c>
      <c r="B3912" t="s">
        <v>527</v>
      </c>
      <c r="C3912" t="s">
        <v>236</v>
      </c>
      <c r="D3912" t="s">
        <v>251</v>
      </c>
    </row>
    <row r="3913" spans="1:4">
      <c r="A3913" s="2">
        <v>1.7289970088351747</v>
      </c>
      <c r="B3913" t="s">
        <v>528</v>
      </c>
      <c r="C3913" t="s">
        <v>236</v>
      </c>
      <c r="D3913" t="s">
        <v>251</v>
      </c>
    </row>
    <row r="3914" spans="1:4">
      <c r="A3914" s="2">
        <v>0.09031220930757627</v>
      </c>
      <c r="B3914" t="s">
        <v>529</v>
      </c>
      <c r="C3914" t="s">
        <v>236</v>
      </c>
      <c r="D3914" t="s">
        <v>251</v>
      </c>
    </row>
    <row r="3915" spans="1:4">
      <c r="A3915" s="2">
        <v>0.4122351389232418</v>
      </c>
      <c r="B3915" t="s">
        <v>530</v>
      </c>
      <c r="C3915" t="s">
        <v>236</v>
      </c>
      <c r="D3915" t="s">
        <v>251</v>
      </c>
    </row>
    <row r="3916" spans="1:4">
      <c r="A3916" s="2">
        <v>0.004618937644341801</v>
      </c>
      <c r="B3916" t="s">
        <v>531</v>
      </c>
      <c r="C3916" t="s">
        <v>236</v>
      </c>
      <c r="D3916" t="s">
        <v>251</v>
      </c>
    </row>
    <row r="3917" spans="1:4">
      <c r="A3917" s="2">
        <v>1.8656020297750084</v>
      </c>
      <c r="B3917" t="s">
        <v>532</v>
      </c>
      <c r="C3917" t="s">
        <v>236</v>
      </c>
      <c r="D3917" t="s">
        <v>251</v>
      </c>
    </row>
    <row r="3918" spans="1:4">
      <c r="A3918" s="2">
        <v>1.8268844312908763</v>
      </c>
      <c r="B3918" t="s">
        <v>533</v>
      </c>
      <c r="C3918" t="s">
        <v>236</v>
      </c>
      <c r="D3918" t="s">
        <v>251</v>
      </c>
    </row>
    <row r="3919" spans="1:4">
      <c r="A3919" s="2">
        <v>0.02185768461546868</v>
      </c>
      <c r="B3919" t="s">
        <v>534</v>
      </c>
      <c r="C3919" t="s">
        <v>236</v>
      </c>
      <c r="D3919" t="s">
        <v>251</v>
      </c>
    </row>
    <row r="3920" spans="1:4">
      <c r="A3920" s="2">
        <v>1.8887168058021384</v>
      </c>
      <c r="B3920" t="s">
        <v>535</v>
      </c>
      <c r="C3920" t="s">
        <v>236</v>
      </c>
      <c r="D3920" t="s">
        <v>251</v>
      </c>
    </row>
    <row r="3921" spans="1:4">
      <c r="A3921" s="2">
        <v>1.0715816545220749</v>
      </c>
      <c r="B3921" t="s">
        <v>536</v>
      </c>
      <c r="C3921" t="s">
        <v>236</v>
      </c>
      <c r="D3921" t="s">
        <v>251</v>
      </c>
    </row>
    <row r="3922" spans="1:4">
      <c r="A3922" s="2">
        <v>0.7402472425790214</v>
      </c>
      <c r="B3922" t="s">
        <v>537</v>
      </c>
      <c r="C3922" t="s">
        <v>236</v>
      </c>
      <c r="D3922" t="s">
        <v>251</v>
      </c>
    </row>
    <row r="3923" spans="1:4">
      <c r="A3923" s="2">
        <v>0.7345919341805627</v>
      </c>
      <c r="B3923" t="s">
        <v>538</v>
      </c>
      <c r="C3923" t="s">
        <v>236</v>
      </c>
      <c r="D3923" t="s">
        <v>251</v>
      </c>
    </row>
    <row r="3924" spans="1:4">
      <c r="A3924" s="2">
        <v>0.15242345675060626</v>
      </c>
      <c r="B3924" t="s">
        <v>539</v>
      </c>
      <c r="C3924" t="s">
        <v>236</v>
      </c>
      <c r="D3924" t="s">
        <v>251</v>
      </c>
    </row>
    <row r="3925" spans="1:4">
      <c r="A3925" s="2">
        <v>0.3938558487593541</v>
      </c>
      <c r="B3925" t="s">
        <v>540</v>
      </c>
      <c r="C3925" t="s">
        <v>236</v>
      </c>
      <c r="D3925" t="s">
        <v>251</v>
      </c>
    </row>
    <row r="3926" spans="1:4">
      <c r="A3926" s="2">
        <v>0.21081035500463785</v>
      </c>
      <c r="B3926" t="s">
        <v>541</v>
      </c>
      <c r="C3926" t="s">
        <v>236</v>
      </c>
      <c r="D3926" t="s">
        <v>251</v>
      </c>
    </row>
    <row r="3927" spans="1:4">
      <c r="A3927" s="2">
        <v>1</v>
      </c>
      <c r="B3927" t="s">
        <v>542</v>
      </c>
      <c r="C3927" t="s">
        <v>251</v>
      </c>
      <c r="D3927" t="s">
        <v>251</v>
      </c>
    </row>
    <row r="3928" spans="1:4">
      <c r="A3928" s="2">
        <v>6.8579</v>
      </c>
      <c r="B3928" t="s">
        <v>364</v>
      </c>
      <c r="C3928" t="s">
        <v>667</v>
      </c>
      <c r="D3928" t="s">
        <v>667</v>
      </c>
    </row>
    <row r="3929" spans="1:4">
      <c r="A3929" s="2">
        <v>8.0173</v>
      </c>
      <c r="B3929" t="s">
        <v>373</v>
      </c>
      <c r="C3929" t="s">
        <v>667</v>
      </c>
      <c r="D3929" t="s">
        <v>667</v>
      </c>
    </row>
    <row r="3930" spans="1:4">
      <c r="A3930" s="2">
        <v>0.042952</v>
      </c>
      <c r="B3930" t="s">
        <v>520</v>
      </c>
      <c r="C3930" t="s">
        <v>667</v>
      </c>
      <c r="D3930" t="s">
        <v>667</v>
      </c>
    </row>
    <row r="3931" spans="1:4">
      <c r="A3931" s="2">
        <v>0.87536</v>
      </c>
      <c r="B3931" t="s">
        <v>370</v>
      </c>
      <c r="C3931" t="s">
        <v>667</v>
      </c>
      <c r="D3931" t="s">
        <v>667</v>
      </c>
    </row>
    <row r="3932" spans="1:4">
      <c r="A3932" s="2">
        <v>9.2526</v>
      </c>
      <c r="B3932" t="s">
        <v>521</v>
      </c>
      <c r="C3932" t="s">
        <v>667</v>
      </c>
      <c r="D3932" t="s">
        <v>667</v>
      </c>
    </row>
    <row r="3933" spans="1:4">
      <c r="A3933" s="2">
        <v>4.890899999999999</v>
      </c>
      <c r="B3933" t="s">
        <v>522</v>
      </c>
      <c r="C3933" t="s">
        <v>667</v>
      </c>
      <c r="D3933" t="s">
        <v>667</v>
      </c>
    </row>
    <row r="3934" spans="1:4">
      <c r="A3934" s="2">
        <v>4.0192000000000005</v>
      </c>
      <c r="B3934" t="s">
        <v>523</v>
      </c>
      <c r="C3934" t="s">
        <v>667</v>
      </c>
      <c r="D3934" t="s">
        <v>667</v>
      </c>
    </row>
    <row r="3935" spans="1:4">
      <c r="A3935" s="2">
        <v>5.3639</v>
      </c>
      <c r="B3935" t="s">
        <v>524</v>
      </c>
      <c r="C3935" t="s">
        <v>667</v>
      </c>
      <c r="D3935" t="s">
        <v>667</v>
      </c>
    </row>
    <row r="3936" spans="1:4">
      <c r="A3936" s="2">
        <v>8.7096</v>
      </c>
      <c r="B3936" t="s">
        <v>525</v>
      </c>
      <c r="C3936" t="s">
        <v>667</v>
      </c>
      <c r="D3936" t="s">
        <v>667</v>
      </c>
    </row>
    <row r="3937" spans="1:4">
      <c r="A3937" s="2">
        <v>5.0036000000000005</v>
      </c>
      <c r="B3937" t="s">
        <v>526</v>
      </c>
      <c r="C3937" t="s">
        <v>667</v>
      </c>
      <c r="D3937" t="s">
        <v>667</v>
      </c>
    </row>
    <row r="3938" spans="1:4">
      <c r="A3938" s="2">
        <v>0.8491847826086956</v>
      </c>
      <c r="B3938" t="s">
        <v>527</v>
      </c>
      <c r="C3938" t="s">
        <v>667</v>
      </c>
      <c r="D3938" t="s">
        <v>667</v>
      </c>
    </row>
    <row r="3939" spans="1:4">
      <c r="A3939" s="2">
        <v>1.729266099467386</v>
      </c>
      <c r="B3939" t="s">
        <v>528</v>
      </c>
      <c r="C3939" t="s">
        <v>667</v>
      </c>
      <c r="D3939" t="s">
        <v>667</v>
      </c>
    </row>
    <row r="3940" spans="1:4">
      <c r="A3940" s="2">
        <v>0.090802604218689</v>
      </c>
      <c r="B3940" t="s">
        <v>529</v>
      </c>
      <c r="C3940" t="s">
        <v>667</v>
      </c>
      <c r="D3940" t="s">
        <v>667</v>
      </c>
    </row>
    <row r="3941" spans="1:4">
      <c r="A3941" s="2">
        <v>0.41315485043794414</v>
      </c>
      <c r="B3941" t="s">
        <v>530</v>
      </c>
      <c r="C3941" t="s">
        <v>667</v>
      </c>
      <c r="D3941" t="s">
        <v>667</v>
      </c>
    </row>
    <row r="3942" spans="1:4">
      <c r="A3942" s="2">
        <v>0.004634349800722959</v>
      </c>
      <c r="B3942" t="s">
        <v>531</v>
      </c>
      <c r="C3942" t="s">
        <v>667</v>
      </c>
      <c r="D3942" t="s">
        <v>667</v>
      </c>
    </row>
    <row r="3943" spans="1:4">
      <c r="A3943" s="2">
        <v>1.8632730253964112</v>
      </c>
      <c r="B3943" t="s">
        <v>532</v>
      </c>
      <c r="C3943" t="s">
        <v>667</v>
      </c>
      <c r="D3943" t="s">
        <v>667</v>
      </c>
    </row>
    <row r="3944" spans="1:4">
      <c r="A3944" s="2">
        <v>1.8246177425829289</v>
      </c>
      <c r="B3944" t="s">
        <v>533</v>
      </c>
      <c r="C3944" t="s">
        <v>667</v>
      </c>
      <c r="D3944" t="s">
        <v>667</v>
      </c>
    </row>
    <row r="3945" spans="1:4">
      <c r="A3945" s="2">
        <v>0.02198188692517366</v>
      </c>
      <c r="B3945" t="s">
        <v>534</v>
      </c>
      <c r="C3945" t="s">
        <v>667</v>
      </c>
      <c r="D3945" t="s">
        <v>667</v>
      </c>
    </row>
    <row r="3946" spans="1:4">
      <c r="A3946" s="2">
        <v>1.8912529550827424</v>
      </c>
      <c r="B3946" t="s">
        <v>535</v>
      </c>
      <c r="C3946" t="s">
        <v>667</v>
      </c>
      <c r="D3946" t="s">
        <v>667</v>
      </c>
    </row>
    <row r="3947" spans="1:4">
      <c r="A3947" s="2">
        <v>1.0726161106939829</v>
      </c>
      <c r="B3947" t="s">
        <v>536</v>
      </c>
      <c r="C3947" t="s">
        <v>667</v>
      </c>
      <c r="D3947" t="s">
        <v>667</v>
      </c>
    </row>
    <row r="3948" spans="1:4">
      <c r="A3948" s="2">
        <v>0.7405761682589054</v>
      </c>
      <c r="B3948" t="s">
        <v>537</v>
      </c>
      <c r="C3948" t="s">
        <v>667</v>
      </c>
      <c r="D3948" t="s">
        <v>667</v>
      </c>
    </row>
    <row r="3949" spans="1:4">
      <c r="A3949" s="2">
        <v>0.7341604874825637</v>
      </c>
      <c r="B3949" t="s">
        <v>538</v>
      </c>
      <c r="C3949" t="s">
        <v>667</v>
      </c>
      <c r="D3949" t="s">
        <v>667</v>
      </c>
    </row>
    <row r="3950" spans="1:4">
      <c r="A3950" s="2">
        <v>0.15212410893303194</v>
      </c>
      <c r="B3950" t="s">
        <v>539</v>
      </c>
      <c r="C3950" t="s">
        <v>667</v>
      </c>
      <c r="D3950" t="s">
        <v>667</v>
      </c>
    </row>
    <row r="3951" spans="1:4">
      <c r="A3951" s="2">
        <v>0.3937317899047169</v>
      </c>
      <c r="B3951" t="s">
        <v>540</v>
      </c>
      <c r="C3951" t="s">
        <v>667</v>
      </c>
      <c r="D3951" t="s">
        <v>667</v>
      </c>
    </row>
    <row r="3952" spans="1:4">
      <c r="A3952" s="2">
        <v>0.21098381754119455</v>
      </c>
      <c r="B3952" t="s">
        <v>541</v>
      </c>
      <c r="C3952" t="s">
        <v>667</v>
      </c>
      <c r="D3952" t="s">
        <v>667</v>
      </c>
    </row>
    <row r="3953" spans="1:4">
      <c r="A3953" s="2">
        <v>1</v>
      </c>
      <c r="B3953" t="s">
        <v>542</v>
      </c>
      <c r="C3953" t="s">
        <v>667</v>
      </c>
      <c r="D3953" t="s">
        <v>667</v>
      </c>
    </row>
    <row r="3954" spans="1:4">
      <c r="A3954" s="2">
        <v>6.8589</v>
      </c>
      <c r="B3954" t="s">
        <v>364</v>
      </c>
      <c r="C3954" t="s">
        <v>668</v>
      </c>
      <c r="D3954" t="s">
        <v>668</v>
      </c>
    </row>
    <row r="3955" spans="1:4">
      <c r="A3955" s="2">
        <v>8.0207</v>
      </c>
      <c r="B3955" t="s">
        <v>373</v>
      </c>
      <c r="C3955" t="s">
        <v>668</v>
      </c>
      <c r="D3955" t="s">
        <v>668</v>
      </c>
    </row>
    <row r="3956" spans="1:4">
      <c r="A3956" s="2">
        <v>0.042954</v>
      </c>
      <c r="B3956" t="s">
        <v>520</v>
      </c>
      <c r="C3956" t="s">
        <v>668</v>
      </c>
      <c r="D3956" t="s">
        <v>668</v>
      </c>
    </row>
    <row r="3957" spans="1:4">
      <c r="A3957" s="2">
        <v>0.8751399999999999</v>
      </c>
      <c r="B3957" t="s">
        <v>370</v>
      </c>
      <c r="C3957" t="s">
        <v>668</v>
      </c>
      <c r="D3957" t="s">
        <v>668</v>
      </c>
    </row>
    <row r="3958" spans="1:4">
      <c r="A3958" s="2">
        <v>9.2611</v>
      </c>
      <c r="B3958" t="s">
        <v>521</v>
      </c>
      <c r="C3958" t="s">
        <v>668</v>
      </c>
      <c r="D3958" t="s">
        <v>668</v>
      </c>
    </row>
    <row r="3959" spans="1:4">
      <c r="A3959" s="2">
        <v>4.9177</v>
      </c>
      <c r="B3959" t="s">
        <v>522</v>
      </c>
      <c r="C3959" t="s">
        <v>668</v>
      </c>
      <c r="D3959" t="s">
        <v>668</v>
      </c>
    </row>
    <row r="3960" spans="1:4">
      <c r="A3960" s="2">
        <v>4.0438</v>
      </c>
      <c r="B3960" t="s">
        <v>523</v>
      </c>
      <c r="C3960" t="s">
        <v>668</v>
      </c>
      <c r="D3960" t="s">
        <v>668</v>
      </c>
    </row>
    <row r="3961" spans="1:4">
      <c r="A3961" s="2">
        <v>5.372000000000001</v>
      </c>
      <c r="B3961" t="s">
        <v>524</v>
      </c>
      <c r="C3961" t="s">
        <v>668</v>
      </c>
      <c r="D3961" t="s">
        <v>668</v>
      </c>
    </row>
    <row r="3962" spans="1:4">
      <c r="A3962" s="2">
        <v>8.7147</v>
      </c>
      <c r="B3962" t="s">
        <v>525</v>
      </c>
      <c r="C3962" t="s">
        <v>668</v>
      </c>
      <c r="D3962" t="s">
        <v>668</v>
      </c>
    </row>
    <row r="3963" spans="1:4">
      <c r="A3963" s="2">
        <v>5.0215</v>
      </c>
      <c r="B3963" t="s">
        <v>526</v>
      </c>
      <c r="C3963" t="s">
        <v>668</v>
      </c>
      <c r="D3963" t="s">
        <v>668</v>
      </c>
    </row>
    <row r="3964" spans="1:4">
      <c r="A3964" s="2">
        <v>0.8492569002123143</v>
      </c>
      <c r="B3964" t="s">
        <v>527</v>
      </c>
      <c r="C3964" t="s">
        <v>668</v>
      </c>
      <c r="D3964" t="s">
        <v>668</v>
      </c>
    </row>
    <row r="3965" spans="1:4">
      <c r="A3965" s="2">
        <v>1.7338234274221511</v>
      </c>
      <c r="B3965" t="s">
        <v>528</v>
      </c>
      <c r="C3965" t="s">
        <v>668</v>
      </c>
      <c r="D3965" t="s">
        <v>668</v>
      </c>
    </row>
    <row r="3966" spans="1:4">
      <c r="A3966" s="2">
        <v>0.0911917854439672</v>
      </c>
      <c r="B3966" t="s">
        <v>529</v>
      </c>
      <c r="C3966" t="s">
        <v>668</v>
      </c>
      <c r="D3966" t="s">
        <v>668</v>
      </c>
    </row>
    <row r="3967" spans="1:4">
      <c r="A3967" s="2">
        <v>0.4139929621196439</v>
      </c>
      <c r="B3967" t="s">
        <v>530</v>
      </c>
      <c r="C3967" t="s">
        <v>668</v>
      </c>
      <c r="D3967" t="s">
        <v>668</v>
      </c>
    </row>
    <row r="3968" spans="1:4">
      <c r="A3968" s="2">
        <v>0.00463628355510223</v>
      </c>
      <c r="B3968" t="s">
        <v>531</v>
      </c>
      <c r="C3968" t="s">
        <v>668</v>
      </c>
      <c r="D3968" t="s">
        <v>668</v>
      </c>
    </row>
    <row r="3969" spans="1:4">
      <c r="A3969" s="2">
        <v>1.8625789267820223</v>
      </c>
      <c r="B3969" t="s">
        <v>532</v>
      </c>
      <c r="C3969" t="s">
        <v>668</v>
      </c>
      <c r="D3969" t="s">
        <v>668</v>
      </c>
    </row>
    <row r="3970" spans="1:4">
      <c r="A3970" s="2">
        <v>1.823885605894798</v>
      </c>
      <c r="B3970" t="s">
        <v>533</v>
      </c>
      <c r="C3970" t="s">
        <v>668</v>
      </c>
      <c r="D3970" t="s">
        <v>668</v>
      </c>
    </row>
    <row r="3971" spans="1:4">
      <c r="A3971" s="2">
        <v>0.022039393211426103</v>
      </c>
      <c r="B3971" t="s">
        <v>534</v>
      </c>
      <c r="C3971" t="s">
        <v>668</v>
      </c>
      <c r="D3971" t="s">
        <v>668</v>
      </c>
    </row>
    <row r="3972" spans="1:4">
      <c r="A3972" s="2">
        <v>1.8908953389429897</v>
      </c>
      <c r="B3972" t="s">
        <v>535</v>
      </c>
      <c r="C3972" t="s">
        <v>668</v>
      </c>
      <c r="D3972" t="s">
        <v>668</v>
      </c>
    </row>
    <row r="3973" spans="1:4">
      <c r="A3973" s="2">
        <v>1.07342206955775</v>
      </c>
      <c r="B3973" t="s">
        <v>536</v>
      </c>
      <c r="C3973" t="s">
        <v>668</v>
      </c>
      <c r="D3973" t="s">
        <v>668</v>
      </c>
    </row>
    <row r="3974" spans="1:4">
      <c r="A3974" s="2">
        <v>0.7421150278293135</v>
      </c>
      <c r="B3974" t="s">
        <v>537</v>
      </c>
      <c r="C3974" t="s">
        <v>668</v>
      </c>
      <c r="D3974" t="s">
        <v>668</v>
      </c>
    </row>
    <row r="3975" spans="1:4">
      <c r="A3975" s="2">
        <v>0.7368110816386678</v>
      </c>
      <c r="B3975" t="s">
        <v>538</v>
      </c>
      <c r="C3975" t="s">
        <v>668</v>
      </c>
      <c r="D3975" t="s">
        <v>668</v>
      </c>
    </row>
    <row r="3976" spans="1:4">
      <c r="A3976" s="2">
        <v>0.1519692171153811</v>
      </c>
      <c r="B3976" t="s">
        <v>539</v>
      </c>
      <c r="C3976" t="s">
        <v>668</v>
      </c>
      <c r="D3976" t="s">
        <v>668</v>
      </c>
    </row>
    <row r="3977" spans="1:4">
      <c r="A3977" s="2">
        <v>0.39405761122276073</v>
      </c>
      <c r="B3977" t="s">
        <v>540</v>
      </c>
      <c r="C3977" t="s">
        <v>668</v>
      </c>
      <c r="D3977" t="s">
        <v>668</v>
      </c>
    </row>
    <row r="3978" spans="1:4">
      <c r="A3978" s="2">
        <v>0.21121554546414617</v>
      </c>
      <c r="B3978" t="s">
        <v>541</v>
      </c>
      <c r="C3978" t="s">
        <v>668</v>
      </c>
      <c r="D3978" t="s">
        <v>668</v>
      </c>
    </row>
    <row r="3979" spans="1:4">
      <c r="A3979" s="2">
        <v>1</v>
      </c>
      <c r="B3979" t="s">
        <v>542</v>
      </c>
      <c r="C3979" t="s">
        <v>668</v>
      </c>
      <c r="D3979" t="s">
        <v>668</v>
      </c>
    </row>
    <row r="3980" spans="1:4">
      <c r="A3980" s="2">
        <v>6.8608</v>
      </c>
      <c r="B3980" t="s">
        <v>364</v>
      </c>
      <c r="C3980" t="s">
        <v>669</v>
      </c>
      <c r="D3980" t="s">
        <v>669</v>
      </c>
    </row>
    <row r="3981" spans="1:4">
      <c r="A3981" s="2">
        <v>8.0226</v>
      </c>
      <c r="B3981" t="s">
        <v>373</v>
      </c>
      <c r="C3981" t="s">
        <v>669</v>
      </c>
      <c r="D3981" t="s">
        <v>669</v>
      </c>
    </row>
    <row r="3982" spans="1:4">
      <c r="A3982" s="2">
        <v>0.042944</v>
      </c>
      <c r="B3982" t="s">
        <v>520</v>
      </c>
      <c r="C3982" t="s">
        <v>669</v>
      </c>
      <c r="D3982" t="s">
        <v>669</v>
      </c>
    </row>
    <row r="3983" spans="1:4">
      <c r="A3983" s="2">
        <v>0.87563</v>
      </c>
      <c r="B3983" t="s">
        <v>370</v>
      </c>
      <c r="C3983" t="s">
        <v>669</v>
      </c>
      <c r="D3983" t="s">
        <v>669</v>
      </c>
    </row>
    <row r="3984" spans="1:4">
      <c r="A3984" s="2">
        <v>9.2603</v>
      </c>
      <c r="B3984" t="s">
        <v>521</v>
      </c>
      <c r="C3984" t="s">
        <v>669</v>
      </c>
      <c r="D3984" t="s">
        <v>669</v>
      </c>
    </row>
    <row r="3985" spans="1:4">
      <c r="A3985" s="2">
        <v>4.9191</v>
      </c>
      <c r="B3985" t="s">
        <v>522</v>
      </c>
      <c r="C3985" t="s">
        <v>669</v>
      </c>
      <c r="D3985" t="s">
        <v>669</v>
      </c>
    </row>
    <row r="3986" spans="1:4">
      <c r="A3986" s="2">
        <v>4.0312</v>
      </c>
      <c r="B3986" t="s">
        <v>523</v>
      </c>
      <c r="C3986" t="s">
        <v>669</v>
      </c>
      <c r="D3986" t="s">
        <v>669</v>
      </c>
    </row>
    <row r="3987" spans="1:4">
      <c r="A3987" s="2">
        <v>5.3660000000000005</v>
      </c>
      <c r="B3987" t="s">
        <v>524</v>
      </c>
      <c r="C3987" t="s">
        <v>669</v>
      </c>
      <c r="D3987" t="s">
        <v>669</v>
      </c>
    </row>
    <row r="3988" spans="1:4">
      <c r="A3988" s="2">
        <v>8.6806</v>
      </c>
      <c r="B3988" t="s">
        <v>525</v>
      </c>
      <c r="C3988" t="s">
        <v>669</v>
      </c>
      <c r="D3988" t="s">
        <v>669</v>
      </c>
    </row>
    <row r="3989" spans="1:4">
      <c r="A3989" s="2">
        <v>5.0038</v>
      </c>
      <c r="B3989" t="s">
        <v>526</v>
      </c>
      <c r="C3989" t="s">
        <v>669</v>
      </c>
      <c r="D3989" t="s">
        <v>669</v>
      </c>
    </row>
    <row r="3990" spans="1:4">
      <c r="A3990" s="2">
        <v>0.849689863199932</v>
      </c>
      <c r="B3990" t="s">
        <v>527</v>
      </c>
      <c r="C3990" t="s">
        <v>669</v>
      </c>
      <c r="D3990" t="s">
        <v>669</v>
      </c>
    </row>
    <row r="3991" spans="1:4">
      <c r="A3991" s="2">
        <v>1.734124093920161</v>
      </c>
      <c r="B3991" t="s">
        <v>528</v>
      </c>
      <c r="C3991" t="s">
        <v>669</v>
      </c>
      <c r="D3991" t="s">
        <v>669</v>
      </c>
    </row>
    <row r="3992" spans="1:4">
      <c r="A3992" s="2">
        <v>0.0909446419964168</v>
      </c>
      <c r="B3992" t="s">
        <v>529</v>
      </c>
      <c r="C3992" t="s">
        <v>669</v>
      </c>
      <c r="D3992" t="s">
        <v>669</v>
      </c>
    </row>
    <row r="3993" spans="1:4">
      <c r="A3993" s="2">
        <v>0.4142502071251036</v>
      </c>
      <c r="B3993" t="s">
        <v>530</v>
      </c>
      <c r="C3993" t="s">
        <v>669</v>
      </c>
      <c r="D3993" t="s">
        <v>669</v>
      </c>
    </row>
    <row r="3994" spans="1:4">
      <c r="A3994" s="2">
        <v>0.0046433878157503715</v>
      </c>
      <c r="B3994" t="s">
        <v>531</v>
      </c>
      <c r="C3994" t="s">
        <v>669</v>
      </c>
      <c r="D3994" t="s">
        <v>669</v>
      </c>
    </row>
    <row r="3995" spans="1:4">
      <c r="A3995" s="2">
        <v>1.8641066268990585</v>
      </c>
      <c r="B3995" t="s">
        <v>532</v>
      </c>
      <c r="C3995" t="s">
        <v>669</v>
      </c>
      <c r="D3995" t="s">
        <v>669</v>
      </c>
    </row>
    <row r="3996" spans="1:4">
      <c r="A3996" s="2">
        <v>1.8253837869412044</v>
      </c>
      <c r="B3996" t="s">
        <v>533</v>
      </c>
      <c r="C3996" t="s">
        <v>669</v>
      </c>
      <c r="D3996" t="s">
        <v>669</v>
      </c>
    </row>
    <row r="3997" spans="1:4">
      <c r="A3997" s="2">
        <v>0.022076370997829897</v>
      </c>
      <c r="B3997" t="s">
        <v>534</v>
      </c>
      <c r="C3997" t="s">
        <v>669</v>
      </c>
      <c r="D3997" t="s">
        <v>669</v>
      </c>
    </row>
    <row r="3998" spans="1:4">
      <c r="A3998" s="2">
        <v>1.889573334341106</v>
      </c>
      <c r="B3998" t="s">
        <v>535</v>
      </c>
      <c r="C3998" t="s">
        <v>669</v>
      </c>
      <c r="D3998" t="s">
        <v>669</v>
      </c>
    </row>
    <row r="3999" spans="1:4">
      <c r="A3999" s="2">
        <v>1.07342206955775</v>
      </c>
      <c r="B3999" t="s">
        <v>536</v>
      </c>
      <c r="C3999" t="s">
        <v>669</v>
      </c>
      <c r="D3999" t="s">
        <v>669</v>
      </c>
    </row>
    <row r="4000" spans="1:4">
      <c r="A4000" s="2">
        <v>0.7390983000739098</v>
      </c>
      <c r="B4000" t="s">
        <v>537</v>
      </c>
      <c r="C4000" t="s">
        <v>669</v>
      </c>
      <c r="D4000" t="s">
        <v>669</v>
      </c>
    </row>
    <row r="4001" spans="1:4">
      <c r="A4001" s="2">
        <v>0.7344300822561692</v>
      </c>
      <c r="B4001" t="s">
        <v>538</v>
      </c>
      <c r="C4001" t="s">
        <v>669</v>
      </c>
      <c r="D4001" t="s">
        <v>669</v>
      </c>
    </row>
    <row r="4002" spans="1:4">
      <c r="A4002" s="2">
        <v>0.1519752219598117</v>
      </c>
      <c r="B4002" t="s">
        <v>539</v>
      </c>
      <c r="C4002" t="s">
        <v>669</v>
      </c>
      <c r="D4002" t="s">
        <v>669</v>
      </c>
    </row>
    <row r="4003" spans="1:4">
      <c r="A4003" s="2">
        <v>0.3941818755173637</v>
      </c>
      <c r="B4003" t="s">
        <v>540</v>
      </c>
      <c r="C4003" t="s">
        <v>669</v>
      </c>
      <c r="D4003" t="s">
        <v>669</v>
      </c>
    </row>
    <row r="4004" spans="1:4">
      <c r="A4004" s="2">
        <v>0.21041999831664</v>
      </c>
      <c r="B4004" t="s">
        <v>541</v>
      </c>
      <c r="C4004" t="s">
        <v>669</v>
      </c>
      <c r="D4004" t="s">
        <v>669</v>
      </c>
    </row>
    <row r="4005" spans="1:4">
      <c r="A4005" s="2">
        <v>1</v>
      </c>
      <c r="B4005" t="s">
        <v>542</v>
      </c>
      <c r="C4005" t="s">
        <v>669</v>
      </c>
      <c r="D4005" t="s">
        <v>669</v>
      </c>
    </row>
    <row r="4006" spans="1:4">
      <c r="A4006" s="2">
        <v>6.8628</v>
      </c>
      <c r="B4006" t="s">
        <v>364</v>
      </c>
      <c r="C4006" t="s">
        <v>381</v>
      </c>
      <c r="D4006" t="s">
        <v>381</v>
      </c>
    </row>
    <row r="4007" spans="1:4">
      <c r="A4007" s="2">
        <v>8.005700000000001</v>
      </c>
      <c r="B4007" t="s">
        <v>373</v>
      </c>
      <c r="C4007" t="s">
        <v>381</v>
      </c>
      <c r="D4007" t="s">
        <v>381</v>
      </c>
    </row>
    <row r="4008" spans="1:4">
      <c r="A4008" s="2">
        <v>0.042812</v>
      </c>
      <c r="B4008" t="s">
        <v>520</v>
      </c>
      <c r="C4008" t="s">
        <v>381</v>
      </c>
      <c r="D4008" t="s">
        <v>381</v>
      </c>
    </row>
    <row r="4009" spans="1:4">
      <c r="A4009" s="2">
        <v>0.87581</v>
      </c>
      <c r="B4009" t="s">
        <v>370</v>
      </c>
      <c r="C4009" t="s">
        <v>381</v>
      </c>
      <c r="D4009" t="s">
        <v>381</v>
      </c>
    </row>
    <row r="4010" spans="1:4">
      <c r="A4010" s="2">
        <v>9.2416</v>
      </c>
      <c r="B4010" t="s">
        <v>521</v>
      </c>
      <c r="C4010" t="s">
        <v>381</v>
      </c>
      <c r="D4010" t="s">
        <v>381</v>
      </c>
    </row>
    <row r="4011" spans="1:4">
      <c r="A4011" s="2">
        <v>4.8824000000000005</v>
      </c>
      <c r="B4011" t="s">
        <v>522</v>
      </c>
      <c r="C4011" t="s">
        <v>381</v>
      </c>
      <c r="D4011" t="s">
        <v>381</v>
      </c>
    </row>
    <row r="4012" spans="1:4">
      <c r="A4012" s="2">
        <v>4</v>
      </c>
      <c r="B4012" t="s">
        <v>523</v>
      </c>
      <c r="C4012" t="s">
        <v>381</v>
      </c>
      <c r="D4012" t="s">
        <v>381</v>
      </c>
    </row>
    <row r="4013" spans="1:4">
      <c r="A4013" s="2">
        <v>5.3518</v>
      </c>
      <c r="B4013" t="s">
        <v>524</v>
      </c>
      <c r="C4013" t="s">
        <v>381</v>
      </c>
      <c r="D4013" t="s">
        <v>381</v>
      </c>
    </row>
    <row r="4014" spans="1:4">
      <c r="A4014" s="2">
        <v>8.6659</v>
      </c>
      <c r="B4014" t="s">
        <v>525</v>
      </c>
      <c r="C4014" t="s">
        <v>381</v>
      </c>
      <c r="D4014" t="s">
        <v>381</v>
      </c>
    </row>
    <row r="4015" spans="1:4">
      <c r="A4015" s="2">
        <v>5.008500000000001</v>
      </c>
      <c r="B4015" t="s">
        <v>526</v>
      </c>
      <c r="C4015" t="s">
        <v>381</v>
      </c>
      <c r="D4015" t="s">
        <v>381</v>
      </c>
    </row>
    <row r="4016" spans="1:4">
      <c r="A4016" s="2">
        <v>0.8499065102838688</v>
      </c>
      <c r="B4016" t="s">
        <v>527</v>
      </c>
      <c r="C4016" t="s">
        <v>381</v>
      </c>
      <c r="D4016" t="s">
        <v>381</v>
      </c>
    </row>
    <row r="4017" spans="1:4">
      <c r="A4017" s="2">
        <v>1.7326518236160442</v>
      </c>
      <c r="B4017" t="s">
        <v>528</v>
      </c>
      <c r="C4017" t="s">
        <v>381</v>
      </c>
      <c r="D4017" t="s">
        <v>381</v>
      </c>
    </row>
    <row r="4018" spans="1:4">
      <c r="A4018" s="2">
        <v>0.09143525926467765</v>
      </c>
      <c r="B4018" t="s">
        <v>529</v>
      </c>
      <c r="C4018" t="s">
        <v>381</v>
      </c>
      <c r="D4018" t="s">
        <v>381</v>
      </c>
    </row>
    <row r="4019" spans="1:4">
      <c r="A4019" s="2">
        <v>0.4073817574449016</v>
      </c>
      <c r="B4019" t="s">
        <v>530</v>
      </c>
      <c r="C4019" t="s">
        <v>381</v>
      </c>
      <c r="D4019" t="s">
        <v>381</v>
      </c>
    </row>
    <row r="4020" spans="1:4">
      <c r="A4020" s="2">
        <v>0.004606384448846101</v>
      </c>
      <c r="B4020" t="s">
        <v>531</v>
      </c>
      <c r="C4020" t="s">
        <v>381</v>
      </c>
      <c r="D4020" t="s">
        <v>381</v>
      </c>
    </row>
    <row r="4021" spans="1:4">
      <c r="A4021" s="2">
        <v>1.8656020297750084</v>
      </c>
      <c r="B4021" t="s">
        <v>532</v>
      </c>
      <c r="C4021" t="s">
        <v>381</v>
      </c>
      <c r="D4021" t="s">
        <v>381</v>
      </c>
    </row>
    <row r="4022" spans="1:4">
      <c r="A4022" s="2">
        <v>1.8269178069678644</v>
      </c>
      <c r="B4022" t="s">
        <v>533</v>
      </c>
      <c r="C4022" t="s">
        <v>381</v>
      </c>
      <c r="D4022" t="s">
        <v>381</v>
      </c>
    </row>
    <row r="4023" spans="1:4">
      <c r="A4023" s="2">
        <v>0.02191905730518342</v>
      </c>
      <c r="B4023" t="s">
        <v>534</v>
      </c>
      <c r="C4023" t="s">
        <v>381</v>
      </c>
      <c r="D4023" t="s">
        <v>381</v>
      </c>
    </row>
    <row r="4024" spans="1:4">
      <c r="A4024" s="2">
        <v>1.8801940360245175</v>
      </c>
      <c r="B4024" t="s">
        <v>535</v>
      </c>
      <c r="C4024" t="s">
        <v>381</v>
      </c>
      <c r="D4024" t="s">
        <v>381</v>
      </c>
    </row>
    <row r="4025" spans="1:4">
      <c r="A4025" s="2">
        <v>1.0714668381013608</v>
      </c>
      <c r="B4025" t="s">
        <v>536</v>
      </c>
      <c r="C4025" t="s">
        <v>381</v>
      </c>
      <c r="D4025" t="s">
        <v>381</v>
      </c>
    </row>
    <row r="4026" spans="1:4">
      <c r="A4026" s="2">
        <v>0.7359976448075366</v>
      </c>
      <c r="B4026" t="s">
        <v>537</v>
      </c>
      <c r="C4026" t="s">
        <v>381</v>
      </c>
      <c r="D4026" t="s">
        <v>381</v>
      </c>
    </row>
    <row r="4027" spans="1:4">
      <c r="A4027" s="2">
        <v>0.7348078477478139</v>
      </c>
      <c r="B4027" t="s">
        <v>538</v>
      </c>
      <c r="C4027" t="s">
        <v>381</v>
      </c>
      <c r="D4027" t="s">
        <v>381</v>
      </c>
    </row>
    <row r="4028" spans="1:4">
      <c r="A4028" s="2">
        <v>0.15173355587588197</v>
      </c>
      <c r="B4028" t="s">
        <v>539</v>
      </c>
      <c r="C4028" t="s">
        <v>381</v>
      </c>
      <c r="D4028" t="s">
        <v>381</v>
      </c>
    </row>
    <row r="4029" spans="1:4">
      <c r="A4029" s="2">
        <v>0.3910833007430583</v>
      </c>
      <c r="B4029" t="s">
        <v>540</v>
      </c>
      <c r="C4029" t="s">
        <v>381</v>
      </c>
      <c r="D4029" t="s">
        <v>381</v>
      </c>
    </row>
    <row r="4030" spans="1:4">
      <c r="A4030" s="2">
        <v>0.20891219420477572</v>
      </c>
      <c r="B4030" t="s">
        <v>541</v>
      </c>
      <c r="C4030" t="s">
        <v>381</v>
      </c>
      <c r="D4030" t="s">
        <v>381</v>
      </c>
    </row>
    <row r="4031" spans="1:4">
      <c r="A4031" s="2">
        <v>1</v>
      </c>
      <c r="B4031" t="s">
        <v>542</v>
      </c>
      <c r="C4031" t="s">
        <v>381</v>
      </c>
      <c r="D4031" t="s">
        <v>381</v>
      </c>
    </row>
    <row r="4032" spans="1:4">
      <c r="A4032" s="2">
        <v>6.8628</v>
      </c>
      <c r="B4032" t="s">
        <v>364</v>
      </c>
      <c r="C4032" t="s">
        <v>381</v>
      </c>
      <c r="D4032" t="s">
        <v>670</v>
      </c>
    </row>
    <row r="4033" spans="1:4">
      <c r="A4033" s="2">
        <v>8.005700000000001</v>
      </c>
      <c r="B4033" t="s">
        <v>373</v>
      </c>
      <c r="C4033" t="s">
        <v>381</v>
      </c>
      <c r="D4033" t="s">
        <v>670</v>
      </c>
    </row>
    <row r="4034" spans="1:4">
      <c r="A4034" s="2">
        <v>0.042812</v>
      </c>
      <c r="B4034" t="s">
        <v>520</v>
      </c>
      <c r="C4034" t="s">
        <v>381</v>
      </c>
      <c r="D4034" t="s">
        <v>670</v>
      </c>
    </row>
    <row r="4035" spans="1:4">
      <c r="A4035" s="2">
        <v>0.87581</v>
      </c>
      <c r="B4035" t="s">
        <v>370</v>
      </c>
      <c r="C4035" t="s">
        <v>381</v>
      </c>
      <c r="D4035" t="s">
        <v>670</v>
      </c>
    </row>
    <row r="4036" spans="1:4">
      <c r="A4036" s="2">
        <v>9.2416</v>
      </c>
      <c r="B4036" t="s">
        <v>521</v>
      </c>
      <c r="C4036" t="s">
        <v>381</v>
      </c>
      <c r="D4036" t="s">
        <v>670</v>
      </c>
    </row>
    <row r="4037" spans="1:4">
      <c r="A4037" s="2">
        <v>4.8824000000000005</v>
      </c>
      <c r="B4037" t="s">
        <v>522</v>
      </c>
      <c r="C4037" t="s">
        <v>381</v>
      </c>
      <c r="D4037" t="s">
        <v>670</v>
      </c>
    </row>
    <row r="4038" spans="1:4">
      <c r="A4038" s="2">
        <v>4</v>
      </c>
      <c r="B4038" t="s">
        <v>523</v>
      </c>
      <c r="C4038" t="s">
        <v>381</v>
      </c>
      <c r="D4038" t="s">
        <v>670</v>
      </c>
    </row>
    <row r="4039" spans="1:4">
      <c r="A4039" s="2">
        <v>5.3518</v>
      </c>
      <c r="B4039" t="s">
        <v>524</v>
      </c>
      <c r="C4039" t="s">
        <v>381</v>
      </c>
      <c r="D4039" t="s">
        <v>670</v>
      </c>
    </row>
    <row r="4040" spans="1:4">
      <c r="A4040" s="2">
        <v>8.6659</v>
      </c>
      <c r="B4040" t="s">
        <v>525</v>
      </c>
      <c r="C4040" t="s">
        <v>381</v>
      </c>
      <c r="D4040" t="s">
        <v>670</v>
      </c>
    </row>
    <row r="4041" spans="1:4">
      <c r="A4041" s="2">
        <v>5.008500000000001</v>
      </c>
      <c r="B4041" t="s">
        <v>526</v>
      </c>
      <c r="C4041" t="s">
        <v>381</v>
      </c>
      <c r="D4041" t="s">
        <v>670</v>
      </c>
    </row>
    <row r="4042" spans="1:4">
      <c r="A4042" s="2">
        <v>0.8499065102838688</v>
      </c>
      <c r="B4042" t="s">
        <v>527</v>
      </c>
      <c r="C4042" t="s">
        <v>381</v>
      </c>
      <c r="D4042" t="s">
        <v>670</v>
      </c>
    </row>
    <row r="4043" spans="1:4">
      <c r="A4043" s="2">
        <v>1.7326518236160442</v>
      </c>
      <c r="B4043" t="s">
        <v>528</v>
      </c>
      <c r="C4043" t="s">
        <v>381</v>
      </c>
      <c r="D4043" t="s">
        <v>670</v>
      </c>
    </row>
    <row r="4044" spans="1:4">
      <c r="A4044" s="2">
        <v>0.09143525926467765</v>
      </c>
      <c r="B4044" t="s">
        <v>529</v>
      </c>
      <c r="C4044" t="s">
        <v>381</v>
      </c>
      <c r="D4044" t="s">
        <v>670</v>
      </c>
    </row>
    <row r="4045" spans="1:4">
      <c r="A4045" s="2">
        <v>0.4073817574449016</v>
      </c>
      <c r="B4045" t="s">
        <v>530</v>
      </c>
      <c r="C4045" t="s">
        <v>381</v>
      </c>
      <c r="D4045" t="s">
        <v>670</v>
      </c>
    </row>
    <row r="4046" spans="1:4">
      <c r="A4046" s="2">
        <v>0.004606384448846101</v>
      </c>
      <c r="B4046" t="s">
        <v>531</v>
      </c>
      <c r="C4046" t="s">
        <v>381</v>
      </c>
      <c r="D4046" t="s">
        <v>670</v>
      </c>
    </row>
    <row r="4047" spans="1:4">
      <c r="A4047" s="2">
        <v>1.8656020297750084</v>
      </c>
      <c r="B4047" t="s">
        <v>532</v>
      </c>
      <c r="C4047" t="s">
        <v>381</v>
      </c>
      <c r="D4047" t="s">
        <v>670</v>
      </c>
    </row>
    <row r="4048" spans="1:4">
      <c r="A4048" s="2">
        <v>1.8269178069678644</v>
      </c>
      <c r="B4048" t="s">
        <v>533</v>
      </c>
      <c r="C4048" t="s">
        <v>381</v>
      </c>
      <c r="D4048" t="s">
        <v>670</v>
      </c>
    </row>
    <row r="4049" spans="1:4">
      <c r="A4049" s="2">
        <v>0.02191905730518342</v>
      </c>
      <c r="B4049" t="s">
        <v>534</v>
      </c>
      <c r="C4049" t="s">
        <v>381</v>
      </c>
      <c r="D4049" t="s">
        <v>670</v>
      </c>
    </row>
    <row r="4050" spans="1:4">
      <c r="A4050" s="2">
        <v>1.8801940360245175</v>
      </c>
      <c r="B4050" t="s">
        <v>535</v>
      </c>
      <c r="C4050" t="s">
        <v>381</v>
      </c>
      <c r="D4050" t="s">
        <v>670</v>
      </c>
    </row>
    <row r="4051" spans="1:4">
      <c r="A4051" s="2">
        <v>1.0714668381013608</v>
      </c>
      <c r="B4051" t="s">
        <v>536</v>
      </c>
      <c r="C4051" t="s">
        <v>381</v>
      </c>
      <c r="D4051" t="s">
        <v>670</v>
      </c>
    </row>
    <row r="4052" spans="1:4">
      <c r="A4052" s="2">
        <v>0.7359976448075366</v>
      </c>
      <c r="B4052" t="s">
        <v>537</v>
      </c>
      <c r="C4052" t="s">
        <v>381</v>
      </c>
      <c r="D4052" t="s">
        <v>670</v>
      </c>
    </row>
    <row r="4053" spans="1:4">
      <c r="A4053" s="2">
        <v>0.7348078477478139</v>
      </c>
      <c r="B4053" t="s">
        <v>538</v>
      </c>
      <c r="C4053" t="s">
        <v>381</v>
      </c>
      <c r="D4053" t="s">
        <v>670</v>
      </c>
    </row>
    <row r="4054" spans="1:4">
      <c r="A4054" s="2">
        <v>0.15173355587588197</v>
      </c>
      <c r="B4054" t="s">
        <v>539</v>
      </c>
      <c r="C4054" t="s">
        <v>381</v>
      </c>
      <c r="D4054" t="s">
        <v>670</v>
      </c>
    </row>
    <row r="4055" spans="1:4">
      <c r="A4055" s="2">
        <v>0.3910833007430583</v>
      </c>
      <c r="B4055" t="s">
        <v>540</v>
      </c>
      <c r="C4055" t="s">
        <v>381</v>
      </c>
      <c r="D4055" t="s">
        <v>670</v>
      </c>
    </row>
    <row r="4056" spans="1:4">
      <c r="A4056" s="2">
        <v>0.20891219420477572</v>
      </c>
      <c r="B4056" t="s">
        <v>541</v>
      </c>
      <c r="C4056" t="s">
        <v>381</v>
      </c>
      <c r="D4056" t="s">
        <v>670</v>
      </c>
    </row>
    <row r="4057" spans="1:4">
      <c r="A4057" s="2">
        <v>1</v>
      </c>
      <c r="B4057" t="s">
        <v>542</v>
      </c>
      <c r="C4057" t="s">
        <v>670</v>
      </c>
      <c r="D4057" t="s">
        <v>670</v>
      </c>
    </row>
    <row r="4058" spans="1:4">
      <c r="A4058" s="2">
        <v>6.8628</v>
      </c>
      <c r="B4058" t="s">
        <v>364</v>
      </c>
      <c r="C4058" t="s">
        <v>381</v>
      </c>
      <c r="D4058" t="s">
        <v>671</v>
      </c>
    </row>
    <row r="4059" spans="1:4">
      <c r="A4059" s="2">
        <v>8.005700000000001</v>
      </c>
      <c r="B4059" t="s">
        <v>373</v>
      </c>
      <c r="C4059" t="s">
        <v>381</v>
      </c>
      <c r="D4059" t="s">
        <v>671</v>
      </c>
    </row>
    <row r="4060" spans="1:4">
      <c r="A4060" s="2">
        <v>0.042812</v>
      </c>
      <c r="B4060" t="s">
        <v>520</v>
      </c>
      <c r="C4060" t="s">
        <v>381</v>
      </c>
      <c r="D4060" t="s">
        <v>671</v>
      </c>
    </row>
    <row r="4061" spans="1:4">
      <c r="A4061" s="2">
        <v>0.87581</v>
      </c>
      <c r="B4061" t="s">
        <v>370</v>
      </c>
      <c r="C4061" t="s">
        <v>381</v>
      </c>
      <c r="D4061" t="s">
        <v>671</v>
      </c>
    </row>
    <row r="4062" spans="1:4">
      <c r="A4062" s="2">
        <v>9.2416</v>
      </c>
      <c r="B4062" t="s">
        <v>521</v>
      </c>
      <c r="C4062" t="s">
        <v>381</v>
      </c>
      <c r="D4062" t="s">
        <v>671</v>
      </c>
    </row>
    <row r="4063" spans="1:4">
      <c r="A4063" s="2">
        <v>4.8824000000000005</v>
      </c>
      <c r="B4063" t="s">
        <v>522</v>
      </c>
      <c r="C4063" t="s">
        <v>381</v>
      </c>
      <c r="D4063" t="s">
        <v>671</v>
      </c>
    </row>
    <row r="4064" spans="1:4">
      <c r="A4064" s="2">
        <v>4</v>
      </c>
      <c r="B4064" t="s">
        <v>523</v>
      </c>
      <c r="C4064" t="s">
        <v>381</v>
      </c>
      <c r="D4064" t="s">
        <v>671</v>
      </c>
    </row>
    <row r="4065" spans="1:4">
      <c r="A4065" s="2">
        <v>5.3518</v>
      </c>
      <c r="B4065" t="s">
        <v>524</v>
      </c>
      <c r="C4065" t="s">
        <v>381</v>
      </c>
      <c r="D4065" t="s">
        <v>671</v>
      </c>
    </row>
    <row r="4066" spans="1:4">
      <c r="A4066" s="2">
        <v>8.6659</v>
      </c>
      <c r="B4066" t="s">
        <v>525</v>
      </c>
      <c r="C4066" t="s">
        <v>381</v>
      </c>
      <c r="D4066" t="s">
        <v>671</v>
      </c>
    </row>
    <row r="4067" spans="1:4">
      <c r="A4067" s="2">
        <v>5.008500000000001</v>
      </c>
      <c r="B4067" t="s">
        <v>526</v>
      </c>
      <c r="C4067" t="s">
        <v>381</v>
      </c>
      <c r="D4067" t="s">
        <v>671</v>
      </c>
    </row>
    <row r="4068" spans="1:4">
      <c r="A4068" s="2">
        <v>0.8499065102838688</v>
      </c>
      <c r="B4068" t="s">
        <v>527</v>
      </c>
      <c r="C4068" t="s">
        <v>381</v>
      </c>
      <c r="D4068" t="s">
        <v>671</v>
      </c>
    </row>
    <row r="4069" spans="1:4">
      <c r="A4069" s="2">
        <v>1.7326518236160442</v>
      </c>
      <c r="B4069" t="s">
        <v>528</v>
      </c>
      <c r="C4069" t="s">
        <v>381</v>
      </c>
      <c r="D4069" t="s">
        <v>671</v>
      </c>
    </row>
    <row r="4070" spans="1:4">
      <c r="A4070" s="2">
        <v>0.09143525926467765</v>
      </c>
      <c r="B4070" t="s">
        <v>529</v>
      </c>
      <c r="C4070" t="s">
        <v>381</v>
      </c>
      <c r="D4070" t="s">
        <v>671</v>
      </c>
    </row>
    <row r="4071" spans="1:4">
      <c r="A4071" s="2">
        <v>0.4073817574449016</v>
      </c>
      <c r="B4071" t="s">
        <v>530</v>
      </c>
      <c r="C4071" t="s">
        <v>381</v>
      </c>
      <c r="D4071" t="s">
        <v>671</v>
      </c>
    </row>
    <row r="4072" spans="1:4">
      <c r="A4072" s="2">
        <v>0.004606384448846101</v>
      </c>
      <c r="B4072" t="s">
        <v>531</v>
      </c>
      <c r="C4072" t="s">
        <v>381</v>
      </c>
      <c r="D4072" t="s">
        <v>671</v>
      </c>
    </row>
    <row r="4073" spans="1:4">
      <c r="A4073" s="2">
        <v>1.8656020297750084</v>
      </c>
      <c r="B4073" t="s">
        <v>532</v>
      </c>
      <c r="C4073" t="s">
        <v>381</v>
      </c>
      <c r="D4073" t="s">
        <v>671</v>
      </c>
    </row>
    <row r="4074" spans="1:4">
      <c r="A4074" s="2">
        <v>1.8269178069678644</v>
      </c>
      <c r="B4074" t="s">
        <v>533</v>
      </c>
      <c r="C4074" t="s">
        <v>381</v>
      </c>
      <c r="D4074" t="s">
        <v>671</v>
      </c>
    </row>
    <row r="4075" spans="1:4">
      <c r="A4075" s="2">
        <v>0.02191905730518342</v>
      </c>
      <c r="B4075" t="s">
        <v>534</v>
      </c>
      <c r="C4075" t="s">
        <v>381</v>
      </c>
      <c r="D4075" t="s">
        <v>671</v>
      </c>
    </row>
    <row r="4076" spans="1:4">
      <c r="A4076" s="2">
        <v>1.8801940360245175</v>
      </c>
      <c r="B4076" t="s">
        <v>535</v>
      </c>
      <c r="C4076" t="s">
        <v>381</v>
      </c>
      <c r="D4076" t="s">
        <v>671</v>
      </c>
    </row>
    <row r="4077" spans="1:4">
      <c r="A4077" s="2">
        <v>1.0714668381013608</v>
      </c>
      <c r="B4077" t="s">
        <v>536</v>
      </c>
      <c r="C4077" t="s">
        <v>381</v>
      </c>
      <c r="D4077" t="s">
        <v>671</v>
      </c>
    </row>
    <row r="4078" spans="1:4">
      <c r="A4078" s="2">
        <v>0.7359976448075366</v>
      </c>
      <c r="B4078" t="s">
        <v>537</v>
      </c>
      <c r="C4078" t="s">
        <v>381</v>
      </c>
      <c r="D4078" t="s">
        <v>671</v>
      </c>
    </row>
    <row r="4079" spans="1:4">
      <c r="A4079" s="2">
        <v>0.7348078477478139</v>
      </c>
      <c r="B4079" t="s">
        <v>538</v>
      </c>
      <c r="C4079" t="s">
        <v>381</v>
      </c>
      <c r="D4079" t="s">
        <v>671</v>
      </c>
    </row>
    <row r="4080" spans="1:4">
      <c r="A4080" s="2">
        <v>0.15173355587588197</v>
      </c>
      <c r="B4080" t="s">
        <v>539</v>
      </c>
      <c r="C4080" t="s">
        <v>381</v>
      </c>
      <c r="D4080" t="s">
        <v>671</v>
      </c>
    </row>
    <row r="4081" spans="1:4">
      <c r="A4081" s="2">
        <v>0.3910833007430583</v>
      </c>
      <c r="B4081" t="s">
        <v>540</v>
      </c>
      <c r="C4081" t="s">
        <v>381</v>
      </c>
      <c r="D4081" t="s">
        <v>671</v>
      </c>
    </row>
    <row r="4082" spans="1:4">
      <c r="A4082" s="2">
        <v>0.20891219420477572</v>
      </c>
      <c r="B4082" t="s">
        <v>541</v>
      </c>
      <c r="C4082" t="s">
        <v>381</v>
      </c>
      <c r="D4082" t="s">
        <v>671</v>
      </c>
    </row>
    <row r="4083" spans="1:4">
      <c r="A4083" s="2">
        <v>1</v>
      </c>
      <c r="B4083" t="s">
        <v>542</v>
      </c>
      <c r="C4083" t="s">
        <v>671</v>
      </c>
      <c r="D4083" t="s">
        <v>671</v>
      </c>
    </row>
    <row r="4084" spans="1:4">
      <c r="A4084" s="2">
        <v>6.8628</v>
      </c>
      <c r="B4084" t="s">
        <v>364</v>
      </c>
      <c r="C4084" t="s">
        <v>381</v>
      </c>
      <c r="D4084" t="s">
        <v>672</v>
      </c>
    </row>
    <row r="4085" spans="1:4">
      <c r="A4085" s="2">
        <v>8.005700000000001</v>
      </c>
      <c r="B4085" t="s">
        <v>373</v>
      </c>
      <c r="C4085" t="s">
        <v>381</v>
      </c>
      <c r="D4085" t="s">
        <v>672</v>
      </c>
    </row>
    <row r="4086" spans="1:4">
      <c r="A4086" s="2">
        <v>0.042812</v>
      </c>
      <c r="B4086" t="s">
        <v>520</v>
      </c>
      <c r="C4086" t="s">
        <v>381</v>
      </c>
      <c r="D4086" t="s">
        <v>672</v>
      </c>
    </row>
    <row r="4087" spans="1:4">
      <c r="A4087" s="2">
        <v>0.87581</v>
      </c>
      <c r="B4087" t="s">
        <v>370</v>
      </c>
      <c r="C4087" t="s">
        <v>381</v>
      </c>
      <c r="D4087" t="s">
        <v>672</v>
      </c>
    </row>
    <row r="4088" spans="1:4">
      <c r="A4088" s="2">
        <v>9.2416</v>
      </c>
      <c r="B4088" t="s">
        <v>521</v>
      </c>
      <c r="C4088" t="s">
        <v>381</v>
      </c>
      <c r="D4088" t="s">
        <v>672</v>
      </c>
    </row>
    <row r="4089" spans="1:4">
      <c r="A4089" s="2">
        <v>4.8824000000000005</v>
      </c>
      <c r="B4089" t="s">
        <v>522</v>
      </c>
      <c r="C4089" t="s">
        <v>381</v>
      </c>
      <c r="D4089" t="s">
        <v>672</v>
      </c>
    </row>
    <row r="4090" spans="1:4">
      <c r="A4090" s="2">
        <v>4</v>
      </c>
      <c r="B4090" t="s">
        <v>523</v>
      </c>
      <c r="C4090" t="s">
        <v>381</v>
      </c>
      <c r="D4090" t="s">
        <v>672</v>
      </c>
    </row>
    <row r="4091" spans="1:4">
      <c r="A4091" s="2">
        <v>5.3518</v>
      </c>
      <c r="B4091" t="s">
        <v>524</v>
      </c>
      <c r="C4091" t="s">
        <v>381</v>
      </c>
      <c r="D4091" t="s">
        <v>672</v>
      </c>
    </row>
    <row r="4092" spans="1:4">
      <c r="A4092" s="2">
        <v>8.6659</v>
      </c>
      <c r="B4092" t="s">
        <v>525</v>
      </c>
      <c r="C4092" t="s">
        <v>381</v>
      </c>
      <c r="D4092" t="s">
        <v>672</v>
      </c>
    </row>
    <row r="4093" spans="1:4">
      <c r="A4093" s="2">
        <v>5.008500000000001</v>
      </c>
      <c r="B4093" t="s">
        <v>526</v>
      </c>
      <c r="C4093" t="s">
        <v>381</v>
      </c>
      <c r="D4093" t="s">
        <v>672</v>
      </c>
    </row>
    <row r="4094" spans="1:4">
      <c r="A4094" s="2">
        <v>0.8499065102838688</v>
      </c>
      <c r="B4094" t="s">
        <v>527</v>
      </c>
      <c r="C4094" t="s">
        <v>381</v>
      </c>
      <c r="D4094" t="s">
        <v>672</v>
      </c>
    </row>
    <row r="4095" spans="1:4">
      <c r="A4095" s="2">
        <v>1.7326518236160442</v>
      </c>
      <c r="B4095" t="s">
        <v>528</v>
      </c>
      <c r="C4095" t="s">
        <v>381</v>
      </c>
      <c r="D4095" t="s">
        <v>672</v>
      </c>
    </row>
    <row r="4096" spans="1:4">
      <c r="A4096" s="2">
        <v>0.09143525926467765</v>
      </c>
      <c r="B4096" t="s">
        <v>529</v>
      </c>
      <c r="C4096" t="s">
        <v>381</v>
      </c>
      <c r="D4096" t="s">
        <v>672</v>
      </c>
    </row>
    <row r="4097" spans="1:4">
      <c r="A4097" s="2">
        <v>0.4073817574449016</v>
      </c>
      <c r="B4097" t="s">
        <v>530</v>
      </c>
      <c r="C4097" t="s">
        <v>381</v>
      </c>
      <c r="D4097" t="s">
        <v>672</v>
      </c>
    </row>
    <row r="4098" spans="1:4">
      <c r="A4098" s="2">
        <v>0.004606384448846101</v>
      </c>
      <c r="B4098" t="s">
        <v>531</v>
      </c>
      <c r="C4098" t="s">
        <v>381</v>
      </c>
      <c r="D4098" t="s">
        <v>672</v>
      </c>
    </row>
    <row r="4099" spans="1:4">
      <c r="A4099" s="2">
        <v>1.8656020297750084</v>
      </c>
      <c r="B4099" t="s">
        <v>532</v>
      </c>
      <c r="C4099" t="s">
        <v>381</v>
      </c>
      <c r="D4099" t="s">
        <v>672</v>
      </c>
    </row>
    <row r="4100" spans="1:4">
      <c r="A4100" s="2">
        <v>1.8269178069678644</v>
      </c>
      <c r="B4100" t="s">
        <v>533</v>
      </c>
      <c r="C4100" t="s">
        <v>381</v>
      </c>
      <c r="D4100" t="s">
        <v>672</v>
      </c>
    </row>
    <row r="4101" spans="1:4">
      <c r="A4101" s="2">
        <v>0.02191905730518342</v>
      </c>
      <c r="B4101" t="s">
        <v>534</v>
      </c>
      <c r="C4101" t="s">
        <v>381</v>
      </c>
      <c r="D4101" t="s">
        <v>672</v>
      </c>
    </row>
    <row r="4102" spans="1:4">
      <c r="A4102" s="2">
        <v>1.8801940360245175</v>
      </c>
      <c r="B4102" t="s">
        <v>535</v>
      </c>
      <c r="C4102" t="s">
        <v>381</v>
      </c>
      <c r="D4102" t="s">
        <v>672</v>
      </c>
    </row>
    <row r="4103" spans="1:4">
      <c r="A4103" s="2">
        <v>1.0714668381013608</v>
      </c>
      <c r="B4103" t="s">
        <v>536</v>
      </c>
      <c r="C4103" t="s">
        <v>381</v>
      </c>
      <c r="D4103" t="s">
        <v>672</v>
      </c>
    </row>
    <row r="4104" spans="1:4">
      <c r="A4104" s="2">
        <v>0.7359976448075366</v>
      </c>
      <c r="B4104" t="s">
        <v>537</v>
      </c>
      <c r="C4104" t="s">
        <v>381</v>
      </c>
      <c r="D4104" t="s">
        <v>672</v>
      </c>
    </row>
    <row r="4105" spans="1:4">
      <c r="A4105" s="2">
        <v>0.7348078477478139</v>
      </c>
      <c r="B4105" t="s">
        <v>538</v>
      </c>
      <c r="C4105" t="s">
        <v>381</v>
      </c>
      <c r="D4105" t="s">
        <v>672</v>
      </c>
    </row>
    <row r="4106" spans="1:4">
      <c r="A4106" s="2">
        <v>0.15173355587588197</v>
      </c>
      <c r="B4106" t="s">
        <v>539</v>
      </c>
      <c r="C4106" t="s">
        <v>381</v>
      </c>
      <c r="D4106" t="s">
        <v>672</v>
      </c>
    </row>
    <row r="4107" spans="1:4">
      <c r="A4107" s="2">
        <v>0.3910833007430583</v>
      </c>
      <c r="B4107" t="s">
        <v>540</v>
      </c>
      <c r="C4107" t="s">
        <v>381</v>
      </c>
      <c r="D4107" t="s">
        <v>672</v>
      </c>
    </row>
    <row r="4108" spans="1:4">
      <c r="A4108" s="2">
        <v>0.20891219420477572</v>
      </c>
      <c r="B4108" t="s">
        <v>541</v>
      </c>
      <c r="C4108" t="s">
        <v>381</v>
      </c>
      <c r="D4108" t="s">
        <v>672</v>
      </c>
    </row>
    <row r="4109" spans="1:4">
      <c r="A4109" s="2">
        <v>1</v>
      </c>
      <c r="B4109" t="s">
        <v>542</v>
      </c>
      <c r="C4109" t="s">
        <v>672</v>
      </c>
      <c r="D4109" t="s">
        <v>672</v>
      </c>
    </row>
    <row r="4110" spans="1:4">
      <c r="A4110" s="2">
        <v>6.8628</v>
      </c>
      <c r="B4110" t="s">
        <v>364</v>
      </c>
      <c r="C4110" t="s">
        <v>381</v>
      </c>
      <c r="D4110" t="s">
        <v>673</v>
      </c>
    </row>
    <row r="4111" spans="1:4">
      <c r="A4111" s="2">
        <v>8.005700000000001</v>
      </c>
      <c r="B4111" t="s">
        <v>373</v>
      </c>
      <c r="C4111" t="s">
        <v>381</v>
      </c>
      <c r="D4111" t="s">
        <v>673</v>
      </c>
    </row>
    <row r="4112" spans="1:4">
      <c r="A4112" s="2">
        <v>0.042812</v>
      </c>
      <c r="B4112" t="s">
        <v>520</v>
      </c>
      <c r="C4112" t="s">
        <v>381</v>
      </c>
      <c r="D4112" t="s">
        <v>673</v>
      </c>
    </row>
    <row r="4113" spans="1:4">
      <c r="A4113" s="2">
        <v>0.87581</v>
      </c>
      <c r="B4113" t="s">
        <v>370</v>
      </c>
      <c r="C4113" t="s">
        <v>381</v>
      </c>
      <c r="D4113" t="s">
        <v>673</v>
      </c>
    </row>
    <row r="4114" spans="1:4">
      <c r="A4114" s="2">
        <v>9.2416</v>
      </c>
      <c r="B4114" t="s">
        <v>521</v>
      </c>
      <c r="C4114" t="s">
        <v>381</v>
      </c>
      <c r="D4114" t="s">
        <v>673</v>
      </c>
    </row>
    <row r="4115" spans="1:4">
      <c r="A4115" s="2">
        <v>4.8824000000000005</v>
      </c>
      <c r="B4115" t="s">
        <v>522</v>
      </c>
      <c r="C4115" t="s">
        <v>381</v>
      </c>
      <c r="D4115" t="s">
        <v>673</v>
      </c>
    </row>
    <row r="4116" spans="1:4">
      <c r="A4116" s="2">
        <v>4</v>
      </c>
      <c r="B4116" t="s">
        <v>523</v>
      </c>
      <c r="C4116" t="s">
        <v>381</v>
      </c>
      <c r="D4116" t="s">
        <v>673</v>
      </c>
    </row>
    <row r="4117" spans="1:4">
      <c r="A4117" s="2">
        <v>5.3518</v>
      </c>
      <c r="B4117" t="s">
        <v>524</v>
      </c>
      <c r="C4117" t="s">
        <v>381</v>
      </c>
      <c r="D4117" t="s">
        <v>673</v>
      </c>
    </row>
    <row r="4118" spans="1:4">
      <c r="A4118" s="2">
        <v>8.6659</v>
      </c>
      <c r="B4118" t="s">
        <v>525</v>
      </c>
      <c r="C4118" t="s">
        <v>381</v>
      </c>
      <c r="D4118" t="s">
        <v>673</v>
      </c>
    </row>
    <row r="4119" spans="1:4">
      <c r="A4119" s="2">
        <v>5.008500000000001</v>
      </c>
      <c r="B4119" t="s">
        <v>526</v>
      </c>
      <c r="C4119" t="s">
        <v>381</v>
      </c>
      <c r="D4119" t="s">
        <v>673</v>
      </c>
    </row>
    <row r="4120" spans="1:4">
      <c r="A4120" s="2">
        <v>0.8499065102838688</v>
      </c>
      <c r="B4120" t="s">
        <v>527</v>
      </c>
      <c r="C4120" t="s">
        <v>381</v>
      </c>
      <c r="D4120" t="s">
        <v>673</v>
      </c>
    </row>
    <row r="4121" spans="1:4">
      <c r="A4121" s="2">
        <v>1.7326518236160442</v>
      </c>
      <c r="B4121" t="s">
        <v>528</v>
      </c>
      <c r="C4121" t="s">
        <v>381</v>
      </c>
      <c r="D4121" t="s">
        <v>673</v>
      </c>
    </row>
    <row r="4122" spans="1:4">
      <c r="A4122" s="2">
        <v>0.09143525926467765</v>
      </c>
      <c r="B4122" t="s">
        <v>529</v>
      </c>
      <c r="C4122" t="s">
        <v>381</v>
      </c>
      <c r="D4122" t="s">
        <v>673</v>
      </c>
    </row>
    <row r="4123" spans="1:4">
      <c r="A4123" s="2">
        <v>0.4073817574449016</v>
      </c>
      <c r="B4123" t="s">
        <v>530</v>
      </c>
      <c r="C4123" t="s">
        <v>381</v>
      </c>
      <c r="D4123" t="s">
        <v>673</v>
      </c>
    </row>
    <row r="4124" spans="1:4">
      <c r="A4124" s="2">
        <v>0.004606384448846101</v>
      </c>
      <c r="B4124" t="s">
        <v>531</v>
      </c>
      <c r="C4124" t="s">
        <v>381</v>
      </c>
      <c r="D4124" t="s">
        <v>673</v>
      </c>
    </row>
    <row r="4125" spans="1:4">
      <c r="A4125" s="2">
        <v>1.8656020297750084</v>
      </c>
      <c r="B4125" t="s">
        <v>532</v>
      </c>
      <c r="C4125" t="s">
        <v>381</v>
      </c>
      <c r="D4125" t="s">
        <v>673</v>
      </c>
    </row>
    <row r="4126" spans="1:4">
      <c r="A4126" s="2">
        <v>1.8269178069678644</v>
      </c>
      <c r="B4126" t="s">
        <v>533</v>
      </c>
      <c r="C4126" t="s">
        <v>381</v>
      </c>
      <c r="D4126" t="s">
        <v>673</v>
      </c>
    </row>
    <row r="4127" spans="1:4">
      <c r="A4127" s="2">
        <v>0.02191905730518342</v>
      </c>
      <c r="B4127" t="s">
        <v>534</v>
      </c>
      <c r="C4127" t="s">
        <v>381</v>
      </c>
      <c r="D4127" t="s">
        <v>673</v>
      </c>
    </row>
    <row r="4128" spans="1:4">
      <c r="A4128" s="2">
        <v>1.8801940360245175</v>
      </c>
      <c r="B4128" t="s">
        <v>535</v>
      </c>
      <c r="C4128" t="s">
        <v>381</v>
      </c>
      <c r="D4128" t="s">
        <v>673</v>
      </c>
    </row>
    <row r="4129" spans="1:4">
      <c r="A4129" s="2">
        <v>1.0714668381013608</v>
      </c>
      <c r="B4129" t="s">
        <v>536</v>
      </c>
      <c r="C4129" t="s">
        <v>381</v>
      </c>
      <c r="D4129" t="s">
        <v>673</v>
      </c>
    </row>
    <row r="4130" spans="1:4">
      <c r="A4130" s="2">
        <v>0.7359976448075366</v>
      </c>
      <c r="B4130" t="s">
        <v>537</v>
      </c>
      <c r="C4130" t="s">
        <v>381</v>
      </c>
      <c r="D4130" t="s">
        <v>673</v>
      </c>
    </row>
    <row r="4131" spans="1:4">
      <c r="A4131" s="2">
        <v>0.7348078477478139</v>
      </c>
      <c r="B4131" t="s">
        <v>538</v>
      </c>
      <c r="C4131" t="s">
        <v>381</v>
      </c>
      <c r="D4131" t="s">
        <v>673</v>
      </c>
    </row>
    <row r="4132" spans="1:4">
      <c r="A4132" s="2">
        <v>0.15173355587588197</v>
      </c>
      <c r="B4132" t="s">
        <v>539</v>
      </c>
      <c r="C4132" t="s">
        <v>381</v>
      </c>
      <c r="D4132" t="s">
        <v>673</v>
      </c>
    </row>
    <row r="4133" spans="1:4">
      <c r="A4133" s="2">
        <v>0.3910833007430583</v>
      </c>
      <c r="B4133" t="s">
        <v>540</v>
      </c>
      <c r="C4133" t="s">
        <v>381</v>
      </c>
      <c r="D4133" t="s">
        <v>673</v>
      </c>
    </row>
    <row r="4134" spans="1:4">
      <c r="A4134" s="2">
        <v>0.20891219420477572</v>
      </c>
      <c r="B4134" t="s">
        <v>541</v>
      </c>
      <c r="C4134" t="s">
        <v>381</v>
      </c>
      <c r="D4134" t="s">
        <v>673</v>
      </c>
    </row>
    <row r="4135" spans="1:4">
      <c r="A4135" s="2">
        <v>1</v>
      </c>
      <c r="B4135" t="s">
        <v>542</v>
      </c>
      <c r="C4135" t="s">
        <v>673</v>
      </c>
      <c r="D4135" t="s">
        <v>673</v>
      </c>
    </row>
    <row r="4136" spans="1:4">
      <c r="A4136" s="2">
        <v>6.8628</v>
      </c>
      <c r="B4136" t="s">
        <v>364</v>
      </c>
      <c r="C4136" t="s">
        <v>381</v>
      </c>
      <c r="D4136" t="s">
        <v>674</v>
      </c>
    </row>
    <row r="4137" spans="1:4">
      <c r="A4137" s="2">
        <v>8.005700000000001</v>
      </c>
      <c r="B4137" t="s">
        <v>373</v>
      </c>
      <c r="C4137" t="s">
        <v>381</v>
      </c>
      <c r="D4137" t="s">
        <v>674</v>
      </c>
    </row>
    <row r="4138" spans="1:4">
      <c r="A4138" s="2">
        <v>0.042812</v>
      </c>
      <c r="B4138" t="s">
        <v>520</v>
      </c>
      <c r="C4138" t="s">
        <v>381</v>
      </c>
      <c r="D4138" t="s">
        <v>674</v>
      </c>
    </row>
    <row r="4139" spans="1:4">
      <c r="A4139" s="2">
        <v>0.87581</v>
      </c>
      <c r="B4139" t="s">
        <v>370</v>
      </c>
      <c r="C4139" t="s">
        <v>381</v>
      </c>
      <c r="D4139" t="s">
        <v>674</v>
      </c>
    </row>
    <row r="4140" spans="1:4">
      <c r="A4140" s="2">
        <v>9.2416</v>
      </c>
      <c r="B4140" t="s">
        <v>521</v>
      </c>
      <c r="C4140" t="s">
        <v>381</v>
      </c>
      <c r="D4140" t="s">
        <v>674</v>
      </c>
    </row>
    <row r="4141" spans="1:4">
      <c r="A4141" s="2">
        <v>4.8824000000000005</v>
      </c>
      <c r="B4141" t="s">
        <v>522</v>
      </c>
      <c r="C4141" t="s">
        <v>381</v>
      </c>
      <c r="D4141" t="s">
        <v>674</v>
      </c>
    </row>
    <row r="4142" spans="1:4">
      <c r="A4142" s="2">
        <v>4</v>
      </c>
      <c r="B4142" t="s">
        <v>523</v>
      </c>
      <c r="C4142" t="s">
        <v>381</v>
      </c>
      <c r="D4142" t="s">
        <v>674</v>
      </c>
    </row>
    <row r="4143" spans="1:4">
      <c r="A4143" s="2">
        <v>5.3518</v>
      </c>
      <c r="B4143" t="s">
        <v>524</v>
      </c>
      <c r="C4143" t="s">
        <v>381</v>
      </c>
      <c r="D4143" t="s">
        <v>674</v>
      </c>
    </row>
    <row r="4144" spans="1:4">
      <c r="A4144" s="2">
        <v>8.6659</v>
      </c>
      <c r="B4144" t="s">
        <v>525</v>
      </c>
      <c r="C4144" t="s">
        <v>381</v>
      </c>
      <c r="D4144" t="s">
        <v>674</v>
      </c>
    </row>
    <row r="4145" spans="1:4">
      <c r="A4145" s="2">
        <v>5.008500000000001</v>
      </c>
      <c r="B4145" t="s">
        <v>526</v>
      </c>
      <c r="C4145" t="s">
        <v>381</v>
      </c>
      <c r="D4145" t="s">
        <v>674</v>
      </c>
    </row>
    <row r="4146" spans="1:4">
      <c r="A4146" s="2">
        <v>0.8499065102838688</v>
      </c>
      <c r="B4146" t="s">
        <v>527</v>
      </c>
      <c r="C4146" t="s">
        <v>381</v>
      </c>
      <c r="D4146" t="s">
        <v>674</v>
      </c>
    </row>
    <row r="4147" spans="1:4">
      <c r="A4147" s="2">
        <v>1.7326518236160442</v>
      </c>
      <c r="B4147" t="s">
        <v>528</v>
      </c>
      <c r="C4147" t="s">
        <v>381</v>
      </c>
      <c r="D4147" t="s">
        <v>674</v>
      </c>
    </row>
    <row r="4148" spans="1:4">
      <c r="A4148" s="2">
        <v>0.09143525926467765</v>
      </c>
      <c r="B4148" t="s">
        <v>529</v>
      </c>
      <c r="C4148" t="s">
        <v>381</v>
      </c>
      <c r="D4148" t="s">
        <v>674</v>
      </c>
    </row>
    <row r="4149" spans="1:4">
      <c r="A4149" s="2">
        <v>0.4073817574449016</v>
      </c>
      <c r="B4149" t="s">
        <v>530</v>
      </c>
      <c r="C4149" t="s">
        <v>381</v>
      </c>
      <c r="D4149" t="s">
        <v>674</v>
      </c>
    </row>
    <row r="4150" spans="1:4">
      <c r="A4150" s="2">
        <v>0.004606384448846101</v>
      </c>
      <c r="B4150" t="s">
        <v>531</v>
      </c>
      <c r="C4150" t="s">
        <v>381</v>
      </c>
      <c r="D4150" t="s">
        <v>674</v>
      </c>
    </row>
    <row r="4151" spans="1:4">
      <c r="A4151" s="2">
        <v>1.8656020297750084</v>
      </c>
      <c r="B4151" t="s">
        <v>532</v>
      </c>
      <c r="C4151" t="s">
        <v>381</v>
      </c>
      <c r="D4151" t="s">
        <v>674</v>
      </c>
    </row>
    <row r="4152" spans="1:4">
      <c r="A4152" s="2">
        <v>1.8269178069678644</v>
      </c>
      <c r="B4152" t="s">
        <v>533</v>
      </c>
      <c r="C4152" t="s">
        <v>381</v>
      </c>
      <c r="D4152" t="s">
        <v>674</v>
      </c>
    </row>
    <row r="4153" spans="1:4">
      <c r="A4153" s="2">
        <v>0.02191905730518342</v>
      </c>
      <c r="B4153" t="s">
        <v>534</v>
      </c>
      <c r="C4153" t="s">
        <v>381</v>
      </c>
      <c r="D4153" t="s">
        <v>674</v>
      </c>
    </row>
    <row r="4154" spans="1:4">
      <c r="A4154" s="2">
        <v>1.8801940360245175</v>
      </c>
      <c r="B4154" t="s">
        <v>535</v>
      </c>
      <c r="C4154" t="s">
        <v>381</v>
      </c>
      <c r="D4154" t="s">
        <v>674</v>
      </c>
    </row>
    <row r="4155" spans="1:4">
      <c r="A4155" s="2">
        <v>1.0714668381013608</v>
      </c>
      <c r="B4155" t="s">
        <v>536</v>
      </c>
      <c r="C4155" t="s">
        <v>381</v>
      </c>
      <c r="D4155" t="s">
        <v>674</v>
      </c>
    </row>
    <row r="4156" spans="1:4">
      <c r="A4156" s="2">
        <v>0.7359976448075366</v>
      </c>
      <c r="B4156" t="s">
        <v>537</v>
      </c>
      <c r="C4156" t="s">
        <v>381</v>
      </c>
      <c r="D4156" t="s">
        <v>674</v>
      </c>
    </row>
    <row r="4157" spans="1:4">
      <c r="A4157" s="2">
        <v>0.7348078477478139</v>
      </c>
      <c r="B4157" t="s">
        <v>538</v>
      </c>
      <c r="C4157" t="s">
        <v>381</v>
      </c>
      <c r="D4157" t="s">
        <v>674</v>
      </c>
    </row>
    <row r="4158" spans="1:4">
      <c r="A4158" s="2">
        <v>0.15173355587588197</v>
      </c>
      <c r="B4158" t="s">
        <v>539</v>
      </c>
      <c r="C4158" t="s">
        <v>381</v>
      </c>
      <c r="D4158" t="s">
        <v>674</v>
      </c>
    </row>
    <row r="4159" spans="1:4">
      <c r="A4159" s="2">
        <v>0.3910833007430583</v>
      </c>
      <c r="B4159" t="s">
        <v>540</v>
      </c>
      <c r="C4159" t="s">
        <v>381</v>
      </c>
      <c r="D4159" t="s">
        <v>674</v>
      </c>
    </row>
    <row r="4160" spans="1:4">
      <c r="A4160" s="2">
        <v>0.20891219420477572</v>
      </c>
      <c r="B4160" t="s">
        <v>541</v>
      </c>
      <c r="C4160" t="s">
        <v>381</v>
      </c>
      <c r="D4160" t="s">
        <v>674</v>
      </c>
    </row>
    <row r="4161" spans="1:4">
      <c r="A4161" s="2">
        <v>1</v>
      </c>
      <c r="B4161" t="s">
        <v>542</v>
      </c>
      <c r="C4161" t="s">
        <v>674</v>
      </c>
      <c r="D4161" t="s">
        <v>674</v>
      </c>
    </row>
    <row r="4162" spans="1:4">
      <c r="A4162" s="2">
        <v>6.8562</v>
      </c>
      <c r="B4162" t="s">
        <v>364</v>
      </c>
      <c r="C4162" t="s">
        <v>675</v>
      </c>
      <c r="D4162" t="s">
        <v>675</v>
      </c>
    </row>
    <row r="4163" spans="1:4">
      <c r="A4163" s="2">
        <v>8.009400000000001</v>
      </c>
      <c r="B4163" t="s">
        <v>373</v>
      </c>
      <c r="C4163" t="s">
        <v>675</v>
      </c>
      <c r="D4163" t="s">
        <v>675</v>
      </c>
    </row>
    <row r="4164" spans="1:4">
      <c r="A4164" s="2">
        <v>0.043338</v>
      </c>
      <c r="B4164" t="s">
        <v>520</v>
      </c>
      <c r="C4164" t="s">
        <v>675</v>
      </c>
      <c r="D4164" t="s">
        <v>675</v>
      </c>
    </row>
    <row r="4165" spans="1:4">
      <c r="A4165" s="2">
        <v>0.87504</v>
      </c>
      <c r="B4165" t="s">
        <v>370</v>
      </c>
      <c r="C4165" t="s">
        <v>675</v>
      </c>
      <c r="D4165" t="s">
        <v>675</v>
      </c>
    </row>
    <row r="4166" spans="1:4">
      <c r="A4166" s="2">
        <v>9.2712</v>
      </c>
      <c r="B4166" t="s">
        <v>521</v>
      </c>
      <c r="C4166" t="s">
        <v>675</v>
      </c>
      <c r="D4166" t="s">
        <v>675</v>
      </c>
    </row>
    <row r="4167" spans="1:4">
      <c r="A4167" s="2">
        <v>4.9245</v>
      </c>
      <c r="B4167" t="s">
        <v>522</v>
      </c>
      <c r="C4167" t="s">
        <v>675</v>
      </c>
      <c r="D4167" t="s">
        <v>675</v>
      </c>
    </row>
    <row r="4168" spans="1:4">
      <c r="A4168" s="2">
        <v>4.0362</v>
      </c>
      <c r="B4168" t="s">
        <v>523</v>
      </c>
      <c r="C4168" t="s">
        <v>675</v>
      </c>
      <c r="D4168" t="s">
        <v>675</v>
      </c>
    </row>
    <row r="4169" spans="1:4">
      <c r="A4169" s="2">
        <v>5.3677</v>
      </c>
      <c r="B4169" t="s">
        <v>524</v>
      </c>
      <c r="C4169" t="s">
        <v>675</v>
      </c>
      <c r="D4169" t="s">
        <v>675</v>
      </c>
    </row>
    <row r="4170" spans="1:4">
      <c r="A4170" s="2">
        <v>8.747300000000001</v>
      </c>
      <c r="B4170" t="s">
        <v>525</v>
      </c>
      <c r="C4170" t="s">
        <v>675</v>
      </c>
      <c r="D4170" t="s">
        <v>675</v>
      </c>
    </row>
    <row r="4171" spans="1:4">
      <c r="A4171" s="2">
        <v>5.0224</v>
      </c>
      <c r="B4171" t="s">
        <v>526</v>
      </c>
      <c r="C4171" t="s">
        <v>675</v>
      </c>
      <c r="D4171" t="s">
        <v>675</v>
      </c>
    </row>
    <row r="4172" spans="1:4">
      <c r="A4172" s="2">
        <v>0.8491847826086956</v>
      </c>
      <c r="B4172" t="s">
        <v>527</v>
      </c>
      <c r="C4172" t="s">
        <v>675</v>
      </c>
      <c r="D4172" t="s">
        <v>675</v>
      </c>
    </row>
    <row r="4173" spans="1:4">
      <c r="A4173" s="2">
        <v>1.728429203539823</v>
      </c>
      <c r="B4173" t="s">
        <v>528</v>
      </c>
      <c r="C4173" t="s">
        <v>675</v>
      </c>
      <c r="D4173" t="s">
        <v>675</v>
      </c>
    </row>
    <row r="4174" spans="1:4">
      <c r="A4174" s="2">
        <v>0.09041346075603736</v>
      </c>
      <c r="B4174" t="s">
        <v>529</v>
      </c>
      <c r="C4174" t="s">
        <v>675</v>
      </c>
      <c r="D4174" t="s">
        <v>675</v>
      </c>
    </row>
    <row r="4175" spans="1:4">
      <c r="A4175" s="2">
        <v>0.4123201253453181</v>
      </c>
      <c r="B4175" t="s">
        <v>530</v>
      </c>
      <c r="C4175" t="s">
        <v>675</v>
      </c>
      <c r="D4175" t="s">
        <v>675</v>
      </c>
    </row>
    <row r="4176" spans="1:4">
      <c r="A4176" s="2">
        <v>0.004654843364520784</v>
      </c>
      <c r="B4176" t="s">
        <v>531</v>
      </c>
      <c r="C4176" t="s">
        <v>675</v>
      </c>
      <c r="D4176" t="s">
        <v>675</v>
      </c>
    </row>
    <row r="4177" spans="1:4">
      <c r="A4177" s="2">
        <v>1.8602228546979929</v>
      </c>
      <c r="B4177" t="s">
        <v>532</v>
      </c>
      <c r="C4177" t="s">
        <v>675</v>
      </c>
      <c r="D4177" t="s">
        <v>675</v>
      </c>
    </row>
    <row r="4178" spans="1:4">
      <c r="A4178" s="2">
        <v>1.8207971449900768</v>
      </c>
      <c r="B4178" t="s">
        <v>533</v>
      </c>
      <c r="C4178" t="s">
        <v>675</v>
      </c>
      <c r="D4178" t="s">
        <v>675</v>
      </c>
    </row>
    <row r="4179" spans="1:4">
      <c r="A4179" s="2">
        <v>0.022195291934674816</v>
      </c>
      <c r="B4179" t="s">
        <v>534</v>
      </c>
      <c r="C4179" t="s">
        <v>675</v>
      </c>
      <c r="D4179" t="s">
        <v>675</v>
      </c>
    </row>
    <row r="4180" spans="1:4">
      <c r="A4180" s="2">
        <v>1.8887168058021384</v>
      </c>
      <c r="B4180" t="s">
        <v>535</v>
      </c>
      <c r="C4180" t="s">
        <v>675</v>
      </c>
      <c r="D4180" t="s">
        <v>675</v>
      </c>
    </row>
    <row r="4181" spans="1:4">
      <c r="A4181" s="2">
        <v>1.0719262514738983</v>
      </c>
      <c r="B4181" t="s">
        <v>536</v>
      </c>
      <c r="C4181" t="s">
        <v>675</v>
      </c>
      <c r="D4181" t="s">
        <v>675</v>
      </c>
    </row>
    <row r="4182" spans="1:4">
      <c r="A4182" s="2">
        <v>0.7396449704142013</v>
      </c>
      <c r="B4182" t="s">
        <v>537</v>
      </c>
      <c r="C4182" t="s">
        <v>675</v>
      </c>
      <c r="D4182" t="s">
        <v>675</v>
      </c>
    </row>
    <row r="4183" spans="1:4">
      <c r="A4183" s="2">
        <v>0.7390983000739098</v>
      </c>
      <c r="B4183" t="s">
        <v>538</v>
      </c>
      <c r="C4183" t="s">
        <v>675</v>
      </c>
      <c r="D4183" t="s">
        <v>675</v>
      </c>
    </row>
    <row r="4184" spans="1:4">
      <c r="A4184" s="2">
        <v>0.15112428914912493</v>
      </c>
      <c r="B4184" t="s">
        <v>539</v>
      </c>
      <c r="C4184" t="s">
        <v>675</v>
      </c>
      <c r="D4184" t="s">
        <v>675</v>
      </c>
    </row>
    <row r="4185" spans="1:4">
      <c r="A4185" s="2">
        <v>0.39471087428458657</v>
      </c>
      <c r="B4185" t="s">
        <v>540</v>
      </c>
      <c r="C4185" t="s">
        <v>675</v>
      </c>
      <c r="D4185" t="s">
        <v>675</v>
      </c>
    </row>
    <row r="4186" spans="1:4">
      <c r="A4186" s="2">
        <v>0.21039343572480537</v>
      </c>
      <c r="B4186" t="s">
        <v>541</v>
      </c>
      <c r="C4186" t="s">
        <v>675</v>
      </c>
      <c r="D4186" t="s">
        <v>675</v>
      </c>
    </row>
    <row r="4187" spans="1:4">
      <c r="A4187" s="2">
        <v>1</v>
      </c>
      <c r="B4187" t="s">
        <v>542</v>
      </c>
      <c r="C4187" t="s">
        <v>675</v>
      </c>
      <c r="D4187" t="s">
        <v>675</v>
      </c>
    </row>
    <row r="4188" spans="1:4">
      <c r="A4188" s="2">
        <v>6.8487</v>
      </c>
      <c r="B4188" t="s">
        <v>364</v>
      </c>
      <c r="C4188" t="s">
        <v>676</v>
      </c>
      <c r="D4188" t="s">
        <v>676</v>
      </c>
    </row>
    <row r="4189" spans="1:4">
      <c r="A4189" s="2">
        <v>8.0251</v>
      </c>
      <c r="B4189" t="s">
        <v>373</v>
      </c>
      <c r="C4189" t="s">
        <v>676</v>
      </c>
      <c r="D4189" t="s">
        <v>676</v>
      </c>
    </row>
    <row r="4190" spans="1:4">
      <c r="A4190" s="2">
        <v>0.043661000000000005</v>
      </c>
      <c r="B4190" t="s">
        <v>520</v>
      </c>
      <c r="C4190" t="s">
        <v>676</v>
      </c>
      <c r="D4190" t="s">
        <v>676</v>
      </c>
    </row>
    <row r="4191" spans="1:4">
      <c r="A4191" s="2">
        <v>0.8741500000000001</v>
      </c>
      <c r="B4191" t="s">
        <v>370</v>
      </c>
      <c r="C4191" t="s">
        <v>676</v>
      </c>
      <c r="D4191" t="s">
        <v>676</v>
      </c>
    </row>
    <row r="4192" spans="1:4">
      <c r="A4192" s="2">
        <v>9.2826</v>
      </c>
      <c r="B4192" t="s">
        <v>521</v>
      </c>
      <c r="C4192" t="s">
        <v>676</v>
      </c>
      <c r="D4192" t="s">
        <v>676</v>
      </c>
    </row>
    <row r="4193" spans="1:4">
      <c r="A4193" s="2">
        <v>4.9401</v>
      </c>
      <c r="B4193" t="s">
        <v>522</v>
      </c>
      <c r="C4193" t="s">
        <v>676</v>
      </c>
      <c r="D4193" t="s">
        <v>676</v>
      </c>
    </row>
    <row r="4194" spans="1:4">
      <c r="A4194" s="2">
        <v>4.063</v>
      </c>
      <c r="B4194" t="s">
        <v>523</v>
      </c>
      <c r="C4194" t="s">
        <v>676</v>
      </c>
      <c r="D4194" t="s">
        <v>676</v>
      </c>
    </row>
    <row r="4195" spans="1:4">
      <c r="A4195" s="2">
        <v>5.388400000000001</v>
      </c>
      <c r="B4195" t="s">
        <v>524</v>
      </c>
      <c r="C4195" t="s">
        <v>676</v>
      </c>
      <c r="D4195" t="s">
        <v>676</v>
      </c>
    </row>
    <row r="4196" spans="1:4">
      <c r="A4196" s="2">
        <v>8.7721</v>
      </c>
      <c r="B4196" t="s">
        <v>525</v>
      </c>
      <c r="C4196" t="s">
        <v>676</v>
      </c>
      <c r="D4196" t="s">
        <v>676</v>
      </c>
    </row>
    <row r="4197" spans="1:4">
      <c r="A4197" s="2">
        <v>5.007</v>
      </c>
      <c r="B4197" t="s">
        <v>526</v>
      </c>
      <c r="C4197" t="s">
        <v>676</v>
      </c>
      <c r="D4197" t="s">
        <v>676</v>
      </c>
    </row>
    <row r="4198" spans="1:4">
      <c r="A4198" s="2">
        <v>0.8483203257550052</v>
      </c>
      <c r="B4198" t="s">
        <v>527</v>
      </c>
      <c r="C4198" t="s">
        <v>676</v>
      </c>
      <c r="D4198" t="s">
        <v>676</v>
      </c>
    </row>
    <row r="4199" spans="1:4">
      <c r="A4199" s="2">
        <v>1.7429801474561206</v>
      </c>
      <c r="B4199" t="s">
        <v>528</v>
      </c>
      <c r="C4199" t="s">
        <v>676</v>
      </c>
      <c r="D4199" t="s">
        <v>676</v>
      </c>
    </row>
    <row r="4200" spans="1:4">
      <c r="A4200" s="2">
        <v>0.09106804604400408</v>
      </c>
      <c r="B4200" t="s">
        <v>529</v>
      </c>
      <c r="C4200" t="s">
        <v>676</v>
      </c>
      <c r="D4200" t="s">
        <v>676</v>
      </c>
    </row>
    <row r="4201" spans="1:4">
      <c r="A4201" s="2">
        <v>0.4166666666666667</v>
      </c>
      <c r="B4201" t="s">
        <v>530</v>
      </c>
      <c r="C4201" t="s">
        <v>676</v>
      </c>
      <c r="D4201" t="s">
        <v>676</v>
      </c>
    </row>
    <row r="4202" spans="1:4">
      <c r="A4202" s="2">
        <v>0.004708541293907148</v>
      </c>
      <c r="B4202" t="s">
        <v>531</v>
      </c>
      <c r="C4202" t="s">
        <v>676</v>
      </c>
      <c r="D4202" t="s">
        <v>676</v>
      </c>
    </row>
    <row r="4203" spans="1:4">
      <c r="A4203" s="2">
        <v>1.8585287886109356</v>
      </c>
      <c r="B4203" t="s">
        <v>532</v>
      </c>
      <c r="C4203" t="s">
        <v>676</v>
      </c>
      <c r="D4203" t="s">
        <v>676</v>
      </c>
    </row>
    <row r="4204" spans="1:4">
      <c r="A4204" s="2">
        <v>1.81967063961423</v>
      </c>
      <c r="B4204" t="s">
        <v>533</v>
      </c>
      <c r="C4204" t="s">
        <v>676</v>
      </c>
      <c r="D4204" t="s">
        <v>676</v>
      </c>
    </row>
    <row r="4205" spans="1:4">
      <c r="A4205" s="2">
        <v>0.022406001223367663</v>
      </c>
      <c r="B4205" t="s">
        <v>534</v>
      </c>
      <c r="C4205" t="s">
        <v>676</v>
      </c>
      <c r="D4205" t="s">
        <v>676</v>
      </c>
    </row>
    <row r="4206" spans="1:4">
      <c r="A4206" s="2">
        <v>1.898289641033429</v>
      </c>
      <c r="B4206" t="s">
        <v>535</v>
      </c>
      <c r="C4206" t="s">
        <v>676</v>
      </c>
      <c r="D4206" t="s">
        <v>676</v>
      </c>
    </row>
    <row r="4207" spans="1:4">
      <c r="A4207" s="2">
        <v>1.073767851390529</v>
      </c>
      <c r="B4207" t="s">
        <v>536</v>
      </c>
      <c r="C4207" t="s">
        <v>676</v>
      </c>
      <c r="D4207" t="s">
        <v>676</v>
      </c>
    </row>
    <row r="4208" spans="1:4">
      <c r="A4208" s="2">
        <v>0.7391529307413705</v>
      </c>
      <c r="B4208" t="s">
        <v>537</v>
      </c>
      <c r="C4208" t="s">
        <v>676</v>
      </c>
      <c r="D4208" t="s">
        <v>676</v>
      </c>
    </row>
    <row r="4209" spans="1:4">
      <c r="A4209" s="2">
        <v>0.734322220590395</v>
      </c>
      <c r="B4209" t="s">
        <v>538</v>
      </c>
      <c r="C4209" t="s">
        <v>676</v>
      </c>
      <c r="D4209" t="s">
        <v>676</v>
      </c>
    </row>
    <row r="4210" spans="1:4">
      <c r="A4210" s="2">
        <v>0.15102295397877524</v>
      </c>
      <c r="B4210" t="s">
        <v>539</v>
      </c>
      <c r="C4210" t="s">
        <v>676</v>
      </c>
      <c r="D4210" t="s">
        <v>676</v>
      </c>
    </row>
    <row r="4211" spans="1:4">
      <c r="A4211" s="2">
        <v>0.396432111000991</v>
      </c>
      <c r="B4211" t="s">
        <v>540</v>
      </c>
      <c r="C4211" t="s">
        <v>676</v>
      </c>
      <c r="D4211" t="s">
        <v>676</v>
      </c>
    </row>
    <row r="4212" spans="1:4">
      <c r="A4212" s="2">
        <v>0.21153724113130115</v>
      </c>
      <c r="B4212" t="s">
        <v>541</v>
      </c>
      <c r="C4212" t="s">
        <v>676</v>
      </c>
      <c r="D4212" t="s">
        <v>676</v>
      </c>
    </row>
    <row r="4213" spans="1:4">
      <c r="A4213" s="2">
        <v>1</v>
      </c>
      <c r="B4213" t="s">
        <v>542</v>
      </c>
      <c r="C4213" t="s">
        <v>676</v>
      </c>
      <c r="D4213" t="s">
        <v>676</v>
      </c>
    </row>
    <row r="4214" spans="1:4">
      <c r="A4214" s="2">
        <v>6.8502</v>
      </c>
      <c r="B4214" t="s">
        <v>364</v>
      </c>
      <c r="C4214" t="s">
        <v>677</v>
      </c>
      <c r="D4214" t="s">
        <v>677</v>
      </c>
    </row>
    <row r="4215" spans="1:4">
      <c r="A4215" s="2">
        <v>8.0139</v>
      </c>
      <c r="B4215" t="s">
        <v>373</v>
      </c>
      <c r="C4215" t="s">
        <v>677</v>
      </c>
      <c r="D4215" t="s">
        <v>677</v>
      </c>
    </row>
    <row r="4216" spans="1:4">
      <c r="A4216" s="2">
        <v>0.043559</v>
      </c>
      <c r="B4216" t="s">
        <v>520</v>
      </c>
      <c r="C4216" t="s">
        <v>677</v>
      </c>
      <c r="D4216" t="s">
        <v>677</v>
      </c>
    </row>
    <row r="4217" spans="1:4">
      <c r="A4217" s="2">
        <v>0.8746299999999999</v>
      </c>
      <c r="B4217" t="s">
        <v>370</v>
      </c>
      <c r="C4217" t="s">
        <v>677</v>
      </c>
      <c r="D4217" t="s">
        <v>677</v>
      </c>
    </row>
    <row r="4218" spans="1:4">
      <c r="A4218" s="2">
        <v>9.2599</v>
      </c>
      <c r="B4218" t="s">
        <v>521</v>
      </c>
      <c r="C4218" t="s">
        <v>677</v>
      </c>
      <c r="D4218" t="s">
        <v>677</v>
      </c>
    </row>
    <row r="4219" spans="1:4">
      <c r="A4219" s="2">
        <v>4.9232</v>
      </c>
      <c r="B4219" t="s">
        <v>522</v>
      </c>
      <c r="C4219" t="s">
        <v>677</v>
      </c>
      <c r="D4219" t="s">
        <v>677</v>
      </c>
    </row>
    <row r="4220" spans="1:4">
      <c r="A4220" s="2">
        <v>4.0561</v>
      </c>
      <c r="B4220" t="s">
        <v>523</v>
      </c>
      <c r="C4220" t="s">
        <v>677</v>
      </c>
      <c r="D4220" t="s">
        <v>677</v>
      </c>
    </row>
    <row r="4221" spans="1:4">
      <c r="A4221" s="2">
        <v>5.3839</v>
      </c>
      <c r="B4221" t="s">
        <v>524</v>
      </c>
      <c r="C4221" t="s">
        <v>677</v>
      </c>
      <c r="D4221" t="s">
        <v>677</v>
      </c>
    </row>
    <row r="4222" spans="1:4">
      <c r="A4222" s="2">
        <v>8.7569</v>
      </c>
      <c r="B4222" t="s">
        <v>525</v>
      </c>
      <c r="C4222" t="s">
        <v>677</v>
      </c>
      <c r="D4222" t="s">
        <v>677</v>
      </c>
    </row>
    <row r="4223" spans="1:4">
      <c r="A4223" s="2">
        <v>4.9985</v>
      </c>
      <c r="B4223" t="s">
        <v>526</v>
      </c>
      <c r="C4223" t="s">
        <v>677</v>
      </c>
      <c r="D4223" t="s">
        <v>677</v>
      </c>
    </row>
    <row r="4224" spans="1:4">
      <c r="A4224" s="2">
        <v>0.8487523340689187</v>
      </c>
      <c r="B4224" t="s">
        <v>527</v>
      </c>
      <c r="C4224" t="s">
        <v>677</v>
      </c>
      <c r="D4224" t="s">
        <v>677</v>
      </c>
    </row>
    <row r="4225" spans="1:4">
      <c r="A4225" s="2">
        <v>1.748710326134476</v>
      </c>
      <c r="B4225" t="s">
        <v>528</v>
      </c>
      <c r="C4225" t="s">
        <v>677</v>
      </c>
      <c r="D4225" t="s">
        <v>677</v>
      </c>
    </row>
    <row r="4226" spans="1:4">
      <c r="A4226" s="2">
        <v>0.09131586156515388</v>
      </c>
      <c r="B4226" t="s">
        <v>529</v>
      </c>
      <c r="C4226" t="s">
        <v>677</v>
      </c>
      <c r="D4226" t="s">
        <v>677</v>
      </c>
    </row>
    <row r="4227" spans="1:4">
      <c r="A4227" s="2">
        <v>0.41500664010624166</v>
      </c>
      <c r="B4227" t="s">
        <v>530</v>
      </c>
      <c r="C4227" t="s">
        <v>677</v>
      </c>
      <c r="D4227" t="s">
        <v>677</v>
      </c>
    </row>
    <row r="4228" spans="1:4">
      <c r="A4228" s="2">
        <v>0.004675737597606022</v>
      </c>
      <c r="B4228" t="s">
        <v>531</v>
      </c>
      <c r="C4228" t="s">
        <v>677</v>
      </c>
      <c r="D4228" t="s">
        <v>677</v>
      </c>
    </row>
    <row r="4229" spans="1:4">
      <c r="A4229" s="2">
        <v>1.859565605474561</v>
      </c>
      <c r="B4229" t="s">
        <v>532</v>
      </c>
      <c r="C4229" t="s">
        <v>677</v>
      </c>
      <c r="D4229" t="s">
        <v>677</v>
      </c>
    </row>
    <row r="4230" spans="1:4">
      <c r="A4230" s="2">
        <v>1.8209629251948432</v>
      </c>
      <c r="B4230" t="s">
        <v>533</v>
      </c>
      <c r="C4230" t="s">
        <v>677</v>
      </c>
      <c r="D4230" t="s">
        <v>677</v>
      </c>
    </row>
    <row r="4231" spans="1:4">
      <c r="A4231" s="2">
        <v>0.02249359494883832</v>
      </c>
      <c r="B4231" t="s">
        <v>534</v>
      </c>
      <c r="C4231" t="s">
        <v>677</v>
      </c>
      <c r="D4231" t="s">
        <v>677</v>
      </c>
    </row>
    <row r="4232" spans="1:4">
      <c r="A4232" s="2">
        <v>1.895662723688201</v>
      </c>
      <c r="B4232" t="s">
        <v>535</v>
      </c>
      <c r="C4232" t="s">
        <v>677</v>
      </c>
      <c r="D4232" t="s">
        <v>677</v>
      </c>
    </row>
    <row r="4233" spans="1:4">
      <c r="A4233" s="2">
        <v>1.072271070126528</v>
      </c>
      <c r="B4233" t="s">
        <v>536</v>
      </c>
      <c r="C4233" t="s">
        <v>677</v>
      </c>
      <c r="D4233" t="s">
        <v>677</v>
      </c>
    </row>
    <row r="4234" spans="1:4">
      <c r="A4234" s="2">
        <v>0.7361059992638941</v>
      </c>
      <c r="B4234" t="s">
        <v>537</v>
      </c>
      <c r="C4234" t="s">
        <v>677</v>
      </c>
      <c r="D4234" t="s">
        <v>677</v>
      </c>
    </row>
    <row r="4235" spans="1:4">
      <c r="A4235" s="2">
        <v>0.7338372349012988</v>
      </c>
      <c r="B4235" t="s">
        <v>538</v>
      </c>
      <c r="C4235" t="s">
        <v>677</v>
      </c>
      <c r="D4235" t="s">
        <v>677</v>
      </c>
    </row>
    <row r="4236" spans="1:4">
      <c r="A4236" s="2">
        <v>0.15087530307076505</v>
      </c>
      <c r="B4236" t="s">
        <v>539</v>
      </c>
      <c r="C4236" t="s">
        <v>677</v>
      </c>
      <c r="D4236" t="s">
        <v>677</v>
      </c>
    </row>
    <row r="4237" spans="1:4">
      <c r="A4237" s="2">
        <v>0.39556962025316456</v>
      </c>
      <c r="B4237" t="s">
        <v>540</v>
      </c>
      <c r="C4237" t="s">
        <v>677</v>
      </c>
      <c r="D4237" t="s">
        <v>677</v>
      </c>
    </row>
    <row r="4238" spans="1:4">
      <c r="A4238" s="2">
        <v>0.21138967572823744</v>
      </c>
      <c r="B4238" t="s">
        <v>541</v>
      </c>
      <c r="C4238" t="s">
        <v>677</v>
      </c>
      <c r="D4238" t="s">
        <v>677</v>
      </c>
    </row>
    <row r="4239" spans="1:4">
      <c r="A4239" s="2">
        <v>1</v>
      </c>
      <c r="B4239" t="s">
        <v>542</v>
      </c>
      <c r="C4239" t="s">
        <v>677</v>
      </c>
      <c r="D4239" t="s">
        <v>677</v>
      </c>
    </row>
    <row r="4240" spans="1:4">
      <c r="A4240" s="2">
        <v>6.8502</v>
      </c>
      <c r="B4240" t="s">
        <v>364</v>
      </c>
      <c r="C4240" t="s">
        <v>677</v>
      </c>
      <c r="D4240" t="s">
        <v>678</v>
      </c>
    </row>
    <row r="4241" spans="1:4">
      <c r="A4241" s="2">
        <v>8.0139</v>
      </c>
      <c r="B4241" t="s">
        <v>373</v>
      </c>
      <c r="C4241" t="s">
        <v>677</v>
      </c>
      <c r="D4241" t="s">
        <v>678</v>
      </c>
    </row>
    <row r="4242" spans="1:4">
      <c r="A4242" s="2">
        <v>0.043559</v>
      </c>
      <c r="B4242" t="s">
        <v>520</v>
      </c>
      <c r="C4242" t="s">
        <v>677</v>
      </c>
      <c r="D4242" t="s">
        <v>678</v>
      </c>
    </row>
    <row r="4243" spans="1:4">
      <c r="A4243" s="2">
        <v>0.8746299999999999</v>
      </c>
      <c r="B4243" t="s">
        <v>370</v>
      </c>
      <c r="C4243" t="s">
        <v>677</v>
      </c>
      <c r="D4243" t="s">
        <v>678</v>
      </c>
    </row>
    <row r="4244" spans="1:4">
      <c r="A4244" s="2">
        <v>9.2599</v>
      </c>
      <c r="B4244" t="s">
        <v>521</v>
      </c>
      <c r="C4244" t="s">
        <v>677</v>
      </c>
      <c r="D4244" t="s">
        <v>678</v>
      </c>
    </row>
    <row r="4245" spans="1:4">
      <c r="A4245" s="2">
        <v>4.9232</v>
      </c>
      <c r="B4245" t="s">
        <v>522</v>
      </c>
      <c r="C4245" t="s">
        <v>677</v>
      </c>
      <c r="D4245" t="s">
        <v>678</v>
      </c>
    </row>
    <row r="4246" spans="1:4">
      <c r="A4246" s="2">
        <v>4.0561</v>
      </c>
      <c r="B4246" t="s">
        <v>523</v>
      </c>
      <c r="C4246" t="s">
        <v>677</v>
      </c>
      <c r="D4246" t="s">
        <v>678</v>
      </c>
    </row>
    <row r="4247" spans="1:4">
      <c r="A4247" s="2">
        <v>5.3839</v>
      </c>
      <c r="B4247" t="s">
        <v>524</v>
      </c>
      <c r="C4247" t="s">
        <v>677</v>
      </c>
      <c r="D4247" t="s">
        <v>678</v>
      </c>
    </row>
    <row r="4248" spans="1:4">
      <c r="A4248" s="2">
        <v>8.7569</v>
      </c>
      <c r="B4248" t="s">
        <v>525</v>
      </c>
      <c r="C4248" t="s">
        <v>677</v>
      </c>
      <c r="D4248" t="s">
        <v>678</v>
      </c>
    </row>
    <row r="4249" spans="1:4">
      <c r="A4249" s="2">
        <v>4.9985</v>
      </c>
      <c r="B4249" t="s">
        <v>526</v>
      </c>
      <c r="C4249" t="s">
        <v>677</v>
      </c>
      <c r="D4249" t="s">
        <v>678</v>
      </c>
    </row>
    <row r="4250" spans="1:4">
      <c r="A4250" s="2">
        <v>0.8487523340689187</v>
      </c>
      <c r="B4250" t="s">
        <v>527</v>
      </c>
      <c r="C4250" t="s">
        <v>677</v>
      </c>
      <c r="D4250" t="s">
        <v>678</v>
      </c>
    </row>
    <row r="4251" spans="1:4">
      <c r="A4251" s="2">
        <v>1.748710326134476</v>
      </c>
      <c r="B4251" t="s">
        <v>528</v>
      </c>
      <c r="C4251" t="s">
        <v>677</v>
      </c>
      <c r="D4251" t="s">
        <v>678</v>
      </c>
    </row>
    <row r="4252" spans="1:4">
      <c r="A4252" s="2">
        <v>0.09131586156515388</v>
      </c>
      <c r="B4252" t="s">
        <v>529</v>
      </c>
      <c r="C4252" t="s">
        <v>677</v>
      </c>
      <c r="D4252" t="s">
        <v>678</v>
      </c>
    </row>
    <row r="4253" spans="1:4">
      <c r="A4253" s="2">
        <v>0.41500664010624166</v>
      </c>
      <c r="B4253" t="s">
        <v>530</v>
      </c>
      <c r="C4253" t="s">
        <v>677</v>
      </c>
      <c r="D4253" t="s">
        <v>678</v>
      </c>
    </row>
    <row r="4254" spans="1:4">
      <c r="A4254" s="2">
        <v>0.004675737597606022</v>
      </c>
      <c r="B4254" t="s">
        <v>531</v>
      </c>
      <c r="C4254" t="s">
        <v>677</v>
      </c>
      <c r="D4254" t="s">
        <v>678</v>
      </c>
    </row>
    <row r="4255" spans="1:4">
      <c r="A4255" s="2">
        <v>1.859565605474561</v>
      </c>
      <c r="B4255" t="s">
        <v>532</v>
      </c>
      <c r="C4255" t="s">
        <v>677</v>
      </c>
      <c r="D4255" t="s">
        <v>678</v>
      </c>
    </row>
    <row r="4256" spans="1:4">
      <c r="A4256" s="2">
        <v>1.8209629251948432</v>
      </c>
      <c r="B4256" t="s">
        <v>533</v>
      </c>
      <c r="C4256" t="s">
        <v>677</v>
      </c>
      <c r="D4256" t="s">
        <v>678</v>
      </c>
    </row>
    <row r="4257" spans="1:4">
      <c r="A4257" s="2">
        <v>0.02249359494883832</v>
      </c>
      <c r="B4257" t="s">
        <v>534</v>
      </c>
      <c r="C4257" t="s">
        <v>677</v>
      </c>
      <c r="D4257" t="s">
        <v>678</v>
      </c>
    </row>
    <row r="4258" spans="1:4">
      <c r="A4258" s="2">
        <v>1.895662723688201</v>
      </c>
      <c r="B4258" t="s">
        <v>535</v>
      </c>
      <c r="C4258" t="s">
        <v>677</v>
      </c>
      <c r="D4258" t="s">
        <v>678</v>
      </c>
    </row>
    <row r="4259" spans="1:4">
      <c r="A4259" s="2">
        <v>1.072271070126528</v>
      </c>
      <c r="B4259" t="s">
        <v>536</v>
      </c>
      <c r="C4259" t="s">
        <v>677</v>
      </c>
      <c r="D4259" t="s">
        <v>678</v>
      </c>
    </row>
    <row r="4260" spans="1:4">
      <c r="A4260" s="2">
        <v>0.7361059992638941</v>
      </c>
      <c r="B4260" t="s">
        <v>537</v>
      </c>
      <c r="C4260" t="s">
        <v>677</v>
      </c>
      <c r="D4260" t="s">
        <v>678</v>
      </c>
    </row>
    <row r="4261" spans="1:4">
      <c r="A4261" s="2">
        <v>0.7338372349012988</v>
      </c>
      <c r="B4261" t="s">
        <v>538</v>
      </c>
      <c r="C4261" t="s">
        <v>677</v>
      </c>
      <c r="D4261" t="s">
        <v>678</v>
      </c>
    </row>
    <row r="4262" spans="1:4">
      <c r="A4262" s="2">
        <v>0.15087530307076505</v>
      </c>
      <c r="B4262" t="s">
        <v>539</v>
      </c>
      <c r="C4262" t="s">
        <v>677</v>
      </c>
      <c r="D4262" t="s">
        <v>678</v>
      </c>
    </row>
    <row r="4263" spans="1:4">
      <c r="A4263" s="2">
        <v>0.39556962025316456</v>
      </c>
      <c r="B4263" t="s">
        <v>540</v>
      </c>
      <c r="C4263" t="s">
        <v>677</v>
      </c>
      <c r="D4263" t="s">
        <v>678</v>
      </c>
    </row>
    <row r="4264" spans="1:4">
      <c r="A4264" s="2">
        <v>0.21138967572823744</v>
      </c>
      <c r="B4264" t="s">
        <v>541</v>
      </c>
      <c r="C4264" t="s">
        <v>677</v>
      </c>
      <c r="D4264" t="s">
        <v>678</v>
      </c>
    </row>
    <row r="4265" spans="1:4">
      <c r="A4265" s="2">
        <v>1</v>
      </c>
      <c r="B4265" t="s">
        <v>542</v>
      </c>
      <c r="C4265" t="s">
        <v>678</v>
      </c>
      <c r="D4265" t="s">
        <v>678</v>
      </c>
    </row>
    <row r="4266" spans="1:4">
      <c r="A4266" s="2">
        <v>6.8502</v>
      </c>
      <c r="B4266" t="s">
        <v>364</v>
      </c>
      <c r="C4266" t="s">
        <v>677</v>
      </c>
      <c r="D4266" t="s">
        <v>679</v>
      </c>
    </row>
    <row r="4267" spans="1:4">
      <c r="A4267" s="2">
        <v>8.0139</v>
      </c>
      <c r="B4267" t="s">
        <v>373</v>
      </c>
      <c r="C4267" t="s">
        <v>677</v>
      </c>
      <c r="D4267" t="s">
        <v>679</v>
      </c>
    </row>
    <row r="4268" spans="1:4">
      <c r="A4268" s="2">
        <v>0.043559</v>
      </c>
      <c r="B4268" t="s">
        <v>520</v>
      </c>
      <c r="C4268" t="s">
        <v>677</v>
      </c>
      <c r="D4268" t="s">
        <v>679</v>
      </c>
    </row>
    <row r="4269" spans="1:4">
      <c r="A4269" s="2">
        <v>0.8746299999999999</v>
      </c>
      <c r="B4269" t="s">
        <v>370</v>
      </c>
      <c r="C4269" t="s">
        <v>677</v>
      </c>
      <c r="D4269" t="s">
        <v>679</v>
      </c>
    </row>
    <row r="4270" spans="1:4">
      <c r="A4270" s="2">
        <v>9.2599</v>
      </c>
      <c r="B4270" t="s">
        <v>521</v>
      </c>
      <c r="C4270" t="s">
        <v>677</v>
      </c>
      <c r="D4270" t="s">
        <v>679</v>
      </c>
    </row>
    <row r="4271" spans="1:4">
      <c r="A4271" s="2">
        <v>4.9232</v>
      </c>
      <c r="B4271" t="s">
        <v>522</v>
      </c>
      <c r="C4271" t="s">
        <v>677</v>
      </c>
      <c r="D4271" t="s">
        <v>679</v>
      </c>
    </row>
    <row r="4272" spans="1:4">
      <c r="A4272" s="2">
        <v>4.0561</v>
      </c>
      <c r="B4272" t="s">
        <v>523</v>
      </c>
      <c r="C4272" t="s">
        <v>677</v>
      </c>
      <c r="D4272" t="s">
        <v>679</v>
      </c>
    </row>
    <row r="4273" spans="1:4">
      <c r="A4273" s="2">
        <v>5.3839</v>
      </c>
      <c r="B4273" t="s">
        <v>524</v>
      </c>
      <c r="C4273" t="s">
        <v>677</v>
      </c>
      <c r="D4273" t="s">
        <v>679</v>
      </c>
    </row>
    <row r="4274" spans="1:4">
      <c r="A4274" s="2">
        <v>8.7569</v>
      </c>
      <c r="B4274" t="s">
        <v>525</v>
      </c>
      <c r="C4274" t="s">
        <v>677</v>
      </c>
      <c r="D4274" t="s">
        <v>679</v>
      </c>
    </row>
    <row r="4275" spans="1:4">
      <c r="A4275" s="2">
        <v>4.9985</v>
      </c>
      <c r="B4275" t="s">
        <v>526</v>
      </c>
      <c r="C4275" t="s">
        <v>677</v>
      </c>
      <c r="D4275" t="s">
        <v>679</v>
      </c>
    </row>
    <row r="4276" spans="1:4">
      <c r="A4276" s="2">
        <v>0.8487523340689187</v>
      </c>
      <c r="B4276" t="s">
        <v>527</v>
      </c>
      <c r="C4276" t="s">
        <v>677</v>
      </c>
      <c r="D4276" t="s">
        <v>679</v>
      </c>
    </row>
    <row r="4277" spans="1:4">
      <c r="A4277" s="2">
        <v>1.748710326134476</v>
      </c>
      <c r="B4277" t="s">
        <v>528</v>
      </c>
      <c r="C4277" t="s">
        <v>677</v>
      </c>
      <c r="D4277" t="s">
        <v>679</v>
      </c>
    </row>
    <row r="4278" spans="1:4">
      <c r="A4278" s="2">
        <v>0.09131586156515388</v>
      </c>
      <c r="B4278" t="s">
        <v>529</v>
      </c>
      <c r="C4278" t="s">
        <v>677</v>
      </c>
      <c r="D4278" t="s">
        <v>679</v>
      </c>
    </row>
    <row r="4279" spans="1:4">
      <c r="A4279" s="2">
        <v>0.41500664010624166</v>
      </c>
      <c r="B4279" t="s">
        <v>530</v>
      </c>
      <c r="C4279" t="s">
        <v>677</v>
      </c>
      <c r="D4279" t="s">
        <v>679</v>
      </c>
    </row>
    <row r="4280" spans="1:4">
      <c r="A4280" s="2">
        <v>0.004675737597606022</v>
      </c>
      <c r="B4280" t="s">
        <v>531</v>
      </c>
      <c r="C4280" t="s">
        <v>677</v>
      </c>
      <c r="D4280" t="s">
        <v>679</v>
      </c>
    </row>
    <row r="4281" spans="1:4">
      <c r="A4281" s="2">
        <v>1.859565605474561</v>
      </c>
      <c r="B4281" t="s">
        <v>532</v>
      </c>
      <c r="C4281" t="s">
        <v>677</v>
      </c>
      <c r="D4281" t="s">
        <v>679</v>
      </c>
    </row>
    <row r="4282" spans="1:4">
      <c r="A4282" s="2">
        <v>1.8209629251948432</v>
      </c>
      <c r="B4282" t="s">
        <v>533</v>
      </c>
      <c r="C4282" t="s">
        <v>677</v>
      </c>
      <c r="D4282" t="s">
        <v>679</v>
      </c>
    </row>
    <row r="4283" spans="1:4">
      <c r="A4283" s="2">
        <v>0.02249359494883832</v>
      </c>
      <c r="B4283" t="s">
        <v>534</v>
      </c>
      <c r="C4283" t="s">
        <v>677</v>
      </c>
      <c r="D4283" t="s">
        <v>679</v>
      </c>
    </row>
    <row r="4284" spans="1:4">
      <c r="A4284" s="2">
        <v>1.895662723688201</v>
      </c>
      <c r="B4284" t="s">
        <v>535</v>
      </c>
      <c r="C4284" t="s">
        <v>677</v>
      </c>
      <c r="D4284" t="s">
        <v>679</v>
      </c>
    </row>
    <row r="4285" spans="1:4">
      <c r="A4285" s="2">
        <v>1.072271070126528</v>
      </c>
      <c r="B4285" t="s">
        <v>536</v>
      </c>
      <c r="C4285" t="s">
        <v>677</v>
      </c>
      <c r="D4285" t="s">
        <v>679</v>
      </c>
    </row>
    <row r="4286" spans="1:4">
      <c r="A4286" s="2">
        <v>0.7361059992638941</v>
      </c>
      <c r="B4286" t="s">
        <v>537</v>
      </c>
      <c r="C4286" t="s">
        <v>677</v>
      </c>
      <c r="D4286" t="s">
        <v>679</v>
      </c>
    </row>
    <row r="4287" spans="1:4">
      <c r="A4287" s="2">
        <v>0.7338372349012988</v>
      </c>
      <c r="B4287" t="s">
        <v>538</v>
      </c>
      <c r="C4287" t="s">
        <v>677</v>
      </c>
      <c r="D4287" t="s">
        <v>679</v>
      </c>
    </row>
    <row r="4288" spans="1:4">
      <c r="A4288" s="2">
        <v>0.15087530307076505</v>
      </c>
      <c r="B4288" t="s">
        <v>539</v>
      </c>
      <c r="C4288" t="s">
        <v>677</v>
      </c>
      <c r="D4288" t="s">
        <v>679</v>
      </c>
    </row>
    <row r="4289" spans="1:4">
      <c r="A4289" s="2">
        <v>0.39556962025316456</v>
      </c>
      <c r="B4289" t="s">
        <v>540</v>
      </c>
      <c r="C4289" t="s">
        <v>677</v>
      </c>
      <c r="D4289" t="s">
        <v>679</v>
      </c>
    </row>
    <row r="4290" spans="1:4">
      <c r="A4290" s="2">
        <v>0.21138967572823744</v>
      </c>
      <c r="B4290" t="s">
        <v>541</v>
      </c>
      <c r="C4290" t="s">
        <v>677</v>
      </c>
      <c r="D4290" t="s">
        <v>679</v>
      </c>
    </row>
    <row r="4291" spans="1:4">
      <c r="A4291" s="2">
        <v>1</v>
      </c>
      <c r="B4291" t="s">
        <v>542</v>
      </c>
      <c r="C4291" t="s">
        <v>679</v>
      </c>
      <c r="D4291" t="s">
        <v>679</v>
      </c>
    </row>
    <row r="4292" spans="1:4">
      <c r="A4292" s="2">
        <v>6.846699999999999</v>
      </c>
      <c r="B4292" t="s">
        <v>364</v>
      </c>
      <c r="C4292" t="s">
        <v>680</v>
      </c>
      <c r="D4292" t="s">
        <v>680</v>
      </c>
    </row>
    <row r="4293" spans="1:4">
      <c r="A4293" s="2">
        <v>8.025599999999999</v>
      </c>
      <c r="B4293" t="s">
        <v>373</v>
      </c>
      <c r="C4293" t="s">
        <v>680</v>
      </c>
      <c r="D4293" t="s">
        <v>680</v>
      </c>
    </row>
    <row r="4294" spans="1:4">
      <c r="A4294" s="2">
        <v>0.043533</v>
      </c>
      <c r="B4294" t="s">
        <v>520</v>
      </c>
      <c r="C4294" t="s">
        <v>680</v>
      </c>
      <c r="D4294" t="s">
        <v>680</v>
      </c>
    </row>
    <row r="4295" spans="1:4">
      <c r="A4295" s="2">
        <v>0.87468</v>
      </c>
      <c r="B4295" t="s">
        <v>370</v>
      </c>
      <c r="C4295" t="s">
        <v>680</v>
      </c>
      <c r="D4295" t="s">
        <v>680</v>
      </c>
    </row>
    <row r="4296" spans="1:4">
      <c r="A4296" s="2">
        <v>9.277</v>
      </c>
      <c r="B4296" t="s">
        <v>521</v>
      </c>
      <c r="C4296" t="s">
        <v>680</v>
      </c>
      <c r="D4296" t="s">
        <v>680</v>
      </c>
    </row>
    <row r="4297" spans="1:4">
      <c r="A4297" s="2">
        <v>4.937</v>
      </c>
      <c r="B4297" t="s">
        <v>522</v>
      </c>
      <c r="C4297" t="s">
        <v>680</v>
      </c>
      <c r="D4297" t="s">
        <v>680</v>
      </c>
    </row>
    <row r="4298" spans="1:4">
      <c r="A4298" s="2">
        <v>4.0593</v>
      </c>
      <c r="B4298" t="s">
        <v>523</v>
      </c>
      <c r="C4298" t="s">
        <v>680</v>
      </c>
      <c r="D4298" t="s">
        <v>680</v>
      </c>
    </row>
    <row r="4299" spans="1:4">
      <c r="A4299" s="2">
        <v>5.3815</v>
      </c>
      <c r="B4299" t="s">
        <v>524</v>
      </c>
      <c r="C4299" t="s">
        <v>680</v>
      </c>
      <c r="D4299" t="s">
        <v>680</v>
      </c>
    </row>
    <row r="4300" spans="1:4">
      <c r="A4300" s="2">
        <v>8.777899999999999</v>
      </c>
      <c r="B4300" t="s">
        <v>525</v>
      </c>
      <c r="C4300" t="s">
        <v>680</v>
      </c>
      <c r="D4300" t="s">
        <v>680</v>
      </c>
    </row>
    <row r="4301" spans="1:4">
      <c r="A4301" s="2">
        <v>4.9843</v>
      </c>
      <c r="B4301" t="s">
        <v>526</v>
      </c>
      <c r="C4301" t="s">
        <v>680</v>
      </c>
      <c r="D4301" t="s">
        <v>680</v>
      </c>
    </row>
    <row r="4302" spans="1:4">
      <c r="A4302" s="2">
        <v>0.8488243782361429</v>
      </c>
      <c r="B4302" t="s">
        <v>527</v>
      </c>
      <c r="C4302" t="s">
        <v>680</v>
      </c>
      <c r="D4302" t="s">
        <v>680</v>
      </c>
    </row>
    <row r="4303" spans="1:4">
      <c r="A4303" s="2">
        <v>1.7422209833095228</v>
      </c>
      <c r="B4303" t="s">
        <v>528</v>
      </c>
      <c r="C4303" t="s">
        <v>680</v>
      </c>
      <c r="D4303" t="s">
        <v>680</v>
      </c>
    </row>
    <row r="4304" spans="1:4">
      <c r="A4304" s="2">
        <v>0.09162879343204808</v>
      </c>
      <c r="B4304" t="s">
        <v>529</v>
      </c>
      <c r="C4304" t="s">
        <v>680</v>
      </c>
      <c r="D4304" t="s">
        <v>680</v>
      </c>
    </row>
    <row r="4305" spans="1:4">
      <c r="A4305" s="2">
        <v>0.4155067104333735</v>
      </c>
      <c r="B4305" t="s">
        <v>530</v>
      </c>
      <c r="C4305" t="s">
        <v>680</v>
      </c>
      <c r="D4305" t="s">
        <v>680</v>
      </c>
    </row>
    <row r="4306" spans="1:4">
      <c r="A4306" s="2">
        <v>0.004653110604439068</v>
      </c>
      <c r="B4306" t="s">
        <v>531</v>
      </c>
      <c r="C4306" t="s">
        <v>680</v>
      </c>
      <c r="D4306" t="s">
        <v>680</v>
      </c>
    </row>
    <row r="4307" spans="1:4">
      <c r="A4307" s="2">
        <v>1.8567343755802297</v>
      </c>
      <c r="B4307" t="s">
        <v>532</v>
      </c>
      <c r="C4307" t="s">
        <v>680</v>
      </c>
      <c r="D4307" t="s">
        <v>680</v>
      </c>
    </row>
    <row r="4308" spans="1:4">
      <c r="A4308" s="2">
        <v>1.8179504426709328</v>
      </c>
      <c r="B4308" t="s">
        <v>533</v>
      </c>
      <c r="C4308" t="s">
        <v>680</v>
      </c>
      <c r="D4308" t="s">
        <v>680</v>
      </c>
    </row>
    <row r="4309" spans="1:4">
      <c r="A4309" s="2">
        <v>0.02264964621252616</v>
      </c>
      <c r="B4309" t="s">
        <v>534</v>
      </c>
      <c r="C4309" t="s">
        <v>680</v>
      </c>
      <c r="D4309" t="s">
        <v>680</v>
      </c>
    </row>
    <row r="4310" spans="1:4">
      <c r="A4310" s="2">
        <v>1.8968493332574592</v>
      </c>
      <c r="B4310" t="s">
        <v>535</v>
      </c>
      <c r="C4310" t="s">
        <v>680</v>
      </c>
      <c r="D4310" t="s">
        <v>680</v>
      </c>
    </row>
    <row r="4311" spans="1:4">
      <c r="A4311" s="2">
        <v>1.074575542660649</v>
      </c>
      <c r="B4311" t="s">
        <v>536</v>
      </c>
      <c r="C4311" t="s">
        <v>680</v>
      </c>
      <c r="D4311" t="s">
        <v>680</v>
      </c>
    </row>
    <row r="4312" spans="1:4">
      <c r="A4312" s="2">
        <v>0.7384433613941811</v>
      </c>
      <c r="B4312" t="s">
        <v>537</v>
      </c>
      <c r="C4312" t="s">
        <v>680</v>
      </c>
      <c r="D4312" t="s">
        <v>680</v>
      </c>
    </row>
    <row r="4313" spans="1:4">
      <c r="A4313" s="2">
        <v>0.7403020432336392</v>
      </c>
      <c r="B4313" t="s">
        <v>538</v>
      </c>
      <c r="C4313" t="s">
        <v>680</v>
      </c>
      <c r="D4313" t="s">
        <v>680</v>
      </c>
    </row>
    <row r="4314" spans="1:4">
      <c r="A4314" s="2">
        <v>0.15050970110278458</v>
      </c>
      <c r="B4314" t="s">
        <v>539</v>
      </c>
      <c r="C4314" t="s">
        <v>680</v>
      </c>
      <c r="D4314" t="s">
        <v>680</v>
      </c>
    </row>
    <row r="4315" spans="1:4">
      <c r="A4315" s="2">
        <v>0.3971563604591128</v>
      </c>
      <c r="B4315" t="s">
        <v>540</v>
      </c>
      <c r="C4315" t="s">
        <v>680</v>
      </c>
      <c r="D4315" t="s">
        <v>680</v>
      </c>
    </row>
    <row r="4316" spans="1:4">
      <c r="A4316" s="2">
        <v>0.21110407430863415</v>
      </c>
      <c r="B4316" t="s">
        <v>541</v>
      </c>
      <c r="C4316" t="s">
        <v>680</v>
      </c>
      <c r="D4316" t="s">
        <v>680</v>
      </c>
    </row>
    <row r="4317" spans="1:4">
      <c r="A4317" s="2">
        <v>1</v>
      </c>
      <c r="B4317" t="s">
        <v>542</v>
      </c>
      <c r="C4317" t="s">
        <v>680</v>
      </c>
      <c r="D4317" t="s">
        <v>680</v>
      </c>
    </row>
    <row r="4318" spans="1:4">
      <c r="A4318" s="2">
        <v>6.8426</v>
      </c>
      <c r="B4318" t="s">
        <v>364</v>
      </c>
      <c r="C4318" t="s">
        <v>259</v>
      </c>
      <c r="D4318" t="s">
        <v>259</v>
      </c>
    </row>
    <row r="4319" spans="1:4">
      <c r="A4319" s="2">
        <v>8.0329</v>
      </c>
      <c r="B4319" t="s">
        <v>373</v>
      </c>
      <c r="C4319" t="s">
        <v>259</v>
      </c>
      <c r="D4319" t="s">
        <v>259</v>
      </c>
    </row>
    <row r="4320" spans="1:4">
      <c r="A4320" s="2">
        <v>0.043434999999999994</v>
      </c>
      <c r="B4320" t="s">
        <v>520</v>
      </c>
      <c r="C4320" t="s">
        <v>259</v>
      </c>
      <c r="D4320" t="s">
        <v>259</v>
      </c>
    </row>
    <row r="4321" spans="1:4">
      <c r="A4321" s="2">
        <v>0.87393</v>
      </c>
      <c r="B4321" t="s">
        <v>370</v>
      </c>
      <c r="C4321" t="s">
        <v>259</v>
      </c>
      <c r="D4321" t="s">
        <v>259</v>
      </c>
    </row>
    <row r="4322" spans="1:4">
      <c r="A4322" s="2">
        <v>9.2806</v>
      </c>
      <c r="B4322" t="s">
        <v>521</v>
      </c>
      <c r="C4322" t="s">
        <v>259</v>
      </c>
      <c r="D4322" t="s">
        <v>259</v>
      </c>
    </row>
    <row r="4323" spans="1:4">
      <c r="A4323" s="2">
        <v>4.9413</v>
      </c>
      <c r="B4323" t="s">
        <v>522</v>
      </c>
      <c r="C4323" t="s">
        <v>259</v>
      </c>
      <c r="D4323" t="s">
        <v>259</v>
      </c>
    </row>
    <row r="4324" spans="1:4">
      <c r="A4324" s="2">
        <v>4.0674</v>
      </c>
      <c r="B4324" t="s">
        <v>523</v>
      </c>
      <c r="C4324" t="s">
        <v>259</v>
      </c>
      <c r="D4324" t="s">
        <v>259</v>
      </c>
    </row>
    <row r="4325" spans="1:4">
      <c r="A4325" s="2">
        <v>5.3761</v>
      </c>
      <c r="B4325" t="s">
        <v>524</v>
      </c>
      <c r="C4325" t="s">
        <v>259</v>
      </c>
      <c r="D4325" t="s">
        <v>259</v>
      </c>
    </row>
    <row r="4326" spans="1:4">
      <c r="A4326" s="2">
        <v>8.7705</v>
      </c>
      <c r="B4326" t="s">
        <v>525</v>
      </c>
      <c r="C4326" t="s">
        <v>259</v>
      </c>
      <c r="D4326" t="s">
        <v>259</v>
      </c>
    </row>
    <row r="4327" spans="1:4">
      <c r="A4327" s="2">
        <v>4.9838</v>
      </c>
      <c r="B4327" t="s">
        <v>526</v>
      </c>
      <c r="C4327" t="s">
        <v>259</v>
      </c>
      <c r="D4327" t="s">
        <v>259</v>
      </c>
    </row>
    <row r="4328" spans="1:4">
      <c r="A4328" s="2">
        <v>0.8480325644504749</v>
      </c>
      <c r="B4328" t="s">
        <v>527</v>
      </c>
      <c r="C4328" t="s">
        <v>259</v>
      </c>
      <c r="D4328" t="s">
        <v>259</v>
      </c>
    </row>
    <row r="4329" spans="1:4">
      <c r="A4329" s="2">
        <v>1.7402199638034248</v>
      </c>
      <c r="B4329" t="s">
        <v>528</v>
      </c>
      <c r="C4329" t="s">
        <v>259</v>
      </c>
      <c r="D4329" t="s">
        <v>259</v>
      </c>
    </row>
    <row r="4330" spans="1:4">
      <c r="A4330" s="2">
        <v>0.09221774453840408</v>
      </c>
      <c r="B4330" t="s">
        <v>529</v>
      </c>
      <c r="C4330" t="s">
        <v>259</v>
      </c>
      <c r="D4330" t="s">
        <v>259</v>
      </c>
    </row>
    <row r="4331" spans="1:4">
      <c r="A4331" s="2">
        <v>0.41517894212405543</v>
      </c>
      <c r="B4331" t="s">
        <v>530</v>
      </c>
      <c r="C4331" t="s">
        <v>259</v>
      </c>
      <c r="D4331" t="s">
        <v>259</v>
      </c>
    </row>
    <row r="4332" spans="1:4">
      <c r="A4332" s="2">
        <v>0.004608294930875576</v>
      </c>
      <c r="B4332" t="s">
        <v>531</v>
      </c>
      <c r="C4332" t="s">
        <v>259</v>
      </c>
      <c r="D4332" t="s">
        <v>259</v>
      </c>
    </row>
    <row r="4333" spans="1:4">
      <c r="A4333" s="2">
        <v>1.856114039646596</v>
      </c>
      <c r="B4333" t="s">
        <v>532</v>
      </c>
      <c r="C4333" t="s">
        <v>259</v>
      </c>
      <c r="D4333" t="s">
        <v>259</v>
      </c>
    </row>
    <row r="4334" spans="1:4">
      <c r="A4334" s="2">
        <v>1.8169925139908425</v>
      </c>
      <c r="B4334" t="s">
        <v>533</v>
      </c>
      <c r="C4334" t="s">
        <v>259</v>
      </c>
      <c r="D4334" t="s">
        <v>259</v>
      </c>
    </row>
    <row r="4335" spans="1:4">
      <c r="A4335" s="2">
        <v>0.022614201718679332</v>
      </c>
      <c r="B4335" t="s">
        <v>534</v>
      </c>
      <c r="C4335" t="s">
        <v>259</v>
      </c>
      <c r="D4335" t="s">
        <v>259</v>
      </c>
    </row>
    <row r="4336" spans="1:4">
      <c r="A4336" s="2">
        <v>1.8980374292981057</v>
      </c>
      <c r="B4336" t="s">
        <v>535</v>
      </c>
      <c r="C4336" t="s">
        <v>259</v>
      </c>
      <c r="D4336" t="s">
        <v>259</v>
      </c>
    </row>
    <row r="4337" spans="1:4">
      <c r="A4337" s="2">
        <v>1.0753844499408538</v>
      </c>
      <c r="B4337" t="s">
        <v>536</v>
      </c>
      <c r="C4337" t="s">
        <v>259</v>
      </c>
      <c r="D4337" t="s">
        <v>259</v>
      </c>
    </row>
    <row r="4338" spans="1:4">
      <c r="A4338" s="2">
        <v>0.7392622163081244</v>
      </c>
      <c r="B4338" t="s">
        <v>537</v>
      </c>
      <c r="C4338" t="s">
        <v>259</v>
      </c>
      <c r="D4338" t="s">
        <v>259</v>
      </c>
    </row>
    <row r="4339" spans="1:4">
      <c r="A4339" s="2">
        <v>0.7422251911229868</v>
      </c>
      <c r="B4339" t="s">
        <v>538</v>
      </c>
      <c r="C4339" t="s">
        <v>259</v>
      </c>
      <c r="D4339" t="s">
        <v>259</v>
      </c>
    </row>
    <row r="4340" spans="1:4">
      <c r="A4340" s="2">
        <v>0.15038792565422507</v>
      </c>
      <c r="B4340" t="s">
        <v>539</v>
      </c>
      <c r="C4340" t="s">
        <v>259</v>
      </c>
      <c r="D4340" t="s">
        <v>259</v>
      </c>
    </row>
    <row r="4341" spans="1:4">
      <c r="A4341" s="2">
        <v>0.397377309755613</v>
      </c>
      <c r="B4341" t="s">
        <v>540</v>
      </c>
      <c r="C4341" t="s">
        <v>259</v>
      </c>
      <c r="D4341" t="s">
        <v>259</v>
      </c>
    </row>
    <row r="4342" spans="1:4">
      <c r="A4342" s="2">
        <v>0.21078813684365844</v>
      </c>
      <c r="B4342" t="s">
        <v>541</v>
      </c>
      <c r="C4342" t="s">
        <v>259</v>
      </c>
      <c r="D4342" t="s">
        <v>259</v>
      </c>
    </row>
    <row r="4343" spans="1:4">
      <c r="A4343" s="2">
        <v>1</v>
      </c>
      <c r="B4343" t="s">
        <v>542</v>
      </c>
      <c r="C4343" t="s">
        <v>259</v>
      </c>
      <c r="D4343" t="s">
        <v>259</v>
      </c>
    </row>
    <row r="4344" spans="1:4">
      <c r="A4344" s="2">
        <v>6.8431</v>
      </c>
      <c r="B4344" t="s">
        <v>364</v>
      </c>
      <c r="C4344" t="s">
        <v>681</v>
      </c>
      <c r="D4344" t="s">
        <v>681</v>
      </c>
    </row>
    <row r="4345" spans="1:4">
      <c r="A4345" s="2">
        <v>8.0039</v>
      </c>
      <c r="B4345" t="s">
        <v>373</v>
      </c>
      <c r="C4345" t="s">
        <v>681</v>
      </c>
      <c r="D4345" t="s">
        <v>681</v>
      </c>
    </row>
    <row r="4346" spans="1:4">
      <c r="A4346" s="2">
        <v>0.043327</v>
      </c>
      <c r="B4346" t="s">
        <v>520</v>
      </c>
      <c r="C4346" t="s">
        <v>681</v>
      </c>
      <c r="D4346" t="s">
        <v>681</v>
      </c>
    </row>
    <row r="4347" spans="1:4">
      <c r="A4347" s="2">
        <v>0.87408</v>
      </c>
      <c r="B4347" t="s">
        <v>370</v>
      </c>
      <c r="C4347" t="s">
        <v>681</v>
      </c>
      <c r="D4347" t="s">
        <v>681</v>
      </c>
    </row>
    <row r="4348" spans="1:4">
      <c r="A4348" s="2">
        <v>9.2335</v>
      </c>
      <c r="B4348" t="s">
        <v>521</v>
      </c>
      <c r="C4348" t="s">
        <v>681</v>
      </c>
      <c r="D4348" t="s">
        <v>681</v>
      </c>
    </row>
    <row r="4349" spans="1:4">
      <c r="A4349" s="2">
        <v>4.9366</v>
      </c>
      <c r="B4349" t="s">
        <v>522</v>
      </c>
      <c r="C4349" t="s">
        <v>681</v>
      </c>
      <c r="D4349" t="s">
        <v>681</v>
      </c>
    </row>
    <row r="4350" spans="1:4">
      <c r="A4350" s="2">
        <v>4.0594</v>
      </c>
      <c r="B4350" t="s">
        <v>523</v>
      </c>
      <c r="C4350" t="s">
        <v>681</v>
      </c>
      <c r="D4350" t="s">
        <v>681</v>
      </c>
    </row>
    <row r="4351" spans="1:4">
      <c r="A4351" s="2">
        <v>5.3635</v>
      </c>
      <c r="B4351" t="s">
        <v>524</v>
      </c>
      <c r="C4351" t="s">
        <v>681</v>
      </c>
      <c r="D4351" t="s">
        <v>681</v>
      </c>
    </row>
    <row r="4352" spans="1:4">
      <c r="A4352" s="2">
        <v>8.743500000000001</v>
      </c>
      <c r="B4352" t="s">
        <v>525</v>
      </c>
      <c r="C4352" t="s">
        <v>681</v>
      </c>
      <c r="D4352" t="s">
        <v>681</v>
      </c>
    </row>
    <row r="4353" spans="1:4">
      <c r="A4353" s="2">
        <v>4.9773000000000005</v>
      </c>
      <c r="B4353" t="s">
        <v>526</v>
      </c>
      <c r="C4353" t="s">
        <v>681</v>
      </c>
      <c r="D4353" t="s">
        <v>681</v>
      </c>
    </row>
    <row r="4354" spans="1:4">
      <c r="A4354" s="2">
        <v>0.8482483671218933</v>
      </c>
      <c r="B4354" t="s">
        <v>527</v>
      </c>
      <c r="C4354" t="s">
        <v>681</v>
      </c>
      <c r="D4354" t="s">
        <v>681</v>
      </c>
    </row>
    <row r="4355" spans="1:4">
      <c r="A4355" s="2">
        <v>1.7355386244120865</v>
      </c>
      <c r="B4355" t="s">
        <v>528</v>
      </c>
      <c r="C4355" t="s">
        <v>681</v>
      </c>
      <c r="D4355" t="s">
        <v>681</v>
      </c>
    </row>
    <row r="4356" spans="1:4">
      <c r="A4356" s="2">
        <v>0.09203780913199142</v>
      </c>
      <c r="B4356" t="s">
        <v>529</v>
      </c>
      <c r="C4356" t="s">
        <v>681</v>
      </c>
      <c r="D4356" t="s">
        <v>681</v>
      </c>
    </row>
    <row r="4357" spans="1:4">
      <c r="A4357" s="2">
        <v>0.4132743728561392</v>
      </c>
      <c r="B4357" t="s">
        <v>530</v>
      </c>
      <c r="C4357" t="s">
        <v>681</v>
      </c>
      <c r="D4357" t="s">
        <v>681</v>
      </c>
    </row>
    <row r="4358" spans="1:4">
      <c r="A4358" s="2">
        <v>0.00456141951375268</v>
      </c>
      <c r="B4358" t="s">
        <v>531</v>
      </c>
      <c r="C4358" t="s">
        <v>681</v>
      </c>
      <c r="D4358" t="s">
        <v>681</v>
      </c>
    </row>
    <row r="4359" spans="1:4">
      <c r="A4359" s="2">
        <v>1.8557351494794665</v>
      </c>
      <c r="B4359" t="s">
        <v>532</v>
      </c>
      <c r="C4359" t="s">
        <v>681</v>
      </c>
      <c r="D4359" t="s">
        <v>681</v>
      </c>
    </row>
    <row r="4360" spans="1:4">
      <c r="A4360" s="2">
        <v>1.816497429656137</v>
      </c>
      <c r="B4360" t="s">
        <v>533</v>
      </c>
      <c r="C4360" t="s">
        <v>681</v>
      </c>
      <c r="D4360" t="s">
        <v>681</v>
      </c>
    </row>
    <row r="4361" spans="1:4">
      <c r="A4361" s="2">
        <v>0.022406001223367663</v>
      </c>
      <c r="B4361" t="s">
        <v>534</v>
      </c>
      <c r="C4361" t="s">
        <v>681</v>
      </c>
      <c r="D4361" t="s">
        <v>681</v>
      </c>
    </row>
    <row r="4362" spans="1:4">
      <c r="A4362" s="2">
        <v>1.8843392564397292</v>
      </c>
      <c r="B4362" t="s">
        <v>535</v>
      </c>
      <c r="C4362" t="s">
        <v>681</v>
      </c>
      <c r="D4362" t="s">
        <v>681</v>
      </c>
    </row>
    <row r="4363" spans="1:4">
      <c r="A4363" s="2">
        <v>1.0712372790573113</v>
      </c>
      <c r="B4363" t="s">
        <v>536</v>
      </c>
      <c r="C4363" t="s">
        <v>681</v>
      </c>
      <c r="D4363" t="s">
        <v>681</v>
      </c>
    </row>
    <row r="4364" spans="1:4">
      <c r="A4364" s="2">
        <v>0.7335680751173709</v>
      </c>
      <c r="B4364" t="s">
        <v>537</v>
      </c>
      <c r="C4364" t="s">
        <v>681</v>
      </c>
      <c r="D4364" t="s">
        <v>681</v>
      </c>
    </row>
    <row r="4365" spans="1:4">
      <c r="A4365" s="2">
        <v>0.7420048972323217</v>
      </c>
      <c r="B4365" t="s">
        <v>538</v>
      </c>
      <c r="C4365" t="s">
        <v>681</v>
      </c>
      <c r="D4365" t="s">
        <v>681</v>
      </c>
    </row>
    <row r="4366" spans="1:4">
      <c r="A4366" s="2">
        <v>0.1502293250647113</v>
      </c>
      <c r="B4366" t="s">
        <v>539</v>
      </c>
      <c r="C4366" t="s">
        <v>681</v>
      </c>
      <c r="D4366" t="s">
        <v>681</v>
      </c>
    </row>
    <row r="4367" spans="1:4">
      <c r="A4367" s="2">
        <v>0.3965736040609137</v>
      </c>
      <c r="B4367" t="s">
        <v>540</v>
      </c>
      <c r="C4367" t="s">
        <v>681</v>
      </c>
      <c r="D4367" t="s">
        <v>681</v>
      </c>
    </row>
    <row r="4368" spans="1:4">
      <c r="A4368" s="2">
        <v>0.21026072329688816</v>
      </c>
      <c r="B4368" t="s">
        <v>541</v>
      </c>
      <c r="C4368" t="s">
        <v>681</v>
      </c>
      <c r="D4368" t="s">
        <v>681</v>
      </c>
    </row>
    <row r="4369" spans="1:4">
      <c r="A4369" s="2">
        <v>1</v>
      </c>
      <c r="B4369" t="s">
        <v>542</v>
      </c>
      <c r="C4369" t="s">
        <v>681</v>
      </c>
      <c r="D4369" t="s">
        <v>681</v>
      </c>
    </row>
    <row r="4370" spans="1:4">
      <c r="A4370" s="2">
        <v>6.8401</v>
      </c>
      <c r="B4370" t="s">
        <v>364</v>
      </c>
      <c r="C4370" t="s">
        <v>682</v>
      </c>
      <c r="D4370" t="s">
        <v>682</v>
      </c>
    </row>
    <row r="4371" spans="1:4">
      <c r="A4371" s="2">
        <v>7.986000000000001</v>
      </c>
      <c r="B4371" t="s">
        <v>373</v>
      </c>
      <c r="C4371" t="s">
        <v>682</v>
      </c>
      <c r="D4371" t="s">
        <v>682</v>
      </c>
    </row>
    <row r="4372" spans="1:4">
      <c r="A4372" s="2">
        <v>0.04325999999999999</v>
      </c>
      <c r="B4372" t="s">
        <v>520</v>
      </c>
      <c r="C4372" t="s">
        <v>682</v>
      </c>
      <c r="D4372" t="s">
        <v>682</v>
      </c>
    </row>
    <row r="4373" spans="1:4">
      <c r="A4373" s="2">
        <v>0.87363</v>
      </c>
      <c r="B4373" t="s">
        <v>370</v>
      </c>
      <c r="C4373" t="s">
        <v>682</v>
      </c>
      <c r="D4373" t="s">
        <v>682</v>
      </c>
    </row>
    <row r="4374" spans="1:4">
      <c r="A4374" s="2">
        <v>9.2221</v>
      </c>
      <c r="B4374" t="s">
        <v>521</v>
      </c>
      <c r="C4374" t="s">
        <v>682</v>
      </c>
      <c r="D4374" t="s">
        <v>682</v>
      </c>
    </row>
    <row r="4375" spans="1:4">
      <c r="A4375" s="2">
        <v>4.9458</v>
      </c>
      <c r="B4375" t="s">
        <v>522</v>
      </c>
      <c r="C4375" t="s">
        <v>682</v>
      </c>
      <c r="D4375" t="s">
        <v>682</v>
      </c>
    </row>
    <row r="4376" spans="1:4">
      <c r="A4376" s="2">
        <v>4.0442</v>
      </c>
      <c r="B4376" t="s">
        <v>523</v>
      </c>
      <c r="C4376" t="s">
        <v>682</v>
      </c>
      <c r="D4376" t="s">
        <v>682</v>
      </c>
    </row>
    <row r="4377" spans="1:4">
      <c r="A4377" s="2">
        <v>5.3585</v>
      </c>
      <c r="B4377" t="s">
        <v>524</v>
      </c>
      <c r="C4377" t="s">
        <v>682</v>
      </c>
      <c r="D4377" t="s">
        <v>682</v>
      </c>
    </row>
    <row r="4378" spans="1:4">
      <c r="A4378" s="2">
        <v>8.7265</v>
      </c>
      <c r="B4378" t="s">
        <v>525</v>
      </c>
      <c r="C4378" t="s">
        <v>682</v>
      </c>
      <c r="D4378" t="s">
        <v>682</v>
      </c>
    </row>
    <row r="4379" spans="1:4">
      <c r="A4379" s="2">
        <v>4.971</v>
      </c>
      <c r="B4379" t="s">
        <v>526</v>
      </c>
      <c r="C4379" t="s">
        <v>682</v>
      </c>
      <c r="D4379" t="s">
        <v>682</v>
      </c>
    </row>
    <row r="4380" spans="1:4">
      <c r="A4380" s="2">
        <v>0.847673137238281</v>
      </c>
      <c r="B4380" t="s">
        <v>527</v>
      </c>
      <c r="C4380" t="s">
        <v>682</v>
      </c>
      <c r="D4380" t="s">
        <v>682</v>
      </c>
    </row>
    <row r="4381" spans="1:4">
      <c r="A4381" s="2">
        <v>1.7369554644618912</v>
      </c>
      <c r="B4381" t="s">
        <v>528</v>
      </c>
      <c r="C4381" t="s">
        <v>682</v>
      </c>
      <c r="D4381" t="s">
        <v>682</v>
      </c>
    </row>
    <row r="4382" spans="1:4">
      <c r="A4382" s="2">
        <v>0.09204712812960236</v>
      </c>
      <c r="B4382" t="s">
        <v>529</v>
      </c>
      <c r="C4382" t="s">
        <v>682</v>
      </c>
      <c r="D4382" t="s">
        <v>682</v>
      </c>
    </row>
    <row r="4383" spans="1:4">
      <c r="A4383" s="2">
        <v>0.4159733777038269</v>
      </c>
      <c r="B4383" t="s">
        <v>530</v>
      </c>
      <c r="C4383" t="s">
        <v>682</v>
      </c>
      <c r="D4383" t="s">
        <v>682</v>
      </c>
    </row>
    <row r="4384" spans="1:4">
      <c r="A4384" s="2">
        <v>0.004567670031516923</v>
      </c>
      <c r="B4384" t="s">
        <v>531</v>
      </c>
      <c r="C4384" t="s">
        <v>682</v>
      </c>
      <c r="D4384" t="s">
        <v>682</v>
      </c>
    </row>
    <row r="4385" spans="1:4">
      <c r="A4385" s="2">
        <v>1.854805801832548</v>
      </c>
      <c r="B4385" t="s">
        <v>532</v>
      </c>
      <c r="C4385" t="s">
        <v>682</v>
      </c>
      <c r="D4385" t="s">
        <v>682</v>
      </c>
    </row>
    <row r="4386" spans="1:4">
      <c r="A4386" s="2">
        <v>1.815771793800955</v>
      </c>
      <c r="B4386" t="s">
        <v>533</v>
      </c>
      <c r="C4386" t="s">
        <v>682</v>
      </c>
      <c r="D4386" t="s">
        <v>682</v>
      </c>
    </row>
    <row r="4387" spans="1:4">
      <c r="A4387" s="2">
        <v>0.02233035074281912</v>
      </c>
      <c r="B4387" t="s">
        <v>534</v>
      </c>
      <c r="C4387" t="s">
        <v>682</v>
      </c>
      <c r="D4387" t="s">
        <v>682</v>
      </c>
    </row>
    <row r="4388" spans="1:4">
      <c r="A4388" s="2">
        <v>1.8833810456531568</v>
      </c>
      <c r="B4388" t="s">
        <v>535</v>
      </c>
      <c r="C4388" t="s">
        <v>682</v>
      </c>
      <c r="D4388" t="s">
        <v>682</v>
      </c>
    </row>
    <row r="4389" spans="1:4">
      <c r="A4389" s="2">
        <v>1.0687186063909373</v>
      </c>
      <c r="B4389" t="s">
        <v>536</v>
      </c>
      <c r="C4389" t="s">
        <v>682</v>
      </c>
      <c r="D4389" t="s">
        <v>682</v>
      </c>
    </row>
    <row r="4390" spans="1:4">
      <c r="A4390" s="2">
        <v>0.7308338814587444</v>
      </c>
      <c r="B4390" t="s">
        <v>537</v>
      </c>
      <c r="C4390" t="s">
        <v>682</v>
      </c>
      <c r="D4390" t="s">
        <v>682</v>
      </c>
    </row>
    <row r="4391" spans="1:4">
      <c r="A4391" s="2">
        <v>0.7430524595036408</v>
      </c>
      <c r="B4391" t="s">
        <v>538</v>
      </c>
      <c r="C4391" t="s">
        <v>682</v>
      </c>
      <c r="D4391" t="s">
        <v>682</v>
      </c>
    </row>
    <row r="4392" spans="1:4">
      <c r="A4392" s="2">
        <v>0.15007240993779497</v>
      </c>
      <c r="B4392" t="s">
        <v>539</v>
      </c>
      <c r="C4392" t="s">
        <v>682</v>
      </c>
      <c r="D4392" t="s">
        <v>682</v>
      </c>
    </row>
    <row r="4393" spans="1:4">
      <c r="A4393" s="2">
        <v>0.3977408320738207</v>
      </c>
      <c r="B4393" t="s">
        <v>540</v>
      </c>
      <c r="C4393" t="s">
        <v>682</v>
      </c>
      <c r="D4393" t="s">
        <v>682</v>
      </c>
    </row>
    <row r="4394" spans="1:4">
      <c r="A4394" s="2">
        <v>0.21043328212790136</v>
      </c>
      <c r="B4394" t="s">
        <v>541</v>
      </c>
      <c r="C4394" t="s">
        <v>682</v>
      </c>
      <c r="D4394" t="s">
        <v>682</v>
      </c>
    </row>
    <row r="4395" spans="1:4">
      <c r="A4395" s="2">
        <v>1</v>
      </c>
      <c r="B4395" t="s">
        <v>542</v>
      </c>
      <c r="C4395" t="s">
        <v>682</v>
      </c>
      <c r="D4395" t="s">
        <v>682</v>
      </c>
    </row>
    <row r="4396" spans="1:4">
      <c r="A4396" s="2">
        <v>6.8415</v>
      </c>
      <c r="B4396" t="s">
        <v>364</v>
      </c>
      <c r="C4396" t="s">
        <v>683</v>
      </c>
      <c r="D4396" t="s">
        <v>683</v>
      </c>
    </row>
    <row r="4397" spans="1:4">
      <c r="A4397" s="2">
        <v>7.9534</v>
      </c>
      <c r="B4397" t="s">
        <v>373</v>
      </c>
      <c r="C4397" t="s">
        <v>683</v>
      </c>
      <c r="D4397" t="s">
        <v>683</v>
      </c>
    </row>
    <row r="4398" spans="1:4">
      <c r="A4398" s="2">
        <v>0.043126</v>
      </c>
      <c r="B4398" t="s">
        <v>520</v>
      </c>
      <c r="C4398" t="s">
        <v>683</v>
      </c>
      <c r="D4398" t="s">
        <v>683</v>
      </c>
    </row>
    <row r="4399" spans="1:4">
      <c r="A4399" s="2">
        <v>0.87343</v>
      </c>
      <c r="B4399" t="s">
        <v>370</v>
      </c>
      <c r="C4399" t="s">
        <v>683</v>
      </c>
      <c r="D4399" t="s">
        <v>683</v>
      </c>
    </row>
    <row r="4400" spans="1:4">
      <c r="A4400" s="2">
        <v>9.1349</v>
      </c>
      <c r="B4400" t="s">
        <v>521</v>
      </c>
      <c r="C4400" t="s">
        <v>683</v>
      </c>
      <c r="D4400" t="s">
        <v>683</v>
      </c>
    </row>
    <row r="4401" spans="1:4">
      <c r="A4401" s="2">
        <v>4.9244</v>
      </c>
      <c r="B4401" t="s">
        <v>522</v>
      </c>
      <c r="C4401" t="s">
        <v>683</v>
      </c>
      <c r="D4401" t="s">
        <v>683</v>
      </c>
    </row>
    <row r="4402" spans="1:4">
      <c r="A4402" s="2">
        <v>4.0275</v>
      </c>
      <c r="B4402" t="s">
        <v>523</v>
      </c>
      <c r="C4402" t="s">
        <v>683</v>
      </c>
      <c r="D4402" t="s">
        <v>683</v>
      </c>
    </row>
    <row r="4403" spans="1:4">
      <c r="A4403" s="2">
        <v>5.344600000000001</v>
      </c>
      <c r="B4403" t="s">
        <v>524</v>
      </c>
      <c r="C4403" t="s">
        <v>683</v>
      </c>
      <c r="D4403" t="s">
        <v>683</v>
      </c>
    </row>
    <row r="4404" spans="1:4">
      <c r="A4404" s="2">
        <v>8.7042</v>
      </c>
      <c r="B4404" t="s">
        <v>525</v>
      </c>
      <c r="C4404" t="s">
        <v>683</v>
      </c>
      <c r="D4404" t="s">
        <v>683</v>
      </c>
    </row>
    <row r="4405" spans="1:4">
      <c r="A4405" s="2">
        <v>4.9687</v>
      </c>
      <c r="B4405" t="s">
        <v>526</v>
      </c>
      <c r="C4405" t="s">
        <v>683</v>
      </c>
      <c r="D4405" t="s">
        <v>683</v>
      </c>
    </row>
    <row r="4406" spans="1:4">
      <c r="A4406" s="2">
        <v>0.8476012883539583</v>
      </c>
      <c r="B4406" t="s">
        <v>527</v>
      </c>
      <c r="C4406" t="s">
        <v>683</v>
      </c>
      <c r="D4406" t="s">
        <v>683</v>
      </c>
    </row>
    <row r="4407" spans="1:4">
      <c r="A4407" s="2">
        <v>1.7358398861289035</v>
      </c>
      <c r="B4407" t="s">
        <v>528</v>
      </c>
      <c r="C4407" t="s">
        <v>683</v>
      </c>
      <c r="D4407" t="s">
        <v>683</v>
      </c>
    </row>
    <row r="4408" spans="1:4">
      <c r="A4408" s="2">
        <v>0.09274975189441367</v>
      </c>
      <c r="B4408" t="s">
        <v>529</v>
      </c>
      <c r="C4408" t="s">
        <v>683</v>
      </c>
      <c r="D4408" t="s">
        <v>683</v>
      </c>
    </row>
    <row r="4409" spans="1:4">
      <c r="A4409" s="2">
        <v>0.413890153553247</v>
      </c>
      <c r="B4409" t="s">
        <v>530</v>
      </c>
      <c r="C4409" t="s">
        <v>683</v>
      </c>
      <c r="D4409" t="s">
        <v>683</v>
      </c>
    </row>
    <row r="4410" spans="1:4">
      <c r="A4410" s="2">
        <v>0.004553526706434133</v>
      </c>
      <c r="B4410" t="s">
        <v>531</v>
      </c>
      <c r="C4410" t="s">
        <v>683</v>
      </c>
      <c r="D4410" t="s">
        <v>683</v>
      </c>
    </row>
    <row r="4411" spans="1:4">
      <c r="A4411" s="2">
        <v>1.856045139017781</v>
      </c>
      <c r="B4411" t="s">
        <v>532</v>
      </c>
      <c r="C4411" t="s">
        <v>683</v>
      </c>
      <c r="D4411" t="s">
        <v>683</v>
      </c>
    </row>
    <row r="4412" spans="1:4">
      <c r="A4412" s="2">
        <v>1.8167614410551751</v>
      </c>
      <c r="B4412" t="s">
        <v>533</v>
      </c>
      <c r="C4412" t="s">
        <v>683</v>
      </c>
      <c r="D4412" t="s">
        <v>683</v>
      </c>
    </row>
    <row r="4413" spans="1:4">
      <c r="A4413" s="2">
        <v>0.02226021298571785</v>
      </c>
      <c r="B4413" t="s">
        <v>534</v>
      </c>
      <c r="C4413" t="s">
        <v>683</v>
      </c>
      <c r="D4413" t="s">
        <v>683</v>
      </c>
    </row>
    <row r="4414" spans="1:4">
      <c r="A4414" s="2">
        <v>1.877158732542424</v>
      </c>
      <c r="B4414" t="s">
        <v>535</v>
      </c>
      <c r="C4414" t="s">
        <v>683</v>
      </c>
      <c r="D4414" t="s">
        <v>683</v>
      </c>
    </row>
    <row r="4415" spans="1:4">
      <c r="A4415" s="2">
        <v>1.064282673478076</v>
      </c>
      <c r="B4415" t="s">
        <v>536</v>
      </c>
      <c r="C4415" t="s">
        <v>683</v>
      </c>
      <c r="D4415" t="s">
        <v>683</v>
      </c>
    </row>
    <row r="4416" spans="1:4">
      <c r="A4416" s="2">
        <v>0.7257947452460444</v>
      </c>
      <c r="B4416" t="s">
        <v>537</v>
      </c>
      <c r="C4416" t="s">
        <v>683</v>
      </c>
      <c r="D4416" t="s">
        <v>683</v>
      </c>
    </row>
    <row r="4417" spans="1:4">
      <c r="A4417" s="2">
        <v>0.7346998751010212</v>
      </c>
      <c r="B4417" t="s">
        <v>538</v>
      </c>
      <c r="C4417" t="s">
        <v>683</v>
      </c>
      <c r="D4417" t="s">
        <v>683</v>
      </c>
    </row>
    <row r="4418" spans="1:4">
      <c r="A4418" s="2">
        <v>0.14987807418664917</v>
      </c>
      <c r="B4418" t="s">
        <v>539</v>
      </c>
      <c r="C4418" t="s">
        <v>683</v>
      </c>
      <c r="D4418" t="s">
        <v>683</v>
      </c>
    </row>
    <row r="4419" spans="1:4">
      <c r="A4419" s="2">
        <v>0.3965421524308034</v>
      </c>
      <c r="B4419" t="s">
        <v>540</v>
      </c>
      <c r="C4419" t="s">
        <v>683</v>
      </c>
      <c r="D4419" t="s">
        <v>683</v>
      </c>
    </row>
    <row r="4420" spans="1:4">
      <c r="A4420" s="2">
        <v>0.20998257144656993</v>
      </c>
      <c r="B4420" t="s">
        <v>541</v>
      </c>
      <c r="C4420" t="s">
        <v>683</v>
      </c>
      <c r="D4420" t="s">
        <v>683</v>
      </c>
    </row>
    <row r="4421" spans="1:4">
      <c r="A4421" s="2">
        <v>1</v>
      </c>
      <c r="B4421" t="s">
        <v>542</v>
      </c>
      <c r="C4421" t="s">
        <v>683</v>
      </c>
      <c r="D4421" t="s">
        <v>683</v>
      </c>
    </row>
    <row r="4422" spans="1:4">
      <c r="A4422" s="2">
        <v>6.8415</v>
      </c>
      <c r="B4422" t="s">
        <v>364</v>
      </c>
      <c r="C4422" t="s">
        <v>683</v>
      </c>
      <c r="D4422" t="s">
        <v>684</v>
      </c>
    </row>
    <row r="4423" spans="1:4">
      <c r="A4423" s="2">
        <v>7.9534</v>
      </c>
      <c r="B4423" t="s">
        <v>373</v>
      </c>
      <c r="C4423" t="s">
        <v>683</v>
      </c>
      <c r="D4423" t="s">
        <v>684</v>
      </c>
    </row>
    <row r="4424" spans="1:4">
      <c r="A4424" s="2">
        <v>0.043126</v>
      </c>
      <c r="B4424" t="s">
        <v>520</v>
      </c>
      <c r="C4424" t="s">
        <v>683</v>
      </c>
      <c r="D4424" t="s">
        <v>684</v>
      </c>
    </row>
    <row r="4425" spans="1:4">
      <c r="A4425" s="2">
        <v>0.87343</v>
      </c>
      <c r="B4425" t="s">
        <v>370</v>
      </c>
      <c r="C4425" t="s">
        <v>683</v>
      </c>
      <c r="D4425" t="s">
        <v>684</v>
      </c>
    </row>
    <row r="4426" spans="1:4">
      <c r="A4426" s="2">
        <v>9.1349</v>
      </c>
      <c r="B4426" t="s">
        <v>521</v>
      </c>
      <c r="C4426" t="s">
        <v>683</v>
      </c>
      <c r="D4426" t="s">
        <v>684</v>
      </c>
    </row>
    <row r="4427" spans="1:4">
      <c r="A4427" s="2">
        <v>4.9244</v>
      </c>
      <c r="B4427" t="s">
        <v>522</v>
      </c>
      <c r="C4427" t="s">
        <v>683</v>
      </c>
      <c r="D4427" t="s">
        <v>684</v>
      </c>
    </row>
    <row r="4428" spans="1:4">
      <c r="A4428" s="2">
        <v>4.0275</v>
      </c>
      <c r="B4428" t="s">
        <v>523</v>
      </c>
      <c r="C4428" t="s">
        <v>683</v>
      </c>
      <c r="D4428" t="s">
        <v>684</v>
      </c>
    </row>
    <row r="4429" spans="1:4">
      <c r="A4429" s="2">
        <v>5.344600000000001</v>
      </c>
      <c r="B4429" t="s">
        <v>524</v>
      </c>
      <c r="C4429" t="s">
        <v>683</v>
      </c>
      <c r="D4429" t="s">
        <v>684</v>
      </c>
    </row>
    <row r="4430" spans="1:4">
      <c r="A4430" s="2">
        <v>8.7042</v>
      </c>
      <c r="B4430" t="s">
        <v>525</v>
      </c>
      <c r="C4430" t="s">
        <v>683</v>
      </c>
      <c r="D4430" t="s">
        <v>684</v>
      </c>
    </row>
    <row r="4431" spans="1:4">
      <c r="A4431" s="2">
        <v>4.9687</v>
      </c>
      <c r="B4431" t="s">
        <v>526</v>
      </c>
      <c r="C4431" t="s">
        <v>683</v>
      </c>
      <c r="D4431" t="s">
        <v>684</v>
      </c>
    </row>
    <row r="4432" spans="1:4">
      <c r="A4432" s="2">
        <v>0.8476012883539583</v>
      </c>
      <c r="B4432" t="s">
        <v>527</v>
      </c>
      <c r="C4432" t="s">
        <v>683</v>
      </c>
      <c r="D4432" t="s">
        <v>684</v>
      </c>
    </row>
    <row r="4433" spans="1:4">
      <c r="A4433" s="2">
        <v>1.7358398861289035</v>
      </c>
      <c r="B4433" t="s">
        <v>528</v>
      </c>
      <c r="C4433" t="s">
        <v>683</v>
      </c>
      <c r="D4433" t="s">
        <v>684</v>
      </c>
    </row>
    <row r="4434" spans="1:4">
      <c r="A4434" s="2">
        <v>0.09274975189441367</v>
      </c>
      <c r="B4434" t="s">
        <v>529</v>
      </c>
      <c r="C4434" t="s">
        <v>683</v>
      </c>
      <c r="D4434" t="s">
        <v>684</v>
      </c>
    </row>
    <row r="4435" spans="1:4">
      <c r="A4435" s="2">
        <v>0.413890153553247</v>
      </c>
      <c r="B4435" t="s">
        <v>530</v>
      </c>
      <c r="C4435" t="s">
        <v>683</v>
      </c>
      <c r="D4435" t="s">
        <v>684</v>
      </c>
    </row>
    <row r="4436" spans="1:4">
      <c r="A4436" s="2">
        <v>0.004553526706434133</v>
      </c>
      <c r="B4436" t="s">
        <v>531</v>
      </c>
      <c r="C4436" t="s">
        <v>683</v>
      </c>
      <c r="D4436" t="s">
        <v>684</v>
      </c>
    </row>
    <row r="4437" spans="1:4">
      <c r="A4437" s="2">
        <v>1.856045139017781</v>
      </c>
      <c r="B4437" t="s">
        <v>532</v>
      </c>
      <c r="C4437" t="s">
        <v>683</v>
      </c>
      <c r="D4437" t="s">
        <v>684</v>
      </c>
    </row>
    <row r="4438" spans="1:4">
      <c r="A4438" s="2">
        <v>1.8167614410551751</v>
      </c>
      <c r="B4438" t="s">
        <v>533</v>
      </c>
      <c r="C4438" t="s">
        <v>683</v>
      </c>
      <c r="D4438" t="s">
        <v>684</v>
      </c>
    </row>
    <row r="4439" spans="1:4">
      <c r="A4439" s="2">
        <v>0.02226021298571785</v>
      </c>
      <c r="B4439" t="s">
        <v>534</v>
      </c>
      <c r="C4439" t="s">
        <v>683</v>
      </c>
      <c r="D4439" t="s">
        <v>684</v>
      </c>
    </row>
    <row r="4440" spans="1:4">
      <c r="A4440" s="2">
        <v>1.877158732542424</v>
      </c>
      <c r="B4440" t="s">
        <v>535</v>
      </c>
      <c r="C4440" t="s">
        <v>683</v>
      </c>
      <c r="D4440" t="s">
        <v>684</v>
      </c>
    </row>
    <row r="4441" spans="1:4">
      <c r="A4441" s="2">
        <v>1.064282673478076</v>
      </c>
      <c r="B4441" t="s">
        <v>536</v>
      </c>
      <c r="C4441" t="s">
        <v>683</v>
      </c>
      <c r="D4441" t="s">
        <v>684</v>
      </c>
    </row>
    <row r="4442" spans="1:4">
      <c r="A4442" s="2">
        <v>0.7257947452460444</v>
      </c>
      <c r="B4442" t="s">
        <v>537</v>
      </c>
      <c r="C4442" t="s">
        <v>683</v>
      </c>
      <c r="D4442" t="s">
        <v>684</v>
      </c>
    </row>
    <row r="4443" spans="1:4">
      <c r="A4443" s="2">
        <v>0.7346998751010212</v>
      </c>
      <c r="B4443" t="s">
        <v>538</v>
      </c>
      <c r="C4443" t="s">
        <v>683</v>
      </c>
      <c r="D4443" t="s">
        <v>684</v>
      </c>
    </row>
    <row r="4444" spans="1:4">
      <c r="A4444" s="2">
        <v>0.14987807418664917</v>
      </c>
      <c r="B4444" t="s">
        <v>539</v>
      </c>
      <c r="C4444" t="s">
        <v>683</v>
      </c>
      <c r="D4444" t="s">
        <v>684</v>
      </c>
    </row>
    <row r="4445" spans="1:4">
      <c r="A4445" s="2">
        <v>0.3965421524308034</v>
      </c>
      <c r="B4445" t="s">
        <v>540</v>
      </c>
      <c r="C4445" t="s">
        <v>683</v>
      </c>
      <c r="D4445" t="s">
        <v>684</v>
      </c>
    </row>
    <row r="4446" spans="1:4">
      <c r="A4446" s="2">
        <v>0.20998257144656993</v>
      </c>
      <c r="B4446" t="s">
        <v>541</v>
      </c>
      <c r="C4446" t="s">
        <v>683</v>
      </c>
      <c r="D4446" t="s">
        <v>684</v>
      </c>
    </row>
    <row r="4447" spans="1:4">
      <c r="A4447" s="2">
        <v>1</v>
      </c>
      <c r="B4447" t="s">
        <v>542</v>
      </c>
      <c r="C4447" t="s">
        <v>684</v>
      </c>
      <c r="D4447" t="s">
        <v>684</v>
      </c>
    </row>
    <row r="4448" spans="1:4">
      <c r="A4448" s="2">
        <v>6.8415</v>
      </c>
      <c r="B4448" t="s">
        <v>364</v>
      </c>
      <c r="C4448" t="s">
        <v>683</v>
      </c>
      <c r="D4448" t="s">
        <v>685</v>
      </c>
    </row>
    <row r="4449" spans="1:4">
      <c r="A4449" s="2">
        <v>7.9534</v>
      </c>
      <c r="B4449" t="s">
        <v>373</v>
      </c>
      <c r="C4449" t="s">
        <v>683</v>
      </c>
      <c r="D4449" t="s">
        <v>685</v>
      </c>
    </row>
    <row r="4450" spans="1:4">
      <c r="A4450" s="2">
        <v>0.043126</v>
      </c>
      <c r="B4450" t="s">
        <v>520</v>
      </c>
      <c r="C4450" t="s">
        <v>683</v>
      </c>
      <c r="D4450" t="s">
        <v>685</v>
      </c>
    </row>
    <row r="4451" spans="1:4">
      <c r="A4451" s="2">
        <v>0.87343</v>
      </c>
      <c r="B4451" t="s">
        <v>370</v>
      </c>
      <c r="C4451" t="s">
        <v>683</v>
      </c>
      <c r="D4451" t="s">
        <v>685</v>
      </c>
    </row>
    <row r="4452" spans="1:4">
      <c r="A4452" s="2">
        <v>9.1349</v>
      </c>
      <c r="B4452" t="s">
        <v>521</v>
      </c>
      <c r="C4452" t="s">
        <v>683</v>
      </c>
      <c r="D4452" t="s">
        <v>685</v>
      </c>
    </row>
    <row r="4453" spans="1:4">
      <c r="A4453" s="2">
        <v>4.9244</v>
      </c>
      <c r="B4453" t="s">
        <v>522</v>
      </c>
      <c r="C4453" t="s">
        <v>683</v>
      </c>
      <c r="D4453" t="s">
        <v>685</v>
      </c>
    </row>
    <row r="4454" spans="1:4">
      <c r="A4454" s="2">
        <v>4.0275</v>
      </c>
      <c r="B4454" t="s">
        <v>523</v>
      </c>
      <c r="C4454" t="s">
        <v>683</v>
      </c>
      <c r="D4454" t="s">
        <v>685</v>
      </c>
    </row>
    <row r="4455" spans="1:4">
      <c r="A4455" s="2">
        <v>5.344600000000001</v>
      </c>
      <c r="B4455" t="s">
        <v>524</v>
      </c>
      <c r="C4455" t="s">
        <v>683</v>
      </c>
      <c r="D4455" t="s">
        <v>685</v>
      </c>
    </row>
    <row r="4456" spans="1:4">
      <c r="A4456" s="2">
        <v>8.7042</v>
      </c>
      <c r="B4456" t="s">
        <v>525</v>
      </c>
      <c r="C4456" t="s">
        <v>683</v>
      </c>
      <c r="D4456" t="s">
        <v>685</v>
      </c>
    </row>
    <row r="4457" spans="1:4">
      <c r="A4457" s="2">
        <v>4.9687</v>
      </c>
      <c r="B4457" t="s">
        <v>526</v>
      </c>
      <c r="C4457" t="s">
        <v>683</v>
      </c>
      <c r="D4457" t="s">
        <v>685</v>
      </c>
    </row>
    <row r="4458" spans="1:4">
      <c r="A4458" s="2">
        <v>0.8476012883539583</v>
      </c>
      <c r="B4458" t="s">
        <v>527</v>
      </c>
      <c r="C4458" t="s">
        <v>683</v>
      </c>
      <c r="D4458" t="s">
        <v>685</v>
      </c>
    </row>
    <row r="4459" spans="1:4">
      <c r="A4459" s="2">
        <v>1.7358398861289035</v>
      </c>
      <c r="B4459" t="s">
        <v>528</v>
      </c>
      <c r="C4459" t="s">
        <v>683</v>
      </c>
      <c r="D4459" t="s">
        <v>685</v>
      </c>
    </row>
    <row r="4460" spans="1:4">
      <c r="A4460" s="2">
        <v>0.09274975189441367</v>
      </c>
      <c r="B4460" t="s">
        <v>529</v>
      </c>
      <c r="C4460" t="s">
        <v>683</v>
      </c>
      <c r="D4460" t="s">
        <v>685</v>
      </c>
    </row>
    <row r="4461" spans="1:4">
      <c r="A4461" s="2">
        <v>0.413890153553247</v>
      </c>
      <c r="B4461" t="s">
        <v>530</v>
      </c>
      <c r="C4461" t="s">
        <v>683</v>
      </c>
      <c r="D4461" t="s">
        <v>685</v>
      </c>
    </row>
    <row r="4462" spans="1:4">
      <c r="A4462" s="2">
        <v>0.004553526706434133</v>
      </c>
      <c r="B4462" t="s">
        <v>531</v>
      </c>
      <c r="C4462" t="s">
        <v>683</v>
      </c>
      <c r="D4462" t="s">
        <v>685</v>
      </c>
    </row>
    <row r="4463" spans="1:4">
      <c r="A4463" s="2">
        <v>1.856045139017781</v>
      </c>
      <c r="B4463" t="s">
        <v>532</v>
      </c>
      <c r="C4463" t="s">
        <v>683</v>
      </c>
      <c r="D4463" t="s">
        <v>685</v>
      </c>
    </row>
    <row r="4464" spans="1:4">
      <c r="A4464" s="2">
        <v>1.8167614410551751</v>
      </c>
      <c r="B4464" t="s">
        <v>533</v>
      </c>
      <c r="C4464" t="s">
        <v>683</v>
      </c>
      <c r="D4464" t="s">
        <v>685</v>
      </c>
    </row>
    <row r="4465" spans="1:4">
      <c r="A4465" s="2">
        <v>0.02226021298571785</v>
      </c>
      <c r="B4465" t="s">
        <v>534</v>
      </c>
      <c r="C4465" t="s">
        <v>683</v>
      </c>
      <c r="D4465" t="s">
        <v>685</v>
      </c>
    </row>
    <row r="4466" spans="1:4">
      <c r="A4466" s="2">
        <v>1.877158732542424</v>
      </c>
      <c r="B4466" t="s">
        <v>535</v>
      </c>
      <c r="C4466" t="s">
        <v>683</v>
      </c>
      <c r="D4466" t="s">
        <v>685</v>
      </c>
    </row>
    <row r="4467" spans="1:4">
      <c r="A4467" s="2">
        <v>1.064282673478076</v>
      </c>
      <c r="B4467" t="s">
        <v>536</v>
      </c>
      <c r="C4467" t="s">
        <v>683</v>
      </c>
      <c r="D4467" t="s">
        <v>685</v>
      </c>
    </row>
    <row r="4468" spans="1:4">
      <c r="A4468" s="2">
        <v>0.7257947452460444</v>
      </c>
      <c r="B4468" t="s">
        <v>537</v>
      </c>
      <c r="C4468" t="s">
        <v>683</v>
      </c>
      <c r="D4468" t="s">
        <v>685</v>
      </c>
    </row>
    <row r="4469" spans="1:4">
      <c r="A4469" s="2">
        <v>0.7346998751010212</v>
      </c>
      <c r="B4469" t="s">
        <v>538</v>
      </c>
      <c r="C4469" t="s">
        <v>683</v>
      </c>
      <c r="D4469" t="s">
        <v>685</v>
      </c>
    </row>
    <row r="4470" spans="1:4">
      <c r="A4470" s="2">
        <v>0.14987807418664917</v>
      </c>
      <c r="B4470" t="s">
        <v>539</v>
      </c>
      <c r="C4470" t="s">
        <v>683</v>
      </c>
      <c r="D4470" t="s">
        <v>685</v>
      </c>
    </row>
    <row r="4471" spans="1:4">
      <c r="A4471" s="2">
        <v>0.3965421524308034</v>
      </c>
      <c r="B4471" t="s">
        <v>540</v>
      </c>
      <c r="C4471" t="s">
        <v>683</v>
      </c>
      <c r="D4471" t="s">
        <v>685</v>
      </c>
    </row>
    <row r="4472" spans="1:4">
      <c r="A4472" s="2">
        <v>0.20998257144656993</v>
      </c>
      <c r="B4472" t="s">
        <v>541</v>
      </c>
      <c r="C4472" t="s">
        <v>683</v>
      </c>
      <c r="D4472" t="s">
        <v>685</v>
      </c>
    </row>
    <row r="4473" spans="1:4">
      <c r="A4473" s="2">
        <v>1</v>
      </c>
      <c r="B4473" t="s">
        <v>542</v>
      </c>
      <c r="C4473" t="s">
        <v>685</v>
      </c>
      <c r="D4473" t="s">
        <v>685</v>
      </c>
    </row>
    <row r="4474" spans="1:4">
      <c r="A4474" s="2">
        <v>6.843500000000001</v>
      </c>
      <c r="B4474" t="s">
        <v>364</v>
      </c>
      <c r="C4474" t="s">
        <v>686</v>
      </c>
      <c r="D4474" t="s">
        <v>686</v>
      </c>
    </row>
    <row r="4475" spans="1:4">
      <c r="A4475" s="2">
        <v>7.929500000000001</v>
      </c>
      <c r="B4475" t="s">
        <v>373</v>
      </c>
      <c r="C4475" t="s">
        <v>686</v>
      </c>
      <c r="D4475" t="s">
        <v>686</v>
      </c>
    </row>
    <row r="4476" spans="1:4">
      <c r="A4476" s="2">
        <v>0.04303</v>
      </c>
      <c r="B4476" t="s">
        <v>520</v>
      </c>
      <c r="C4476" t="s">
        <v>686</v>
      </c>
      <c r="D4476" t="s">
        <v>686</v>
      </c>
    </row>
    <row r="4477" spans="1:4">
      <c r="A4477" s="2">
        <v>0.87408</v>
      </c>
      <c r="B4477" t="s">
        <v>370</v>
      </c>
      <c r="C4477" t="s">
        <v>686</v>
      </c>
      <c r="D4477" t="s">
        <v>686</v>
      </c>
    </row>
    <row r="4478" spans="1:4">
      <c r="A4478" s="2">
        <v>9.0891</v>
      </c>
      <c r="B4478" t="s">
        <v>521</v>
      </c>
      <c r="C4478" t="s">
        <v>686</v>
      </c>
      <c r="D4478" t="s">
        <v>686</v>
      </c>
    </row>
    <row r="4479" spans="1:4">
      <c r="A4479" s="2">
        <v>4.8721</v>
      </c>
      <c r="B4479" t="s">
        <v>522</v>
      </c>
      <c r="C4479" t="s">
        <v>686</v>
      </c>
      <c r="D4479" t="s">
        <v>686</v>
      </c>
    </row>
    <row r="4480" spans="1:4">
      <c r="A4480" s="2">
        <v>3.9825</v>
      </c>
      <c r="B4480" t="s">
        <v>523</v>
      </c>
      <c r="C4480" t="s">
        <v>686</v>
      </c>
      <c r="D4480" t="s">
        <v>686</v>
      </c>
    </row>
    <row r="4481" spans="1:4">
      <c r="A4481" s="2">
        <v>5.329199999999999</v>
      </c>
      <c r="B4481" t="s">
        <v>524</v>
      </c>
      <c r="C4481" t="s">
        <v>686</v>
      </c>
      <c r="D4481" t="s">
        <v>686</v>
      </c>
    </row>
    <row r="4482" spans="1:4">
      <c r="A4482" s="2">
        <v>8.677200000000001</v>
      </c>
      <c r="B4482" t="s">
        <v>525</v>
      </c>
      <c r="C4482" t="s">
        <v>686</v>
      </c>
      <c r="D4482" t="s">
        <v>686</v>
      </c>
    </row>
    <row r="4483" spans="1:4">
      <c r="A4483" s="2">
        <v>4.9608</v>
      </c>
      <c r="B4483" t="s">
        <v>526</v>
      </c>
      <c r="C4483" t="s">
        <v>686</v>
      </c>
      <c r="D4483" t="s">
        <v>686</v>
      </c>
    </row>
    <row r="4484" spans="1:4">
      <c r="A4484" s="2">
        <v>0.8482483671218933</v>
      </c>
      <c r="B4484" t="s">
        <v>527</v>
      </c>
      <c r="C4484" t="s">
        <v>686</v>
      </c>
      <c r="D4484" t="s">
        <v>686</v>
      </c>
    </row>
    <row r="4485" spans="1:4">
      <c r="A4485" s="2">
        <v>1.7232465965879715</v>
      </c>
      <c r="B4485" t="s">
        <v>528</v>
      </c>
      <c r="C4485" t="s">
        <v>686</v>
      </c>
      <c r="D4485" t="s">
        <v>686</v>
      </c>
    </row>
    <row r="4486" spans="1:4">
      <c r="A4486" s="2">
        <v>0.09345095693779903</v>
      </c>
      <c r="B4486" t="s">
        <v>529</v>
      </c>
      <c r="C4486" t="s">
        <v>686</v>
      </c>
      <c r="D4486" t="s">
        <v>686</v>
      </c>
    </row>
    <row r="4487" spans="1:4">
      <c r="A4487" s="2">
        <v>0.40863027133050017</v>
      </c>
      <c r="B4487" t="s">
        <v>530</v>
      </c>
      <c r="C4487" t="s">
        <v>686</v>
      </c>
      <c r="D4487" t="s">
        <v>686</v>
      </c>
    </row>
    <row r="4488" spans="1:4">
      <c r="A4488" s="2">
        <v>0.0045466945530599255</v>
      </c>
      <c r="B4488" t="s">
        <v>531</v>
      </c>
      <c r="C4488" t="s">
        <v>686</v>
      </c>
      <c r="D4488" t="s">
        <v>686</v>
      </c>
    </row>
    <row r="4489" spans="1:4">
      <c r="A4489" s="2">
        <v>1.8579072532699168</v>
      </c>
      <c r="B4489" t="s">
        <v>532</v>
      </c>
      <c r="C4489" t="s">
        <v>686</v>
      </c>
      <c r="D4489" t="s">
        <v>686</v>
      </c>
    </row>
    <row r="4490" spans="1:4">
      <c r="A4490" s="2">
        <v>1.8183471224656789</v>
      </c>
      <c r="B4490" t="s">
        <v>533</v>
      </c>
      <c r="C4490" t="s">
        <v>686</v>
      </c>
      <c r="D4490" t="s">
        <v>686</v>
      </c>
    </row>
    <row r="4491" spans="1:4">
      <c r="A4491" s="2">
        <v>0.02196103234420843</v>
      </c>
      <c r="B4491" t="s">
        <v>534</v>
      </c>
      <c r="C4491" t="s">
        <v>686</v>
      </c>
      <c r="D4491" t="s">
        <v>686</v>
      </c>
    </row>
    <row r="4492" spans="1:4">
      <c r="A4492" s="2">
        <v>1.8681113394358304</v>
      </c>
      <c r="B4492" t="s">
        <v>535</v>
      </c>
      <c r="C4492" t="s">
        <v>686</v>
      </c>
      <c r="D4492" t="s">
        <v>686</v>
      </c>
    </row>
    <row r="4493" spans="1:4">
      <c r="A4493" s="2">
        <v>1.0610079575596818</v>
      </c>
      <c r="B4493" t="s">
        <v>536</v>
      </c>
      <c r="C4493" t="s">
        <v>686</v>
      </c>
      <c r="D4493" t="s">
        <v>686</v>
      </c>
    </row>
    <row r="4494" spans="1:4">
      <c r="A4494" s="2">
        <v>0.7226477814713109</v>
      </c>
      <c r="B4494" t="s">
        <v>537</v>
      </c>
      <c r="C4494" t="s">
        <v>686</v>
      </c>
      <c r="D4494" t="s">
        <v>686</v>
      </c>
    </row>
    <row r="4495" spans="1:4">
      <c r="A4495" s="2">
        <v>0.7323324789454412</v>
      </c>
      <c r="B4495" t="s">
        <v>538</v>
      </c>
      <c r="C4495" t="s">
        <v>686</v>
      </c>
      <c r="D4495" t="s">
        <v>686</v>
      </c>
    </row>
    <row r="4496" spans="1:4">
      <c r="A4496" s="2">
        <v>0.14987650176254766</v>
      </c>
      <c r="B4496" t="s">
        <v>539</v>
      </c>
      <c r="C4496" t="s">
        <v>686</v>
      </c>
      <c r="D4496" t="s">
        <v>686</v>
      </c>
    </row>
    <row r="4497" spans="1:4">
      <c r="A4497" s="2">
        <v>0.39394894421682947</v>
      </c>
      <c r="B4497" t="s">
        <v>540</v>
      </c>
      <c r="C4497" t="s">
        <v>686</v>
      </c>
      <c r="D4497" t="s">
        <v>686</v>
      </c>
    </row>
    <row r="4498" spans="1:4">
      <c r="A4498" s="2">
        <v>0.20842017507294705</v>
      </c>
      <c r="B4498" t="s">
        <v>541</v>
      </c>
      <c r="C4498" t="s">
        <v>686</v>
      </c>
      <c r="D4498" t="s">
        <v>686</v>
      </c>
    </row>
    <row r="4499" spans="1:4">
      <c r="A4499" s="2">
        <v>1</v>
      </c>
      <c r="B4499" t="s">
        <v>542</v>
      </c>
      <c r="C4499" t="s">
        <v>686</v>
      </c>
      <c r="D4499" t="s">
        <v>686</v>
      </c>
    </row>
    <row r="4500" spans="1:4">
      <c r="A4500" s="2">
        <v>6.8375</v>
      </c>
      <c r="B4500" t="s">
        <v>364</v>
      </c>
      <c r="C4500" t="s">
        <v>687</v>
      </c>
      <c r="D4500" t="s">
        <v>687</v>
      </c>
    </row>
    <row r="4501" spans="1:4">
      <c r="A4501" s="2">
        <v>7.9437</v>
      </c>
      <c r="B4501" t="s">
        <v>373</v>
      </c>
      <c r="C4501" t="s">
        <v>687</v>
      </c>
      <c r="D4501" t="s">
        <v>687</v>
      </c>
    </row>
    <row r="4502" spans="1:4">
      <c r="A4502" s="2">
        <v>0.042979</v>
      </c>
      <c r="B4502" t="s">
        <v>520</v>
      </c>
      <c r="C4502" t="s">
        <v>687</v>
      </c>
      <c r="D4502" t="s">
        <v>687</v>
      </c>
    </row>
    <row r="4503" spans="1:4">
      <c r="A4503" s="2">
        <v>0.87318</v>
      </c>
      <c r="B4503" t="s">
        <v>370</v>
      </c>
      <c r="C4503" t="s">
        <v>687</v>
      </c>
      <c r="D4503" t="s">
        <v>687</v>
      </c>
    </row>
    <row r="4504" spans="1:4">
      <c r="A4504" s="2">
        <v>9.1562</v>
      </c>
      <c r="B4504" t="s">
        <v>521</v>
      </c>
      <c r="C4504" t="s">
        <v>687</v>
      </c>
      <c r="D4504" t="s">
        <v>687</v>
      </c>
    </row>
    <row r="4505" spans="1:4">
      <c r="A4505" s="2">
        <v>4.8864</v>
      </c>
      <c r="B4505" t="s">
        <v>522</v>
      </c>
      <c r="C4505" t="s">
        <v>687</v>
      </c>
      <c r="D4505" t="s">
        <v>687</v>
      </c>
    </row>
    <row r="4506" spans="1:4">
      <c r="A4506" s="2">
        <v>4.0020999999999995</v>
      </c>
      <c r="B4506" t="s">
        <v>523</v>
      </c>
      <c r="C4506" t="s">
        <v>687</v>
      </c>
      <c r="D4506" t="s">
        <v>687</v>
      </c>
    </row>
    <row r="4507" spans="1:4">
      <c r="A4507" s="2">
        <v>5.333200000000001</v>
      </c>
      <c r="B4507" t="s">
        <v>524</v>
      </c>
      <c r="C4507" t="s">
        <v>687</v>
      </c>
      <c r="D4507" t="s">
        <v>687</v>
      </c>
    </row>
    <row r="4508" spans="1:4">
      <c r="A4508" s="2">
        <v>8.693999999999999</v>
      </c>
      <c r="B4508" t="s">
        <v>525</v>
      </c>
      <c r="C4508" t="s">
        <v>687</v>
      </c>
      <c r="D4508" t="s">
        <v>687</v>
      </c>
    </row>
    <row r="4509" spans="1:4">
      <c r="A4509" s="2">
        <v>4.959</v>
      </c>
      <c r="B4509" t="s">
        <v>526</v>
      </c>
      <c r="C4509" t="s">
        <v>687</v>
      </c>
      <c r="D4509" t="s">
        <v>687</v>
      </c>
    </row>
    <row r="4510" spans="1:4">
      <c r="A4510" s="2">
        <v>0.8473140145738011</v>
      </c>
      <c r="B4510" t="s">
        <v>527</v>
      </c>
      <c r="C4510" t="s">
        <v>687</v>
      </c>
      <c r="D4510" t="s">
        <v>687</v>
      </c>
    </row>
    <row r="4511" spans="1:4">
      <c r="A4511" s="2">
        <v>1.7172983462416924</v>
      </c>
      <c r="B4511" t="s">
        <v>528</v>
      </c>
      <c r="C4511" t="s">
        <v>687</v>
      </c>
      <c r="D4511" t="s">
        <v>687</v>
      </c>
    </row>
    <row r="4512" spans="1:4">
      <c r="A4512" s="2">
        <v>0.09373125374925012</v>
      </c>
      <c r="B4512" t="s">
        <v>529</v>
      </c>
      <c r="C4512" t="s">
        <v>687</v>
      </c>
      <c r="D4512" t="s">
        <v>687</v>
      </c>
    </row>
    <row r="4513" spans="1:4">
      <c r="A4513" s="2">
        <v>0.41148876635667847</v>
      </c>
      <c r="B4513" t="s">
        <v>530</v>
      </c>
      <c r="C4513" t="s">
        <v>687</v>
      </c>
      <c r="D4513" t="s">
        <v>687</v>
      </c>
    </row>
    <row r="4514" spans="1:4">
      <c r="A4514" s="2">
        <v>0.00455622380171314</v>
      </c>
      <c r="B4514" t="s">
        <v>531</v>
      </c>
      <c r="C4514" t="s">
        <v>687</v>
      </c>
      <c r="D4514" t="s">
        <v>687</v>
      </c>
    </row>
    <row r="4515" spans="1:4">
      <c r="A4515" s="2">
        <v>1.854874610476332</v>
      </c>
      <c r="B4515" t="s">
        <v>532</v>
      </c>
      <c r="C4515" t="s">
        <v>687</v>
      </c>
      <c r="D4515" t="s">
        <v>687</v>
      </c>
    </row>
    <row r="4516" spans="1:4">
      <c r="A4516" s="2">
        <v>1.8153762367250612</v>
      </c>
      <c r="B4516" t="s">
        <v>533</v>
      </c>
      <c r="C4516" t="s">
        <v>687</v>
      </c>
      <c r="D4516" t="s">
        <v>687</v>
      </c>
    </row>
    <row r="4517" spans="1:4">
      <c r="A4517" s="2">
        <v>0.022073154849803215</v>
      </c>
      <c r="B4517" t="s">
        <v>534</v>
      </c>
      <c r="C4517" t="s">
        <v>687</v>
      </c>
      <c r="D4517" t="s">
        <v>687</v>
      </c>
    </row>
    <row r="4518" spans="1:4">
      <c r="A4518" s="2">
        <v>1.875574394658364</v>
      </c>
      <c r="B4518" t="s">
        <v>535</v>
      </c>
      <c r="C4518" t="s">
        <v>687</v>
      </c>
      <c r="D4518" t="s">
        <v>687</v>
      </c>
    </row>
    <row r="4519" spans="1:4">
      <c r="A4519" s="2">
        <v>1.06315118009781</v>
      </c>
      <c r="B4519" t="s">
        <v>536</v>
      </c>
      <c r="C4519" t="s">
        <v>687</v>
      </c>
      <c r="D4519" t="s">
        <v>687</v>
      </c>
    </row>
    <row r="4520" spans="1:4">
      <c r="A4520" s="2">
        <v>0.7265329845975008</v>
      </c>
      <c r="B4520" t="s">
        <v>537</v>
      </c>
      <c r="C4520" t="s">
        <v>687</v>
      </c>
      <c r="D4520" t="s">
        <v>687</v>
      </c>
    </row>
    <row r="4521" spans="1:4">
      <c r="A4521" s="2">
        <v>0.7357268981753974</v>
      </c>
      <c r="B4521" t="s">
        <v>538</v>
      </c>
      <c r="C4521" t="s">
        <v>687</v>
      </c>
      <c r="D4521" t="s">
        <v>687</v>
      </c>
    </row>
    <row r="4522" spans="1:4">
      <c r="A4522" s="2">
        <v>0.14959534459287627</v>
      </c>
      <c r="B4522" t="s">
        <v>539</v>
      </c>
      <c r="C4522" t="s">
        <v>687</v>
      </c>
      <c r="D4522" t="s">
        <v>687</v>
      </c>
    </row>
    <row r="4523" spans="1:4">
      <c r="A4523" s="2">
        <v>0.3953037909633554</v>
      </c>
      <c r="B4523" t="s">
        <v>540</v>
      </c>
      <c r="C4523" t="s">
        <v>687</v>
      </c>
      <c r="D4523" t="s">
        <v>687</v>
      </c>
    </row>
    <row r="4524" spans="1:4">
      <c r="A4524" s="2">
        <v>0.20913501756734143</v>
      </c>
      <c r="B4524" t="s">
        <v>541</v>
      </c>
      <c r="C4524" t="s">
        <v>687</v>
      </c>
      <c r="D4524" t="s">
        <v>687</v>
      </c>
    </row>
    <row r="4525" spans="1:4">
      <c r="A4525" s="2">
        <v>1</v>
      </c>
      <c r="B4525" t="s">
        <v>542</v>
      </c>
      <c r="C4525" t="s">
        <v>687</v>
      </c>
      <c r="D4525" t="s">
        <v>687</v>
      </c>
    </row>
    <row r="4526" spans="1:4">
      <c r="A4526" s="2">
        <v>6.839700000000001</v>
      </c>
      <c r="B4526" t="s">
        <v>364</v>
      </c>
      <c r="C4526" t="s">
        <v>688</v>
      </c>
      <c r="D4526" t="s">
        <v>688</v>
      </c>
    </row>
    <row r="4527" spans="1:4">
      <c r="A4527" s="2">
        <v>7.9207</v>
      </c>
      <c r="B4527" t="s">
        <v>373</v>
      </c>
      <c r="C4527" t="s">
        <v>688</v>
      </c>
      <c r="D4527" t="s">
        <v>688</v>
      </c>
    </row>
    <row r="4528" spans="1:4">
      <c r="A4528" s="2">
        <v>0.042961</v>
      </c>
      <c r="B4528" t="s">
        <v>520</v>
      </c>
      <c r="C4528" t="s">
        <v>688</v>
      </c>
      <c r="D4528" t="s">
        <v>688</v>
      </c>
    </row>
    <row r="4529" spans="1:4">
      <c r="A4529" s="2">
        <v>0.87306</v>
      </c>
      <c r="B4529" t="s">
        <v>370</v>
      </c>
      <c r="C4529" t="s">
        <v>688</v>
      </c>
      <c r="D4529" t="s">
        <v>688</v>
      </c>
    </row>
    <row r="4530" spans="1:4">
      <c r="A4530" s="2">
        <v>9.1442</v>
      </c>
      <c r="B4530" t="s">
        <v>521</v>
      </c>
      <c r="C4530" t="s">
        <v>688</v>
      </c>
      <c r="D4530" t="s">
        <v>688</v>
      </c>
    </row>
    <row r="4531" spans="1:4">
      <c r="A4531" s="2">
        <v>4.8498</v>
      </c>
      <c r="B4531" t="s">
        <v>522</v>
      </c>
      <c r="C4531" t="s">
        <v>688</v>
      </c>
      <c r="D4531" t="s">
        <v>688</v>
      </c>
    </row>
    <row r="4532" spans="1:4">
      <c r="A4532" s="2">
        <v>3.9812</v>
      </c>
      <c r="B4532" t="s">
        <v>523</v>
      </c>
      <c r="C4532" t="s">
        <v>688</v>
      </c>
      <c r="D4532" t="s">
        <v>688</v>
      </c>
    </row>
    <row r="4533" spans="1:4">
      <c r="A4533" s="2">
        <v>5.3263</v>
      </c>
      <c r="B4533" t="s">
        <v>524</v>
      </c>
      <c r="C4533" t="s">
        <v>688</v>
      </c>
      <c r="D4533" t="s">
        <v>688</v>
      </c>
    </row>
    <row r="4534" spans="1:4">
      <c r="A4534" s="2">
        <v>8.656</v>
      </c>
      <c r="B4534" t="s">
        <v>525</v>
      </c>
      <c r="C4534" t="s">
        <v>688</v>
      </c>
      <c r="D4534" t="s">
        <v>688</v>
      </c>
    </row>
    <row r="4535" spans="1:4">
      <c r="A4535" s="2">
        <v>4.9629</v>
      </c>
      <c r="B4535" t="s">
        <v>526</v>
      </c>
      <c r="C4535" t="s">
        <v>688</v>
      </c>
      <c r="D4535" t="s">
        <v>688</v>
      </c>
    </row>
    <row r="4536" spans="1:4">
      <c r="A4536" s="2">
        <v>0.8472422265525714</v>
      </c>
      <c r="B4536" t="s">
        <v>527</v>
      </c>
      <c r="C4536" t="s">
        <v>688</v>
      </c>
      <c r="D4536" t="s">
        <v>688</v>
      </c>
    </row>
    <row r="4537" spans="1:4">
      <c r="A4537" s="2">
        <v>1.7166497862771015</v>
      </c>
      <c r="B4537" t="s">
        <v>528</v>
      </c>
      <c r="C4537" t="s">
        <v>688</v>
      </c>
      <c r="D4537" t="s">
        <v>688</v>
      </c>
    </row>
    <row r="4538" spans="1:4">
      <c r="A4538" s="2">
        <v>0.09573958831977022</v>
      </c>
      <c r="B4538" t="s">
        <v>529</v>
      </c>
      <c r="C4538" t="s">
        <v>688</v>
      </c>
      <c r="D4538" t="s">
        <v>688</v>
      </c>
    </row>
    <row r="4539" spans="1:4">
      <c r="A4539" s="2">
        <v>0.4087638979725311</v>
      </c>
      <c r="B4539" t="s">
        <v>530</v>
      </c>
      <c r="C4539" t="s">
        <v>688</v>
      </c>
      <c r="D4539" t="s">
        <v>688</v>
      </c>
    </row>
    <row r="4540" spans="1:4">
      <c r="A4540" s="2">
        <v>0.004515895953757226</v>
      </c>
      <c r="B4540" t="s">
        <v>531</v>
      </c>
      <c r="C4540" t="s">
        <v>688</v>
      </c>
      <c r="D4540" t="s">
        <v>688</v>
      </c>
    </row>
    <row r="4541" spans="1:4">
      <c r="A4541" s="2">
        <v>1.857113673927981</v>
      </c>
      <c r="B4541" t="s">
        <v>532</v>
      </c>
      <c r="C4541" t="s">
        <v>688</v>
      </c>
      <c r="D4541" t="s">
        <v>688</v>
      </c>
    </row>
    <row r="4542" spans="1:4">
      <c r="A4542" s="2">
        <v>1.817851299763679</v>
      </c>
      <c r="B4542" t="s">
        <v>533</v>
      </c>
      <c r="C4542" t="s">
        <v>688</v>
      </c>
      <c r="D4542" t="s">
        <v>688</v>
      </c>
    </row>
    <row r="4543" spans="1:4">
      <c r="A4543" s="2">
        <v>0.021923574419573367</v>
      </c>
      <c r="B4543" t="s">
        <v>534</v>
      </c>
      <c r="C4543" t="s">
        <v>688</v>
      </c>
      <c r="D4543" t="s">
        <v>688</v>
      </c>
    </row>
    <row r="4544" spans="1:4">
      <c r="A4544" s="2">
        <v>1.8654976214905328</v>
      </c>
      <c r="B4544" t="s">
        <v>535</v>
      </c>
      <c r="C4544" t="s">
        <v>688</v>
      </c>
      <c r="D4544" t="s">
        <v>688</v>
      </c>
    </row>
    <row r="4545" spans="1:4">
      <c r="A4545" s="2">
        <v>1.060108131029365</v>
      </c>
      <c r="B4545" t="s">
        <v>536</v>
      </c>
      <c r="C4545" t="s">
        <v>688</v>
      </c>
      <c r="D4545" t="s">
        <v>688</v>
      </c>
    </row>
    <row r="4546" spans="1:4">
      <c r="A4546" s="2">
        <v>0.7258474268708717</v>
      </c>
      <c r="B4546" t="s">
        <v>537</v>
      </c>
      <c r="C4546" t="s">
        <v>688</v>
      </c>
      <c r="D4546" t="s">
        <v>688</v>
      </c>
    </row>
    <row r="4547" spans="1:4">
      <c r="A4547" s="2">
        <v>0.7357810315650063</v>
      </c>
      <c r="B4547" t="s">
        <v>538</v>
      </c>
      <c r="C4547" t="s">
        <v>688</v>
      </c>
      <c r="D4547" t="s">
        <v>688</v>
      </c>
    </row>
    <row r="4548" spans="1:4">
      <c r="A4548" s="2">
        <v>0.14970396041827286</v>
      </c>
      <c r="B4548" t="s">
        <v>539</v>
      </c>
      <c r="C4548" t="s">
        <v>688</v>
      </c>
      <c r="D4548" t="s">
        <v>688</v>
      </c>
    </row>
    <row r="4549" spans="1:4">
      <c r="A4549" s="2">
        <v>0.3925725277745063</v>
      </c>
      <c r="B4549" t="s">
        <v>540</v>
      </c>
      <c r="C4549" t="s">
        <v>688</v>
      </c>
      <c r="D4549" t="s">
        <v>688</v>
      </c>
    </row>
    <row r="4550" spans="1:4">
      <c r="A4550" s="2">
        <v>0.2085027418110548</v>
      </c>
      <c r="B4550" t="s">
        <v>541</v>
      </c>
      <c r="C4550" t="s">
        <v>688</v>
      </c>
      <c r="D4550" t="s">
        <v>688</v>
      </c>
    </row>
    <row r="4551" spans="1:4">
      <c r="A4551" s="2">
        <v>1</v>
      </c>
      <c r="B4551" t="s">
        <v>542</v>
      </c>
      <c r="C4551" t="s">
        <v>688</v>
      </c>
      <c r="D4551" t="s">
        <v>688</v>
      </c>
    </row>
    <row r="4552" spans="1:4">
      <c r="A4552" s="2">
        <v>6.8349</v>
      </c>
      <c r="B4552" t="s">
        <v>364</v>
      </c>
      <c r="C4552" t="s">
        <v>689</v>
      </c>
      <c r="D4552" t="s">
        <v>689</v>
      </c>
    </row>
    <row r="4553" spans="1:4">
      <c r="A4553" s="2">
        <v>7.9236</v>
      </c>
      <c r="B4553" t="s">
        <v>373</v>
      </c>
      <c r="C4553" t="s">
        <v>689</v>
      </c>
      <c r="D4553" t="s">
        <v>689</v>
      </c>
    </row>
    <row r="4554" spans="1:4">
      <c r="A4554" s="2">
        <v>0.042957</v>
      </c>
      <c r="B4554" t="s">
        <v>520</v>
      </c>
      <c r="C4554" t="s">
        <v>689</v>
      </c>
      <c r="D4554" t="s">
        <v>689</v>
      </c>
    </row>
    <row r="4555" spans="1:4">
      <c r="A4555" s="2">
        <v>0.87267</v>
      </c>
      <c r="B4555" t="s">
        <v>370</v>
      </c>
      <c r="C4555" t="s">
        <v>689</v>
      </c>
      <c r="D4555" t="s">
        <v>689</v>
      </c>
    </row>
    <row r="4556" spans="1:4">
      <c r="A4556" s="2">
        <v>9.1554</v>
      </c>
      <c r="B4556" t="s">
        <v>521</v>
      </c>
      <c r="C4556" t="s">
        <v>689</v>
      </c>
      <c r="D4556" t="s">
        <v>689</v>
      </c>
    </row>
    <row r="4557" spans="1:4">
      <c r="A4557" s="2">
        <v>4.8712</v>
      </c>
      <c r="B4557" t="s">
        <v>522</v>
      </c>
      <c r="C4557" t="s">
        <v>689</v>
      </c>
      <c r="D4557" t="s">
        <v>689</v>
      </c>
    </row>
    <row r="4558" spans="1:4">
      <c r="A4558" s="2">
        <v>3.9963</v>
      </c>
      <c r="B4558" t="s">
        <v>523</v>
      </c>
      <c r="C4558" t="s">
        <v>689</v>
      </c>
      <c r="D4558" t="s">
        <v>689</v>
      </c>
    </row>
    <row r="4559" spans="1:4">
      <c r="A4559" s="2">
        <v>5.3361</v>
      </c>
      <c r="B4559" t="s">
        <v>524</v>
      </c>
      <c r="C4559" t="s">
        <v>689</v>
      </c>
      <c r="D4559" t="s">
        <v>689</v>
      </c>
    </row>
    <row r="4560" spans="1:4">
      <c r="A4560" s="2">
        <v>8.6608</v>
      </c>
      <c r="B4560" t="s">
        <v>525</v>
      </c>
      <c r="C4560" t="s">
        <v>689</v>
      </c>
      <c r="D4560" t="s">
        <v>689</v>
      </c>
    </row>
    <row r="4561" spans="1:4">
      <c r="A4561" s="2">
        <v>4.9544999999999995</v>
      </c>
      <c r="B4561" t="s">
        <v>526</v>
      </c>
      <c r="C4561" t="s">
        <v>689</v>
      </c>
      <c r="D4561" t="s">
        <v>689</v>
      </c>
    </row>
    <row r="4562" spans="1:4">
      <c r="A4562" s="2">
        <v>0.846811753747142</v>
      </c>
      <c r="B4562" t="s">
        <v>527</v>
      </c>
      <c r="C4562" t="s">
        <v>689</v>
      </c>
      <c r="D4562" t="s">
        <v>689</v>
      </c>
    </row>
    <row r="4563" spans="1:4">
      <c r="A4563" s="2">
        <v>1.7204301075268815</v>
      </c>
      <c r="B4563" t="s">
        <v>528</v>
      </c>
      <c r="C4563" t="s">
        <v>689</v>
      </c>
      <c r="D4563" t="s">
        <v>689</v>
      </c>
    </row>
    <row r="4564" spans="1:4">
      <c r="A4564" s="2">
        <v>0.0954225788906171</v>
      </c>
      <c r="B4564" t="s">
        <v>529</v>
      </c>
      <c r="C4564" t="s">
        <v>689</v>
      </c>
      <c r="D4564" t="s">
        <v>689</v>
      </c>
    </row>
    <row r="4565" spans="1:4">
      <c r="A4565" s="2">
        <v>0.4141472707694856</v>
      </c>
      <c r="B4565" t="s">
        <v>530</v>
      </c>
      <c r="C4565" t="s">
        <v>689</v>
      </c>
      <c r="D4565" t="s">
        <v>689</v>
      </c>
    </row>
    <row r="4566" spans="1:4">
      <c r="A4566" s="2">
        <v>0.004547108039287013</v>
      </c>
      <c r="B4566" t="s">
        <v>531</v>
      </c>
      <c r="C4566" t="s">
        <v>689</v>
      </c>
      <c r="D4566" t="s">
        <v>689</v>
      </c>
    </row>
    <row r="4567" spans="1:4">
      <c r="A4567" s="2">
        <v>1.8546338025556857</v>
      </c>
      <c r="B4567" t="s">
        <v>532</v>
      </c>
      <c r="C4567" t="s">
        <v>689</v>
      </c>
      <c r="D4567" t="s">
        <v>689</v>
      </c>
    </row>
    <row r="4568" spans="1:4">
      <c r="A4568" s="2">
        <v>1.8153432814145156</v>
      </c>
      <c r="B4568" t="s">
        <v>533</v>
      </c>
      <c r="C4568" t="s">
        <v>689</v>
      </c>
      <c r="D4568" t="s">
        <v>689</v>
      </c>
    </row>
    <row r="4569" spans="1:4">
      <c r="A4569" s="2">
        <v>0.02205319672113071</v>
      </c>
      <c r="B4569" t="s">
        <v>534</v>
      </c>
      <c r="C4569" t="s">
        <v>689</v>
      </c>
      <c r="D4569" t="s">
        <v>689</v>
      </c>
    </row>
    <row r="4570" spans="1:4">
      <c r="A4570" s="2">
        <v>1.868146238487549</v>
      </c>
      <c r="B4570" t="s">
        <v>535</v>
      </c>
      <c r="C4570" t="s">
        <v>689</v>
      </c>
      <c r="D4570" t="s">
        <v>689</v>
      </c>
    </row>
    <row r="4571" spans="1:4">
      <c r="A4571" s="2">
        <v>1.0599957600169598</v>
      </c>
      <c r="B4571" t="s">
        <v>536</v>
      </c>
      <c r="C4571" t="s">
        <v>689</v>
      </c>
      <c r="D4571" t="s">
        <v>689</v>
      </c>
    </row>
    <row r="4572" spans="1:4">
      <c r="A4572" s="2">
        <v>0.7291286912139993</v>
      </c>
      <c r="B4572" t="s">
        <v>537</v>
      </c>
      <c r="C4572" t="s">
        <v>689</v>
      </c>
      <c r="D4572" t="s">
        <v>689</v>
      </c>
    </row>
    <row r="4573" spans="1:4">
      <c r="A4573" s="2">
        <v>0.7355645457888931</v>
      </c>
      <c r="B4573" t="s">
        <v>538</v>
      </c>
      <c r="C4573" t="s">
        <v>689</v>
      </c>
      <c r="D4573" t="s">
        <v>689</v>
      </c>
    </row>
    <row r="4574" spans="1:4">
      <c r="A4574" s="2">
        <v>0.1494931434969735</v>
      </c>
      <c r="B4574" t="s">
        <v>539</v>
      </c>
      <c r="C4574" t="s">
        <v>689</v>
      </c>
      <c r="D4574" t="s">
        <v>689</v>
      </c>
    </row>
    <row r="4575" spans="1:4">
      <c r="A4575" s="2">
        <v>0.39408866995073893</v>
      </c>
      <c r="B4575" t="s">
        <v>540</v>
      </c>
      <c r="C4575" t="s">
        <v>689</v>
      </c>
      <c r="D4575" t="s">
        <v>689</v>
      </c>
    </row>
    <row r="4576" spans="1:4">
      <c r="A4576" s="2">
        <v>0.20889910173386256</v>
      </c>
      <c r="B4576" t="s">
        <v>541</v>
      </c>
      <c r="C4576" t="s">
        <v>689</v>
      </c>
      <c r="D4576" t="s">
        <v>689</v>
      </c>
    </row>
    <row r="4577" spans="1:4">
      <c r="A4577" s="2">
        <v>1</v>
      </c>
      <c r="B4577" t="s">
        <v>542</v>
      </c>
      <c r="C4577" t="s">
        <v>689</v>
      </c>
      <c r="D4577" t="s">
        <v>689</v>
      </c>
    </row>
    <row r="4578" spans="1:4">
      <c r="A4578" s="2">
        <v>6.8373</v>
      </c>
      <c r="B4578" t="s">
        <v>364</v>
      </c>
      <c r="C4578" t="s">
        <v>265</v>
      </c>
      <c r="D4578" t="s">
        <v>265</v>
      </c>
    </row>
    <row r="4579" spans="1:4">
      <c r="A4579" s="2">
        <v>7.9193</v>
      </c>
      <c r="B4579" t="s">
        <v>373</v>
      </c>
      <c r="C4579" t="s">
        <v>265</v>
      </c>
      <c r="D4579" t="s">
        <v>265</v>
      </c>
    </row>
    <row r="4580" spans="1:4">
      <c r="A4580" s="2">
        <v>0.042933000000000006</v>
      </c>
      <c r="B4580" t="s">
        <v>520</v>
      </c>
      <c r="C4580" t="s">
        <v>265</v>
      </c>
      <c r="D4580" t="s">
        <v>265</v>
      </c>
    </row>
    <row r="4581" spans="1:4">
      <c r="A4581" s="2">
        <v>0.87261</v>
      </c>
      <c r="B4581" t="s">
        <v>370</v>
      </c>
      <c r="C4581" t="s">
        <v>265</v>
      </c>
      <c r="D4581" t="s">
        <v>265</v>
      </c>
    </row>
    <row r="4582" spans="1:4">
      <c r="A4582" s="2">
        <v>9.1571</v>
      </c>
      <c r="B4582" t="s">
        <v>521</v>
      </c>
      <c r="C4582" t="s">
        <v>265</v>
      </c>
      <c r="D4582" t="s">
        <v>265</v>
      </c>
    </row>
    <row r="4583" spans="1:4">
      <c r="A4583" s="2">
        <v>4.8735</v>
      </c>
      <c r="B4583" t="s">
        <v>522</v>
      </c>
      <c r="C4583" t="s">
        <v>265</v>
      </c>
      <c r="D4583" t="s">
        <v>265</v>
      </c>
    </row>
    <row r="4584" spans="1:4">
      <c r="A4584" s="2">
        <v>4.0057</v>
      </c>
      <c r="B4584" t="s">
        <v>523</v>
      </c>
      <c r="C4584" t="s">
        <v>265</v>
      </c>
      <c r="D4584" t="s">
        <v>265</v>
      </c>
    </row>
    <row r="4585" spans="1:4">
      <c r="A4585" s="2">
        <v>5.3355</v>
      </c>
      <c r="B4585" t="s">
        <v>524</v>
      </c>
      <c r="C4585" t="s">
        <v>265</v>
      </c>
      <c r="D4585" t="s">
        <v>265</v>
      </c>
    </row>
    <row r="4586" spans="1:4">
      <c r="A4586" s="2">
        <v>8.6709</v>
      </c>
      <c r="B4586" t="s">
        <v>525</v>
      </c>
      <c r="C4586" t="s">
        <v>265</v>
      </c>
      <c r="D4586" t="s">
        <v>265</v>
      </c>
    </row>
    <row r="4587" spans="1:4">
      <c r="A4587" s="2">
        <v>4.9468</v>
      </c>
      <c r="B4587" t="s">
        <v>526</v>
      </c>
      <c r="C4587" t="s">
        <v>265</v>
      </c>
      <c r="D4587" t="s">
        <v>265</v>
      </c>
    </row>
    <row r="4588" spans="1:4">
      <c r="A4588" s="2">
        <v>0.8467400508044031</v>
      </c>
      <c r="B4588" t="s">
        <v>527</v>
      </c>
      <c r="C4588" t="s">
        <v>265</v>
      </c>
      <c r="D4588" t="s">
        <v>265</v>
      </c>
    </row>
    <row r="4589" spans="1:4">
      <c r="A4589" s="2">
        <v>1.7241973861167628</v>
      </c>
      <c r="B4589" t="s">
        <v>528</v>
      </c>
      <c r="C4589" t="s">
        <v>265</v>
      </c>
      <c r="D4589" t="s">
        <v>265</v>
      </c>
    </row>
    <row r="4590" spans="1:4">
      <c r="A4590" s="2">
        <v>0.09572584119082946</v>
      </c>
      <c r="B4590" t="s">
        <v>529</v>
      </c>
      <c r="C4590" t="s">
        <v>265</v>
      </c>
      <c r="D4590" t="s">
        <v>265</v>
      </c>
    </row>
    <row r="4591" spans="1:4">
      <c r="A4591" s="2">
        <v>0.4146624647536905</v>
      </c>
      <c r="B4591" t="s">
        <v>530</v>
      </c>
      <c r="C4591" t="s">
        <v>265</v>
      </c>
      <c r="D4591" t="s">
        <v>265</v>
      </c>
    </row>
    <row r="4592" spans="1:4">
      <c r="A4592" s="2">
        <v>0.004518548642176133</v>
      </c>
      <c r="B4592" t="s">
        <v>531</v>
      </c>
      <c r="C4592" t="s">
        <v>265</v>
      </c>
      <c r="D4592" t="s">
        <v>265</v>
      </c>
    </row>
    <row r="4593" spans="1:4">
      <c r="A4593" s="2">
        <v>1.8554941180836455</v>
      </c>
      <c r="B4593" t="s">
        <v>532</v>
      </c>
      <c r="C4593" t="s">
        <v>265</v>
      </c>
      <c r="D4593" t="s">
        <v>265</v>
      </c>
    </row>
    <row r="4594" spans="1:4">
      <c r="A4594" s="2">
        <v>1.8159696369876697</v>
      </c>
      <c r="B4594" t="s">
        <v>533</v>
      </c>
      <c r="C4594" t="s">
        <v>265</v>
      </c>
      <c r="D4594" t="s">
        <v>265</v>
      </c>
    </row>
    <row r="4595" spans="1:4">
      <c r="A4595" s="2">
        <v>0.022084317925840855</v>
      </c>
      <c r="B4595" t="s">
        <v>534</v>
      </c>
      <c r="C4595" t="s">
        <v>265</v>
      </c>
      <c r="D4595" t="s">
        <v>265</v>
      </c>
    </row>
    <row r="4596" spans="1:4">
      <c r="A4596" s="2">
        <v>1.8694384206984225</v>
      </c>
      <c r="B4596" t="s">
        <v>535</v>
      </c>
      <c r="C4596" t="s">
        <v>265</v>
      </c>
      <c r="D4596" t="s">
        <v>265</v>
      </c>
    </row>
    <row r="4597" spans="1:4">
      <c r="A4597" s="2">
        <v>1.0598834128245893</v>
      </c>
      <c r="B4597" t="s">
        <v>536</v>
      </c>
      <c r="C4597" t="s">
        <v>265</v>
      </c>
      <c r="D4597" t="s">
        <v>265</v>
      </c>
    </row>
    <row r="4598" spans="1:4">
      <c r="A4598" s="2">
        <v>0.7297139521307647</v>
      </c>
      <c r="B4598" t="s">
        <v>537</v>
      </c>
      <c r="C4598" t="s">
        <v>265</v>
      </c>
      <c r="D4598" t="s">
        <v>265</v>
      </c>
    </row>
    <row r="4599" spans="1:4">
      <c r="A4599" s="2">
        <v>0.7378984651711924</v>
      </c>
      <c r="B4599" t="s">
        <v>538</v>
      </c>
      <c r="C4599" t="s">
        <v>265</v>
      </c>
      <c r="D4599" t="s">
        <v>265</v>
      </c>
    </row>
    <row r="4600" spans="1:4">
      <c r="A4600" s="2">
        <v>0.1492677669691329</v>
      </c>
      <c r="B4600" t="s">
        <v>539</v>
      </c>
      <c r="C4600" t="s">
        <v>265</v>
      </c>
      <c r="D4600" t="s">
        <v>265</v>
      </c>
    </row>
    <row r="4601" spans="1:4">
      <c r="A4601" s="2">
        <v>0.39464856545246463</v>
      </c>
      <c r="B4601" t="s">
        <v>540</v>
      </c>
      <c r="C4601" t="s">
        <v>265</v>
      </c>
      <c r="D4601" t="s">
        <v>265</v>
      </c>
    </row>
    <row r="4602" spans="1:4">
      <c r="A4602" s="2">
        <v>0.2087595507494468</v>
      </c>
      <c r="B4602" t="s">
        <v>541</v>
      </c>
      <c r="C4602" t="s">
        <v>265</v>
      </c>
      <c r="D4602" t="s">
        <v>265</v>
      </c>
    </row>
    <row r="4603" spans="1:4">
      <c r="A4603" s="2">
        <v>1</v>
      </c>
      <c r="B4603" t="s">
        <v>542</v>
      </c>
      <c r="C4603" t="s">
        <v>265</v>
      </c>
      <c r="D4603" t="s">
        <v>265</v>
      </c>
    </row>
    <row r="4604" spans="1:4">
      <c r="A4604" s="2">
        <v>6.8373</v>
      </c>
      <c r="B4604" t="s">
        <v>364</v>
      </c>
      <c r="C4604" t="s">
        <v>265</v>
      </c>
      <c r="D4604" t="s">
        <v>690</v>
      </c>
    </row>
    <row r="4605" spans="1:4">
      <c r="A4605" s="2">
        <v>7.9193</v>
      </c>
      <c r="B4605" t="s">
        <v>373</v>
      </c>
      <c r="C4605" t="s">
        <v>265</v>
      </c>
      <c r="D4605" t="s">
        <v>690</v>
      </c>
    </row>
    <row r="4606" spans="1:4">
      <c r="A4606" s="2">
        <v>0.042933000000000006</v>
      </c>
      <c r="B4606" t="s">
        <v>520</v>
      </c>
      <c r="C4606" t="s">
        <v>265</v>
      </c>
      <c r="D4606" t="s">
        <v>690</v>
      </c>
    </row>
    <row r="4607" spans="1:4">
      <c r="A4607" s="2">
        <v>0.87261</v>
      </c>
      <c r="B4607" t="s">
        <v>370</v>
      </c>
      <c r="C4607" t="s">
        <v>265</v>
      </c>
      <c r="D4607" t="s">
        <v>690</v>
      </c>
    </row>
    <row r="4608" spans="1:4">
      <c r="A4608" s="2">
        <v>9.1571</v>
      </c>
      <c r="B4608" t="s">
        <v>521</v>
      </c>
      <c r="C4608" t="s">
        <v>265</v>
      </c>
      <c r="D4608" t="s">
        <v>690</v>
      </c>
    </row>
    <row r="4609" spans="1:4">
      <c r="A4609" s="2">
        <v>4.8735</v>
      </c>
      <c r="B4609" t="s">
        <v>522</v>
      </c>
      <c r="C4609" t="s">
        <v>265</v>
      </c>
      <c r="D4609" t="s">
        <v>690</v>
      </c>
    </row>
    <row r="4610" spans="1:4">
      <c r="A4610" s="2">
        <v>4.0057</v>
      </c>
      <c r="B4610" t="s">
        <v>523</v>
      </c>
      <c r="C4610" t="s">
        <v>265</v>
      </c>
      <c r="D4610" t="s">
        <v>690</v>
      </c>
    </row>
    <row r="4611" spans="1:4">
      <c r="A4611" s="2">
        <v>5.3355</v>
      </c>
      <c r="B4611" t="s">
        <v>524</v>
      </c>
      <c r="C4611" t="s">
        <v>265</v>
      </c>
      <c r="D4611" t="s">
        <v>690</v>
      </c>
    </row>
    <row r="4612" spans="1:4">
      <c r="A4612" s="2">
        <v>8.6709</v>
      </c>
      <c r="B4612" t="s">
        <v>525</v>
      </c>
      <c r="C4612" t="s">
        <v>265</v>
      </c>
      <c r="D4612" t="s">
        <v>690</v>
      </c>
    </row>
    <row r="4613" spans="1:4">
      <c r="A4613" s="2">
        <v>4.9468</v>
      </c>
      <c r="B4613" t="s">
        <v>526</v>
      </c>
      <c r="C4613" t="s">
        <v>265</v>
      </c>
      <c r="D4613" t="s">
        <v>690</v>
      </c>
    </row>
    <row r="4614" spans="1:4">
      <c r="A4614" s="2">
        <v>0.8467400508044031</v>
      </c>
      <c r="B4614" t="s">
        <v>527</v>
      </c>
      <c r="C4614" t="s">
        <v>265</v>
      </c>
      <c r="D4614" t="s">
        <v>690</v>
      </c>
    </row>
    <row r="4615" spans="1:4">
      <c r="A4615" s="2">
        <v>1.7241973861167628</v>
      </c>
      <c r="B4615" t="s">
        <v>528</v>
      </c>
      <c r="C4615" t="s">
        <v>265</v>
      </c>
      <c r="D4615" t="s">
        <v>690</v>
      </c>
    </row>
    <row r="4616" spans="1:4">
      <c r="A4616" s="2">
        <v>0.09572584119082946</v>
      </c>
      <c r="B4616" t="s">
        <v>529</v>
      </c>
      <c r="C4616" t="s">
        <v>265</v>
      </c>
      <c r="D4616" t="s">
        <v>690</v>
      </c>
    </row>
    <row r="4617" spans="1:4">
      <c r="A4617" s="2">
        <v>0.4146624647536905</v>
      </c>
      <c r="B4617" t="s">
        <v>530</v>
      </c>
      <c r="C4617" t="s">
        <v>265</v>
      </c>
      <c r="D4617" t="s">
        <v>690</v>
      </c>
    </row>
    <row r="4618" spans="1:4">
      <c r="A4618" s="2">
        <v>0.004518548642176133</v>
      </c>
      <c r="B4618" t="s">
        <v>531</v>
      </c>
      <c r="C4618" t="s">
        <v>265</v>
      </c>
      <c r="D4618" t="s">
        <v>690</v>
      </c>
    </row>
    <row r="4619" spans="1:4">
      <c r="A4619" s="2">
        <v>1.8554941180836455</v>
      </c>
      <c r="B4619" t="s">
        <v>532</v>
      </c>
      <c r="C4619" t="s">
        <v>265</v>
      </c>
      <c r="D4619" t="s">
        <v>690</v>
      </c>
    </row>
    <row r="4620" spans="1:4">
      <c r="A4620" s="2">
        <v>1.8159696369876697</v>
      </c>
      <c r="B4620" t="s">
        <v>533</v>
      </c>
      <c r="C4620" t="s">
        <v>265</v>
      </c>
      <c r="D4620" t="s">
        <v>690</v>
      </c>
    </row>
    <row r="4621" spans="1:4">
      <c r="A4621" s="2">
        <v>0.022084317925840855</v>
      </c>
      <c r="B4621" t="s">
        <v>534</v>
      </c>
      <c r="C4621" t="s">
        <v>265</v>
      </c>
      <c r="D4621" t="s">
        <v>690</v>
      </c>
    </row>
    <row r="4622" spans="1:4">
      <c r="A4622" s="2">
        <v>1.8694384206984225</v>
      </c>
      <c r="B4622" t="s">
        <v>535</v>
      </c>
      <c r="C4622" t="s">
        <v>265</v>
      </c>
      <c r="D4622" t="s">
        <v>690</v>
      </c>
    </row>
    <row r="4623" spans="1:4">
      <c r="A4623" s="2">
        <v>1.0598834128245893</v>
      </c>
      <c r="B4623" t="s">
        <v>536</v>
      </c>
      <c r="C4623" t="s">
        <v>265</v>
      </c>
      <c r="D4623" t="s">
        <v>690</v>
      </c>
    </row>
    <row r="4624" spans="1:4">
      <c r="A4624" s="2">
        <v>0.7297139521307647</v>
      </c>
      <c r="B4624" t="s">
        <v>537</v>
      </c>
      <c r="C4624" t="s">
        <v>265</v>
      </c>
      <c r="D4624" t="s">
        <v>690</v>
      </c>
    </row>
    <row r="4625" spans="1:4">
      <c r="A4625" s="2">
        <v>0.7378984651711924</v>
      </c>
      <c r="B4625" t="s">
        <v>538</v>
      </c>
      <c r="C4625" t="s">
        <v>265</v>
      </c>
      <c r="D4625" t="s">
        <v>690</v>
      </c>
    </row>
    <row r="4626" spans="1:4">
      <c r="A4626" s="2">
        <v>0.1492677669691329</v>
      </c>
      <c r="B4626" t="s">
        <v>539</v>
      </c>
      <c r="C4626" t="s">
        <v>265</v>
      </c>
      <c r="D4626" t="s">
        <v>690</v>
      </c>
    </row>
    <row r="4627" spans="1:4">
      <c r="A4627" s="2">
        <v>0.39464856545246463</v>
      </c>
      <c r="B4627" t="s">
        <v>540</v>
      </c>
      <c r="C4627" t="s">
        <v>265</v>
      </c>
      <c r="D4627" t="s">
        <v>690</v>
      </c>
    </row>
    <row r="4628" spans="1:4">
      <c r="A4628" s="2">
        <v>0.2087595507494468</v>
      </c>
      <c r="B4628" t="s">
        <v>541</v>
      </c>
      <c r="C4628" t="s">
        <v>265</v>
      </c>
      <c r="D4628" t="s">
        <v>690</v>
      </c>
    </row>
    <row r="4629" spans="1:4">
      <c r="A4629" s="2">
        <v>1</v>
      </c>
      <c r="B4629" t="s">
        <v>542</v>
      </c>
      <c r="C4629" t="s">
        <v>690</v>
      </c>
      <c r="D4629" t="s">
        <v>690</v>
      </c>
    </row>
    <row r="4630" spans="1:4">
      <c r="A4630" s="2">
        <v>6.8373</v>
      </c>
      <c r="B4630" t="s">
        <v>364</v>
      </c>
      <c r="C4630" t="s">
        <v>265</v>
      </c>
      <c r="D4630" t="s">
        <v>691</v>
      </c>
    </row>
    <row r="4631" spans="1:4">
      <c r="A4631" s="2">
        <v>7.9193</v>
      </c>
      <c r="B4631" t="s">
        <v>373</v>
      </c>
      <c r="C4631" t="s">
        <v>265</v>
      </c>
      <c r="D4631" t="s">
        <v>691</v>
      </c>
    </row>
    <row r="4632" spans="1:4">
      <c r="A4632" s="2">
        <v>0.042933000000000006</v>
      </c>
      <c r="B4632" t="s">
        <v>520</v>
      </c>
      <c r="C4632" t="s">
        <v>265</v>
      </c>
      <c r="D4632" t="s">
        <v>691</v>
      </c>
    </row>
    <row r="4633" spans="1:4">
      <c r="A4633" s="2">
        <v>0.87261</v>
      </c>
      <c r="B4633" t="s">
        <v>370</v>
      </c>
      <c r="C4633" t="s">
        <v>265</v>
      </c>
      <c r="D4633" t="s">
        <v>691</v>
      </c>
    </row>
    <row r="4634" spans="1:4">
      <c r="A4634" s="2">
        <v>9.1571</v>
      </c>
      <c r="B4634" t="s">
        <v>521</v>
      </c>
      <c r="C4634" t="s">
        <v>265</v>
      </c>
      <c r="D4634" t="s">
        <v>691</v>
      </c>
    </row>
    <row r="4635" spans="1:4">
      <c r="A4635" s="2">
        <v>4.8735</v>
      </c>
      <c r="B4635" t="s">
        <v>522</v>
      </c>
      <c r="C4635" t="s">
        <v>265</v>
      </c>
      <c r="D4635" t="s">
        <v>691</v>
      </c>
    </row>
    <row r="4636" spans="1:4">
      <c r="A4636" s="2">
        <v>4.0057</v>
      </c>
      <c r="B4636" t="s">
        <v>523</v>
      </c>
      <c r="C4636" t="s">
        <v>265</v>
      </c>
      <c r="D4636" t="s">
        <v>691</v>
      </c>
    </row>
    <row r="4637" spans="1:4">
      <c r="A4637" s="2">
        <v>5.3355</v>
      </c>
      <c r="B4637" t="s">
        <v>524</v>
      </c>
      <c r="C4637" t="s">
        <v>265</v>
      </c>
      <c r="D4637" t="s">
        <v>691</v>
      </c>
    </row>
    <row r="4638" spans="1:4">
      <c r="A4638" s="2">
        <v>8.6709</v>
      </c>
      <c r="B4638" t="s">
        <v>525</v>
      </c>
      <c r="C4638" t="s">
        <v>265</v>
      </c>
      <c r="D4638" t="s">
        <v>691</v>
      </c>
    </row>
    <row r="4639" spans="1:4">
      <c r="A4639" s="2">
        <v>4.9468</v>
      </c>
      <c r="B4639" t="s">
        <v>526</v>
      </c>
      <c r="C4639" t="s">
        <v>265</v>
      </c>
      <c r="D4639" t="s">
        <v>691</v>
      </c>
    </row>
    <row r="4640" spans="1:4">
      <c r="A4640" s="2">
        <v>0.8467400508044031</v>
      </c>
      <c r="B4640" t="s">
        <v>527</v>
      </c>
      <c r="C4640" t="s">
        <v>265</v>
      </c>
      <c r="D4640" t="s">
        <v>691</v>
      </c>
    </row>
    <row r="4641" spans="1:4">
      <c r="A4641" s="2">
        <v>1.7241973861167628</v>
      </c>
      <c r="B4641" t="s">
        <v>528</v>
      </c>
      <c r="C4641" t="s">
        <v>265</v>
      </c>
      <c r="D4641" t="s">
        <v>691</v>
      </c>
    </row>
    <row r="4642" spans="1:4">
      <c r="A4642" s="2">
        <v>0.09572584119082946</v>
      </c>
      <c r="B4642" t="s">
        <v>529</v>
      </c>
      <c r="C4642" t="s">
        <v>265</v>
      </c>
      <c r="D4642" t="s">
        <v>691</v>
      </c>
    </row>
    <row r="4643" spans="1:4">
      <c r="A4643" s="2">
        <v>0.4146624647536905</v>
      </c>
      <c r="B4643" t="s">
        <v>530</v>
      </c>
      <c r="C4643" t="s">
        <v>265</v>
      </c>
      <c r="D4643" t="s">
        <v>691</v>
      </c>
    </row>
    <row r="4644" spans="1:4">
      <c r="A4644" s="2">
        <v>0.004518548642176133</v>
      </c>
      <c r="B4644" t="s">
        <v>531</v>
      </c>
      <c r="C4644" t="s">
        <v>265</v>
      </c>
      <c r="D4644" t="s">
        <v>691</v>
      </c>
    </row>
    <row r="4645" spans="1:4">
      <c r="A4645" s="2">
        <v>1.8554941180836455</v>
      </c>
      <c r="B4645" t="s">
        <v>532</v>
      </c>
      <c r="C4645" t="s">
        <v>265</v>
      </c>
      <c r="D4645" t="s">
        <v>691</v>
      </c>
    </row>
    <row r="4646" spans="1:4">
      <c r="A4646" s="2">
        <v>1.8159696369876697</v>
      </c>
      <c r="B4646" t="s">
        <v>533</v>
      </c>
      <c r="C4646" t="s">
        <v>265</v>
      </c>
      <c r="D4646" t="s">
        <v>691</v>
      </c>
    </row>
    <row r="4647" spans="1:4">
      <c r="A4647" s="2">
        <v>0.022084317925840855</v>
      </c>
      <c r="B4647" t="s">
        <v>534</v>
      </c>
      <c r="C4647" t="s">
        <v>265</v>
      </c>
      <c r="D4647" t="s">
        <v>691</v>
      </c>
    </row>
    <row r="4648" spans="1:4">
      <c r="A4648" s="2">
        <v>1.8694384206984225</v>
      </c>
      <c r="B4648" t="s">
        <v>535</v>
      </c>
      <c r="C4648" t="s">
        <v>265</v>
      </c>
      <c r="D4648" t="s">
        <v>691</v>
      </c>
    </row>
    <row r="4649" spans="1:4">
      <c r="A4649" s="2">
        <v>1.0598834128245893</v>
      </c>
      <c r="B4649" t="s">
        <v>536</v>
      </c>
      <c r="C4649" t="s">
        <v>265</v>
      </c>
      <c r="D4649" t="s">
        <v>691</v>
      </c>
    </row>
    <row r="4650" spans="1:4">
      <c r="A4650" s="2">
        <v>0.7297139521307647</v>
      </c>
      <c r="B4650" t="s">
        <v>537</v>
      </c>
      <c r="C4650" t="s">
        <v>265</v>
      </c>
      <c r="D4650" t="s">
        <v>691</v>
      </c>
    </row>
    <row r="4651" spans="1:4">
      <c r="A4651" s="2">
        <v>0.7378984651711924</v>
      </c>
      <c r="B4651" t="s">
        <v>538</v>
      </c>
      <c r="C4651" t="s">
        <v>265</v>
      </c>
      <c r="D4651" t="s">
        <v>691</v>
      </c>
    </row>
    <row r="4652" spans="1:4">
      <c r="A4652" s="2">
        <v>0.1492677669691329</v>
      </c>
      <c r="B4652" t="s">
        <v>539</v>
      </c>
      <c r="C4652" t="s">
        <v>265</v>
      </c>
      <c r="D4652" t="s">
        <v>691</v>
      </c>
    </row>
    <row r="4653" spans="1:4">
      <c r="A4653" s="2">
        <v>0.39464856545246463</v>
      </c>
      <c r="B4653" t="s">
        <v>540</v>
      </c>
      <c r="C4653" t="s">
        <v>265</v>
      </c>
      <c r="D4653" t="s">
        <v>691</v>
      </c>
    </row>
    <row r="4654" spans="1:4">
      <c r="A4654" s="2">
        <v>0.2087595507494468</v>
      </c>
      <c r="B4654" t="s">
        <v>541</v>
      </c>
      <c r="C4654" t="s">
        <v>265</v>
      </c>
      <c r="D4654" t="s">
        <v>691</v>
      </c>
    </row>
    <row r="4655" spans="1:4">
      <c r="A4655" s="2">
        <v>1</v>
      </c>
      <c r="B4655" t="s">
        <v>542</v>
      </c>
      <c r="C4655" t="s">
        <v>691</v>
      </c>
      <c r="D4655" t="s">
        <v>691</v>
      </c>
    </row>
    <row r="4656" spans="1:4">
      <c r="A4656" s="2">
        <v>6.831799999999999</v>
      </c>
      <c r="B4656" t="s">
        <v>364</v>
      </c>
      <c r="C4656" t="s">
        <v>271</v>
      </c>
      <c r="D4656" t="s">
        <v>271</v>
      </c>
    </row>
    <row r="4657" spans="1:4">
      <c r="A4657" s="2">
        <v>7.9297</v>
      </c>
      <c r="B4657" t="s">
        <v>373</v>
      </c>
      <c r="C4657" t="s">
        <v>271</v>
      </c>
      <c r="D4657" t="s">
        <v>271</v>
      </c>
    </row>
    <row r="4658" spans="1:4">
      <c r="A4658" s="2">
        <v>0.042905</v>
      </c>
      <c r="B4658" t="s">
        <v>520</v>
      </c>
      <c r="C4658" t="s">
        <v>271</v>
      </c>
      <c r="D4658" t="s">
        <v>271</v>
      </c>
    </row>
    <row r="4659" spans="1:4">
      <c r="A4659" s="2">
        <v>0.87208</v>
      </c>
      <c r="B4659" t="s">
        <v>370</v>
      </c>
      <c r="C4659" t="s">
        <v>271</v>
      </c>
      <c r="D4659" t="s">
        <v>271</v>
      </c>
    </row>
    <row r="4660" spans="1:4">
      <c r="A4660" s="2">
        <v>9.1828</v>
      </c>
      <c r="B4660" t="s">
        <v>521</v>
      </c>
      <c r="C4660" t="s">
        <v>271</v>
      </c>
      <c r="D4660" t="s">
        <v>271</v>
      </c>
    </row>
    <row r="4661" spans="1:4">
      <c r="A4661" s="2">
        <v>4.875</v>
      </c>
      <c r="B4661" t="s">
        <v>522</v>
      </c>
      <c r="C4661" t="s">
        <v>271</v>
      </c>
      <c r="D4661" t="s">
        <v>271</v>
      </c>
    </row>
    <row r="4662" spans="1:4">
      <c r="A4662" s="2">
        <v>4.0006</v>
      </c>
      <c r="B4662" t="s">
        <v>523</v>
      </c>
      <c r="C4662" t="s">
        <v>271</v>
      </c>
      <c r="D4662" t="s">
        <v>271</v>
      </c>
    </row>
    <row r="4663" spans="1:4">
      <c r="A4663" s="2">
        <v>5.3348</v>
      </c>
      <c r="B4663" t="s">
        <v>524</v>
      </c>
      <c r="C4663" t="s">
        <v>271</v>
      </c>
      <c r="D4663" t="s">
        <v>271</v>
      </c>
    </row>
    <row r="4664" spans="1:4">
      <c r="A4664" s="2">
        <v>8.7125</v>
      </c>
      <c r="B4664" t="s">
        <v>525</v>
      </c>
      <c r="C4664" t="s">
        <v>271</v>
      </c>
      <c r="D4664" t="s">
        <v>271</v>
      </c>
    </row>
    <row r="4665" spans="1:4">
      <c r="A4665" s="2">
        <v>4.9322</v>
      </c>
      <c r="B4665" t="s">
        <v>526</v>
      </c>
      <c r="C4665" t="s">
        <v>271</v>
      </c>
      <c r="D4665" t="s">
        <v>271</v>
      </c>
    </row>
    <row r="4666" spans="1:4">
      <c r="A4666" s="2">
        <v>0.8462384700008462</v>
      </c>
      <c r="B4666" t="s">
        <v>527</v>
      </c>
      <c r="C4666" t="s">
        <v>271</v>
      </c>
      <c r="D4666" t="s">
        <v>271</v>
      </c>
    </row>
    <row r="4667" spans="1:4">
      <c r="A4667" s="2">
        <v>1.7243163085836466</v>
      </c>
      <c r="B4667" t="s">
        <v>528</v>
      </c>
      <c r="C4667" t="s">
        <v>271</v>
      </c>
      <c r="D4667" t="s">
        <v>271</v>
      </c>
    </row>
    <row r="4668" spans="1:4">
      <c r="A4668" s="2">
        <v>0.09513480602013052</v>
      </c>
      <c r="B4668" t="s">
        <v>529</v>
      </c>
      <c r="C4668" t="s">
        <v>271</v>
      </c>
      <c r="D4668" t="s">
        <v>271</v>
      </c>
    </row>
    <row r="4669" spans="1:4">
      <c r="A4669" s="2">
        <v>0.4168403501458941</v>
      </c>
      <c r="B4669" t="s">
        <v>530</v>
      </c>
      <c r="C4669" t="s">
        <v>271</v>
      </c>
      <c r="D4669" t="s">
        <v>271</v>
      </c>
    </row>
    <row r="4670" spans="1:4">
      <c r="A4670" s="2">
        <v>0.0044919593926870905</v>
      </c>
      <c r="B4670" t="s">
        <v>531</v>
      </c>
      <c r="C4670" t="s">
        <v>271</v>
      </c>
      <c r="D4670" t="s">
        <v>271</v>
      </c>
    </row>
    <row r="4671" spans="1:4">
      <c r="A4671" s="2">
        <v>1.8533276497952071</v>
      </c>
      <c r="B4671" t="s">
        <v>532</v>
      </c>
      <c r="C4671" t="s">
        <v>271</v>
      </c>
      <c r="D4671" t="s">
        <v>271</v>
      </c>
    </row>
    <row r="4672" spans="1:4">
      <c r="A4672" s="2">
        <v>1.813993143105919</v>
      </c>
      <c r="B4672" t="s">
        <v>533</v>
      </c>
      <c r="C4672" t="s">
        <v>271</v>
      </c>
      <c r="D4672" t="s">
        <v>271</v>
      </c>
    </row>
    <row r="4673" spans="1:4">
      <c r="A4673" s="2">
        <v>0.022183327454751555</v>
      </c>
      <c r="B4673" t="s">
        <v>534</v>
      </c>
      <c r="C4673" t="s">
        <v>271</v>
      </c>
      <c r="D4673" t="s">
        <v>271</v>
      </c>
    </row>
    <row r="4674" spans="1:4">
      <c r="A4674" s="2">
        <v>1.8733608092918697</v>
      </c>
      <c r="B4674" t="s">
        <v>535</v>
      </c>
      <c r="C4674" t="s">
        <v>271</v>
      </c>
      <c r="D4674" t="s">
        <v>271</v>
      </c>
    </row>
    <row r="4675" spans="1:4">
      <c r="A4675" s="2">
        <v>1.0611205432937183</v>
      </c>
      <c r="B4675" t="s">
        <v>536</v>
      </c>
      <c r="C4675" t="s">
        <v>271</v>
      </c>
      <c r="D4675" t="s">
        <v>271</v>
      </c>
    </row>
    <row r="4676" spans="1:4">
      <c r="A4676" s="2">
        <v>0.7313149041977475</v>
      </c>
      <c r="B4676" t="s">
        <v>537</v>
      </c>
      <c r="C4676" t="s">
        <v>271</v>
      </c>
      <c r="D4676" t="s">
        <v>271</v>
      </c>
    </row>
    <row r="4677" spans="1:4">
      <c r="A4677" s="2">
        <v>0.7351319561861354</v>
      </c>
      <c r="B4677" t="s">
        <v>538</v>
      </c>
      <c r="C4677" t="s">
        <v>271</v>
      </c>
      <c r="D4677" t="s">
        <v>271</v>
      </c>
    </row>
    <row r="4678" spans="1:4">
      <c r="A4678" s="2">
        <v>0.1490184156958117</v>
      </c>
      <c r="B4678" t="s">
        <v>539</v>
      </c>
      <c r="C4678" t="s">
        <v>271</v>
      </c>
      <c r="D4678" t="s">
        <v>271</v>
      </c>
    </row>
    <row r="4679" spans="1:4">
      <c r="A4679" s="2">
        <v>0.3952725404166173</v>
      </c>
      <c r="B4679" t="s">
        <v>540</v>
      </c>
      <c r="C4679" t="s">
        <v>271</v>
      </c>
      <c r="D4679" t="s">
        <v>271</v>
      </c>
    </row>
    <row r="4680" spans="1:4">
      <c r="A4680" s="2">
        <v>0.20920064433798455</v>
      </c>
      <c r="B4680" t="s">
        <v>541</v>
      </c>
      <c r="C4680" t="s">
        <v>271</v>
      </c>
      <c r="D4680" t="s">
        <v>271</v>
      </c>
    </row>
    <row r="4681" spans="1:4">
      <c r="A4681" s="2">
        <v>1</v>
      </c>
      <c r="B4681" t="s">
        <v>542</v>
      </c>
      <c r="C4681" t="s">
        <v>271</v>
      </c>
      <c r="D4681" t="s">
        <v>271</v>
      </c>
    </row>
    <row r="4682" spans="1:4">
      <c r="A4682" s="2">
        <v>6.8288</v>
      </c>
      <c r="B4682" t="s">
        <v>364</v>
      </c>
      <c r="C4682" t="s">
        <v>280</v>
      </c>
      <c r="D4682" t="s">
        <v>280</v>
      </c>
    </row>
    <row r="4683" spans="1:4">
      <c r="A4683" s="2">
        <v>7.9233</v>
      </c>
      <c r="B4683" t="s">
        <v>373</v>
      </c>
      <c r="C4683" t="s">
        <v>280</v>
      </c>
      <c r="D4683" t="s">
        <v>280</v>
      </c>
    </row>
    <row r="4684" spans="1:4">
      <c r="A4684" s="2">
        <v>0.042878999999999994</v>
      </c>
      <c r="B4684" t="s">
        <v>520</v>
      </c>
      <c r="C4684" t="s">
        <v>280</v>
      </c>
      <c r="D4684" t="s">
        <v>280</v>
      </c>
    </row>
    <row r="4685" spans="1:4">
      <c r="A4685" s="2">
        <v>0.87155</v>
      </c>
      <c r="B4685" t="s">
        <v>370</v>
      </c>
      <c r="C4685" t="s">
        <v>280</v>
      </c>
      <c r="D4685" t="s">
        <v>280</v>
      </c>
    </row>
    <row r="4686" spans="1:4">
      <c r="A4686" s="2">
        <v>9.1891</v>
      </c>
      <c r="B4686" t="s">
        <v>521</v>
      </c>
      <c r="C4686" t="s">
        <v>280</v>
      </c>
      <c r="D4686" t="s">
        <v>280</v>
      </c>
    </row>
    <row r="4687" spans="1:4">
      <c r="A4687" s="2">
        <v>4.8811</v>
      </c>
      <c r="B4687" t="s">
        <v>522</v>
      </c>
      <c r="C4687" t="s">
        <v>280</v>
      </c>
      <c r="D4687" t="s">
        <v>280</v>
      </c>
    </row>
    <row r="4688" spans="1:4">
      <c r="A4688" s="2">
        <v>3.9911</v>
      </c>
      <c r="B4688" t="s">
        <v>523</v>
      </c>
      <c r="C4688" t="s">
        <v>280</v>
      </c>
      <c r="D4688" t="s">
        <v>280</v>
      </c>
    </row>
    <row r="4689" spans="1:4">
      <c r="A4689" s="2">
        <v>5.3317</v>
      </c>
      <c r="B4689" t="s">
        <v>524</v>
      </c>
      <c r="C4689" t="s">
        <v>280</v>
      </c>
      <c r="D4689" t="s">
        <v>280</v>
      </c>
    </row>
    <row r="4690" spans="1:4">
      <c r="A4690" s="2">
        <v>8.6984</v>
      </c>
      <c r="B4690" t="s">
        <v>525</v>
      </c>
      <c r="C4690" t="s">
        <v>280</v>
      </c>
      <c r="D4690" t="s">
        <v>280</v>
      </c>
    </row>
    <row r="4691" spans="1:4">
      <c r="A4691" s="2">
        <v>4.9288</v>
      </c>
      <c r="B4691" t="s">
        <v>526</v>
      </c>
      <c r="C4691" t="s">
        <v>280</v>
      </c>
      <c r="D4691" t="s">
        <v>280</v>
      </c>
    </row>
    <row r="4692" spans="1:4">
      <c r="A4692" s="2">
        <v>0.845522955948254</v>
      </c>
      <c r="B4692" t="s">
        <v>527</v>
      </c>
      <c r="C4692" t="s">
        <v>280</v>
      </c>
      <c r="D4692" t="s">
        <v>280</v>
      </c>
    </row>
    <row r="4693" spans="1:4">
      <c r="A4693" s="2">
        <v>1.7238110013618106</v>
      </c>
      <c r="B4693" t="s">
        <v>528</v>
      </c>
      <c r="C4693" t="s">
        <v>280</v>
      </c>
      <c r="D4693" t="s">
        <v>280</v>
      </c>
    </row>
    <row r="4694" spans="1:4">
      <c r="A4694" s="2">
        <v>0.0949839002289112</v>
      </c>
      <c r="B4694" t="s">
        <v>529</v>
      </c>
      <c r="C4694" t="s">
        <v>280</v>
      </c>
      <c r="D4694" t="s">
        <v>280</v>
      </c>
    </row>
    <row r="4695" spans="1:4">
      <c r="A4695" s="2">
        <v>0.4177109440267335</v>
      </c>
      <c r="B4695" t="s">
        <v>530</v>
      </c>
      <c r="C4695" t="s">
        <v>280</v>
      </c>
      <c r="D4695" t="s">
        <v>280</v>
      </c>
    </row>
    <row r="4696" spans="1:4">
      <c r="A4696" s="2">
        <v>0.0044913541432741975</v>
      </c>
      <c r="B4696" t="s">
        <v>531</v>
      </c>
      <c r="C4696" t="s">
        <v>280</v>
      </c>
      <c r="D4696" t="s">
        <v>280</v>
      </c>
    </row>
    <row r="4697" spans="1:4">
      <c r="A4697" s="2">
        <v>1.8523320860963952</v>
      </c>
      <c r="B4697" t="s">
        <v>532</v>
      </c>
      <c r="C4697" t="s">
        <v>280</v>
      </c>
      <c r="D4697" t="s">
        <v>280</v>
      </c>
    </row>
    <row r="4698" spans="1:4">
      <c r="A4698" s="2">
        <v>1.81310512383508</v>
      </c>
      <c r="B4698" t="s">
        <v>533</v>
      </c>
      <c r="C4698" t="s">
        <v>280</v>
      </c>
      <c r="D4698" t="s">
        <v>280</v>
      </c>
    </row>
    <row r="4699" spans="1:4">
      <c r="A4699" s="2">
        <v>0.022232597434358257</v>
      </c>
      <c r="B4699" t="s">
        <v>534</v>
      </c>
      <c r="C4699" t="s">
        <v>280</v>
      </c>
      <c r="D4699" t="s">
        <v>280</v>
      </c>
    </row>
    <row r="4700" spans="1:4">
      <c r="A4700" s="2">
        <v>1.874871102611695</v>
      </c>
      <c r="B4700" t="s">
        <v>535</v>
      </c>
      <c r="C4700" t="s">
        <v>280</v>
      </c>
      <c r="D4700" t="s">
        <v>280</v>
      </c>
    </row>
    <row r="4701" spans="1:4">
      <c r="A4701" s="2">
        <v>1.0604453870625663</v>
      </c>
      <c r="B4701" t="s">
        <v>536</v>
      </c>
      <c r="C4701" t="s">
        <v>280</v>
      </c>
      <c r="D4701" t="s">
        <v>280</v>
      </c>
    </row>
    <row r="4702" spans="1:4">
      <c r="A4702" s="2">
        <v>0.7322252324815114</v>
      </c>
      <c r="B4702" t="s">
        <v>537</v>
      </c>
      <c r="C4702" t="s">
        <v>280</v>
      </c>
      <c r="D4702" t="s">
        <v>280</v>
      </c>
    </row>
    <row r="4703" spans="1:4">
      <c r="A4703" s="2">
        <v>0.736865374696043</v>
      </c>
      <c r="B4703" t="s">
        <v>538</v>
      </c>
      <c r="C4703" t="s">
        <v>280</v>
      </c>
      <c r="D4703" t="s">
        <v>280</v>
      </c>
    </row>
    <row r="4704" spans="1:4">
      <c r="A4704" s="2">
        <v>0.14832899965439342</v>
      </c>
      <c r="B4704" t="s">
        <v>539</v>
      </c>
      <c r="C4704" t="s">
        <v>280</v>
      </c>
      <c r="D4704" t="s">
        <v>280</v>
      </c>
    </row>
    <row r="4705" spans="1:4">
      <c r="A4705" s="2">
        <v>0.39449287940352673</v>
      </c>
      <c r="B4705" t="s">
        <v>540</v>
      </c>
      <c r="C4705" t="s">
        <v>280</v>
      </c>
      <c r="D4705" t="s">
        <v>280</v>
      </c>
    </row>
    <row r="4706" spans="1:4">
      <c r="A4706" s="2">
        <v>0.20912627044209292</v>
      </c>
      <c r="B4706" t="s">
        <v>541</v>
      </c>
      <c r="C4706" t="s">
        <v>280</v>
      </c>
      <c r="D4706" t="s">
        <v>280</v>
      </c>
    </row>
    <row r="4707" spans="1:4">
      <c r="A4707" s="2">
        <v>1</v>
      </c>
      <c r="B4707" t="s">
        <v>542</v>
      </c>
      <c r="C4707" t="s">
        <v>280</v>
      </c>
      <c r="D4707" t="s">
        <v>280</v>
      </c>
    </row>
    <row r="4708" spans="1:4">
      <c r="A4708" s="2">
        <v>6.8290999999999995</v>
      </c>
      <c r="B4708" t="s">
        <v>364</v>
      </c>
      <c r="C4708" t="s">
        <v>692</v>
      </c>
      <c r="D4708" t="s">
        <v>692</v>
      </c>
    </row>
    <row r="4709" spans="1:4">
      <c r="A4709" s="2">
        <v>7.9234</v>
      </c>
      <c r="B4709" t="s">
        <v>373</v>
      </c>
      <c r="C4709" t="s">
        <v>692</v>
      </c>
      <c r="D4709" t="s">
        <v>692</v>
      </c>
    </row>
    <row r="4710" spans="1:4">
      <c r="A4710" s="2">
        <v>0.042804</v>
      </c>
      <c r="B4710" t="s">
        <v>520</v>
      </c>
      <c r="C4710" t="s">
        <v>692</v>
      </c>
      <c r="D4710" t="s">
        <v>692</v>
      </c>
    </row>
    <row r="4711" spans="1:4">
      <c r="A4711" s="2">
        <v>0.87151</v>
      </c>
      <c r="B4711" t="s">
        <v>370</v>
      </c>
      <c r="C4711" t="s">
        <v>692</v>
      </c>
      <c r="D4711" t="s">
        <v>692</v>
      </c>
    </row>
    <row r="4712" spans="1:4">
      <c r="A4712" s="2">
        <v>9.1614</v>
      </c>
      <c r="B4712" t="s">
        <v>521</v>
      </c>
      <c r="C4712" t="s">
        <v>692</v>
      </c>
      <c r="D4712" t="s">
        <v>692</v>
      </c>
    </row>
    <row r="4713" spans="1:4">
      <c r="A4713" s="2">
        <v>4.8825</v>
      </c>
      <c r="B4713" t="s">
        <v>522</v>
      </c>
      <c r="C4713" t="s">
        <v>692</v>
      </c>
      <c r="D4713" t="s">
        <v>692</v>
      </c>
    </row>
    <row r="4714" spans="1:4">
      <c r="A4714" s="2">
        <v>3.9768</v>
      </c>
      <c r="B4714" t="s">
        <v>523</v>
      </c>
      <c r="C4714" t="s">
        <v>692</v>
      </c>
      <c r="D4714" t="s">
        <v>692</v>
      </c>
    </row>
    <row r="4715" spans="1:4">
      <c r="A4715" s="2">
        <v>5.3315</v>
      </c>
      <c r="B4715" t="s">
        <v>524</v>
      </c>
      <c r="C4715" t="s">
        <v>692</v>
      </c>
      <c r="D4715" t="s">
        <v>692</v>
      </c>
    </row>
    <row r="4716" spans="1:4">
      <c r="A4716" s="2">
        <v>8.6768</v>
      </c>
      <c r="B4716" t="s">
        <v>525</v>
      </c>
      <c r="C4716" t="s">
        <v>692</v>
      </c>
      <c r="D4716" t="s">
        <v>692</v>
      </c>
    </row>
    <row r="4717" spans="1:4">
      <c r="A4717" s="2">
        <v>4.9293000000000005</v>
      </c>
      <c r="B4717" t="s">
        <v>526</v>
      </c>
      <c r="C4717" t="s">
        <v>692</v>
      </c>
      <c r="D4717" t="s">
        <v>692</v>
      </c>
    </row>
    <row r="4718" spans="1:4">
      <c r="A4718" s="2">
        <v>0.8457374830852504</v>
      </c>
      <c r="B4718" t="s">
        <v>527</v>
      </c>
      <c r="C4718" t="s">
        <v>692</v>
      </c>
      <c r="D4718" t="s">
        <v>692</v>
      </c>
    </row>
    <row r="4719" spans="1:4">
      <c r="A4719" s="2">
        <v>1.7150011147507247</v>
      </c>
      <c r="B4719" t="s">
        <v>528</v>
      </c>
      <c r="C4719" t="s">
        <v>692</v>
      </c>
      <c r="D4719" t="s">
        <v>692</v>
      </c>
    </row>
    <row r="4720" spans="1:4">
      <c r="A4720" s="2">
        <v>0.09452868000151245</v>
      </c>
      <c r="B4720" t="s">
        <v>529</v>
      </c>
      <c r="C4720" t="s">
        <v>692</v>
      </c>
      <c r="D4720" t="s">
        <v>692</v>
      </c>
    </row>
    <row r="4721" spans="1:4">
      <c r="A4721" s="2">
        <v>0.41626774341256295</v>
      </c>
      <c r="B4721" t="s">
        <v>530</v>
      </c>
      <c r="C4721" t="s">
        <v>692</v>
      </c>
      <c r="D4721" t="s">
        <v>692</v>
      </c>
    </row>
    <row r="4722" spans="1:4">
      <c r="A4722" s="2">
        <v>0.004510803374080924</v>
      </c>
      <c r="B4722" t="s">
        <v>531</v>
      </c>
      <c r="C4722" t="s">
        <v>692</v>
      </c>
      <c r="D4722" t="s">
        <v>692</v>
      </c>
    </row>
    <row r="4723" spans="1:4">
      <c r="A4723" s="2">
        <v>1.8531902670447176</v>
      </c>
      <c r="B4723" t="s">
        <v>532</v>
      </c>
      <c r="C4723" t="s">
        <v>692</v>
      </c>
      <c r="D4723" t="s">
        <v>692</v>
      </c>
    </row>
    <row r="4724" spans="1:4">
      <c r="A4724" s="2">
        <v>1.8138286294710877</v>
      </c>
      <c r="B4724" t="s">
        <v>533</v>
      </c>
      <c r="C4724" t="s">
        <v>692</v>
      </c>
      <c r="D4724" t="s">
        <v>692</v>
      </c>
    </row>
    <row r="4725" spans="1:4">
      <c r="A4725" s="2">
        <v>0.02228834431034291</v>
      </c>
      <c r="B4725" t="s">
        <v>534</v>
      </c>
      <c r="C4725" t="s">
        <v>692</v>
      </c>
      <c r="D4725" t="s">
        <v>692</v>
      </c>
    </row>
    <row r="4726" spans="1:4">
      <c r="A4726" s="2">
        <v>1.872729315704708</v>
      </c>
      <c r="B4726" t="s">
        <v>535</v>
      </c>
      <c r="C4726" t="s">
        <v>692</v>
      </c>
      <c r="D4726" t="s">
        <v>692</v>
      </c>
    </row>
    <row r="4727" spans="1:4">
      <c r="A4727" s="2">
        <v>1.060332944544587</v>
      </c>
      <c r="B4727" t="s">
        <v>536</v>
      </c>
      <c r="C4727" t="s">
        <v>692</v>
      </c>
      <c r="D4727" t="s">
        <v>692</v>
      </c>
    </row>
    <row r="4728" spans="1:4">
      <c r="A4728" s="2">
        <v>0.7323861139592793</v>
      </c>
      <c r="B4728" t="s">
        <v>537</v>
      </c>
      <c r="C4728" t="s">
        <v>692</v>
      </c>
      <c r="D4728" t="s">
        <v>692</v>
      </c>
    </row>
    <row r="4729" spans="1:4">
      <c r="A4729" s="2">
        <v>0.7345379756133393</v>
      </c>
      <c r="B4729" t="s">
        <v>538</v>
      </c>
      <c r="C4729" t="s">
        <v>692</v>
      </c>
      <c r="D4729" t="s">
        <v>692</v>
      </c>
    </row>
    <row r="4730" spans="1:4">
      <c r="A4730" s="2">
        <v>0.14839569415053852</v>
      </c>
      <c r="B4730" t="s">
        <v>539</v>
      </c>
      <c r="C4730" t="s">
        <v>692</v>
      </c>
      <c r="D4730" t="s">
        <v>692</v>
      </c>
    </row>
    <row r="4731" spans="1:4">
      <c r="A4731" s="2">
        <v>0.39421295383766314</v>
      </c>
      <c r="B4731" t="s">
        <v>540</v>
      </c>
      <c r="C4731" t="s">
        <v>692</v>
      </c>
      <c r="D4731" t="s">
        <v>692</v>
      </c>
    </row>
    <row r="4732" spans="1:4">
      <c r="A4732" s="2">
        <v>0.20823789096664028</v>
      </c>
      <c r="B4732" t="s">
        <v>541</v>
      </c>
      <c r="C4732" t="s">
        <v>692</v>
      </c>
      <c r="D4732" t="s">
        <v>692</v>
      </c>
    </row>
    <row r="4733" spans="1:4">
      <c r="A4733" s="2">
        <v>1</v>
      </c>
      <c r="B4733" t="s">
        <v>542</v>
      </c>
      <c r="C4733" t="s">
        <v>692</v>
      </c>
      <c r="D4733" t="s">
        <v>692</v>
      </c>
    </row>
    <row r="4734" spans="1:4">
      <c r="A4734" s="2">
        <v>6.824</v>
      </c>
      <c r="B4734" t="s">
        <v>364</v>
      </c>
      <c r="C4734" t="s">
        <v>693</v>
      </c>
      <c r="D4734" t="s">
        <v>693</v>
      </c>
    </row>
    <row r="4735" spans="1:4">
      <c r="A4735" s="2">
        <v>7.912100000000001</v>
      </c>
      <c r="B4735" t="s">
        <v>373</v>
      </c>
      <c r="C4735" t="s">
        <v>693</v>
      </c>
      <c r="D4735" t="s">
        <v>693</v>
      </c>
    </row>
    <row r="4736" spans="1:4">
      <c r="A4736" s="2">
        <v>0.042732</v>
      </c>
      <c r="B4736" t="s">
        <v>520</v>
      </c>
      <c r="C4736" t="s">
        <v>693</v>
      </c>
      <c r="D4736" t="s">
        <v>693</v>
      </c>
    </row>
    <row r="4737" spans="1:4">
      <c r="A4737" s="2">
        <v>0.87115</v>
      </c>
      <c r="B4737" t="s">
        <v>370</v>
      </c>
      <c r="C4737" t="s">
        <v>693</v>
      </c>
      <c r="D4737" t="s">
        <v>693</v>
      </c>
    </row>
    <row r="4738" spans="1:4">
      <c r="A4738" s="2">
        <v>9.1377</v>
      </c>
      <c r="B4738" t="s">
        <v>521</v>
      </c>
      <c r="C4738" t="s">
        <v>693</v>
      </c>
      <c r="D4738" t="s">
        <v>693</v>
      </c>
    </row>
    <row r="4739" spans="1:4">
      <c r="A4739" s="2">
        <v>4.8584</v>
      </c>
      <c r="B4739" t="s">
        <v>522</v>
      </c>
      <c r="C4739" t="s">
        <v>693</v>
      </c>
      <c r="D4739" t="s">
        <v>693</v>
      </c>
    </row>
    <row r="4740" spans="1:4">
      <c r="A4740" s="2">
        <v>4.0139</v>
      </c>
      <c r="B4740" t="s">
        <v>523</v>
      </c>
      <c r="C4740" t="s">
        <v>693</v>
      </c>
      <c r="D4740" t="s">
        <v>693</v>
      </c>
    </row>
    <row r="4741" spans="1:4">
      <c r="A4741" s="2">
        <v>5.3290999999999995</v>
      </c>
      <c r="B4741" t="s">
        <v>524</v>
      </c>
      <c r="C4741" t="s">
        <v>693</v>
      </c>
      <c r="D4741" t="s">
        <v>693</v>
      </c>
    </row>
    <row r="4742" spans="1:4">
      <c r="A4742" s="2">
        <v>8.6489</v>
      </c>
      <c r="B4742" t="s">
        <v>525</v>
      </c>
      <c r="C4742" t="s">
        <v>693</v>
      </c>
      <c r="D4742" t="s">
        <v>693</v>
      </c>
    </row>
    <row r="4743" spans="1:4">
      <c r="A4743" s="2">
        <v>4.916</v>
      </c>
      <c r="B4743" t="s">
        <v>526</v>
      </c>
      <c r="C4743" t="s">
        <v>693</v>
      </c>
      <c r="D4743" t="s">
        <v>693</v>
      </c>
    </row>
    <row r="4744" spans="1:4">
      <c r="A4744" s="2">
        <v>0.8453799983092399</v>
      </c>
      <c r="B4744" t="s">
        <v>527</v>
      </c>
      <c r="C4744" t="s">
        <v>693</v>
      </c>
      <c r="D4744" t="s">
        <v>693</v>
      </c>
    </row>
    <row r="4745" spans="1:4">
      <c r="A4745" s="2">
        <v>1.716414067729699</v>
      </c>
      <c r="B4745" t="s">
        <v>528</v>
      </c>
      <c r="C4745" t="s">
        <v>693</v>
      </c>
      <c r="D4745" t="s">
        <v>693</v>
      </c>
    </row>
    <row r="4746" spans="1:4">
      <c r="A4746" s="2">
        <v>0.0956516748608268</v>
      </c>
      <c r="B4746" t="s">
        <v>529</v>
      </c>
      <c r="C4746" t="s">
        <v>693</v>
      </c>
      <c r="D4746" t="s">
        <v>693</v>
      </c>
    </row>
    <row r="4747" spans="1:4">
      <c r="A4747" s="2">
        <v>0.4160772239327619</v>
      </c>
      <c r="B4747" t="s">
        <v>530</v>
      </c>
      <c r="C4747" t="s">
        <v>693</v>
      </c>
      <c r="D4747" t="s">
        <v>693</v>
      </c>
    </row>
    <row r="4748" spans="1:4">
      <c r="A4748" s="2">
        <v>0.004521204448865178</v>
      </c>
      <c r="B4748" t="s">
        <v>531</v>
      </c>
      <c r="C4748" t="s">
        <v>693</v>
      </c>
      <c r="D4748" t="s">
        <v>693</v>
      </c>
    </row>
    <row r="4749" spans="1:4">
      <c r="A4749" s="2">
        <v>1.8526409396594847</v>
      </c>
      <c r="B4749" t="s">
        <v>532</v>
      </c>
      <c r="C4749" t="s">
        <v>693</v>
      </c>
      <c r="D4749" t="s">
        <v>693</v>
      </c>
    </row>
    <row r="4750" spans="1:4">
      <c r="A4750" s="2">
        <v>1.8133352675576189</v>
      </c>
      <c r="B4750" t="s">
        <v>533</v>
      </c>
      <c r="C4750" t="s">
        <v>693</v>
      </c>
      <c r="D4750" t="s">
        <v>693</v>
      </c>
    </row>
    <row r="4751" spans="1:4">
      <c r="A4751" s="2">
        <v>0.022334789561612754</v>
      </c>
      <c r="B4751" t="s">
        <v>534</v>
      </c>
      <c r="C4751" t="s">
        <v>693</v>
      </c>
      <c r="D4751" t="s">
        <v>693</v>
      </c>
    </row>
    <row r="4752" spans="1:4">
      <c r="A4752" s="2">
        <v>1.8706274084327883</v>
      </c>
      <c r="B4752" t="s">
        <v>535</v>
      </c>
      <c r="C4752" t="s">
        <v>693</v>
      </c>
      <c r="D4752" t="s">
        <v>693</v>
      </c>
    </row>
    <row r="4753" spans="1:4">
      <c r="A4753" s="2">
        <v>1.058761249338274</v>
      </c>
      <c r="B4753" t="s">
        <v>536</v>
      </c>
      <c r="C4753" t="s">
        <v>693</v>
      </c>
      <c r="D4753" t="s">
        <v>693</v>
      </c>
    </row>
    <row r="4754" spans="1:4">
      <c r="A4754" s="2">
        <v>0.7316894709885126</v>
      </c>
      <c r="B4754" t="s">
        <v>537</v>
      </c>
      <c r="C4754" t="s">
        <v>693</v>
      </c>
      <c r="D4754" t="s">
        <v>693</v>
      </c>
    </row>
    <row r="4755" spans="1:4">
      <c r="A4755" s="2">
        <v>0.7333528894103842</v>
      </c>
      <c r="B4755" t="s">
        <v>538</v>
      </c>
      <c r="C4755" t="s">
        <v>693</v>
      </c>
      <c r="D4755" t="s">
        <v>693</v>
      </c>
    </row>
    <row r="4756" spans="1:4">
      <c r="A4756" s="2">
        <v>0.14836751226257489</v>
      </c>
      <c r="B4756" t="s">
        <v>539</v>
      </c>
      <c r="C4756" t="s">
        <v>693</v>
      </c>
      <c r="D4756" t="s">
        <v>693</v>
      </c>
    </row>
    <row r="4757" spans="1:4">
      <c r="A4757" s="2">
        <v>0.3923414940364093</v>
      </c>
      <c r="B4757" t="s">
        <v>540</v>
      </c>
      <c r="C4757" t="s">
        <v>693</v>
      </c>
      <c r="D4757" t="s">
        <v>693</v>
      </c>
    </row>
    <row r="4758" spans="1:4">
      <c r="A4758" s="2">
        <v>0.20819887156211617</v>
      </c>
      <c r="B4758" t="s">
        <v>541</v>
      </c>
      <c r="C4758" t="s">
        <v>693</v>
      </c>
      <c r="D4758" t="s">
        <v>693</v>
      </c>
    </row>
    <row r="4759" spans="1:4">
      <c r="A4759" s="2">
        <v>1</v>
      </c>
      <c r="B4759" t="s">
        <v>542</v>
      </c>
      <c r="C4759" t="s">
        <v>693</v>
      </c>
      <c r="D4759" t="s">
        <v>693</v>
      </c>
    </row>
    <row r="4760" spans="1:4">
      <c r="A4760" s="2">
        <v>6.8176</v>
      </c>
      <c r="B4760" t="s">
        <v>364</v>
      </c>
      <c r="C4760" t="s">
        <v>694</v>
      </c>
      <c r="D4760" t="s">
        <v>694</v>
      </c>
    </row>
    <row r="4761" spans="1:4">
      <c r="A4761" s="2">
        <v>7.916</v>
      </c>
      <c r="B4761" t="s">
        <v>373</v>
      </c>
      <c r="C4761" t="s">
        <v>694</v>
      </c>
      <c r="D4761" t="s">
        <v>694</v>
      </c>
    </row>
    <row r="4762" spans="1:4">
      <c r="A4762" s="2">
        <v>0.042718</v>
      </c>
      <c r="B4762" t="s">
        <v>520</v>
      </c>
      <c r="C4762" t="s">
        <v>694</v>
      </c>
      <c r="D4762" t="s">
        <v>694</v>
      </c>
    </row>
    <row r="4763" spans="1:4">
      <c r="A4763" s="2">
        <v>0.87029</v>
      </c>
      <c r="B4763" t="s">
        <v>370</v>
      </c>
      <c r="C4763" t="s">
        <v>694</v>
      </c>
      <c r="D4763" t="s">
        <v>694</v>
      </c>
    </row>
    <row r="4764" spans="1:4">
      <c r="A4764" s="2">
        <v>9.1335</v>
      </c>
      <c r="B4764" t="s">
        <v>521</v>
      </c>
      <c r="C4764" t="s">
        <v>694</v>
      </c>
      <c r="D4764" t="s">
        <v>694</v>
      </c>
    </row>
    <row r="4765" spans="1:4">
      <c r="A4765" s="2">
        <v>4.8641000000000005</v>
      </c>
      <c r="B4765" t="s">
        <v>522</v>
      </c>
      <c r="C4765" t="s">
        <v>694</v>
      </c>
      <c r="D4765" t="s">
        <v>694</v>
      </c>
    </row>
    <row r="4766" spans="1:4">
      <c r="A4766" s="2">
        <v>4.0354</v>
      </c>
      <c r="B4766" t="s">
        <v>523</v>
      </c>
      <c r="C4766" t="s">
        <v>694</v>
      </c>
      <c r="D4766" t="s">
        <v>694</v>
      </c>
    </row>
    <row r="4767" spans="1:4">
      <c r="A4767" s="2">
        <v>5.327100000000001</v>
      </c>
      <c r="B4767" t="s">
        <v>524</v>
      </c>
      <c r="C4767" t="s">
        <v>694</v>
      </c>
      <c r="D4767" t="s">
        <v>694</v>
      </c>
    </row>
    <row r="4768" spans="1:4">
      <c r="A4768" s="2">
        <v>8.6715</v>
      </c>
      <c r="B4768" t="s">
        <v>525</v>
      </c>
      <c r="C4768" t="s">
        <v>694</v>
      </c>
      <c r="D4768" t="s">
        <v>694</v>
      </c>
    </row>
    <row r="4769" spans="1:4">
      <c r="A4769" s="2">
        <v>4.9257</v>
      </c>
      <c r="B4769" t="s">
        <v>526</v>
      </c>
      <c r="C4769" t="s">
        <v>694</v>
      </c>
      <c r="D4769" t="s">
        <v>694</v>
      </c>
    </row>
    <row r="4770" spans="1:4">
      <c r="A4770" s="2">
        <v>0.8445232666159953</v>
      </c>
      <c r="B4770" t="s">
        <v>527</v>
      </c>
      <c r="C4770" t="s">
        <v>694</v>
      </c>
      <c r="D4770" t="s">
        <v>694</v>
      </c>
    </row>
    <row r="4771" spans="1:4">
      <c r="A4771" s="2">
        <v>1.7115667682196285</v>
      </c>
      <c r="B4771" t="s">
        <v>528</v>
      </c>
      <c r="C4771" t="s">
        <v>694</v>
      </c>
      <c r="D4771" t="s">
        <v>694</v>
      </c>
    </row>
    <row r="4772" spans="1:4">
      <c r="A4772" s="2">
        <v>0.09550642280693378</v>
      </c>
      <c r="B4772" t="s">
        <v>529</v>
      </c>
      <c r="C4772" t="s">
        <v>694</v>
      </c>
      <c r="D4772" t="s">
        <v>694</v>
      </c>
    </row>
    <row r="4773" spans="1:4">
      <c r="A4773" s="2">
        <v>0.41890080428954424</v>
      </c>
      <c r="B4773" t="s">
        <v>530</v>
      </c>
      <c r="C4773" t="s">
        <v>694</v>
      </c>
      <c r="D4773" t="s">
        <v>694</v>
      </c>
    </row>
    <row r="4774" spans="1:4">
      <c r="A4774" s="2">
        <v>0.004533091568449683</v>
      </c>
      <c r="B4774" t="s">
        <v>531</v>
      </c>
      <c r="C4774" t="s">
        <v>694</v>
      </c>
      <c r="D4774" t="s">
        <v>694</v>
      </c>
    </row>
    <row r="4775" spans="1:4">
      <c r="A4775" s="2">
        <v>1.8486680346810125</v>
      </c>
      <c r="B4775" t="s">
        <v>532</v>
      </c>
      <c r="C4775" t="s">
        <v>694</v>
      </c>
      <c r="D4775" t="s">
        <v>694</v>
      </c>
    </row>
    <row r="4776" spans="1:4">
      <c r="A4776" s="2">
        <v>1.8092343320306847</v>
      </c>
      <c r="B4776" t="s">
        <v>533</v>
      </c>
      <c r="C4776" t="s">
        <v>694</v>
      </c>
      <c r="D4776" t="s">
        <v>694</v>
      </c>
    </row>
    <row r="4777" spans="1:4">
      <c r="A4777" s="2">
        <v>0.022355610699395283</v>
      </c>
      <c r="B4777" t="s">
        <v>534</v>
      </c>
      <c r="C4777" t="s">
        <v>694</v>
      </c>
      <c r="D4777" t="s">
        <v>694</v>
      </c>
    </row>
    <row r="4778" spans="1:4">
      <c r="A4778" s="2">
        <v>1.8751523561289352</v>
      </c>
      <c r="B4778" t="s">
        <v>535</v>
      </c>
      <c r="C4778" t="s">
        <v>694</v>
      </c>
      <c r="D4778" t="s">
        <v>694</v>
      </c>
    </row>
    <row r="4779" spans="1:4">
      <c r="A4779" s="2">
        <v>1.058985491898761</v>
      </c>
      <c r="B4779" t="s">
        <v>536</v>
      </c>
      <c r="C4779" t="s">
        <v>694</v>
      </c>
      <c r="D4779" t="s">
        <v>694</v>
      </c>
    </row>
    <row r="4780" spans="1:4">
      <c r="A4780" s="2">
        <v>0.7337295472888694</v>
      </c>
      <c r="B4780" t="s">
        <v>537</v>
      </c>
      <c r="C4780" t="s">
        <v>694</v>
      </c>
      <c r="D4780" t="s">
        <v>694</v>
      </c>
    </row>
    <row r="4781" spans="1:4">
      <c r="A4781" s="2">
        <v>0.7338910905621606</v>
      </c>
      <c r="B4781" t="s">
        <v>538</v>
      </c>
      <c r="C4781" t="s">
        <v>694</v>
      </c>
      <c r="D4781" t="s">
        <v>694</v>
      </c>
    </row>
    <row r="4782" spans="1:4">
      <c r="A4782" s="2">
        <v>0.148057997278694</v>
      </c>
      <c r="B4782" t="s">
        <v>539</v>
      </c>
      <c r="C4782" t="s">
        <v>694</v>
      </c>
      <c r="D4782" t="s">
        <v>694</v>
      </c>
    </row>
    <row r="4783" spans="1:4">
      <c r="A4783" s="2">
        <v>0.3931281204544561</v>
      </c>
      <c r="B4783" t="s">
        <v>540</v>
      </c>
      <c r="C4783" t="s">
        <v>694</v>
      </c>
      <c r="D4783" t="s">
        <v>694</v>
      </c>
    </row>
    <row r="4784" spans="1:4">
      <c r="A4784" s="2">
        <v>0.20825523761922612</v>
      </c>
      <c r="B4784" t="s">
        <v>541</v>
      </c>
      <c r="C4784" t="s">
        <v>694</v>
      </c>
      <c r="D4784" t="s">
        <v>694</v>
      </c>
    </row>
    <row r="4785" spans="1:4">
      <c r="A4785" s="2">
        <v>1</v>
      </c>
      <c r="B4785" t="s">
        <v>542</v>
      </c>
      <c r="C4785" t="s">
        <v>694</v>
      </c>
      <c r="D4785" t="s">
        <v>694</v>
      </c>
    </row>
    <row r="4786" spans="1:4">
      <c r="A4786" s="2">
        <v>6.8176</v>
      </c>
      <c r="B4786" t="s">
        <v>364</v>
      </c>
      <c r="C4786" t="s">
        <v>694</v>
      </c>
      <c r="D4786" t="s">
        <v>695</v>
      </c>
    </row>
    <row r="4787" spans="1:4">
      <c r="A4787" s="2">
        <v>7.916</v>
      </c>
      <c r="B4787" t="s">
        <v>373</v>
      </c>
      <c r="C4787" t="s">
        <v>694</v>
      </c>
      <c r="D4787" t="s">
        <v>695</v>
      </c>
    </row>
    <row r="4788" spans="1:4">
      <c r="A4788" s="2">
        <v>0.042718</v>
      </c>
      <c r="B4788" t="s">
        <v>520</v>
      </c>
      <c r="C4788" t="s">
        <v>694</v>
      </c>
      <c r="D4788" t="s">
        <v>695</v>
      </c>
    </row>
    <row r="4789" spans="1:4">
      <c r="A4789" s="2">
        <v>0.87029</v>
      </c>
      <c r="B4789" t="s">
        <v>370</v>
      </c>
      <c r="C4789" t="s">
        <v>694</v>
      </c>
      <c r="D4789" t="s">
        <v>695</v>
      </c>
    </row>
    <row r="4790" spans="1:4">
      <c r="A4790" s="2">
        <v>9.1335</v>
      </c>
      <c r="B4790" t="s">
        <v>521</v>
      </c>
      <c r="C4790" t="s">
        <v>694</v>
      </c>
      <c r="D4790" t="s">
        <v>695</v>
      </c>
    </row>
    <row r="4791" spans="1:4">
      <c r="A4791" s="2">
        <v>4.8641000000000005</v>
      </c>
      <c r="B4791" t="s">
        <v>522</v>
      </c>
      <c r="C4791" t="s">
        <v>694</v>
      </c>
      <c r="D4791" t="s">
        <v>695</v>
      </c>
    </row>
    <row r="4792" spans="1:4">
      <c r="A4792" s="2">
        <v>4.0354</v>
      </c>
      <c r="B4792" t="s">
        <v>523</v>
      </c>
      <c r="C4792" t="s">
        <v>694</v>
      </c>
      <c r="D4792" t="s">
        <v>695</v>
      </c>
    </row>
    <row r="4793" spans="1:4">
      <c r="A4793" s="2">
        <v>5.327100000000001</v>
      </c>
      <c r="B4793" t="s">
        <v>524</v>
      </c>
      <c r="C4793" t="s">
        <v>694</v>
      </c>
      <c r="D4793" t="s">
        <v>695</v>
      </c>
    </row>
    <row r="4794" spans="1:4">
      <c r="A4794" s="2">
        <v>8.6715</v>
      </c>
      <c r="B4794" t="s">
        <v>525</v>
      </c>
      <c r="C4794" t="s">
        <v>694</v>
      </c>
      <c r="D4794" t="s">
        <v>695</v>
      </c>
    </row>
    <row r="4795" spans="1:4">
      <c r="A4795" s="2">
        <v>4.9257</v>
      </c>
      <c r="B4795" t="s">
        <v>526</v>
      </c>
      <c r="C4795" t="s">
        <v>694</v>
      </c>
      <c r="D4795" t="s">
        <v>695</v>
      </c>
    </row>
    <row r="4796" spans="1:4">
      <c r="A4796" s="2">
        <v>0.8445232666159953</v>
      </c>
      <c r="B4796" t="s">
        <v>527</v>
      </c>
      <c r="C4796" t="s">
        <v>694</v>
      </c>
      <c r="D4796" t="s">
        <v>695</v>
      </c>
    </row>
    <row r="4797" spans="1:4">
      <c r="A4797" s="2">
        <v>1.7115667682196285</v>
      </c>
      <c r="B4797" t="s">
        <v>528</v>
      </c>
      <c r="C4797" t="s">
        <v>694</v>
      </c>
      <c r="D4797" t="s">
        <v>695</v>
      </c>
    </row>
    <row r="4798" spans="1:4">
      <c r="A4798" s="2">
        <v>0.09550642280693378</v>
      </c>
      <c r="B4798" t="s">
        <v>529</v>
      </c>
      <c r="C4798" t="s">
        <v>694</v>
      </c>
      <c r="D4798" t="s">
        <v>695</v>
      </c>
    </row>
    <row r="4799" spans="1:4">
      <c r="A4799" s="2">
        <v>0.41890080428954424</v>
      </c>
      <c r="B4799" t="s">
        <v>530</v>
      </c>
      <c r="C4799" t="s">
        <v>694</v>
      </c>
      <c r="D4799" t="s">
        <v>695</v>
      </c>
    </row>
    <row r="4800" spans="1:4">
      <c r="A4800" s="2">
        <v>0.004533091568449683</v>
      </c>
      <c r="B4800" t="s">
        <v>531</v>
      </c>
      <c r="C4800" t="s">
        <v>694</v>
      </c>
      <c r="D4800" t="s">
        <v>695</v>
      </c>
    </row>
    <row r="4801" spans="1:4">
      <c r="A4801" s="2">
        <v>1.8486680346810125</v>
      </c>
      <c r="B4801" t="s">
        <v>532</v>
      </c>
      <c r="C4801" t="s">
        <v>694</v>
      </c>
      <c r="D4801" t="s">
        <v>695</v>
      </c>
    </row>
    <row r="4802" spans="1:4">
      <c r="A4802" s="2">
        <v>1.8092343320306847</v>
      </c>
      <c r="B4802" t="s">
        <v>533</v>
      </c>
      <c r="C4802" t="s">
        <v>694</v>
      </c>
      <c r="D4802" t="s">
        <v>695</v>
      </c>
    </row>
    <row r="4803" spans="1:4">
      <c r="A4803" s="2">
        <v>0.022355610699395283</v>
      </c>
      <c r="B4803" t="s">
        <v>534</v>
      </c>
      <c r="C4803" t="s">
        <v>694</v>
      </c>
      <c r="D4803" t="s">
        <v>695</v>
      </c>
    </row>
    <row r="4804" spans="1:4">
      <c r="A4804" s="2">
        <v>1.8751523561289352</v>
      </c>
      <c r="B4804" t="s">
        <v>535</v>
      </c>
      <c r="C4804" t="s">
        <v>694</v>
      </c>
      <c r="D4804" t="s">
        <v>695</v>
      </c>
    </row>
    <row r="4805" spans="1:4">
      <c r="A4805" s="2">
        <v>1.058985491898761</v>
      </c>
      <c r="B4805" t="s">
        <v>536</v>
      </c>
      <c r="C4805" t="s">
        <v>694</v>
      </c>
      <c r="D4805" t="s">
        <v>695</v>
      </c>
    </row>
    <row r="4806" spans="1:4">
      <c r="A4806" s="2">
        <v>0.7337295472888694</v>
      </c>
      <c r="B4806" t="s">
        <v>537</v>
      </c>
      <c r="C4806" t="s">
        <v>694</v>
      </c>
      <c r="D4806" t="s">
        <v>695</v>
      </c>
    </row>
    <row r="4807" spans="1:4">
      <c r="A4807" s="2">
        <v>0.7338910905621606</v>
      </c>
      <c r="B4807" t="s">
        <v>538</v>
      </c>
      <c r="C4807" t="s">
        <v>694</v>
      </c>
      <c r="D4807" t="s">
        <v>695</v>
      </c>
    </row>
    <row r="4808" spans="1:4">
      <c r="A4808" s="2">
        <v>0.148057997278694</v>
      </c>
      <c r="B4808" t="s">
        <v>539</v>
      </c>
      <c r="C4808" t="s">
        <v>694</v>
      </c>
      <c r="D4808" t="s">
        <v>695</v>
      </c>
    </row>
    <row r="4809" spans="1:4">
      <c r="A4809" s="2">
        <v>0.3931281204544561</v>
      </c>
      <c r="B4809" t="s">
        <v>540</v>
      </c>
      <c r="C4809" t="s">
        <v>694</v>
      </c>
      <c r="D4809" t="s">
        <v>695</v>
      </c>
    </row>
    <row r="4810" spans="1:4">
      <c r="A4810" s="2">
        <v>0.20825523761922612</v>
      </c>
      <c r="B4810" t="s">
        <v>541</v>
      </c>
      <c r="C4810" t="s">
        <v>694</v>
      </c>
      <c r="D4810" t="s">
        <v>695</v>
      </c>
    </row>
    <row r="4811" spans="1:4">
      <c r="A4811" s="2">
        <v>1</v>
      </c>
      <c r="B4811" t="s">
        <v>542</v>
      </c>
      <c r="C4811" t="s">
        <v>695</v>
      </c>
      <c r="D4811" t="s">
        <v>695</v>
      </c>
    </row>
    <row r="4812" spans="1:4">
      <c r="A4812" s="2">
        <v>6.8176</v>
      </c>
      <c r="B4812" t="s">
        <v>364</v>
      </c>
      <c r="C4812" t="s">
        <v>694</v>
      </c>
      <c r="D4812" t="s">
        <v>382</v>
      </c>
    </row>
    <row r="4813" spans="1:4">
      <c r="A4813" s="2">
        <v>7.916</v>
      </c>
      <c r="B4813" t="s">
        <v>373</v>
      </c>
      <c r="C4813" t="s">
        <v>694</v>
      </c>
      <c r="D4813" t="s">
        <v>382</v>
      </c>
    </row>
    <row r="4814" spans="1:4">
      <c r="A4814" s="2">
        <v>0.042718</v>
      </c>
      <c r="B4814" t="s">
        <v>520</v>
      </c>
      <c r="C4814" t="s">
        <v>694</v>
      </c>
      <c r="D4814" t="s">
        <v>382</v>
      </c>
    </row>
    <row r="4815" spans="1:4">
      <c r="A4815" s="2">
        <v>0.87029</v>
      </c>
      <c r="B4815" t="s">
        <v>370</v>
      </c>
      <c r="C4815" t="s">
        <v>694</v>
      </c>
      <c r="D4815" t="s">
        <v>382</v>
      </c>
    </row>
    <row r="4816" spans="1:4">
      <c r="A4816" s="2">
        <v>9.1335</v>
      </c>
      <c r="B4816" t="s">
        <v>521</v>
      </c>
      <c r="C4816" t="s">
        <v>694</v>
      </c>
      <c r="D4816" t="s">
        <v>382</v>
      </c>
    </row>
    <row r="4817" spans="1:4">
      <c r="A4817" s="2">
        <v>4.8641000000000005</v>
      </c>
      <c r="B4817" t="s">
        <v>522</v>
      </c>
      <c r="C4817" t="s">
        <v>694</v>
      </c>
      <c r="D4817" t="s">
        <v>382</v>
      </c>
    </row>
    <row r="4818" spans="1:4">
      <c r="A4818" s="2">
        <v>4.0354</v>
      </c>
      <c r="B4818" t="s">
        <v>523</v>
      </c>
      <c r="C4818" t="s">
        <v>694</v>
      </c>
      <c r="D4818" t="s">
        <v>382</v>
      </c>
    </row>
    <row r="4819" spans="1:4">
      <c r="A4819" s="2">
        <v>5.327100000000001</v>
      </c>
      <c r="B4819" t="s">
        <v>524</v>
      </c>
      <c r="C4819" t="s">
        <v>694</v>
      </c>
      <c r="D4819" t="s">
        <v>382</v>
      </c>
    </row>
    <row r="4820" spans="1:4">
      <c r="A4820" s="2">
        <v>8.6715</v>
      </c>
      <c r="B4820" t="s">
        <v>525</v>
      </c>
      <c r="C4820" t="s">
        <v>694</v>
      </c>
      <c r="D4820" t="s">
        <v>382</v>
      </c>
    </row>
    <row r="4821" spans="1:4">
      <c r="A4821" s="2">
        <v>4.9257</v>
      </c>
      <c r="B4821" t="s">
        <v>526</v>
      </c>
      <c r="C4821" t="s">
        <v>694</v>
      </c>
      <c r="D4821" t="s">
        <v>382</v>
      </c>
    </row>
    <row r="4822" spans="1:4">
      <c r="A4822" s="2">
        <v>0.8445232666159953</v>
      </c>
      <c r="B4822" t="s">
        <v>527</v>
      </c>
      <c r="C4822" t="s">
        <v>694</v>
      </c>
      <c r="D4822" t="s">
        <v>382</v>
      </c>
    </row>
    <row r="4823" spans="1:4">
      <c r="A4823" s="2">
        <v>1.7115667682196285</v>
      </c>
      <c r="B4823" t="s">
        <v>528</v>
      </c>
      <c r="C4823" t="s">
        <v>694</v>
      </c>
      <c r="D4823" t="s">
        <v>382</v>
      </c>
    </row>
    <row r="4824" spans="1:4">
      <c r="A4824" s="2">
        <v>0.09550642280693378</v>
      </c>
      <c r="B4824" t="s">
        <v>529</v>
      </c>
      <c r="C4824" t="s">
        <v>694</v>
      </c>
      <c r="D4824" t="s">
        <v>382</v>
      </c>
    </row>
    <row r="4825" spans="1:4">
      <c r="A4825" s="2">
        <v>0.41890080428954424</v>
      </c>
      <c r="B4825" t="s">
        <v>530</v>
      </c>
      <c r="C4825" t="s">
        <v>694</v>
      </c>
      <c r="D4825" t="s">
        <v>382</v>
      </c>
    </row>
    <row r="4826" spans="1:4">
      <c r="A4826" s="2">
        <v>0.004533091568449683</v>
      </c>
      <c r="B4826" t="s">
        <v>531</v>
      </c>
      <c r="C4826" t="s">
        <v>694</v>
      </c>
      <c r="D4826" t="s">
        <v>382</v>
      </c>
    </row>
    <row r="4827" spans="1:4">
      <c r="A4827" s="2">
        <v>1.8486680346810125</v>
      </c>
      <c r="B4827" t="s">
        <v>532</v>
      </c>
      <c r="C4827" t="s">
        <v>694</v>
      </c>
      <c r="D4827" t="s">
        <v>382</v>
      </c>
    </row>
    <row r="4828" spans="1:4">
      <c r="A4828" s="2">
        <v>1.8092343320306847</v>
      </c>
      <c r="B4828" t="s">
        <v>533</v>
      </c>
      <c r="C4828" t="s">
        <v>694</v>
      </c>
      <c r="D4828" t="s">
        <v>382</v>
      </c>
    </row>
    <row r="4829" spans="1:4">
      <c r="A4829" s="2">
        <v>0.022355610699395283</v>
      </c>
      <c r="B4829" t="s">
        <v>534</v>
      </c>
      <c r="C4829" t="s">
        <v>694</v>
      </c>
      <c r="D4829" t="s">
        <v>382</v>
      </c>
    </row>
    <row r="4830" spans="1:4">
      <c r="A4830" s="2">
        <v>1.8751523561289352</v>
      </c>
      <c r="B4830" t="s">
        <v>535</v>
      </c>
      <c r="C4830" t="s">
        <v>694</v>
      </c>
      <c r="D4830" t="s">
        <v>382</v>
      </c>
    </row>
    <row r="4831" spans="1:4">
      <c r="A4831" s="2">
        <v>1.058985491898761</v>
      </c>
      <c r="B4831" t="s">
        <v>536</v>
      </c>
      <c r="C4831" t="s">
        <v>694</v>
      </c>
      <c r="D4831" t="s">
        <v>382</v>
      </c>
    </row>
    <row r="4832" spans="1:4">
      <c r="A4832" s="2">
        <v>0.7337295472888694</v>
      </c>
      <c r="B4832" t="s">
        <v>537</v>
      </c>
      <c r="C4832" t="s">
        <v>694</v>
      </c>
      <c r="D4832" t="s">
        <v>382</v>
      </c>
    </row>
    <row r="4833" spans="1:4">
      <c r="A4833" s="2">
        <v>0.7338910905621606</v>
      </c>
      <c r="B4833" t="s">
        <v>538</v>
      </c>
      <c r="C4833" t="s">
        <v>694</v>
      </c>
      <c r="D4833" t="s">
        <v>382</v>
      </c>
    </row>
    <row r="4834" spans="1:4">
      <c r="A4834" s="2">
        <v>0.148057997278694</v>
      </c>
      <c r="B4834" t="s">
        <v>539</v>
      </c>
      <c r="C4834" t="s">
        <v>694</v>
      </c>
      <c r="D4834" t="s">
        <v>382</v>
      </c>
    </row>
    <row r="4835" spans="1:4">
      <c r="A4835" s="2">
        <v>0.3931281204544561</v>
      </c>
      <c r="B4835" t="s">
        <v>540</v>
      </c>
      <c r="C4835" t="s">
        <v>694</v>
      </c>
      <c r="D4835" t="s">
        <v>382</v>
      </c>
    </row>
    <row r="4836" spans="1:4">
      <c r="A4836" s="2">
        <v>0.20825523761922612</v>
      </c>
      <c r="B4836" t="s">
        <v>541</v>
      </c>
      <c r="C4836" t="s">
        <v>694</v>
      </c>
      <c r="D4836" t="s">
        <v>382</v>
      </c>
    </row>
    <row r="4837" spans="1:4">
      <c r="A4837" s="2">
        <v>1</v>
      </c>
      <c r="B4837" t="s">
        <v>542</v>
      </c>
      <c r="C4837" t="s">
        <v>382</v>
      </c>
      <c r="D4837" t="s">
        <v>382</v>
      </c>
    </row>
    <row r="4838" spans="1:4">
      <c r="A4838" s="2">
        <v>6.8167</v>
      </c>
      <c r="B4838" t="s">
        <v>364</v>
      </c>
      <c r="C4838" t="s">
        <v>696</v>
      </c>
      <c r="D4838" t="s">
        <v>696</v>
      </c>
    </row>
    <row r="4839" spans="1:4">
      <c r="A4839" s="2">
        <v>7.9122</v>
      </c>
      <c r="B4839" t="s">
        <v>373</v>
      </c>
      <c r="C4839" t="s">
        <v>696</v>
      </c>
      <c r="D4839" t="s">
        <v>696</v>
      </c>
    </row>
    <row r="4840" spans="1:4">
      <c r="A4840" s="2">
        <v>0.042656</v>
      </c>
      <c r="B4840" t="s">
        <v>520</v>
      </c>
      <c r="C4840" t="s">
        <v>696</v>
      </c>
      <c r="D4840" t="s">
        <v>696</v>
      </c>
    </row>
    <row r="4841" spans="1:4">
      <c r="A4841" s="2">
        <v>0.8698600000000001</v>
      </c>
      <c r="B4841" t="s">
        <v>370</v>
      </c>
      <c r="C4841" t="s">
        <v>696</v>
      </c>
      <c r="D4841" t="s">
        <v>696</v>
      </c>
    </row>
    <row r="4842" spans="1:4">
      <c r="A4842" s="2">
        <v>9.1339</v>
      </c>
      <c r="B4842" t="s">
        <v>521</v>
      </c>
      <c r="C4842" t="s">
        <v>696</v>
      </c>
      <c r="D4842" t="s">
        <v>696</v>
      </c>
    </row>
    <row r="4843" spans="1:4">
      <c r="A4843" s="2">
        <v>4.8759</v>
      </c>
      <c r="B4843" t="s">
        <v>522</v>
      </c>
      <c r="C4843" t="s">
        <v>696</v>
      </c>
      <c r="D4843" t="s">
        <v>696</v>
      </c>
    </row>
    <row r="4844" spans="1:4">
      <c r="A4844" s="2">
        <v>4.0588999999999995</v>
      </c>
      <c r="B4844" t="s">
        <v>523</v>
      </c>
      <c r="C4844" t="s">
        <v>696</v>
      </c>
      <c r="D4844" t="s">
        <v>696</v>
      </c>
    </row>
    <row r="4845" spans="1:4">
      <c r="A4845" s="2">
        <v>5.3197</v>
      </c>
      <c r="B4845" t="s">
        <v>524</v>
      </c>
      <c r="C4845" t="s">
        <v>696</v>
      </c>
      <c r="D4845" t="s">
        <v>696</v>
      </c>
    </row>
    <row r="4846" spans="1:4">
      <c r="A4846" s="2">
        <v>8.6922</v>
      </c>
      <c r="B4846" t="s">
        <v>525</v>
      </c>
      <c r="C4846" t="s">
        <v>696</v>
      </c>
      <c r="D4846" t="s">
        <v>696</v>
      </c>
    </row>
    <row r="4847" spans="1:4">
      <c r="A4847" s="2">
        <v>4.9188</v>
      </c>
      <c r="B4847" t="s">
        <v>526</v>
      </c>
      <c r="C4847" t="s">
        <v>696</v>
      </c>
      <c r="D4847" t="s">
        <v>696</v>
      </c>
    </row>
    <row r="4848" spans="1:4">
      <c r="A4848" s="2">
        <v>0.844095551616443</v>
      </c>
      <c r="B4848" t="s">
        <v>527</v>
      </c>
      <c r="C4848" t="s">
        <v>696</v>
      </c>
      <c r="D4848" t="s">
        <v>696</v>
      </c>
    </row>
    <row r="4849" spans="1:4">
      <c r="A4849" s="2">
        <v>1.7150011147507247</v>
      </c>
      <c r="B4849" t="s">
        <v>528</v>
      </c>
      <c r="C4849" t="s">
        <v>696</v>
      </c>
      <c r="D4849" t="s">
        <v>696</v>
      </c>
    </row>
    <row r="4850" spans="1:4">
      <c r="A4850" s="2">
        <v>0.09533979101517807</v>
      </c>
      <c r="B4850" t="s">
        <v>529</v>
      </c>
      <c r="C4850" t="s">
        <v>696</v>
      </c>
      <c r="D4850" t="s">
        <v>696</v>
      </c>
    </row>
    <row r="4851" spans="1:4">
      <c r="A4851" s="2">
        <v>0.4182700351346829</v>
      </c>
      <c r="B4851" t="s">
        <v>530</v>
      </c>
      <c r="C4851" t="s">
        <v>696</v>
      </c>
      <c r="D4851" t="s">
        <v>696</v>
      </c>
    </row>
    <row r="4852" spans="1:4">
      <c r="A4852" s="2">
        <v>0.004496200710399712</v>
      </c>
      <c r="B4852" t="s">
        <v>531</v>
      </c>
      <c r="C4852" t="s">
        <v>696</v>
      </c>
      <c r="D4852" t="s">
        <v>696</v>
      </c>
    </row>
    <row r="4853" spans="1:4">
      <c r="A4853" s="2">
        <v>1.8475750577367205</v>
      </c>
      <c r="B4853" t="s">
        <v>532</v>
      </c>
      <c r="C4853" t="s">
        <v>696</v>
      </c>
      <c r="D4853" t="s">
        <v>696</v>
      </c>
    </row>
    <row r="4854" spans="1:4">
      <c r="A4854" s="2">
        <v>1.8083182640144664</v>
      </c>
      <c r="B4854" t="s">
        <v>533</v>
      </c>
      <c r="C4854" t="s">
        <v>696</v>
      </c>
      <c r="D4854" t="s">
        <v>696</v>
      </c>
    </row>
    <row r="4855" spans="1:4">
      <c r="A4855" s="2">
        <v>0.02238313207167079</v>
      </c>
      <c r="B4855" t="s">
        <v>534</v>
      </c>
      <c r="C4855" t="s">
        <v>696</v>
      </c>
      <c r="D4855" t="s">
        <v>696</v>
      </c>
    </row>
    <row r="4856" spans="1:4">
      <c r="A4856" s="2">
        <v>1.8726241081627684</v>
      </c>
      <c r="B4856" t="s">
        <v>535</v>
      </c>
      <c r="C4856" t="s">
        <v>696</v>
      </c>
      <c r="D4856" t="s">
        <v>696</v>
      </c>
    </row>
    <row r="4857" spans="1:4">
      <c r="A4857" s="2">
        <v>1.0586491636671609</v>
      </c>
      <c r="B4857" t="s">
        <v>536</v>
      </c>
      <c r="C4857" t="s">
        <v>696</v>
      </c>
      <c r="D4857" t="s">
        <v>696</v>
      </c>
    </row>
    <row r="4858" spans="1:4">
      <c r="A4858" s="2">
        <v>0.7339449541284404</v>
      </c>
      <c r="B4858" t="s">
        <v>537</v>
      </c>
      <c r="C4858" t="s">
        <v>696</v>
      </c>
      <c r="D4858" t="s">
        <v>696</v>
      </c>
    </row>
    <row r="4859" spans="1:4">
      <c r="A4859" s="2">
        <v>0.733998825601879</v>
      </c>
      <c r="B4859" t="s">
        <v>538</v>
      </c>
      <c r="C4859" t="s">
        <v>696</v>
      </c>
      <c r="D4859" t="s">
        <v>696</v>
      </c>
    </row>
    <row r="4860" spans="1:4">
      <c r="A4860" s="2">
        <v>0.14796007445350948</v>
      </c>
      <c r="B4860" t="s">
        <v>539</v>
      </c>
      <c r="C4860" t="s">
        <v>696</v>
      </c>
      <c r="D4860" t="s">
        <v>696</v>
      </c>
    </row>
    <row r="4861" spans="1:4">
      <c r="A4861" s="2">
        <v>0.3921261077562544</v>
      </c>
      <c r="B4861" t="s">
        <v>540</v>
      </c>
      <c r="C4861" t="s">
        <v>696</v>
      </c>
      <c r="D4861" t="s">
        <v>696</v>
      </c>
    </row>
    <row r="4862" spans="1:4">
      <c r="A4862" s="2">
        <v>0.2082856012163879</v>
      </c>
      <c r="B4862" t="s">
        <v>541</v>
      </c>
      <c r="C4862" t="s">
        <v>696</v>
      </c>
      <c r="D4862" t="s">
        <v>696</v>
      </c>
    </row>
    <row r="4863" spans="1:4">
      <c r="A4863" s="2">
        <v>1</v>
      </c>
      <c r="B4863" t="s">
        <v>542</v>
      </c>
      <c r="C4863" t="s">
        <v>696</v>
      </c>
      <c r="D4863" t="s">
        <v>696</v>
      </c>
    </row>
    <row r="4864" spans="1:4">
      <c r="A4864" s="2">
        <v>6.8187</v>
      </c>
      <c r="B4864" t="s">
        <v>364</v>
      </c>
      <c r="C4864" t="s">
        <v>697</v>
      </c>
      <c r="D4864" t="s">
        <v>697</v>
      </c>
    </row>
    <row r="4865" spans="1:4">
      <c r="A4865" s="2">
        <v>7.9068</v>
      </c>
      <c r="B4865" t="s">
        <v>373</v>
      </c>
      <c r="C4865" t="s">
        <v>697</v>
      </c>
      <c r="D4865" t="s">
        <v>697</v>
      </c>
    </row>
    <row r="4866" spans="1:4">
      <c r="A4866" s="2">
        <v>0.042621</v>
      </c>
      <c r="B4866" t="s">
        <v>520</v>
      </c>
      <c r="C4866" t="s">
        <v>697</v>
      </c>
      <c r="D4866" t="s">
        <v>697</v>
      </c>
    </row>
    <row r="4867" spans="1:4">
      <c r="A4867" s="2">
        <v>0.8699800000000001</v>
      </c>
      <c r="B4867" t="s">
        <v>370</v>
      </c>
      <c r="C4867" t="s">
        <v>697</v>
      </c>
      <c r="D4867" t="s">
        <v>697</v>
      </c>
    </row>
    <row r="4868" spans="1:4">
      <c r="A4868" s="2">
        <v>9.1472</v>
      </c>
      <c r="B4868" t="s">
        <v>521</v>
      </c>
      <c r="C4868" t="s">
        <v>697</v>
      </c>
      <c r="D4868" t="s">
        <v>697</v>
      </c>
    </row>
    <row r="4869" spans="1:4">
      <c r="A4869" s="2">
        <v>4.8681</v>
      </c>
      <c r="B4869" t="s">
        <v>522</v>
      </c>
      <c r="C4869" t="s">
        <v>697</v>
      </c>
      <c r="D4869" t="s">
        <v>697</v>
      </c>
    </row>
    <row r="4870" spans="1:4">
      <c r="A4870" s="2">
        <v>4.0327</v>
      </c>
      <c r="B4870" t="s">
        <v>523</v>
      </c>
      <c r="C4870" t="s">
        <v>697</v>
      </c>
      <c r="D4870" t="s">
        <v>697</v>
      </c>
    </row>
    <row r="4871" spans="1:4">
      <c r="A4871" s="2">
        <v>5.3167</v>
      </c>
      <c r="B4871" t="s">
        <v>524</v>
      </c>
      <c r="C4871" t="s">
        <v>697</v>
      </c>
      <c r="D4871" t="s">
        <v>697</v>
      </c>
    </row>
    <row r="4872" spans="1:4">
      <c r="A4872" s="2">
        <v>8.6485</v>
      </c>
      <c r="B4872" t="s">
        <v>525</v>
      </c>
      <c r="C4872" t="s">
        <v>697</v>
      </c>
      <c r="D4872" t="s">
        <v>697</v>
      </c>
    </row>
    <row r="4873" spans="1:4">
      <c r="A4873" s="2">
        <v>4.9081</v>
      </c>
      <c r="B4873" t="s">
        <v>526</v>
      </c>
      <c r="C4873" t="s">
        <v>697</v>
      </c>
      <c r="D4873" t="s">
        <v>697</v>
      </c>
    </row>
    <row r="4874" spans="1:4">
      <c r="A4874" s="2">
        <v>0.8442380751371886</v>
      </c>
      <c r="B4874" t="s">
        <v>527</v>
      </c>
      <c r="C4874" t="s">
        <v>697</v>
      </c>
      <c r="D4874" t="s">
        <v>697</v>
      </c>
    </row>
    <row r="4875" spans="1:4">
      <c r="A4875" s="2">
        <v>1.7162078670968628</v>
      </c>
      <c r="B4875" t="s">
        <v>528</v>
      </c>
      <c r="C4875" t="s">
        <v>697</v>
      </c>
      <c r="D4875" t="s">
        <v>697</v>
      </c>
    </row>
    <row r="4876" spans="1:4">
      <c r="A4876" s="2">
        <v>0.09401677259223044</v>
      </c>
      <c r="B4876" t="s">
        <v>529</v>
      </c>
      <c r="C4876" t="s">
        <v>697</v>
      </c>
      <c r="D4876" t="s">
        <v>697</v>
      </c>
    </row>
    <row r="4877" spans="1:4">
      <c r="A4877" s="2">
        <v>0.4169967891247237</v>
      </c>
      <c r="B4877" t="s">
        <v>530</v>
      </c>
      <c r="C4877" t="s">
        <v>697</v>
      </c>
      <c r="D4877" t="s">
        <v>697</v>
      </c>
    </row>
    <row r="4878" spans="1:4">
      <c r="A4878" s="2">
        <v>0.004484506031660613</v>
      </c>
      <c r="B4878" t="s">
        <v>531</v>
      </c>
      <c r="C4878" t="s">
        <v>697</v>
      </c>
      <c r="D4878" t="s">
        <v>697</v>
      </c>
    </row>
    <row r="4879" spans="1:4">
      <c r="A4879" s="2">
        <v>1.8495912403358856</v>
      </c>
      <c r="B4879" t="s">
        <v>532</v>
      </c>
      <c r="C4879" t="s">
        <v>697</v>
      </c>
      <c r="D4879" t="s">
        <v>697</v>
      </c>
    </row>
    <row r="4880" spans="1:4">
      <c r="A4880" s="2">
        <v>1.8101840957225348</v>
      </c>
      <c r="B4880" t="s">
        <v>533</v>
      </c>
      <c r="C4880" t="s">
        <v>697</v>
      </c>
      <c r="D4880" t="s">
        <v>697</v>
      </c>
    </row>
    <row r="4881" spans="1:4">
      <c r="A4881" s="2">
        <v>0.022261749194681223</v>
      </c>
      <c r="B4881" t="s">
        <v>534</v>
      </c>
      <c r="C4881" t="s">
        <v>697</v>
      </c>
      <c r="D4881" t="s">
        <v>697</v>
      </c>
    </row>
    <row r="4882" spans="1:4">
      <c r="A4882" s="2">
        <v>1.869333582577811</v>
      </c>
      <c r="B4882" t="s">
        <v>535</v>
      </c>
      <c r="C4882" t="s">
        <v>697</v>
      </c>
      <c r="D4882" t="s">
        <v>697</v>
      </c>
    </row>
    <row r="4883" spans="1:4">
      <c r="A4883" s="2">
        <v>1.058201058201058</v>
      </c>
      <c r="B4883" t="s">
        <v>536</v>
      </c>
      <c r="C4883" t="s">
        <v>697</v>
      </c>
      <c r="D4883" t="s">
        <v>697</v>
      </c>
    </row>
    <row r="4884" spans="1:4">
      <c r="A4884" s="2">
        <v>0.7297672042618405</v>
      </c>
      <c r="B4884" t="s">
        <v>537</v>
      </c>
      <c r="C4884" t="s">
        <v>697</v>
      </c>
      <c r="D4884" t="s">
        <v>697</v>
      </c>
    </row>
    <row r="4885" spans="1:4">
      <c r="A4885" s="2">
        <v>0.7323324789454412</v>
      </c>
      <c r="B4885" t="s">
        <v>538</v>
      </c>
      <c r="C4885" t="s">
        <v>697</v>
      </c>
      <c r="D4885" t="s">
        <v>697</v>
      </c>
    </row>
    <row r="4886" spans="1:4">
      <c r="A4886" s="2">
        <v>0.14805624360582098</v>
      </c>
      <c r="B4886" t="s">
        <v>539</v>
      </c>
      <c r="C4886" t="s">
        <v>697</v>
      </c>
      <c r="D4886" t="s">
        <v>697</v>
      </c>
    </row>
    <row r="4887" spans="1:4">
      <c r="A4887" s="2">
        <v>0.392156862745098</v>
      </c>
      <c r="B4887" t="s">
        <v>540</v>
      </c>
      <c r="C4887" t="s">
        <v>697</v>
      </c>
      <c r="D4887" t="s">
        <v>697</v>
      </c>
    </row>
    <row r="4888" spans="1:4">
      <c r="A4888" s="2">
        <v>0.20805592543275633</v>
      </c>
      <c r="B4888" t="s">
        <v>541</v>
      </c>
      <c r="C4888" t="s">
        <v>697</v>
      </c>
      <c r="D4888" t="s">
        <v>697</v>
      </c>
    </row>
    <row r="4889" spans="1:4">
      <c r="A4889" s="2">
        <v>1</v>
      </c>
      <c r="B4889" t="s">
        <v>542</v>
      </c>
      <c r="C4889" t="s">
        <v>697</v>
      </c>
      <c r="D4889" t="s">
        <v>697</v>
      </c>
    </row>
    <row r="4890" spans="1:4">
      <c r="A4890" s="2">
        <v>6.8184000000000005</v>
      </c>
      <c r="B4890" t="s">
        <v>364</v>
      </c>
      <c r="C4890" t="s">
        <v>698</v>
      </c>
      <c r="D4890" t="s">
        <v>698</v>
      </c>
    </row>
    <row r="4891" spans="1:4">
      <c r="A4891" s="2">
        <v>7.899</v>
      </c>
      <c r="B4891" t="s">
        <v>373</v>
      </c>
      <c r="C4891" t="s">
        <v>698</v>
      </c>
      <c r="D4891" t="s">
        <v>698</v>
      </c>
    </row>
    <row r="4892" spans="1:4">
      <c r="A4892" s="2">
        <v>0.042552000000000006</v>
      </c>
      <c r="B4892" t="s">
        <v>520</v>
      </c>
      <c r="C4892" t="s">
        <v>698</v>
      </c>
      <c r="D4892" t="s">
        <v>698</v>
      </c>
    </row>
    <row r="4893" spans="1:4">
      <c r="A4893" s="2">
        <v>0.8700100000000001</v>
      </c>
      <c r="B4893" t="s">
        <v>370</v>
      </c>
      <c r="C4893" t="s">
        <v>698</v>
      </c>
      <c r="D4893" t="s">
        <v>698</v>
      </c>
    </row>
    <row r="4894" spans="1:4">
      <c r="A4894" s="2">
        <v>9.1449</v>
      </c>
      <c r="B4894" t="s">
        <v>521</v>
      </c>
      <c r="C4894" t="s">
        <v>698</v>
      </c>
      <c r="D4894" t="s">
        <v>698</v>
      </c>
    </row>
    <row r="4895" spans="1:4">
      <c r="A4895" s="2">
        <v>4.875</v>
      </c>
      <c r="B4895" t="s">
        <v>522</v>
      </c>
      <c r="C4895" t="s">
        <v>698</v>
      </c>
      <c r="D4895" t="s">
        <v>698</v>
      </c>
    </row>
    <row r="4896" spans="1:4">
      <c r="A4896" s="2">
        <v>4.025</v>
      </c>
      <c r="B4896" t="s">
        <v>523</v>
      </c>
      <c r="C4896" t="s">
        <v>698</v>
      </c>
      <c r="D4896" t="s">
        <v>698</v>
      </c>
    </row>
    <row r="4897" spans="1:4">
      <c r="A4897" s="2">
        <v>5.3064</v>
      </c>
      <c r="B4897" t="s">
        <v>524</v>
      </c>
      <c r="C4897" t="s">
        <v>698</v>
      </c>
      <c r="D4897" t="s">
        <v>698</v>
      </c>
    </row>
    <row r="4898" spans="1:4">
      <c r="A4898" s="2">
        <v>8.6301</v>
      </c>
      <c r="B4898" t="s">
        <v>525</v>
      </c>
      <c r="C4898" t="s">
        <v>698</v>
      </c>
      <c r="D4898" t="s">
        <v>698</v>
      </c>
    </row>
    <row r="4899" spans="1:4">
      <c r="A4899" s="2">
        <v>4.906499999999999</v>
      </c>
      <c r="B4899" t="s">
        <v>526</v>
      </c>
      <c r="C4899" t="s">
        <v>698</v>
      </c>
      <c r="D4899" t="s">
        <v>698</v>
      </c>
    </row>
    <row r="4900" spans="1:4">
      <c r="A4900" s="2">
        <v>0.8442380751371886</v>
      </c>
      <c r="B4900" t="s">
        <v>527</v>
      </c>
      <c r="C4900" t="s">
        <v>698</v>
      </c>
      <c r="D4900" t="s">
        <v>698</v>
      </c>
    </row>
    <row r="4901" spans="1:4">
      <c r="A4901" s="2">
        <v>1.71294472327378</v>
      </c>
      <c r="B4901" t="s">
        <v>528</v>
      </c>
      <c r="C4901" t="s">
        <v>698</v>
      </c>
      <c r="D4901" t="s">
        <v>698</v>
      </c>
    </row>
    <row r="4902" spans="1:4">
      <c r="A4902" s="2">
        <v>0.09260716964707408</v>
      </c>
      <c r="B4902" t="s">
        <v>529</v>
      </c>
      <c r="C4902" t="s">
        <v>698</v>
      </c>
      <c r="D4902" t="s">
        <v>698</v>
      </c>
    </row>
    <row r="4903" spans="1:4">
      <c r="A4903" s="2">
        <v>0.4181825785137791</v>
      </c>
      <c r="B4903" t="s">
        <v>530</v>
      </c>
      <c r="C4903" t="s">
        <v>698</v>
      </c>
      <c r="D4903" t="s">
        <v>698</v>
      </c>
    </row>
    <row r="4904" spans="1:4">
      <c r="A4904" s="2">
        <v>0.004470872267179326</v>
      </c>
      <c r="B4904" t="s">
        <v>531</v>
      </c>
      <c r="C4904" t="s">
        <v>698</v>
      </c>
      <c r="D4904" t="s">
        <v>698</v>
      </c>
    </row>
    <row r="4905" spans="1:4">
      <c r="A4905" s="2">
        <v>1.8490782345001016</v>
      </c>
      <c r="B4905" t="s">
        <v>532</v>
      </c>
      <c r="C4905" t="s">
        <v>698</v>
      </c>
      <c r="D4905" t="s">
        <v>698</v>
      </c>
    </row>
    <row r="4906" spans="1:4">
      <c r="A4906" s="2">
        <v>1.8095289796066083</v>
      </c>
      <c r="B4906" t="s">
        <v>533</v>
      </c>
      <c r="C4906" t="s">
        <v>698</v>
      </c>
      <c r="D4906" t="s">
        <v>698</v>
      </c>
    </row>
    <row r="4907" spans="1:4">
      <c r="A4907" s="2">
        <v>0.022290629687998057</v>
      </c>
      <c r="B4907" t="s">
        <v>534</v>
      </c>
      <c r="C4907" t="s">
        <v>698</v>
      </c>
      <c r="D4907" t="s">
        <v>698</v>
      </c>
    </row>
    <row r="4908" spans="1:4">
      <c r="A4908" s="2">
        <v>1.867727535907062</v>
      </c>
      <c r="B4908" t="s">
        <v>535</v>
      </c>
      <c r="C4908" t="s">
        <v>698</v>
      </c>
      <c r="D4908" t="s">
        <v>698</v>
      </c>
    </row>
    <row r="4909" spans="1:4">
      <c r="A4909" s="2">
        <v>1.0570824524312896</v>
      </c>
      <c r="B4909" t="s">
        <v>536</v>
      </c>
      <c r="C4909" t="s">
        <v>698</v>
      </c>
      <c r="D4909" t="s">
        <v>698</v>
      </c>
    </row>
    <row r="4910" spans="1:4">
      <c r="A4910" s="2">
        <v>0.7285443683520327</v>
      </c>
      <c r="B4910" t="s">
        <v>537</v>
      </c>
      <c r="C4910" t="s">
        <v>698</v>
      </c>
      <c r="D4910" t="s">
        <v>698</v>
      </c>
    </row>
    <row r="4911" spans="1:4">
      <c r="A4911" s="2">
        <v>0.7311544929443591</v>
      </c>
      <c r="B4911" t="s">
        <v>538</v>
      </c>
      <c r="C4911" t="s">
        <v>698</v>
      </c>
      <c r="D4911" t="s">
        <v>698</v>
      </c>
    </row>
    <row r="4912" spans="1:4">
      <c r="A4912" s="2">
        <v>0.14795963661113248</v>
      </c>
      <c r="B4912" t="s">
        <v>539</v>
      </c>
      <c r="C4912" t="s">
        <v>698</v>
      </c>
      <c r="D4912" t="s">
        <v>698</v>
      </c>
    </row>
    <row r="4913" spans="1:4">
      <c r="A4913" s="2">
        <v>0.3930972129407603</v>
      </c>
      <c r="B4913" t="s">
        <v>540</v>
      </c>
      <c r="C4913" t="s">
        <v>698</v>
      </c>
      <c r="D4913" t="s">
        <v>698</v>
      </c>
    </row>
    <row r="4914" spans="1:4">
      <c r="A4914" s="2">
        <v>0.20750332005312083</v>
      </c>
      <c r="B4914" t="s">
        <v>541</v>
      </c>
      <c r="C4914" t="s">
        <v>698</v>
      </c>
      <c r="D4914" t="s">
        <v>698</v>
      </c>
    </row>
    <row r="4915" spans="1:4">
      <c r="A4915" s="2">
        <v>1</v>
      </c>
      <c r="B4915" t="s">
        <v>542</v>
      </c>
      <c r="C4915" t="s">
        <v>698</v>
      </c>
      <c r="D4915" t="s">
        <v>698</v>
      </c>
    </row>
    <row r="4916" spans="1:4">
      <c r="A4916" s="2">
        <v>6.8203</v>
      </c>
      <c r="B4916" t="s">
        <v>364</v>
      </c>
      <c r="C4916" t="s">
        <v>699</v>
      </c>
      <c r="D4916" t="s">
        <v>699</v>
      </c>
    </row>
    <row r="4917" spans="1:4">
      <c r="A4917" s="2">
        <v>7.892</v>
      </c>
      <c r="B4917" t="s">
        <v>373</v>
      </c>
      <c r="C4917" t="s">
        <v>699</v>
      </c>
      <c r="D4917" t="s">
        <v>699</v>
      </c>
    </row>
    <row r="4918" spans="1:4">
      <c r="A4918" s="2">
        <v>0.042539999999999994</v>
      </c>
      <c r="B4918" t="s">
        <v>520</v>
      </c>
      <c r="C4918" t="s">
        <v>699</v>
      </c>
      <c r="D4918" t="s">
        <v>699</v>
      </c>
    </row>
    <row r="4919" spans="1:4">
      <c r="A4919" s="2">
        <v>0.87033</v>
      </c>
      <c r="B4919" t="s">
        <v>370</v>
      </c>
      <c r="C4919" t="s">
        <v>699</v>
      </c>
      <c r="D4919" t="s">
        <v>699</v>
      </c>
    </row>
    <row r="4920" spans="1:4">
      <c r="A4920" s="2">
        <v>9.1298</v>
      </c>
      <c r="B4920" t="s">
        <v>521</v>
      </c>
      <c r="C4920" t="s">
        <v>699</v>
      </c>
      <c r="D4920" t="s">
        <v>699</v>
      </c>
    </row>
    <row r="4921" spans="1:4">
      <c r="A4921" s="2">
        <v>4.847300000000001</v>
      </c>
      <c r="B4921" t="s">
        <v>522</v>
      </c>
      <c r="C4921" t="s">
        <v>699</v>
      </c>
      <c r="D4921" t="s">
        <v>699</v>
      </c>
    </row>
    <row r="4922" spans="1:4">
      <c r="A4922" s="2">
        <v>3.9892</v>
      </c>
      <c r="B4922" t="s">
        <v>523</v>
      </c>
      <c r="C4922" t="s">
        <v>699</v>
      </c>
      <c r="D4922" t="s">
        <v>699</v>
      </c>
    </row>
    <row r="4923" spans="1:4">
      <c r="A4923" s="2">
        <v>5.2994</v>
      </c>
      <c r="B4923" t="s">
        <v>524</v>
      </c>
      <c r="C4923" t="s">
        <v>699</v>
      </c>
      <c r="D4923" t="s">
        <v>699</v>
      </c>
    </row>
    <row r="4924" spans="1:4">
      <c r="A4924" s="2">
        <v>8.598700000000001</v>
      </c>
      <c r="B4924" t="s">
        <v>525</v>
      </c>
      <c r="C4924" t="s">
        <v>699</v>
      </c>
      <c r="D4924" t="s">
        <v>699</v>
      </c>
    </row>
    <row r="4925" spans="1:4">
      <c r="A4925" s="2">
        <v>4.8918</v>
      </c>
      <c r="B4925" t="s">
        <v>526</v>
      </c>
      <c r="C4925" t="s">
        <v>699</v>
      </c>
      <c r="D4925" t="s">
        <v>699</v>
      </c>
    </row>
    <row r="4926" spans="1:4">
      <c r="A4926" s="2">
        <v>0.8445945945945945</v>
      </c>
      <c r="B4926" t="s">
        <v>527</v>
      </c>
      <c r="C4926" t="s">
        <v>699</v>
      </c>
      <c r="D4926" t="s">
        <v>699</v>
      </c>
    </row>
    <row r="4927" spans="1:4">
      <c r="A4927" s="2">
        <v>1.702736297229648</v>
      </c>
      <c r="B4927" t="s">
        <v>528</v>
      </c>
      <c r="C4927" t="s">
        <v>699</v>
      </c>
      <c r="D4927" t="s">
        <v>699</v>
      </c>
    </row>
    <row r="4928" spans="1:4">
      <c r="A4928" s="2">
        <v>0.09186701331153024</v>
      </c>
      <c r="B4928" t="s">
        <v>529</v>
      </c>
      <c r="C4928" t="s">
        <v>699</v>
      </c>
      <c r="D4928" t="s">
        <v>699</v>
      </c>
    </row>
    <row r="4929" spans="1:4">
      <c r="A4929" s="2">
        <v>0.4161291664932795</v>
      </c>
      <c r="B4929" t="s">
        <v>530</v>
      </c>
      <c r="C4929" t="s">
        <v>699</v>
      </c>
      <c r="D4929" t="s">
        <v>699</v>
      </c>
    </row>
    <row r="4930" spans="1:4">
      <c r="A4930" s="2">
        <v>0.0044458275908060285</v>
      </c>
      <c r="B4930" t="s">
        <v>531</v>
      </c>
      <c r="C4930" t="s">
        <v>699</v>
      </c>
      <c r="D4930" t="s">
        <v>699</v>
      </c>
    </row>
    <row r="4931" spans="1:4">
      <c r="A4931" s="2">
        <v>1.8504468829222256</v>
      </c>
      <c r="B4931" t="s">
        <v>532</v>
      </c>
      <c r="C4931" t="s">
        <v>699</v>
      </c>
      <c r="D4931" t="s">
        <v>699</v>
      </c>
    </row>
    <row r="4932" spans="1:4">
      <c r="A4932" s="2">
        <v>1.810347948875774</v>
      </c>
      <c r="B4932" t="s">
        <v>533</v>
      </c>
      <c r="C4932" t="s">
        <v>699</v>
      </c>
      <c r="D4932" t="s">
        <v>699</v>
      </c>
    </row>
    <row r="4933" spans="1:4">
      <c r="A4933" s="2">
        <v>0.022202289500093248</v>
      </c>
      <c r="B4933" t="s">
        <v>534</v>
      </c>
      <c r="C4933" t="s">
        <v>699</v>
      </c>
      <c r="D4933" t="s">
        <v>699</v>
      </c>
    </row>
    <row r="4934" spans="1:4">
      <c r="A4934" s="2">
        <v>1.862925911436502</v>
      </c>
      <c r="B4934" t="s">
        <v>535</v>
      </c>
      <c r="C4934" t="s">
        <v>699</v>
      </c>
      <c r="D4934" t="s">
        <v>699</v>
      </c>
    </row>
    <row r="4935" spans="1:4">
      <c r="A4935" s="2">
        <v>1.056077727320731</v>
      </c>
      <c r="B4935" t="s">
        <v>536</v>
      </c>
      <c r="C4935" t="s">
        <v>699</v>
      </c>
      <c r="D4935" t="s">
        <v>699</v>
      </c>
    </row>
    <row r="4936" spans="1:4">
      <c r="A4936" s="2">
        <v>0.7236413633403286</v>
      </c>
      <c r="B4936" t="s">
        <v>537</v>
      </c>
      <c r="C4936" t="s">
        <v>699</v>
      </c>
      <c r="D4936" t="s">
        <v>699</v>
      </c>
    </row>
    <row r="4937" spans="1:4">
      <c r="A4937" s="2">
        <v>0.7291286912139993</v>
      </c>
      <c r="B4937" t="s">
        <v>538</v>
      </c>
      <c r="C4937" t="s">
        <v>699</v>
      </c>
      <c r="D4937" t="s">
        <v>699</v>
      </c>
    </row>
    <row r="4938" spans="1:4">
      <c r="A4938" s="2">
        <v>0.14799905280606204</v>
      </c>
      <c r="B4938" t="s">
        <v>539</v>
      </c>
      <c r="C4938" t="s">
        <v>699</v>
      </c>
      <c r="D4938" t="s">
        <v>699</v>
      </c>
    </row>
    <row r="4939" spans="1:4">
      <c r="A4939" s="2">
        <v>0.3927267014884342</v>
      </c>
      <c r="B4939" t="s">
        <v>540</v>
      </c>
      <c r="C4939" t="s">
        <v>699</v>
      </c>
      <c r="D4939" t="s">
        <v>699</v>
      </c>
    </row>
    <row r="4940" spans="1:4">
      <c r="A4940" s="2">
        <v>0.20756361824899333</v>
      </c>
      <c r="B4940" t="s">
        <v>541</v>
      </c>
      <c r="C4940" t="s">
        <v>699</v>
      </c>
      <c r="D4940" t="s">
        <v>699</v>
      </c>
    </row>
    <row r="4941" spans="1:4">
      <c r="A4941" s="2">
        <v>1</v>
      </c>
      <c r="B4941" t="s">
        <v>542</v>
      </c>
      <c r="C4941" t="s">
        <v>699</v>
      </c>
      <c r="D4941" t="s">
        <v>699</v>
      </c>
    </row>
    <row r="4942" spans="1:4">
      <c r="A4942" s="2">
        <v>6.8157000000000005</v>
      </c>
      <c r="B4942" t="s">
        <v>364</v>
      </c>
      <c r="C4942" t="s">
        <v>700</v>
      </c>
      <c r="D4942" t="s">
        <v>700</v>
      </c>
    </row>
    <row r="4943" spans="1:4">
      <c r="A4943" s="2">
        <v>7.891900000000001</v>
      </c>
      <c r="B4943" t="s">
        <v>373</v>
      </c>
      <c r="C4943" t="s">
        <v>700</v>
      </c>
      <c r="D4943" t="s">
        <v>700</v>
      </c>
    </row>
    <row r="4944" spans="1:4">
      <c r="A4944" s="2">
        <v>0.042510000000000006</v>
      </c>
      <c r="B4944" t="s">
        <v>520</v>
      </c>
      <c r="C4944" t="s">
        <v>700</v>
      </c>
      <c r="D4944" t="s">
        <v>700</v>
      </c>
    </row>
    <row r="4945" spans="1:4">
      <c r="A4945" s="2">
        <v>0.87005</v>
      </c>
      <c r="B4945" t="s">
        <v>370</v>
      </c>
      <c r="C4945" t="s">
        <v>700</v>
      </c>
      <c r="D4945" t="s">
        <v>700</v>
      </c>
    </row>
    <row r="4946" spans="1:4">
      <c r="A4946" s="2">
        <v>9.1231</v>
      </c>
      <c r="B4946" t="s">
        <v>521</v>
      </c>
      <c r="C4946" t="s">
        <v>700</v>
      </c>
      <c r="D4946" t="s">
        <v>700</v>
      </c>
    </row>
    <row r="4947" spans="1:4">
      <c r="A4947" s="2">
        <v>4.8457</v>
      </c>
      <c r="B4947" t="s">
        <v>522</v>
      </c>
      <c r="C4947" t="s">
        <v>700</v>
      </c>
      <c r="D4947" t="s">
        <v>700</v>
      </c>
    </row>
    <row r="4948" spans="1:4">
      <c r="A4948" s="2">
        <v>3.9885</v>
      </c>
      <c r="B4948" t="s">
        <v>523</v>
      </c>
      <c r="C4948" t="s">
        <v>700</v>
      </c>
      <c r="D4948" t="s">
        <v>700</v>
      </c>
    </row>
    <row r="4949" spans="1:4">
      <c r="A4949" s="2">
        <v>5.2916</v>
      </c>
      <c r="B4949" t="s">
        <v>524</v>
      </c>
      <c r="C4949" t="s">
        <v>700</v>
      </c>
      <c r="D4949" t="s">
        <v>700</v>
      </c>
    </row>
    <row r="4950" spans="1:4">
      <c r="A4950" s="2">
        <v>8.6152</v>
      </c>
      <c r="B4950" t="s">
        <v>525</v>
      </c>
      <c r="C4950" t="s">
        <v>700</v>
      </c>
      <c r="D4950" t="s">
        <v>700</v>
      </c>
    </row>
    <row r="4951" spans="1:4">
      <c r="A4951" s="2">
        <v>4.8843</v>
      </c>
      <c r="B4951" t="s">
        <v>526</v>
      </c>
      <c r="C4951" t="s">
        <v>700</v>
      </c>
      <c r="D4951" t="s">
        <v>700</v>
      </c>
    </row>
    <row r="4952" spans="1:4">
      <c r="A4952" s="2">
        <v>0.8443093549476528</v>
      </c>
      <c r="B4952" t="s">
        <v>527</v>
      </c>
      <c r="C4952" t="s">
        <v>700</v>
      </c>
      <c r="D4952" t="s">
        <v>700</v>
      </c>
    </row>
    <row r="4953" spans="1:4">
      <c r="A4953" s="2">
        <v>1.6937669376693767</v>
      </c>
      <c r="B4953" t="s">
        <v>528</v>
      </c>
      <c r="C4953" t="s">
        <v>700</v>
      </c>
      <c r="D4953" t="s">
        <v>700</v>
      </c>
    </row>
    <row r="4954" spans="1:4">
      <c r="A4954" s="2">
        <v>0.09233610341643585</v>
      </c>
      <c r="B4954" t="s">
        <v>529</v>
      </c>
      <c r="C4954" t="s">
        <v>700</v>
      </c>
      <c r="D4954" t="s">
        <v>700</v>
      </c>
    </row>
    <row r="4955" spans="1:4">
      <c r="A4955" s="2">
        <v>0.4167882299003876</v>
      </c>
      <c r="B4955" t="s">
        <v>530</v>
      </c>
      <c r="C4955" t="s">
        <v>700</v>
      </c>
      <c r="D4955" t="s">
        <v>700</v>
      </c>
    </row>
    <row r="4956" spans="1:4">
      <c r="A4956" s="2">
        <v>0.0044185224460940265</v>
      </c>
      <c r="B4956" t="s">
        <v>531</v>
      </c>
      <c r="C4956" t="s">
        <v>700</v>
      </c>
      <c r="D4956" t="s">
        <v>700</v>
      </c>
    </row>
    <row r="4957" spans="1:4">
      <c r="A4957" s="2">
        <v>1.8491466188354075</v>
      </c>
      <c r="B4957" t="s">
        <v>532</v>
      </c>
      <c r="C4957" t="s">
        <v>700</v>
      </c>
      <c r="D4957" t="s">
        <v>700</v>
      </c>
    </row>
    <row r="4958" spans="1:4">
      <c r="A4958" s="2">
        <v>1.8089070583553415</v>
      </c>
      <c r="B4958" t="s">
        <v>533</v>
      </c>
      <c r="C4958" t="s">
        <v>700</v>
      </c>
      <c r="D4958" t="s">
        <v>700</v>
      </c>
    </row>
    <row r="4959" spans="1:4">
      <c r="A4959" s="2">
        <v>0.022325166043422447</v>
      </c>
      <c r="B4959" t="s">
        <v>534</v>
      </c>
      <c r="C4959" t="s">
        <v>700</v>
      </c>
      <c r="D4959" t="s">
        <v>700</v>
      </c>
    </row>
    <row r="4960" spans="1:4">
      <c r="A4960" s="2">
        <v>1.8647670905903853</v>
      </c>
      <c r="B4960" t="s">
        <v>535</v>
      </c>
      <c r="C4960" t="s">
        <v>700</v>
      </c>
      <c r="D4960" t="s">
        <v>700</v>
      </c>
    </row>
    <row r="4961" spans="1:4">
      <c r="A4961" s="2">
        <v>1.0558547143912995</v>
      </c>
      <c r="B4961" t="s">
        <v>536</v>
      </c>
      <c r="C4961" t="s">
        <v>700</v>
      </c>
      <c r="D4961" t="s">
        <v>700</v>
      </c>
    </row>
    <row r="4962" spans="1:4">
      <c r="A4962" s="2">
        <v>0.7244277021153289</v>
      </c>
      <c r="B4962" t="s">
        <v>537</v>
      </c>
      <c r="C4962" t="s">
        <v>700</v>
      </c>
      <c r="D4962" t="s">
        <v>700</v>
      </c>
    </row>
    <row r="4963" spans="1:4">
      <c r="A4963" s="2">
        <v>0.7271140841998109</v>
      </c>
      <c r="B4963" t="s">
        <v>538</v>
      </c>
      <c r="C4963" t="s">
        <v>700</v>
      </c>
      <c r="D4963" t="s">
        <v>700</v>
      </c>
    </row>
    <row r="4964" spans="1:4">
      <c r="A4964" s="2">
        <v>0.14757729729889274</v>
      </c>
      <c r="B4964" t="s">
        <v>539</v>
      </c>
      <c r="C4964" t="s">
        <v>700</v>
      </c>
      <c r="D4964" t="s">
        <v>700</v>
      </c>
    </row>
    <row r="4965" spans="1:4">
      <c r="A4965" s="2">
        <v>0.3935303608673409</v>
      </c>
      <c r="B4965" t="s">
        <v>540</v>
      </c>
      <c r="C4965" t="s">
        <v>700</v>
      </c>
      <c r="D4965" t="s">
        <v>700</v>
      </c>
    </row>
    <row r="4966" spans="1:4">
      <c r="A4966" s="2">
        <v>0.20761533031599053</v>
      </c>
      <c r="B4966" t="s">
        <v>541</v>
      </c>
      <c r="C4966" t="s">
        <v>700</v>
      </c>
      <c r="D4966" t="s">
        <v>700</v>
      </c>
    </row>
    <row r="4967" spans="1:4">
      <c r="A4967" s="2">
        <v>1</v>
      </c>
      <c r="B4967" t="s">
        <v>542</v>
      </c>
      <c r="C4967" t="s">
        <v>700</v>
      </c>
      <c r="D4967" t="s">
        <v>700</v>
      </c>
    </row>
    <row r="4968" spans="1:4">
      <c r="A4968" s="2">
        <v>6.8157000000000005</v>
      </c>
      <c r="B4968" t="s">
        <v>364</v>
      </c>
      <c r="C4968" t="s">
        <v>700</v>
      </c>
      <c r="D4968" t="s">
        <v>701</v>
      </c>
    </row>
    <row r="4969" spans="1:4">
      <c r="A4969" s="2">
        <v>7.891900000000001</v>
      </c>
      <c r="B4969" t="s">
        <v>373</v>
      </c>
      <c r="C4969" t="s">
        <v>700</v>
      </c>
      <c r="D4969" t="s">
        <v>701</v>
      </c>
    </row>
    <row r="4970" spans="1:4">
      <c r="A4970" s="2">
        <v>0.042510000000000006</v>
      </c>
      <c r="B4970" t="s">
        <v>520</v>
      </c>
      <c r="C4970" t="s">
        <v>700</v>
      </c>
      <c r="D4970" t="s">
        <v>701</v>
      </c>
    </row>
    <row r="4971" spans="1:4">
      <c r="A4971" s="2">
        <v>0.87005</v>
      </c>
      <c r="B4971" t="s">
        <v>370</v>
      </c>
      <c r="C4971" t="s">
        <v>700</v>
      </c>
      <c r="D4971" t="s">
        <v>701</v>
      </c>
    </row>
    <row r="4972" spans="1:4">
      <c r="A4972" s="2">
        <v>9.1231</v>
      </c>
      <c r="B4972" t="s">
        <v>521</v>
      </c>
      <c r="C4972" t="s">
        <v>700</v>
      </c>
      <c r="D4972" t="s">
        <v>701</v>
      </c>
    </row>
    <row r="4973" spans="1:4">
      <c r="A4973" s="2">
        <v>4.8457</v>
      </c>
      <c r="B4973" t="s">
        <v>522</v>
      </c>
      <c r="C4973" t="s">
        <v>700</v>
      </c>
      <c r="D4973" t="s">
        <v>701</v>
      </c>
    </row>
    <row r="4974" spans="1:4">
      <c r="A4974" s="2">
        <v>3.9885</v>
      </c>
      <c r="B4974" t="s">
        <v>523</v>
      </c>
      <c r="C4974" t="s">
        <v>700</v>
      </c>
      <c r="D4974" t="s">
        <v>701</v>
      </c>
    </row>
    <row r="4975" spans="1:4">
      <c r="A4975" s="2">
        <v>5.2916</v>
      </c>
      <c r="B4975" t="s">
        <v>524</v>
      </c>
      <c r="C4975" t="s">
        <v>700</v>
      </c>
      <c r="D4975" t="s">
        <v>701</v>
      </c>
    </row>
    <row r="4976" spans="1:4">
      <c r="A4976" s="2">
        <v>8.6152</v>
      </c>
      <c r="B4976" t="s">
        <v>525</v>
      </c>
      <c r="C4976" t="s">
        <v>700</v>
      </c>
      <c r="D4976" t="s">
        <v>701</v>
      </c>
    </row>
    <row r="4977" spans="1:4">
      <c r="A4977" s="2">
        <v>4.8843</v>
      </c>
      <c r="B4977" t="s">
        <v>526</v>
      </c>
      <c r="C4977" t="s">
        <v>700</v>
      </c>
      <c r="D4977" t="s">
        <v>701</v>
      </c>
    </row>
    <row r="4978" spans="1:4">
      <c r="A4978" s="2">
        <v>0.8443093549476528</v>
      </c>
      <c r="B4978" t="s">
        <v>527</v>
      </c>
      <c r="C4978" t="s">
        <v>700</v>
      </c>
      <c r="D4978" t="s">
        <v>701</v>
      </c>
    </row>
    <row r="4979" spans="1:4">
      <c r="A4979" s="2">
        <v>1.6937669376693767</v>
      </c>
      <c r="B4979" t="s">
        <v>528</v>
      </c>
      <c r="C4979" t="s">
        <v>700</v>
      </c>
      <c r="D4979" t="s">
        <v>701</v>
      </c>
    </row>
    <row r="4980" spans="1:4">
      <c r="A4980" s="2">
        <v>0.09233610341643585</v>
      </c>
      <c r="B4980" t="s">
        <v>529</v>
      </c>
      <c r="C4980" t="s">
        <v>700</v>
      </c>
      <c r="D4980" t="s">
        <v>701</v>
      </c>
    </row>
    <row r="4981" spans="1:4">
      <c r="A4981" s="2">
        <v>0.4167882299003876</v>
      </c>
      <c r="B4981" t="s">
        <v>530</v>
      </c>
      <c r="C4981" t="s">
        <v>700</v>
      </c>
      <c r="D4981" t="s">
        <v>701</v>
      </c>
    </row>
    <row r="4982" spans="1:4">
      <c r="A4982" s="2">
        <v>0.0044185224460940265</v>
      </c>
      <c r="B4982" t="s">
        <v>531</v>
      </c>
      <c r="C4982" t="s">
        <v>700</v>
      </c>
      <c r="D4982" t="s">
        <v>701</v>
      </c>
    </row>
    <row r="4983" spans="1:4">
      <c r="A4983" s="2">
        <v>1.8491466188354075</v>
      </c>
      <c r="B4983" t="s">
        <v>532</v>
      </c>
      <c r="C4983" t="s">
        <v>700</v>
      </c>
      <c r="D4983" t="s">
        <v>701</v>
      </c>
    </row>
    <row r="4984" spans="1:4">
      <c r="A4984" s="2">
        <v>1.8089070583553415</v>
      </c>
      <c r="B4984" t="s">
        <v>533</v>
      </c>
      <c r="C4984" t="s">
        <v>700</v>
      </c>
      <c r="D4984" t="s">
        <v>701</v>
      </c>
    </row>
    <row r="4985" spans="1:4">
      <c r="A4985" s="2">
        <v>0.022325166043422447</v>
      </c>
      <c r="B4985" t="s">
        <v>534</v>
      </c>
      <c r="C4985" t="s">
        <v>700</v>
      </c>
      <c r="D4985" t="s">
        <v>701</v>
      </c>
    </row>
    <row r="4986" spans="1:4">
      <c r="A4986" s="2">
        <v>1.8647670905903853</v>
      </c>
      <c r="B4986" t="s">
        <v>535</v>
      </c>
      <c r="C4986" t="s">
        <v>700</v>
      </c>
      <c r="D4986" t="s">
        <v>701</v>
      </c>
    </row>
    <row r="4987" spans="1:4">
      <c r="A4987" s="2">
        <v>1.0558547143912995</v>
      </c>
      <c r="B4987" t="s">
        <v>536</v>
      </c>
      <c r="C4987" t="s">
        <v>700</v>
      </c>
      <c r="D4987" t="s">
        <v>701</v>
      </c>
    </row>
    <row r="4988" spans="1:4">
      <c r="A4988" s="2">
        <v>0.7244277021153289</v>
      </c>
      <c r="B4988" t="s">
        <v>537</v>
      </c>
      <c r="C4988" t="s">
        <v>700</v>
      </c>
      <c r="D4988" t="s">
        <v>701</v>
      </c>
    </row>
    <row r="4989" spans="1:4">
      <c r="A4989" s="2">
        <v>0.7271140841998109</v>
      </c>
      <c r="B4989" t="s">
        <v>538</v>
      </c>
      <c r="C4989" t="s">
        <v>700</v>
      </c>
      <c r="D4989" t="s">
        <v>701</v>
      </c>
    </row>
    <row r="4990" spans="1:4">
      <c r="A4990" s="2">
        <v>0.14757729729889274</v>
      </c>
      <c r="B4990" t="s">
        <v>539</v>
      </c>
      <c r="C4990" t="s">
        <v>700</v>
      </c>
      <c r="D4990" t="s">
        <v>701</v>
      </c>
    </row>
    <row r="4991" spans="1:4">
      <c r="A4991" s="2">
        <v>0.3935303608673409</v>
      </c>
      <c r="B4991" t="s">
        <v>540</v>
      </c>
      <c r="C4991" t="s">
        <v>700</v>
      </c>
      <c r="D4991" t="s">
        <v>701</v>
      </c>
    </row>
    <row r="4992" spans="1:4">
      <c r="A4992" s="2">
        <v>0.20761533031599053</v>
      </c>
      <c r="B4992" t="s">
        <v>541</v>
      </c>
      <c r="C4992" t="s">
        <v>700</v>
      </c>
      <c r="D4992" t="s">
        <v>701</v>
      </c>
    </row>
    <row r="4993" spans="1:4">
      <c r="A4993" s="2">
        <v>1</v>
      </c>
      <c r="B4993" t="s">
        <v>542</v>
      </c>
      <c r="C4993" t="s">
        <v>701</v>
      </c>
      <c r="D4993" t="s">
        <v>701</v>
      </c>
    </row>
    <row r="4994" spans="1:4">
      <c r="A4994" s="2">
        <v>6.8157000000000005</v>
      </c>
      <c r="B4994" t="s">
        <v>364</v>
      </c>
      <c r="C4994" t="s">
        <v>700</v>
      </c>
      <c r="D4994" t="s">
        <v>702</v>
      </c>
    </row>
    <row r="4995" spans="1:4">
      <c r="A4995" s="2">
        <v>7.891900000000001</v>
      </c>
      <c r="B4995" t="s">
        <v>373</v>
      </c>
      <c r="C4995" t="s">
        <v>700</v>
      </c>
      <c r="D4995" t="s">
        <v>702</v>
      </c>
    </row>
    <row r="4996" spans="1:4">
      <c r="A4996" s="2">
        <v>0.042510000000000006</v>
      </c>
      <c r="B4996" t="s">
        <v>520</v>
      </c>
      <c r="C4996" t="s">
        <v>700</v>
      </c>
      <c r="D4996" t="s">
        <v>702</v>
      </c>
    </row>
    <row r="4997" spans="1:4">
      <c r="A4997" s="2">
        <v>0.87005</v>
      </c>
      <c r="B4997" t="s">
        <v>370</v>
      </c>
      <c r="C4997" t="s">
        <v>700</v>
      </c>
      <c r="D4997" t="s">
        <v>702</v>
      </c>
    </row>
    <row r="4998" spans="1:4">
      <c r="A4998" s="2">
        <v>9.1231</v>
      </c>
      <c r="B4998" t="s">
        <v>521</v>
      </c>
      <c r="C4998" t="s">
        <v>700</v>
      </c>
      <c r="D4998" t="s">
        <v>702</v>
      </c>
    </row>
    <row r="4999" spans="1:4">
      <c r="A4999" s="2">
        <v>4.8457</v>
      </c>
      <c r="B4999" t="s">
        <v>522</v>
      </c>
      <c r="C4999" t="s">
        <v>700</v>
      </c>
      <c r="D4999" t="s">
        <v>702</v>
      </c>
    </row>
    <row r="5000" spans="1:4">
      <c r="A5000" s="2">
        <v>3.9885</v>
      </c>
      <c r="B5000" t="s">
        <v>523</v>
      </c>
      <c r="C5000" t="s">
        <v>700</v>
      </c>
      <c r="D5000" t="s">
        <v>702</v>
      </c>
    </row>
    <row r="5001" spans="1:4">
      <c r="A5001" s="2">
        <v>5.2916</v>
      </c>
      <c r="B5001" t="s">
        <v>524</v>
      </c>
      <c r="C5001" t="s">
        <v>700</v>
      </c>
      <c r="D5001" t="s">
        <v>702</v>
      </c>
    </row>
    <row r="5002" spans="1:4">
      <c r="A5002" s="2">
        <v>8.6152</v>
      </c>
      <c r="B5002" t="s">
        <v>525</v>
      </c>
      <c r="C5002" t="s">
        <v>700</v>
      </c>
      <c r="D5002" t="s">
        <v>702</v>
      </c>
    </row>
    <row r="5003" spans="1:4">
      <c r="A5003" s="2">
        <v>4.8843</v>
      </c>
      <c r="B5003" t="s">
        <v>526</v>
      </c>
      <c r="C5003" t="s">
        <v>700</v>
      </c>
      <c r="D5003" t="s">
        <v>702</v>
      </c>
    </row>
    <row r="5004" spans="1:4">
      <c r="A5004" s="2">
        <v>0.8443093549476528</v>
      </c>
      <c r="B5004" t="s">
        <v>527</v>
      </c>
      <c r="C5004" t="s">
        <v>700</v>
      </c>
      <c r="D5004" t="s">
        <v>702</v>
      </c>
    </row>
    <row r="5005" spans="1:4">
      <c r="A5005" s="2">
        <v>1.6937669376693767</v>
      </c>
      <c r="B5005" t="s">
        <v>528</v>
      </c>
      <c r="C5005" t="s">
        <v>700</v>
      </c>
      <c r="D5005" t="s">
        <v>702</v>
      </c>
    </row>
    <row r="5006" spans="1:4">
      <c r="A5006" s="2">
        <v>0.09233610341643585</v>
      </c>
      <c r="B5006" t="s">
        <v>529</v>
      </c>
      <c r="C5006" t="s">
        <v>700</v>
      </c>
      <c r="D5006" t="s">
        <v>702</v>
      </c>
    </row>
    <row r="5007" spans="1:4">
      <c r="A5007" s="2">
        <v>0.4167882299003876</v>
      </c>
      <c r="B5007" t="s">
        <v>530</v>
      </c>
      <c r="C5007" t="s">
        <v>700</v>
      </c>
      <c r="D5007" t="s">
        <v>702</v>
      </c>
    </row>
    <row r="5008" spans="1:4">
      <c r="A5008" s="2">
        <v>0.0044185224460940265</v>
      </c>
      <c r="B5008" t="s">
        <v>531</v>
      </c>
      <c r="C5008" t="s">
        <v>700</v>
      </c>
      <c r="D5008" t="s">
        <v>702</v>
      </c>
    </row>
    <row r="5009" spans="1:4">
      <c r="A5009" s="2">
        <v>1.8491466188354075</v>
      </c>
      <c r="B5009" t="s">
        <v>532</v>
      </c>
      <c r="C5009" t="s">
        <v>700</v>
      </c>
      <c r="D5009" t="s">
        <v>702</v>
      </c>
    </row>
    <row r="5010" spans="1:4">
      <c r="A5010" s="2">
        <v>1.8089070583553415</v>
      </c>
      <c r="B5010" t="s">
        <v>533</v>
      </c>
      <c r="C5010" t="s">
        <v>700</v>
      </c>
      <c r="D5010" t="s">
        <v>702</v>
      </c>
    </row>
    <row r="5011" spans="1:4">
      <c r="A5011" s="2">
        <v>0.022325166043422447</v>
      </c>
      <c r="B5011" t="s">
        <v>534</v>
      </c>
      <c r="C5011" t="s">
        <v>700</v>
      </c>
      <c r="D5011" t="s">
        <v>702</v>
      </c>
    </row>
    <row r="5012" spans="1:4">
      <c r="A5012" s="2">
        <v>1.8647670905903853</v>
      </c>
      <c r="B5012" t="s">
        <v>535</v>
      </c>
      <c r="C5012" t="s">
        <v>700</v>
      </c>
      <c r="D5012" t="s">
        <v>702</v>
      </c>
    </row>
    <row r="5013" spans="1:4">
      <c r="A5013" s="2">
        <v>1.0558547143912995</v>
      </c>
      <c r="B5013" t="s">
        <v>536</v>
      </c>
      <c r="C5013" t="s">
        <v>700</v>
      </c>
      <c r="D5013" t="s">
        <v>702</v>
      </c>
    </row>
    <row r="5014" spans="1:4">
      <c r="A5014" s="2">
        <v>0.7244277021153289</v>
      </c>
      <c r="B5014" t="s">
        <v>537</v>
      </c>
      <c r="C5014" t="s">
        <v>700</v>
      </c>
      <c r="D5014" t="s">
        <v>702</v>
      </c>
    </row>
    <row r="5015" spans="1:4">
      <c r="A5015" s="2">
        <v>0.7271140841998109</v>
      </c>
      <c r="B5015" t="s">
        <v>538</v>
      </c>
      <c r="C5015" t="s">
        <v>700</v>
      </c>
      <c r="D5015" t="s">
        <v>702</v>
      </c>
    </row>
    <row r="5016" spans="1:4">
      <c r="A5016" s="2">
        <v>0.14757729729889274</v>
      </c>
      <c r="B5016" t="s">
        <v>539</v>
      </c>
      <c r="C5016" t="s">
        <v>700</v>
      </c>
      <c r="D5016" t="s">
        <v>702</v>
      </c>
    </row>
    <row r="5017" spans="1:4">
      <c r="A5017" s="2">
        <v>0.3935303608673409</v>
      </c>
      <c r="B5017" t="s">
        <v>540</v>
      </c>
      <c r="C5017" t="s">
        <v>700</v>
      </c>
      <c r="D5017" t="s">
        <v>702</v>
      </c>
    </row>
    <row r="5018" spans="1:4">
      <c r="A5018" s="2">
        <v>0.20761533031599053</v>
      </c>
      <c r="B5018" t="s">
        <v>541</v>
      </c>
      <c r="C5018" t="s">
        <v>700</v>
      </c>
      <c r="D5018" t="s">
        <v>702</v>
      </c>
    </row>
    <row r="5019" spans="1:4">
      <c r="A5019" s="2">
        <v>1</v>
      </c>
      <c r="B5019" t="s">
        <v>542</v>
      </c>
      <c r="C5019" t="s">
        <v>702</v>
      </c>
      <c r="D5019" t="s">
        <v>702</v>
      </c>
    </row>
    <row r="5020" spans="1:4">
      <c r="A5020" s="2">
        <v>6.8198</v>
      </c>
      <c r="B5020" t="s">
        <v>364</v>
      </c>
      <c r="C5020" t="s">
        <v>703</v>
      </c>
      <c r="D5020" t="s">
        <v>703</v>
      </c>
    </row>
    <row r="5021" spans="1:4">
      <c r="A5021" s="2">
        <v>7.8476</v>
      </c>
      <c r="B5021" t="s">
        <v>373</v>
      </c>
      <c r="C5021" t="s">
        <v>703</v>
      </c>
      <c r="D5021" t="s">
        <v>703</v>
      </c>
    </row>
    <row r="5022" spans="1:4">
      <c r="A5022" s="2">
        <v>0.042495000000000005</v>
      </c>
      <c r="B5022" t="s">
        <v>520</v>
      </c>
      <c r="C5022" t="s">
        <v>703</v>
      </c>
      <c r="D5022" t="s">
        <v>703</v>
      </c>
    </row>
    <row r="5023" spans="1:4">
      <c r="A5023" s="2">
        <v>0.87048</v>
      </c>
      <c r="B5023" t="s">
        <v>370</v>
      </c>
      <c r="C5023" t="s">
        <v>703</v>
      </c>
      <c r="D5023" t="s">
        <v>703</v>
      </c>
    </row>
    <row r="5024" spans="1:4">
      <c r="A5024" s="2">
        <v>9.0812</v>
      </c>
      <c r="B5024" t="s">
        <v>521</v>
      </c>
      <c r="C5024" t="s">
        <v>703</v>
      </c>
      <c r="D5024" t="s">
        <v>703</v>
      </c>
    </row>
    <row r="5025" spans="1:4">
      <c r="A5025" s="2">
        <v>4.7970999999999995</v>
      </c>
      <c r="B5025" t="s">
        <v>522</v>
      </c>
      <c r="C5025" t="s">
        <v>703</v>
      </c>
      <c r="D5025" t="s">
        <v>703</v>
      </c>
    </row>
    <row r="5026" spans="1:4">
      <c r="A5026" s="2">
        <v>3.9486</v>
      </c>
      <c r="B5026" t="s">
        <v>523</v>
      </c>
      <c r="C5026" t="s">
        <v>703</v>
      </c>
      <c r="D5026" t="s">
        <v>703</v>
      </c>
    </row>
    <row r="5027" spans="1:4">
      <c r="A5027" s="2">
        <v>5.275399999999999</v>
      </c>
      <c r="B5027" t="s">
        <v>524</v>
      </c>
      <c r="C5027" t="s">
        <v>703</v>
      </c>
      <c r="D5027" t="s">
        <v>703</v>
      </c>
    </row>
    <row r="5028" spans="1:4">
      <c r="A5028" s="2">
        <v>8.5508</v>
      </c>
      <c r="B5028" t="s">
        <v>525</v>
      </c>
      <c r="C5028" t="s">
        <v>703</v>
      </c>
      <c r="D5028" t="s">
        <v>703</v>
      </c>
    </row>
    <row r="5029" spans="1:4">
      <c r="A5029" s="2">
        <v>4.880199999999999</v>
      </c>
      <c r="B5029" t="s">
        <v>526</v>
      </c>
      <c r="C5029" t="s">
        <v>703</v>
      </c>
      <c r="D5029" t="s">
        <v>703</v>
      </c>
    </row>
    <row r="5030" spans="1:4">
      <c r="A5030" s="2">
        <v>0.8447372867038352</v>
      </c>
      <c r="B5030" t="s">
        <v>527</v>
      </c>
      <c r="C5030" t="s">
        <v>703</v>
      </c>
      <c r="D5030" t="s">
        <v>703</v>
      </c>
    </row>
    <row r="5031" spans="1:4">
      <c r="A5031" s="2">
        <v>1.6845226062933765</v>
      </c>
      <c r="B5031" t="s">
        <v>528</v>
      </c>
      <c r="C5031" t="s">
        <v>703</v>
      </c>
      <c r="D5031" t="s">
        <v>703</v>
      </c>
    </row>
    <row r="5032" spans="1:4">
      <c r="A5032" s="2">
        <v>0.09220754073268111</v>
      </c>
      <c r="B5032" t="s">
        <v>529</v>
      </c>
      <c r="C5032" t="s">
        <v>703</v>
      </c>
      <c r="D5032" t="s">
        <v>703</v>
      </c>
    </row>
    <row r="5033" spans="1:4">
      <c r="A5033" s="2">
        <v>0.41099831490690886</v>
      </c>
      <c r="B5033" t="s">
        <v>530</v>
      </c>
      <c r="C5033" t="s">
        <v>703</v>
      </c>
      <c r="D5033" t="s">
        <v>703</v>
      </c>
    </row>
    <row r="5034" spans="1:4">
      <c r="A5034" s="2">
        <v>0.004373496610540126</v>
      </c>
      <c r="B5034" t="s">
        <v>531</v>
      </c>
      <c r="C5034" t="s">
        <v>703</v>
      </c>
      <c r="D5034" t="s">
        <v>703</v>
      </c>
    </row>
    <row r="5035" spans="1:4">
      <c r="A5035" s="2">
        <v>1.8531559245394904</v>
      </c>
      <c r="B5035" t="s">
        <v>532</v>
      </c>
      <c r="C5035" t="s">
        <v>703</v>
      </c>
      <c r="D5035" t="s">
        <v>703</v>
      </c>
    </row>
    <row r="5036" spans="1:4">
      <c r="A5036" s="2">
        <v>1.812776448408382</v>
      </c>
      <c r="B5036" t="s">
        <v>533</v>
      </c>
      <c r="C5036" t="s">
        <v>703</v>
      </c>
      <c r="D5036" t="s">
        <v>703</v>
      </c>
    </row>
    <row r="5037" spans="1:4">
      <c r="A5037" s="2">
        <v>0.022075298844358108</v>
      </c>
      <c r="B5037" t="s">
        <v>534</v>
      </c>
      <c r="C5037" t="s">
        <v>703</v>
      </c>
      <c r="D5037" t="s">
        <v>703</v>
      </c>
    </row>
    <row r="5038" spans="1:4">
      <c r="A5038" s="2">
        <v>1.8481213846125413</v>
      </c>
      <c r="B5038" t="s">
        <v>535</v>
      </c>
      <c r="C5038" t="s">
        <v>703</v>
      </c>
      <c r="D5038" t="s">
        <v>703</v>
      </c>
    </row>
    <row r="5039" spans="1:4">
      <c r="A5039" s="2">
        <v>1.050199537912203</v>
      </c>
      <c r="B5039" t="s">
        <v>536</v>
      </c>
      <c r="C5039" t="s">
        <v>703</v>
      </c>
      <c r="D5039" t="s">
        <v>703</v>
      </c>
    </row>
    <row r="5040" spans="1:4">
      <c r="A5040" s="2">
        <v>0.7189072609633358</v>
      </c>
      <c r="B5040" t="s">
        <v>537</v>
      </c>
      <c r="C5040" t="s">
        <v>703</v>
      </c>
      <c r="D5040" t="s">
        <v>703</v>
      </c>
    </row>
    <row r="5041" spans="1:4">
      <c r="A5041" s="2">
        <v>0.7198387561186295</v>
      </c>
      <c r="B5041" t="s">
        <v>538</v>
      </c>
      <c r="C5041" t="s">
        <v>703</v>
      </c>
      <c r="D5041" t="s">
        <v>703</v>
      </c>
    </row>
    <row r="5042" spans="1:4">
      <c r="A5042" s="2">
        <v>0.14775413711583926</v>
      </c>
      <c r="B5042" t="s">
        <v>539</v>
      </c>
      <c r="C5042" t="s">
        <v>703</v>
      </c>
      <c r="D5042" t="s">
        <v>703</v>
      </c>
    </row>
    <row r="5043" spans="1:4">
      <c r="A5043" s="2">
        <v>0.3900612396146194</v>
      </c>
      <c r="B5043" t="s">
        <v>540</v>
      </c>
      <c r="C5043" t="s">
        <v>703</v>
      </c>
      <c r="D5043" t="s">
        <v>703</v>
      </c>
    </row>
    <row r="5044" spans="1:4">
      <c r="A5044" s="2">
        <v>0.2071208135705557</v>
      </c>
      <c r="B5044" t="s">
        <v>541</v>
      </c>
      <c r="C5044" t="s">
        <v>703</v>
      </c>
      <c r="D5044" t="s">
        <v>703</v>
      </c>
    </row>
    <row r="5045" spans="1:4">
      <c r="A5045" s="2">
        <v>1</v>
      </c>
      <c r="B5045" t="s">
        <v>542</v>
      </c>
      <c r="C5045" t="s">
        <v>703</v>
      </c>
      <c r="D5045" t="s">
        <v>703</v>
      </c>
    </row>
    <row r="5046" spans="1:4">
      <c r="A5046" s="2">
        <v>6.8147</v>
      </c>
      <c r="B5046" t="s">
        <v>364</v>
      </c>
      <c r="C5046" t="s">
        <v>704</v>
      </c>
      <c r="D5046" t="s">
        <v>704</v>
      </c>
    </row>
    <row r="5047" spans="1:4">
      <c r="A5047" s="2">
        <v>7.84</v>
      </c>
      <c r="B5047" t="s">
        <v>373</v>
      </c>
      <c r="C5047" t="s">
        <v>704</v>
      </c>
      <c r="D5047" t="s">
        <v>704</v>
      </c>
    </row>
    <row r="5048" spans="1:4">
      <c r="A5048" s="2">
        <v>0.042475</v>
      </c>
      <c r="B5048" t="s">
        <v>520</v>
      </c>
      <c r="C5048" t="s">
        <v>704</v>
      </c>
      <c r="D5048" t="s">
        <v>704</v>
      </c>
    </row>
    <row r="5049" spans="1:4">
      <c r="A5049" s="2">
        <v>0.86957</v>
      </c>
      <c r="B5049" t="s">
        <v>370</v>
      </c>
      <c r="C5049" t="s">
        <v>704</v>
      </c>
      <c r="D5049" t="s">
        <v>704</v>
      </c>
    </row>
    <row r="5050" spans="1:4">
      <c r="A5050" s="2">
        <v>9.067</v>
      </c>
      <c r="B5050" t="s">
        <v>521</v>
      </c>
      <c r="C5050" t="s">
        <v>704</v>
      </c>
      <c r="D5050" t="s">
        <v>704</v>
      </c>
    </row>
    <row r="5051" spans="1:4">
      <c r="A5051" s="2">
        <v>4.7863</v>
      </c>
      <c r="B5051" t="s">
        <v>522</v>
      </c>
      <c r="C5051" t="s">
        <v>704</v>
      </c>
      <c r="D5051" t="s">
        <v>704</v>
      </c>
    </row>
    <row r="5052" spans="1:4">
      <c r="A5052" s="2">
        <v>3.9453</v>
      </c>
      <c r="B5052" t="s">
        <v>523</v>
      </c>
      <c r="C5052" t="s">
        <v>704</v>
      </c>
      <c r="D5052" t="s">
        <v>704</v>
      </c>
    </row>
    <row r="5053" spans="1:4">
      <c r="A5053" s="2">
        <v>5.2785</v>
      </c>
      <c r="B5053" t="s">
        <v>524</v>
      </c>
      <c r="C5053" t="s">
        <v>704</v>
      </c>
      <c r="D5053" t="s">
        <v>704</v>
      </c>
    </row>
    <row r="5054" spans="1:4">
      <c r="A5054" s="2">
        <v>8.5223</v>
      </c>
      <c r="B5054" t="s">
        <v>525</v>
      </c>
      <c r="C5054" t="s">
        <v>704</v>
      </c>
      <c r="D5054" t="s">
        <v>704</v>
      </c>
    </row>
    <row r="5055" spans="1:4">
      <c r="A5055" s="2">
        <v>4.8701</v>
      </c>
      <c r="B5055" t="s">
        <v>526</v>
      </c>
      <c r="C5055" t="s">
        <v>704</v>
      </c>
      <c r="D5055" t="s">
        <v>704</v>
      </c>
    </row>
    <row r="5056" spans="1:4">
      <c r="A5056" s="2">
        <v>0.8438106488903889</v>
      </c>
      <c r="B5056" t="s">
        <v>527</v>
      </c>
      <c r="C5056" t="s">
        <v>704</v>
      </c>
      <c r="D5056" t="s">
        <v>704</v>
      </c>
    </row>
    <row r="5057" spans="1:4">
      <c r="A5057" s="2">
        <v>1.670732114812711</v>
      </c>
      <c r="B5057" t="s">
        <v>528</v>
      </c>
      <c r="C5057" t="s">
        <v>704</v>
      </c>
      <c r="D5057" t="s">
        <v>704</v>
      </c>
    </row>
    <row r="5058" spans="1:4">
      <c r="A5058" s="2">
        <v>0.09290226681531027</v>
      </c>
      <c r="B5058" t="s">
        <v>529</v>
      </c>
      <c r="C5058" t="s">
        <v>704</v>
      </c>
      <c r="D5058" t="s">
        <v>704</v>
      </c>
    </row>
    <row r="5059" spans="1:4">
      <c r="A5059" s="2">
        <v>0.4117768169652049</v>
      </c>
      <c r="B5059" t="s">
        <v>530</v>
      </c>
      <c r="C5059" t="s">
        <v>704</v>
      </c>
      <c r="D5059" t="s">
        <v>704</v>
      </c>
    </row>
    <row r="5060" spans="1:4">
      <c r="A5060" s="2">
        <v>0.004451765124872012</v>
      </c>
      <c r="B5060" t="s">
        <v>531</v>
      </c>
      <c r="C5060" t="s">
        <v>704</v>
      </c>
      <c r="D5060" t="s">
        <v>704</v>
      </c>
    </row>
    <row r="5061" spans="1:4">
      <c r="A5061" s="2">
        <v>1.8505153685301357</v>
      </c>
      <c r="B5061" t="s">
        <v>532</v>
      </c>
      <c r="C5061" t="s">
        <v>704</v>
      </c>
      <c r="D5061" t="s">
        <v>704</v>
      </c>
    </row>
    <row r="5062" spans="1:4">
      <c r="A5062" s="2">
        <v>1.810216863980305</v>
      </c>
      <c r="B5062" t="s">
        <v>533</v>
      </c>
      <c r="C5062" t="s">
        <v>704</v>
      </c>
      <c r="D5062" t="s">
        <v>704</v>
      </c>
    </row>
    <row r="5063" spans="1:4">
      <c r="A5063" s="2">
        <v>0.022046390013867177</v>
      </c>
      <c r="B5063" t="s">
        <v>534</v>
      </c>
      <c r="C5063" t="s">
        <v>704</v>
      </c>
      <c r="D5063" t="s">
        <v>704</v>
      </c>
    </row>
    <row r="5064" spans="1:4">
      <c r="A5064" s="2">
        <v>1.8500360757034764</v>
      </c>
      <c r="B5064" t="s">
        <v>535</v>
      </c>
      <c r="C5064" t="s">
        <v>704</v>
      </c>
      <c r="D5064" t="s">
        <v>704</v>
      </c>
    </row>
    <row r="5065" spans="1:4">
      <c r="A5065" s="2">
        <v>1.0488777008600796</v>
      </c>
      <c r="B5065" t="s">
        <v>536</v>
      </c>
      <c r="C5065" t="s">
        <v>704</v>
      </c>
      <c r="D5065" t="s">
        <v>704</v>
      </c>
    </row>
    <row r="5066" spans="1:4">
      <c r="A5066" s="2">
        <v>0.7200979333189313</v>
      </c>
      <c r="B5066" t="s">
        <v>537</v>
      </c>
      <c r="C5066" t="s">
        <v>704</v>
      </c>
      <c r="D5066" t="s">
        <v>704</v>
      </c>
    </row>
    <row r="5067" spans="1:4">
      <c r="A5067" s="2">
        <v>0.7173601147776183</v>
      </c>
      <c r="B5067" t="s">
        <v>538</v>
      </c>
      <c r="C5067" t="s">
        <v>704</v>
      </c>
      <c r="D5067" t="s">
        <v>704</v>
      </c>
    </row>
    <row r="5068" spans="1:4">
      <c r="A5068" s="2">
        <v>0.14748131411750132</v>
      </c>
      <c r="B5068" t="s">
        <v>539</v>
      </c>
      <c r="C5068" t="s">
        <v>704</v>
      </c>
      <c r="D5068" t="s">
        <v>704</v>
      </c>
    </row>
    <row r="5069" spans="1:4">
      <c r="A5069" s="2">
        <v>0.3898027598035394</v>
      </c>
      <c r="B5069" t="s">
        <v>540</v>
      </c>
      <c r="C5069" t="s">
        <v>704</v>
      </c>
      <c r="D5069" t="s">
        <v>704</v>
      </c>
    </row>
    <row r="5070" spans="1:4">
      <c r="A5070" s="2">
        <v>0.2066756226103131</v>
      </c>
      <c r="B5070" t="s">
        <v>541</v>
      </c>
      <c r="C5070" t="s">
        <v>704</v>
      </c>
      <c r="D5070" t="s">
        <v>704</v>
      </c>
    </row>
    <row r="5071" spans="1:4">
      <c r="A5071" s="2">
        <v>1</v>
      </c>
      <c r="B5071" t="s">
        <v>542</v>
      </c>
      <c r="C5071" t="s">
        <v>704</v>
      </c>
      <c r="D5071" t="s">
        <v>704</v>
      </c>
    </row>
    <row r="5072" spans="1:4">
      <c r="A5072" s="2">
        <v>6.813</v>
      </c>
      <c r="B5072" t="s">
        <v>364</v>
      </c>
      <c r="C5072" t="s">
        <v>705</v>
      </c>
      <c r="D5072" t="s">
        <v>705</v>
      </c>
    </row>
    <row r="5073" spans="1:4">
      <c r="A5073" s="2">
        <v>7.8392</v>
      </c>
      <c r="B5073" t="s">
        <v>373</v>
      </c>
      <c r="C5073" t="s">
        <v>705</v>
      </c>
      <c r="D5073" t="s">
        <v>705</v>
      </c>
    </row>
    <row r="5074" spans="1:4">
      <c r="A5074" s="2">
        <v>0.042416</v>
      </c>
      <c r="B5074" t="s">
        <v>520</v>
      </c>
      <c r="C5074" t="s">
        <v>705</v>
      </c>
      <c r="D5074" t="s">
        <v>705</v>
      </c>
    </row>
    <row r="5075" spans="1:4">
      <c r="A5075" s="2">
        <v>0.8693500000000001</v>
      </c>
      <c r="B5075" t="s">
        <v>370</v>
      </c>
      <c r="C5075" t="s">
        <v>705</v>
      </c>
      <c r="D5075" t="s">
        <v>705</v>
      </c>
    </row>
    <row r="5076" spans="1:4">
      <c r="A5076" s="2">
        <v>9.0847</v>
      </c>
      <c r="B5076" t="s">
        <v>521</v>
      </c>
      <c r="C5076" t="s">
        <v>705</v>
      </c>
      <c r="D5076" t="s">
        <v>705</v>
      </c>
    </row>
    <row r="5077" spans="1:4">
      <c r="A5077" s="2">
        <v>4.7685</v>
      </c>
      <c r="B5077" t="s">
        <v>522</v>
      </c>
      <c r="C5077" t="s">
        <v>705</v>
      </c>
      <c r="D5077" t="s">
        <v>705</v>
      </c>
    </row>
    <row r="5078" spans="1:4">
      <c r="A5078" s="2">
        <v>3.9455</v>
      </c>
      <c r="B5078" t="s">
        <v>523</v>
      </c>
      <c r="C5078" t="s">
        <v>705</v>
      </c>
      <c r="D5078" t="s">
        <v>705</v>
      </c>
    </row>
    <row r="5079" spans="1:4">
      <c r="A5079" s="2">
        <v>5.2796</v>
      </c>
      <c r="B5079" t="s">
        <v>524</v>
      </c>
      <c r="C5079" t="s">
        <v>705</v>
      </c>
      <c r="D5079" t="s">
        <v>705</v>
      </c>
    </row>
    <row r="5080" spans="1:4">
      <c r="A5080" s="2">
        <v>8.5059</v>
      </c>
      <c r="B5080" t="s">
        <v>525</v>
      </c>
      <c r="C5080" t="s">
        <v>705</v>
      </c>
      <c r="D5080" t="s">
        <v>705</v>
      </c>
    </row>
    <row r="5081" spans="1:4">
      <c r="A5081" s="2">
        <v>4.8669</v>
      </c>
      <c r="B5081" t="s">
        <v>526</v>
      </c>
      <c r="C5081" t="s">
        <v>705</v>
      </c>
      <c r="D5081" t="s">
        <v>705</v>
      </c>
    </row>
    <row r="5082" spans="1:4">
      <c r="A5082" s="2">
        <v>0.8435970980259827</v>
      </c>
      <c r="B5082" t="s">
        <v>527</v>
      </c>
      <c r="C5082" t="s">
        <v>705</v>
      </c>
      <c r="D5082" t="s">
        <v>705</v>
      </c>
    </row>
    <row r="5083" spans="1:4">
      <c r="A5083" s="2">
        <v>1.6746491610007703</v>
      </c>
      <c r="B5083" t="s">
        <v>528</v>
      </c>
      <c r="C5083" t="s">
        <v>705</v>
      </c>
      <c r="D5083" t="s">
        <v>705</v>
      </c>
    </row>
    <row r="5084" spans="1:4">
      <c r="A5084" s="2">
        <v>0.09428447511832702</v>
      </c>
      <c r="B5084" t="s">
        <v>529</v>
      </c>
      <c r="C5084" t="s">
        <v>705</v>
      </c>
      <c r="D5084" t="s">
        <v>705</v>
      </c>
    </row>
    <row r="5085" spans="1:4">
      <c r="A5085" s="2">
        <v>0.4110152075626798</v>
      </c>
      <c r="B5085" t="s">
        <v>530</v>
      </c>
      <c r="C5085" t="s">
        <v>705</v>
      </c>
      <c r="D5085" t="s">
        <v>705</v>
      </c>
    </row>
    <row r="5086" spans="1:4">
      <c r="A5086" s="2">
        <v>0.004455533772945999</v>
      </c>
      <c r="B5086" t="s">
        <v>531</v>
      </c>
      <c r="C5086" t="s">
        <v>705</v>
      </c>
      <c r="D5086" t="s">
        <v>705</v>
      </c>
    </row>
    <row r="5087" spans="1:4">
      <c r="A5087" s="2">
        <v>1.8493860038467227</v>
      </c>
      <c r="B5087" t="s">
        <v>532</v>
      </c>
      <c r="C5087" t="s">
        <v>705</v>
      </c>
      <c r="D5087" t="s">
        <v>705</v>
      </c>
    </row>
    <row r="5088" spans="1:4">
      <c r="A5088" s="2">
        <v>1.8090379536162668</v>
      </c>
      <c r="B5088" t="s">
        <v>533</v>
      </c>
      <c r="C5088" t="s">
        <v>705</v>
      </c>
      <c r="D5088" t="s">
        <v>705</v>
      </c>
    </row>
    <row r="5089" spans="1:4">
      <c r="A5089" s="2">
        <v>0.022048528811915023</v>
      </c>
      <c r="B5089" t="s">
        <v>534</v>
      </c>
      <c r="C5089" t="s">
        <v>705</v>
      </c>
      <c r="D5089" t="s">
        <v>705</v>
      </c>
    </row>
    <row r="5090" spans="1:4">
      <c r="A5090" s="2">
        <v>1.8498307404872456</v>
      </c>
      <c r="B5090" t="s">
        <v>535</v>
      </c>
      <c r="C5090" t="s">
        <v>705</v>
      </c>
      <c r="D5090" t="s">
        <v>705</v>
      </c>
    </row>
    <row r="5091" spans="1:4">
      <c r="A5091" s="2">
        <v>1.048767697954903</v>
      </c>
      <c r="B5091" t="s">
        <v>536</v>
      </c>
      <c r="C5091" t="s">
        <v>705</v>
      </c>
      <c r="D5091" t="s">
        <v>705</v>
      </c>
    </row>
    <row r="5092" spans="1:4">
      <c r="A5092" s="2">
        <v>0.7163323782234957</v>
      </c>
      <c r="B5092" t="s">
        <v>537</v>
      </c>
      <c r="C5092" t="s">
        <v>705</v>
      </c>
      <c r="D5092" t="s">
        <v>705</v>
      </c>
    </row>
    <row r="5093" spans="1:4">
      <c r="A5093" s="2">
        <v>0.7138268256121065</v>
      </c>
      <c r="B5093" t="s">
        <v>538</v>
      </c>
      <c r="C5093" t="s">
        <v>705</v>
      </c>
      <c r="D5093" t="s">
        <v>705</v>
      </c>
    </row>
    <row r="5094" spans="1:4">
      <c r="A5094" s="2">
        <v>0.14737220619140112</v>
      </c>
      <c r="B5094" t="s">
        <v>539</v>
      </c>
      <c r="C5094" t="s">
        <v>705</v>
      </c>
      <c r="D5094" t="s">
        <v>705</v>
      </c>
    </row>
    <row r="5095" spans="1:4">
      <c r="A5095" s="2">
        <v>0.3897723729342064</v>
      </c>
      <c r="B5095" t="s">
        <v>540</v>
      </c>
      <c r="C5095" t="s">
        <v>705</v>
      </c>
      <c r="D5095" t="s">
        <v>705</v>
      </c>
    </row>
    <row r="5096" spans="1:4">
      <c r="A5096" s="2">
        <v>0.20620257340811615</v>
      </c>
      <c r="B5096" t="s">
        <v>541</v>
      </c>
      <c r="C5096" t="s">
        <v>705</v>
      </c>
      <c r="D5096" t="s">
        <v>705</v>
      </c>
    </row>
    <row r="5097" spans="1:4">
      <c r="A5097" s="2">
        <v>1</v>
      </c>
      <c r="B5097" t="s">
        <v>542</v>
      </c>
      <c r="C5097" t="s">
        <v>705</v>
      </c>
      <c r="D5097" t="s">
        <v>705</v>
      </c>
    </row>
    <row r="5098" spans="1:4">
      <c r="A5098" s="2">
        <v>6.815</v>
      </c>
      <c r="B5098" t="s">
        <v>364</v>
      </c>
      <c r="C5098" t="s">
        <v>706</v>
      </c>
      <c r="D5098" t="s">
        <v>706</v>
      </c>
    </row>
    <row r="5099" spans="1:4">
      <c r="A5099" s="2">
        <v>7.8425</v>
      </c>
      <c r="B5099" t="s">
        <v>373</v>
      </c>
      <c r="C5099" t="s">
        <v>706</v>
      </c>
      <c r="D5099" t="s">
        <v>706</v>
      </c>
    </row>
    <row r="5100" spans="1:4">
      <c r="A5100" s="2">
        <v>0.042385</v>
      </c>
      <c r="B5100" t="s">
        <v>520</v>
      </c>
      <c r="C5100" t="s">
        <v>706</v>
      </c>
      <c r="D5100" t="s">
        <v>706</v>
      </c>
    </row>
    <row r="5101" spans="1:4">
      <c r="A5101" s="2">
        <v>0.8697499999999999</v>
      </c>
      <c r="B5101" t="s">
        <v>370</v>
      </c>
      <c r="C5101" t="s">
        <v>706</v>
      </c>
      <c r="D5101" t="s">
        <v>706</v>
      </c>
    </row>
    <row r="5102" spans="1:4">
      <c r="A5102" s="2">
        <v>9.0834</v>
      </c>
      <c r="B5102" t="s">
        <v>521</v>
      </c>
      <c r="C5102" t="s">
        <v>706</v>
      </c>
      <c r="D5102" t="s">
        <v>706</v>
      </c>
    </row>
    <row r="5103" spans="1:4">
      <c r="A5103" s="2">
        <v>4.7556</v>
      </c>
      <c r="B5103" t="s">
        <v>522</v>
      </c>
      <c r="C5103" t="s">
        <v>706</v>
      </c>
      <c r="D5103" t="s">
        <v>706</v>
      </c>
    </row>
    <row r="5104" spans="1:4">
      <c r="A5104" s="2">
        <v>3.9391</v>
      </c>
      <c r="B5104" t="s">
        <v>523</v>
      </c>
      <c r="C5104" t="s">
        <v>706</v>
      </c>
      <c r="D5104" t="s">
        <v>706</v>
      </c>
    </row>
    <row r="5105" spans="1:4">
      <c r="A5105" s="2">
        <v>5.2798</v>
      </c>
      <c r="B5105" t="s">
        <v>524</v>
      </c>
      <c r="C5105" t="s">
        <v>706</v>
      </c>
      <c r="D5105" t="s">
        <v>706</v>
      </c>
    </row>
    <row r="5106" spans="1:4">
      <c r="A5106" s="2">
        <v>8.501</v>
      </c>
      <c r="B5106" t="s">
        <v>525</v>
      </c>
      <c r="C5106" t="s">
        <v>706</v>
      </c>
      <c r="D5106" t="s">
        <v>706</v>
      </c>
    </row>
    <row r="5107" spans="1:4">
      <c r="A5107" s="2">
        <v>4.8726</v>
      </c>
      <c r="B5107" t="s">
        <v>526</v>
      </c>
      <c r="C5107" t="s">
        <v>706</v>
      </c>
      <c r="D5107" t="s">
        <v>706</v>
      </c>
    </row>
    <row r="5108" spans="1:4">
      <c r="A5108" s="2">
        <v>0.8440243079000674</v>
      </c>
      <c r="B5108" t="s">
        <v>527</v>
      </c>
      <c r="C5108" t="s">
        <v>706</v>
      </c>
      <c r="D5108" t="s">
        <v>706</v>
      </c>
    </row>
    <row r="5109" spans="1:4">
      <c r="A5109" s="2">
        <v>1.6705088369917476</v>
      </c>
      <c r="B5109" t="s">
        <v>528</v>
      </c>
      <c r="C5109" t="s">
        <v>706</v>
      </c>
      <c r="D5109" t="s">
        <v>706</v>
      </c>
    </row>
    <row r="5110" spans="1:4">
      <c r="A5110" s="2">
        <v>0.0939911460340436</v>
      </c>
      <c r="B5110" t="s">
        <v>529</v>
      </c>
      <c r="C5110" t="s">
        <v>706</v>
      </c>
      <c r="D5110" t="s">
        <v>706</v>
      </c>
    </row>
    <row r="5111" spans="1:4">
      <c r="A5111" s="2">
        <v>0.4102059233735335</v>
      </c>
      <c r="B5111" t="s">
        <v>530</v>
      </c>
      <c r="C5111" t="s">
        <v>706</v>
      </c>
      <c r="D5111" t="s">
        <v>706</v>
      </c>
    </row>
    <row r="5112" spans="1:4">
      <c r="A5112" s="2">
        <v>0.0044589111339011014</v>
      </c>
      <c r="B5112" t="s">
        <v>531</v>
      </c>
      <c r="C5112" t="s">
        <v>706</v>
      </c>
      <c r="D5112" t="s">
        <v>706</v>
      </c>
    </row>
    <row r="5113" spans="1:4">
      <c r="A5113" s="2">
        <v>1.8501387604070303</v>
      </c>
      <c r="B5113" t="s">
        <v>532</v>
      </c>
      <c r="C5113" t="s">
        <v>706</v>
      </c>
      <c r="D5113" t="s">
        <v>706</v>
      </c>
    </row>
    <row r="5114" spans="1:4">
      <c r="A5114" s="2">
        <v>1.8101185627658611</v>
      </c>
      <c r="B5114" t="s">
        <v>533</v>
      </c>
      <c r="C5114" t="s">
        <v>706</v>
      </c>
      <c r="D5114" t="s">
        <v>706</v>
      </c>
    </row>
    <row r="5115" spans="1:4">
      <c r="A5115" s="2">
        <v>0.022003168456257705</v>
      </c>
      <c r="B5115" t="s">
        <v>534</v>
      </c>
      <c r="C5115" t="s">
        <v>706</v>
      </c>
      <c r="D5115" t="s">
        <v>706</v>
      </c>
    </row>
    <row r="5116" spans="1:4">
      <c r="A5116" s="2">
        <v>1.845427031815162</v>
      </c>
      <c r="B5116" t="s">
        <v>535</v>
      </c>
      <c r="C5116" t="s">
        <v>706</v>
      </c>
      <c r="D5116" t="s">
        <v>706</v>
      </c>
    </row>
    <row r="5117" spans="1:4">
      <c r="A5117" s="2">
        <v>1.0492078480747036</v>
      </c>
      <c r="B5117" t="s">
        <v>536</v>
      </c>
      <c r="C5117" t="s">
        <v>706</v>
      </c>
      <c r="D5117" t="s">
        <v>706</v>
      </c>
    </row>
    <row r="5118" spans="1:4">
      <c r="A5118" s="2">
        <v>0.7140307033202428</v>
      </c>
      <c r="B5118" t="s">
        <v>537</v>
      </c>
      <c r="C5118" t="s">
        <v>706</v>
      </c>
      <c r="D5118" t="s">
        <v>706</v>
      </c>
    </row>
    <row r="5119" spans="1:4">
      <c r="A5119" s="2">
        <v>0.7176690110521028</v>
      </c>
      <c r="B5119" t="s">
        <v>538</v>
      </c>
      <c r="C5119" t="s">
        <v>706</v>
      </c>
      <c r="D5119" t="s">
        <v>706</v>
      </c>
    </row>
    <row r="5120" spans="1:4">
      <c r="A5120" s="2">
        <v>0.14731098527479392</v>
      </c>
      <c r="B5120" t="s">
        <v>539</v>
      </c>
      <c r="C5120" t="s">
        <v>706</v>
      </c>
      <c r="D5120" t="s">
        <v>706</v>
      </c>
    </row>
    <row r="5121" spans="1:4">
      <c r="A5121" s="2">
        <v>0.390625</v>
      </c>
      <c r="B5121" t="s">
        <v>540</v>
      </c>
      <c r="C5121" t="s">
        <v>706</v>
      </c>
      <c r="D5121" t="s">
        <v>706</v>
      </c>
    </row>
    <row r="5122" spans="1:4">
      <c r="A5122" s="2">
        <v>0.20596898107145065</v>
      </c>
      <c r="B5122" t="s">
        <v>541</v>
      </c>
      <c r="C5122" t="s">
        <v>706</v>
      </c>
      <c r="D5122" t="s">
        <v>706</v>
      </c>
    </row>
    <row r="5123" spans="1:4">
      <c r="A5123" s="2">
        <v>1</v>
      </c>
      <c r="B5123" t="s">
        <v>542</v>
      </c>
      <c r="C5123" t="s">
        <v>706</v>
      </c>
      <c r="D5123" t="s">
        <v>706</v>
      </c>
    </row>
    <row r="5124" spans="1:4">
      <c r="A5124" s="2">
        <v>6.8109</v>
      </c>
      <c r="B5124" t="s">
        <v>364</v>
      </c>
      <c r="C5124" t="s">
        <v>297</v>
      </c>
      <c r="D5124" t="s">
        <v>297</v>
      </c>
    </row>
    <row r="5125" spans="1:4">
      <c r="A5125" s="2">
        <v>7.8576</v>
      </c>
      <c r="B5125" t="s">
        <v>373</v>
      </c>
      <c r="C5125" t="s">
        <v>297</v>
      </c>
      <c r="D5125" t="s">
        <v>297</v>
      </c>
    </row>
    <row r="5126" spans="1:4">
      <c r="A5126" s="2">
        <v>0.042419000000000005</v>
      </c>
      <c r="B5126" t="s">
        <v>520</v>
      </c>
      <c r="C5126" t="s">
        <v>297</v>
      </c>
      <c r="D5126" t="s">
        <v>297</v>
      </c>
    </row>
    <row r="5127" spans="1:4">
      <c r="A5127" s="2">
        <v>0.86926</v>
      </c>
      <c r="B5127" t="s">
        <v>370</v>
      </c>
      <c r="C5127" t="s">
        <v>297</v>
      </c>
      <c r="D5127" t="s">
        <v>297</v>
      </c>
    </row>
    <row r="5128" spans="1:4">
      <c r="A5128" s="2">
        <v>9.1053</v>
      </c>
      <c r="B5128" t="s">
        <v>521</v>
      </c>
      <c r="C5128" t="s">
        <v>297</v>
      </c>
      <c r="D5128" t="s">
        <v>297</v>
      </c>
    </row>
    <row r="5129" spans="1:4">
      <c r="A5129" s="2">
        <v>4.7806999999999995</v>
      </c>
      <c r="B5129" t="s">
        <v>522</v>
      </c>
      <c r="C5129" t="s">
        <v>297</v>
      </c>
      <c r="D5129" t="s">
        <v>297</v>
      </c>
    </row>
    <row r="5130" spans="1:4">
      <c r="A5130" s="2">
        <v>3.9546</v>
      </c>
      <c r="B5130" t="s">
        <v>523</v>
      </c>
      <c r="C5130" t="s">
        <v>297</v>
      </c>
      <c r="D5130" t="s">
        <v>297</v>
      </c>
    </row>
    <row r="5131" spans="1:4">
      <c r="A5131" s="2">
        <v>5.2890999999999995</v>
      </c>
      <c r="B5131" t="s">
        <v>524</v>
      </c>
      <c r="C5131" t="s">
        <v>297</v>
      </c>
      <c r="D5131" t="s">
        <v>297</v>
      </c>
    </row>
    <row r="5132" spans="1:4">
      <c r="A5132" s="2">
        <v>8.5399</v>
      </c>
      <c r="B5132" t="s">
        <v>525</v>
      </c>
      <c r="C5132" t="s">
        <v>297</v>
      </c>
      <c r="D5132" t="s">
        <v>297</v>
      </c>
    </row>
    <row r="5133" spans="1:4">
      <c r="A5133" s="2">
        <v>4.8559</v>
      </c>
      <c r="B5133" t="s">
        <v>526</v>
      </c>
      <c r="C5133" t="s">
        <v>297</v>
      </c>
      <c r="D5133" t="s">
        <v>297</v>
      </c>
    </row>
    <row r="5134" spans="1:4">
      <c r="A5134" s="2">
        <v>0.8432414200185513</v>
      </c>
      <c r="B5134" t="s">
        <v>527</v>
      </c>
      <c r="C5134" t="s">
        <v>297</v>
      </c>
      <c r="D5134" t="s">
        <v>297</v>
      </c>
    </row>
    <row r="5135" spans="1:4">
      <c r="A5135" s="2">
        <v>1.6729122055674517</v>
      </c>
      <c r="B5135" t="s">
        <v>528</v>
      </c>
      <c r="C5135" t="s">
        <v>297</v>
      </c>
      <c r="D5135" t="s">
        <v>297</v>
      </c>
    </row>
    <row r="5136" spans="1:4">
      <c r="A5136" s="2">
        <v>0.09410701850143983</v>
      </c>
      <c r="B5136" t="s">
        <v>529</v>
      </c>
      <c r="C5136" t="s">
        <v>297</v>
      </c>
      <c r="D5136" t="s">
        <v>297</v>
      </c>
    </row>
    <row r="5137" spans="1:4">
      <c r="A5137" s="2">
        <v>0.417240372178412</v>
      </c>
      <c r="B5137" t="s">
        <v>530</v>
      </c>
      <c r="C5137" t="s">
        <v>297</v>
      </c>
      <c r="D5137" t="s">
        <v>297</v>
      </c>
    </row>
    <row r="5138" spans="1:4">
      <c r="A5138" s="2">
        <v>0.004459109961651654</v>
      </c>
      <c r="B5138" t="s">
        <v>531</v>
      </c>
      <c r="C5138" t="s">
        <v>297</v>
      </c>
      <c r="D5138" t="s">
        <v>297</v>
      </c>
    </row>
    <row r="5139" spans="1:4">
      <c r="A5139" s="2">
        <v>1.8470972866140856</v>
      </c>
      <c r="B5139" t="s">
        <v>532</v>
      </c>
      <c r="C5139" t="s">
        <v>297</v>
      </c>
      <c r="D5139" t="s">
        <v>297</v>
      </c>
    </row>
    <row r="5140" spans="1:4">
      <c r="A5140" s="2">
        <v>1.8072071420826257</v>
      </c>
      <c r="B5140" t="s">
        <v>533</v>
      </c>
      <c r="C5140" t="s">
        <v>297</v>
      </c>
      <c r="D5140" t="s">
        <v>297</v>
      </c>
    </row>
    <row r="5141" spans="1:4">
      <c r="A5141" s="2">
        <v>0.022204162836448577</v>
      </c>
      <c r="B5141" t="s">
        <v>534</v>
      </c>
      <c r="C5141" t="s">
        <v>297</v>
      </c>
      <c r="D5141" t="s">
        <v>297</v>
      </c>
    </row>
    <row r="5142" spans="1:4">
      <c r="A5142" s="2">
        <v>1.8510634359439495</v>
      </c>
      <c r="B5142" t="s">
        <v>535</v>
      </c>
      <c r="C5142" t="s">
        <v>297</v>
      </c>
      <c r="D5142" t="s">
        <v>297</v>
      </c>
    </row>
    <row r="5143" spans="1:4">
      <c r="A5143" s="2">
        <v>1.0511931041732367</v>
      </c>
      <c r="B5143" t="s">
        <v>536</v>
      </c>
      <c r="C5143" t="s">
        <v>297</v>
      </c>
      <c r="D5143" t="s">
        <v>297</v>
      </c>
    </row>
    <row r="5144" spans="1:4">
      <c r="A5144" s="2">
        <v>0.7183391997701314</v>
      </c>
      <c r="B5144" t="s">
        <v>537</v>
      </c>
      <c r="C5144" t="s">
        <v>297</v>
      </c>
      <c r="D5144" t="s">
        <v>297</v>
      </c>
    </row>
    <row r="5145" spans="1:4">
      <c r="A5145" s="2">
        <v>0.714694110920526</v>
      </c>
      <c r="B5145" t="s">
        <v>538</v>
      </c>
      <c r="C5145" t="s">
        <v>297</v>
      </c>
      <c r="D5145" t="s">
        <v>297</v>
      </c>
    </row>
    <row r="5146" spans="1:4">
      <c r="A5146" s="2">
        <v>0.14681549843127642</v>
      </c>
      <c r="B5146" t="s">
        <v>539</v>
      </c>
      <c r="C5146" t="s">
        <v>297</v>
      </c>
      <c r="D5146" t="s">
        <v>297</v>
      </c>
    </row>
    <row r="5147" spans="1:4">
      <c r="A5147" s="2">
        <v>0.39415080209688225</v>
      </c>
      <c r="B5147" t="s">
        <v>540</v>
      </c>
      <c r="C5147" t="s">
        <v>297</v>
      </c>
      <c r="D5147" t="s">
        <v>297</v>
      </c>
    </row>
    <row r="5148" spans="1:4">
      <c r="A5148" s="2">
        <v>0.20678674083417772</v>
      </c>
      <c r="B5148" t="s">
        <v>541</v>
      </c>
      <c r="C5148" t="s">
        <v>297</v>
      </c>
      <c r="D5148" t="s">
        <v>297</v>
      </c>
    </row>
    <row r="5149" spans="1:4">
      <c r="A5149" s="2">
        <v>1</v>
      </c>
      <c r="B5149" t="s">
        <v>542</v>
      </c>
      <c r="C5149" t="s">
        <v>297</v>
      </c>
      <c r="D5149" t="s">
        <v>297</v>
      </c>
    </row>
    <row r="5150" spans="1:4">
      <c r="A5150" s="2">
        <v>6.8109</v>
      </c>
      <c r="B5150" t="s">
        <v>364</v>
      </c>
      <c r="C5150" t="s">
        <v>297</v>
      </c>
      <c r="D5150" t="s">
        <v>305</v>
      </c>
    </row>
    <row r="5151" spans="1:4">
      <c r="A5151" s="2">
        <v>7.8576</v>
      </c>
      <c r="B5151" t="s">
        <v>373</v>
      </c>
      <c r="C5151" t="s">
        <v>297</v>
      </c>
      <c r="D5151" t="s">
        <v>305</v>
      </c>
    </row>
    <row r="5152" spans="1:4">
      <c r="A5152" s="2">
        <v>0.042419000000000005</v>
      </c>
      <c r="B5152" t="s">
        <v>520</v>
      </c>
      <c r="C5152" t="s">
        <v>297</v>
      </c>
      <c r="D5152" t="s">
        <v>305</v>
      </c>
    </row>
    <row r="5153" spans="1:4">
      <c r="A5153" s="2">
        <v>0.86926</v>
      </c>
      <c r="B5153" t="s">
        <v>370</v>
      </c>
      <c r="C5153" t="s">
        <v>297</v>
      </c>
      <c r="D5153" t="s">
        <v>305</v>
      </c>
    </row>
    <row r="5154" spans="1:4">
      <c r="A5154" s="2">
        <v>9.1053</v>
      </c>
      <c r="B5154" t="s">
        <v>521</v>
      </c>
      <c r="C5154" t="s">
        <v>297</v>
      </c>
      <c r="D5154" t="s">
        <v>305</v>
      </c>
    </row>
    <row r="5155" spans="1:4">
      <c r="A5155" s="2">
        <v>4.7806999999999995</v>
      </c>
      <c r="B5155" t="s">
        <v>522</v>
      </c>
      <c r="C5155" t="s">
        <v>297</v>
      </c>
      <c r="D5155" t="s">
        <v>305</v>
      </c>
    </row>
    <row r="5156" spans="1:4">
      <c r="A5156" s="2">
        <v>3.9546</v>
      </c>
      <c r="B5156" t="s">
        <v>523</v>
      </c>
      <c r="C5156" t="s">
        <v>297</v>
      </c>
      <c r="D5156" t="s">
        <v>305</v>
      </c>
    </row>
    <row r="5157" spans="1:4">
      <c r="A5157" s="2">
        <v>5.2890999999999995</v>
      </c>
      <c r="B5157" t="s">
        <v>524</v>
      </c>
      <c r="C5157" t="s">
        <v>297</v>
      </c>
      <c r="D5157" t="s">
        <v>305</v>
      </c>
    </row>
    <row r="5158" spans="1:4">
      <c r="A5158" s="2">
        <v>8.5399</v>
      </c>
      <c r="B5158" t="s">
        <v>525</v>
      </c>
      <c r="C5158" t="s">
        <v>297</v>
      </c>
      <c r="D5158" t="s">
        <v>305</v>
      </c>
    </row>
    <row r="5159" spans="1:4">
      <c r="A5159" s="2">
        <v>4.8559</v>
      </c>
      <c r="B5159" t="s">
        <v>526</v>
      </c>
      <c r="C5159" t="s">
        <v>297</v>
      </c>
      <c r="D5159" t="s">
        <v>305</v>
      </c>
    </row>
    <row r="5160" spans="1:4">
      <c r="A5160" s="2">
        <v>0.8432414200185513</v>
      </c>
      <c r="B5160" t="s">
        <v>527</v>
      </c>
      <c r="C5160" t="s">
        <v>297</v>
      </c>
      <c r="D5160" t="s">
        <v>305</v>
      </c>
    </row>
    <row r="5161" spans="1:4">
      <c r="A5161" s="2">
        <v>1.6729122055674517</v>
      </c>
      <c r="B5161" t="s">
        <v>528</v>
      </c>
      <c r="C5161" t="s">
        <v>297</v>
      </c>
      <c r="D5161" t="s">
        <v>305</v>
      </c>
    </row>
    <row r="5162" spans="1:4">
      <c r="A5162" s="2">
        <v>0.09410701850143983</v>
      </c>
      <c r="B5162" t="s">
        <v>529</v>
      </c>
      <c r="C5162" t="s">
        <v>297</v>
      </c>
      <c r="D5162" t="s">
        <v>305</v>
      </c>
    </row>
    <row r="5163" spans="1:4">
      <c r="A5163" s="2">
        <v>0.417240372178412</v>
      </c>
      <c r="B5163" t="s">
        <v>530</v>
      </c>
      <c r="C5163" t="s">
        <v>297</v>
      </c>
      <c r="D5163" t="s">
        <v>305</v>
      </c>
    </row>
    <row r="5164" spans="1:4">
      <c r="A5164" s="2">
        <v>0.004459109961651654</v>
      </c>
      <c r="B5164" t="s">
        <v>531</v>
      </c>
      <c r="C5164" t="s">
        <v>297</v>
      </c>
      <c r="D5164" t="s">
        <v>305</v>
      </c>
    </row>
    <row r="5165" spans="1:4">
      <c r="A5165" s="2">
        <v>1.8470972866140856</v>
      </c>
      <c r="B5165" t="s">
        <v>532</v>
      </c>
      <c r="C5165" t="s">
        <v>297</v>
      </c>
      <c r="D5165" t="s">
        <v>305</v>
      </c>
    </row>
    <row r="5166" spans="1:4">
      <c r="A5166" s="2">
        <v>1.8072071420826257</v>
      </c>
      <c r="B5166" t="s">
        <v>533</v>
      </c>
      <c r="C5166" t="s">
        <v>297</v>
      </c>
      <c r="D5166" t="s">
        <v>305</v>
      </c>
    </row>
    <row r="5167" spans="1:4">
      <c r="A5167" s="2">
        <v>0.022204162836448577</v>
      </c>
      <c r="B5167" t="s">
        <v>534</v>
      </c>
      <c r="C5167" t="s">
        <v>297</v>
      </c>
      <c r="D5167" t="s">
        <v>305</v>
      </c>
    </row>
    <row r="5168" spans="1:4">
      <c r="A5168" s="2">
        <v>1.8510634359439495</v>
      </c>
      <c r="B5168" t="s">
        <v>535</v>
      </c>
      <c r="C5168" t="s">
        <v>297</v>
      </c>
      <c r="D5168" t="s">
        <v>305</v>
      </c>
    </row>
    <row r="5169" spans="1:4">
      <c r="A5169" s="2">
        <v>1.0511931041732367</v>
      </c>
      <c r="B5169" t="s">
        <v>536</v>
      </c>
      <c r="C5169" t="s">
        <v>297</v>
      </c>
      <c r="D5169" t="s">
        <v>305</v>
      </c>
    </row>
    <row r="5170" spans="1:4">
      <c r="A5170" s="2">
        <v>0.7183391997701314</v>
      </c>
      <c r="B5170" t="s">
        <v>537</v>
      </c>
      <c r="C5170" t="s">
        <v>297</v>
      </c>
      <c r="D5170" t="s">
        <v>305</v>
      </c>
    </row>
    <row r="5171" spans="1:4">
      <c r="A5171" s="2">
        <v>0.714694110920526</v>
      </c>
      <c r="B5171" t="s">
        <v>538</v>
      </c>
      <c r="C5171" t="s">
        <v>297</v>
      </c>
      <c r="D5171" t="s">
        <v>305</v>
      </c>
    </row>
    <row r="5172" spans="1:4">
      <c r="A5172" s="2">
        <v>0.14681549843127642</v>
      </c>
      <c r="B5172" t="s">
        <v>539</v>
      </c>
      <c r="C5172" t="s">
        <v>297</v>
      </c>
      <c r="D5172" t="s">
        <v>305</v>
      </c>
    </row>
    <row r="5173" spans="1:4">
      <c r="A5173" s="2">
        <v>0.39415080209688225</v>
      </c>
      <c r="B5173" t="s">
        <v>540</v>
      </c>
      <c r="C5173" t="s">
        <v>297</v>
      </c>
      <c r="D5173" t="s">
        <v>305</v>
      </c>
    </row>
    <row r="5174" spans="1:4">
      <c r="A5174" s="2">
        <v>0.20678674083417772</v>
      </c>
      <c r="B5174" t="s">
        <v>541</v>
      </c>
      <c r="C5174" t="s">
        <v>297</v>
      </c>
      <c r="D5174" t="s">
        <v>305</v>
      </c>
    </row>
    <row r="5175" spans="1:4">
      <c r="A5175" s="2">
        <v>1</v>
      </c>
      <c r="B5175" t="s">
        <v>542</v>
      </c>
      <c r="C5175" t="s">
        <v>305</v>
      </c>
      <c r="D5175" t="s">
        <v>305</v>
      </c>
    </row>
    <row r="5176" spans="1:4">
      <c r="A5176" s="2">
        <v>6.8109</v>
      </c>
      <c r="B5176" t="s">
        <v>364</v>
      </c>
      <c r="C5176" t="s">
        <v>297</v>
      </c>
      <c r="D5176" t="s">
        <v>707</v>
      </c>
    </row>
    <row r="5177" spans="1:4">
      <c r="A5177" s="2">
        <v>7.8576</v>
      </c>
      <c r="B5177" t="s">
        <v>373</v>
      </c>
      <c r="C5177" t="s">
        <v>297</v>
      </c>
      <c r="D5177" t="s">
        <v>707</v>
      </c>
    </row>
    <row r="5178" spans="1:4">
      <c r="A5178" s="2">
        <v>0.042419000000000005</v>
      </c>
      <c r="B5178" t="s">
        <v>520</v>
      </c>
      <c r="C5178" t="s">
        <v>297</v>
      </c>
      <c r="D5178" t="s">
        <v>707</v>
      </c>
    </row>
    <row r="5179" spans="1:4">
      <c r="A5179" s="2">
        <v>0.86926</v>
      </c>
      <c r="B5179" t="s">
        <v>370</v>
      </c>
      <c r="C5179" t="s">
        <v>297</v>
      </c>
      <c r="D5179" t="s">
        <v>707</v>
      </c>
    </row>
    <row r="5180" spans="1:4">
      <c r="A5180" s="2">
        <v>9.1053</v>
      </c>
      <c r="B5180" t="s">
        <v>521</v>
      </c>
      <c r="C5180" t="s">
        <v>297</v>
      </c>
      <c r="D5180" t="s">
        <v>707</v>
      </c>
    </row>
    <row r="5181" spans="1:4">
      <c r="A5181" s="2">
        <v>4.7806999999999995</v>
      </c>
      <c r="B5181" t="s">
        <v>522</v>
      </c>
      <c r="C5181" t="s">
        <v>297</v>
      </c>
      <c r="D5181" t="s">
        <v>707</v>
      </c>
    </row>
    <row r="5182" spans="1:4">
      <c r="A5182" s="2">
        <v>3.9546</v>
      </c>
      <c r="B5182" t="s">
        <v>523</v>
      </c>
      <c r="C5182" t="s">
        <v>297</v>
      </c>
      <c r="D5182" t="s">
        <v>707</v>
      </c>
    </row>
    <row r="5183" spans="1:4">
      <c r="A5183" s="2">
        <v>5.2890999999999995</v>
      </c>
      <c r="B5183" t="s">
        <v>524</v>
      </c>
      <c r="C5183" t="s">
        <v>297</v>
      </c>
      <c r="D5183" t="s">
        <v>707</v>
      </c>
    </row>
    <row r="5184" spans="1:4">
      <c r="A5184" s="2">
        <v>8.5399</v>
      </c>
      <c r="B5184" t="s">
        <v>525</v>
      </c>
      <c r="C5184" t="s">
        <v>297</v>
      </c>
      <c r="D5184" t="s">
        <v>707</v>
      </c>
    </row>
    <row r="5185" spans="1:4">
      <c r="A5185" s="2">
        <v>4.8559</v>
      </c>
      <c r="B5185" t="s">
        <v>526</v>
      </c>
      <c r="C5185" t="s">
        <v>297</v>
      </c>
      <c r="D5185" t="s">
        <v>707</v>
      </c>
    </row>
    <row r="5186" spans="1:4">
      <c r="A5186" s="2">
        <v>0.8432414200185513</v>
      </c>
      <c r="B5186" t="s">
        <v>527</v>
      </c>
      <c r="C5186" t="s">
        <v>297</v>
      </c>
      <c r="D5186" t="s">
        <v>707</v>
      </c>
    </row>
    <row r="5187" spans="1:4">
      <c r="A5187" s="2">
        <v>1.6729122055674517</v>
      </c>
      <c r="B5187" t="s">
        <v>528</v>
      </c>
      <c r="C5187" t="s">
        <v>297</v>
      </c>
      <c r="D5187" t="s">
        <v>707</v>
      </c>
    </row>
    <row r="5188" spans="1:4">
      <c r="A5188" s="2">
        <v>0.09410701850143983</v>
      </c>
      <c r="B5188" t="s">
        <v>529</v>
      </c>
      <c r="C5188" t="s">
        <v>297</v>
      </c>
      <c r="D5188" t="s">
        <v>707</v>
      </c>
    </row>
    <row r="5189" spans="1:4">
      <c r="A5189" s="2">
        <v>0.417240372178412</v>
      </c>
      <c r="B5189" t="s">
        <v>530</v>
      </c>
      <c r="C5189" t="s">
        <v>297</v>
      </c>
      <c r="D5189" t="s">
        <v>707</v>
      </c>
    </row>
    <row r="5190" spans="1:4">
      <c r="A5190" s="2">
        <v>0.004459109961651654</v>
      </c>
      <c r="B5190" t="s">
        <v>531</v>
      </c>
      <c r="C5190" t="s">
        <v>297</v>
      </c>
      <c r="D5190" t="s">
        <v>707</v>
      </c>
    </row>
    <row r="5191" spans="1:4">
      <c r="A5191" s="2">
        <v>1.8470972866140856</v>
      </c>
      <c r="B5191" t="s">
        <v>532</v>
      </c>
      <c r="C5191" t="s">
        <v>297</v>
      </c>
      <c r="D5191" t="s">
        <v>707</v>
      </c>
    </row>
    <row r="5192" spans="1:4">
      <c r="A5192" s="2">
        <v>1.8072071420826257</v>
      </c>
      <c r="B5192" t="s">
        <v>533</v>
      </c>
      <c r="C5192" t="s">
        <v>297</v>
      </c>
      <c r="D5192" t="s">
        <v>707</v>
      </c>
    </row>
    <row r="5193" spans="1:4">
      <c r="A5193" s="2">
        <v>0.022204162836448577</v>
      </c>
      <c r="B5193" t="s">
        <v>534</v>
      </c>
      <c r="C5193" t="s">
        <v>297</v>
      </c>
      <c r="D5193" t="s">
        <v>707</v>
      </c>
    </row>
    <row r="5194" spans="1:4">
      <c r="A5194" s="2">
        <v>1.8510634359439495</v>
      </c>
      <c r="B5194" t="s">
        <v>535</v>
      </c>
      <c r="C5194" t="s">
        <v>297</v>
      </c>
      <c r="D5194" t="s">
        <v>707</v>
      </c>
    </row>
    <row r="5195" spans="1:4">
      <c r="A5195" s="2">
        <v>1.0511931041732367</v>
      </c>
      <c r="B5195" t="s">
        <v>536</v>
      </c>
      <c r="C5195" t="s">
        <v>297</v>
      </c>
      <c r="D5195" t="s">
        <v>707</v>
      </c>
    </row>
    <row r="5196" spans="1:4">
      <c r="A5196" s="2">
        <v>0.7183391997701314</v>
      </c>
      <c r="B5196" t="s">
        <v>537</v>
      </c>
      <c r="C5196" t="s">
        <v>297</v>
      </c>
      <c r="D5196" t="s">
        <v>707</v>
      </c>
    </row>
    <row r="5197" spans="1:4">
      <c r="A5197" s="2">
        <v>0.714694110920526</v>
      </c>
      <c r="B5197" t="s">
        <v>538</v>
      </c>
      <c r="C5197" t="s">
        <v>297</v>
      </c>
      <c r="D5197" t="s">
        <v>707</v>
      </c>
    </row>
    <row r="5198" spans="1:4">
      <c r="A5198" s="2">
        <v>0.14681549843127642</v>
      </c>
      <c r="B5198" t="s">
        <v>539</v>
      </c>
      <c r="C5198" t="s">
        <v>297</v>
      </c>
      <c r="D5198" t="s">
        <v>707</v>
      </c>
    </row>
    <row r="5199" spans="1:4">
      <c r="A5199" s="2">
        <v>0.39415080209688225</v>
      </c>
      <c r="B5199" t="s">
        <v>540</v>
      </c>
      <c r="C5199" t="s">
        <v>297</v>
      </c>
      <c r="D5199" t="s">
        <v>707</v>
      </c>
    </row>
    <row r="5200" spans="1:4">
      <c r="A5200" s="2">
        <v>0.20678674083417772</v>
      </c>
      <c r="B5200" t="s">
        <v>541</v>
      </c>
      <c r="C5200" t="s">
        <v>297</v>
      </c>
      <c r="D5200" t="s">
        <v>707</v>
      </c>
    </row>
    <row r="5201" spans="1:4">
      <c r="A5201" s="2">
        <v>1</v>
      </c>
      <c r="B5201" t="s">
        <v>542</v>
      </c>
      <c r="C5201" t="s">
        <v>707</v>
      </c>
      <c r="D5201" t="s">
        <v>707</v>
      </c>
    </row>
    <row r="5202" spans="1:4">
      <c r="A5202" s="2">
        <v>6.8088</v>
      </c>
      <c r="B5202" t="s">
        <v>364</v>
      </c>
      <c r="C5202" t="s">
        <v>708</v>
      </c>
      <c r="D5202" t="s">
        <v>708</v>
      </c>
    </row>
    <row r="5203" spans="1:4">
      <c r="A5203" s="2">
        <v>7.8686</v>
      </c>
      <c r="B5203" t="s">
        <v>373</v>
      </c>
      <c r="C5203" t="s">
        <v>708</v>
      </c>
      <c r="D5203" t="s">
        <v>708</v>
      </c>
    </row>
    <row r="5204" spans="1:4">
      <c r="A5204" s="2">
        <v>0.042424</v>
      </c>
      <c r="B5204" t="s">
        <v>520</v>
      </c>
      <c r="C5204" t="s">
        <v>708</v>
      </c>
      <c r="D5204" t="s">
        <v>708</v>
      </c>
    </row>
    <row r="5205" spans="1:4">
      <c r="A5205" s="2">
        <v>0.86897</v>
      </c>
      <c r="B5205" t="s">
        <v>370</v>
      </c>
      <c r="C5205" t="s">
        <v>708</v>
      </c>
      <c r="D5205" t="s">
        <v>708</v>
      </c>
    </row>
    <row r="5206" spans="1:4">
      <c r="A5206" s="2">
        <v>9.1191</v>
      </c>
      <c r="B5206" t="s">
        <v>521</v>
      </c>
      <c r="C5206" t="s">
        <v>708</v>
      </c>
      <c r="D5206" t="s">
        <v>708</v>
      </c>
    </row>
    <row r="5207" spans="1:4">
      <c r="A5207" s="2">
        <v>4.7949</v>
      </c>
      <c r="B5207" t="s">
        <v>522</v>
      </c>
      <c r="C5207" t="s">
        <v>708</v>
      </c>
      <c r="D5207" t="s">
        <v>708</v>
      </c>
    </row>
    <row r="5208" spans="1:4">
      <c r="A5208" s="2">
        <v>3.9662</v>
      </c>
      <c r="B5208" t="s">
        <v>523</v>
      </c>
      <c r="C5208" t="s">
        <v>708</v>
      </c>
      <c r="D5208" t="s">
        <v>708</v>
      </c>
    </row>
    <row r="5209" spans="1:4">
      <c r="A5209" s="2">
        <v>5.2944</v>
      </c>
      <c r="B5209" t="s">
        <v>524</v>
      </c>
      <c r="C5209" t="s">
        <v>708</v>
      </c>
      <c r="D5209" t="s">
        <v>708</v>
      </c>
    </row>
    <row r="5210" spans="1:4">
      <c r="A5210" s="2">
        <v>8.5442</v>
      </c>
      <c r="B5210" t="s">
        <v>525</v>
      </c>
      <c r="C5210" t="s">
        <v>708</v>
      </c>
      <c r="D5210" t="s">
        <v>708</v>
      </c>
    </row>
    <row r="5211" spans="1:4">
      <c r="A5211" s="2">
        <v>4.8525</v>
      </c>
      <c r="B5211" t="s">
        <v>526</v>
      </c>
      <c r="C5211" t="s">
        <v>708</v>
      </c>
      <c r="D5211" t="s">
        <v>708</v>
      </c>
    </row>
    <row r="5212" spans="1:4">
      <c r="A5212" s="2">
        <v>0.8432414200185513</v>
      </c>
      <c r="B5212" t="s">
        <v>527</v>
      </c>
      <c r="C5212" t="s">
        <v>708</v>
      </c>
      <c r="D5212" t="s">
        <v>708</v>
      </c>
    </row>
    <row r="5213" spans="1:4">
      <c r="A5213" s="2">
        <v>1.675406704977633</v>
      </c>
      <c r="B5213" t="s">
        <v>528</v>
      </c>
      <c r="C5213" t="s">
        <v>708</v>
      </c>
      <c r="D5213" t="s">
        <v>708</v>
      </c>
    </row>
    <row r="5214" spans="1:4">
      <c r="A5214" s="2">
        <v>0.09335934947205286</v>
      </c>
      <c r="B5214" t="s">
        <v>529</v>
      </c>
      <c r="C5214" t="s">
        <v>708</v>
      </c>
      <c r="D5214" t="s">
        <v>708</v>
      </c>
    </row>
    <row r="5215" spans="1:4">
      <c r="A5215" s="2">
        <v>0.41893590280687054</v>
      </c>
      <c r="B5215" t="s">
        <v>530</v>
      </c>
      <c r="C5215" t="s">
        <v>708</v>
      </c>
      <c r="D5215" t="s">
        <v>708</v>
      </c>
    </row>
    <row r="5216" spans="1:4">
      <c r="A5216" s="2">
        <v>0.0044804874770375015</v>
      </c>
      <c r="B5216" t="s">
        <v>531</v>
      </c>
      <c r="C5216" t="s">
        <v>708</v>
      </c>
      <c r="D5216" t="s">
        <v>708</v>
      </c>
    </row>
    <row r="5217" spans="1:4">
      <c r="A5217" s="2">
        <v>1.84505249174339</v>
      </c>
      <c r="B5217" t="s">
        <v>532</v>
      </c>
      <c r="C5217" t="s">
        <v>708</v>
      </c>
      <c r="D5217" t="s">
        <v>708</v>
      </c>
    </row>
    <row r="5218" spans="1:4">
      <c r="A5218" s="2">
        <v>1.8058038535854235</v>
      </c>
      <c r="B5218" t="s">
        <v>533</v>
      </c>
      <c r="C5218" t="s">
        <v>708</v>
      </c>
      <c r="D5218" t="s">
        <v>708</v>
      </c>
    </row>
    <row r="5219" spans="1:4">
      <c r="A5219" s="2">
        <v>0.022425094577836382</v>
      </c>
      <c r="B5219" t="s">
        <v>534</v>
      </c>
      <c r="C5219" t="s">
        <v>708</v>
      </c>
      <c r="D5219" t="s">
        <v>708</v>
      </c>
    </row>
    <row r="5220" spans="1:4">
      <c r="A5220" s="2">
        <v>1.8573551263001484</v>
      </c>
      <c r="B5220" t="s">
        <v>535</v>
      </c>
      <c r="C5220" t="s">
        <v>708</v>
      </c>
      <c r="D5220" t="s">
        <v>708</v>
      </c>
    </row>
    <row r="5221" spans="1:4">
      <c r="A5221" s="2">
        <v>1.0526315789473684</v>
      </c>
      <c r="B5221" t="s">
        <v>536</v>
      </c>
      <c r="C5221" t="s">
        <v>708</v>
      </c>
      <c r="D5221" t="s">
        <v>708</v>
      </c>
    </row>
    <row r="5222" spans="1:4">
      <c r="A5222" s="2">
        <v>0.7221259387637204</v>
      </c>
      <c r="B5222" t="s">
        <v>537</v>
      </c>
      <c r="C5222" t="s">
        <v>708</v>
      </c>
      <c r="D5222" t="s">
        <v>708</v>
      </c>
    </row>
    <row r="5223" spans="1:4">
      <c r="A5223" s="2">
        <v>0.7133685261806249</v>
      </c>
      <c r="B5223" t="s">
        <v>538</v>
      </c>
      <c r="C5223" t="s">
        <v>708</v>
      </c>
      <c r="D5223" t="s">
        <v>708</v>
      </c>
    </row>
    <row r="5224" spans="1:4">
      <c r="A5224" s="2">
        <v>0.1465757701457403</v>
      </c>
      <c r="B5224" t="s">
        <v>539</v>
      </c>
      <c r="C5224" t="s">
        <v>708</v>
      </c>
      <c r="D5224" t="s">
        <v>708</v>
      </c>
    </row>
    <row r="5225" spans="1:4">
      <c r="A5225" s="2">
        <v>0.3957418180379121</v>
      </c>
      <c r="B5225" t="s">
        <v>540</v>
      </c>
      <c r="C5225" t="s">
        <v>708</v>
      </c>
      <c r="D5225" t="s">
        <v>708</v>
      </c>
    </row>
    <row r="5226" spans="1:4">
      <c r="A5226" s="2">
        <v>0.2075980900975711</v>
      </c>
      <c r="B5226" t="s">
        <v>541</v>
      </c>
      <c r="C5226" t="s">
        <v>708</v>
      </c>
      <c r="D5226" t="s">
        <v>708</v>
      </c>
    </row>
    <row r="5227" spans="1:4">
      <c r="A5227" s="2">
        <v>1</v>
      </c>
      <c r="B5227" t="s">
        <v>542</v>
      </c>
      <c r="C5227" t="s">
        <v>708</v>
      </c>
      <c r="D5227" t="s">
        <v>708</v>
      </c>
    </row>
    <row r="5228" spans="1:4">
      <c r="A5228" s="2">
        <v>6.8108</v>
      </c>
      <c r="B5228" t="s">
        <v>364</v>
      </c>
      <c r="C5228" t="s">
        <v>709</v>
      </c>
      <c r="D5228" t="s">
        <v>709</v>
      </c>
    </row>
    <row r="5229" spans="1:4">
      <c r="A5229" s="2">
        <v>7.8636</v>
      </c>
      <c r="B5229" t="s">
        <v>373</v>
      </c>
      <c r="C5229" t="s">
        <v>709</v>
      </c>
      <c r="D5229" t="s">
        <v>709</v>
      </c>
    </row>
    <row r="5230" spans="1:4">
      <c r="A5230" s="2">
        <v>0.042394999999999995</v>
      </c>
      <c r="B5230" t="s">
        <v>520</v>
      </c>
      <c r="C5230" t="s">
        <v>709</v>
      </c>
      <c r="D5230" t="s">
        <v>709</v>
      </c>
    </row>
    <row r="5231" spans="1:4">
      <c r="A5231" s="2">
        <v>0.86932</v>
      </c>
      <c r="B5231" t="s">
        <v>370</v>
      </c>
      <c r="C5231" t="s">
        <v>709</v>
      </c>
      <c r="D5231" t="s">
        <v>709</v>
      </c>
    </row>
    <row r="5232" spans="1:4">
      <c r="A5232" s="2">
        <v>9.1015</v>
      </c>
      <c r="B5232" t="s">
        <v>521</v>
      </c>
      <c r="C5232" t="s">
        <v>709</v>
      </c>
      <c r="D5232" t="s">
        <v>709</v>
      </c>
    </row>
    <row r="5233" spans="1:4">
      <c r="A5233" s="2">
        <v>4.7961</v>
      </c>
      <c r="B5233" t="s">
        <v>522</v>
      </c>
      <c r="C5233" t="s">
        <v>709</v>
      </c>
      <c r="D5233" t="s">
        <v>709</v>
      </c>
    </row>
    <row r="5234" spans="1:4">
      <c r="A5234" s="2">
        <v>3.9522</v>
      </c>
      <c r="B5234" t="s">
        <v>523</v>
      </c>
      <c r="C5234" t="s">
        <v>709</v>
      </c>
      <c r="D5234" t="s">
        <v>709</v>
      </c>
    </row>
    <row r="5235" spans="1:4">
      <c r="A5235" s="2">
        <v>5.2901</v>
      </c>
      <c r="B5235" t="s">
        <v>524</v>
      </c>
      <c r="C5235" t="s">
        <v>709</v>
      </c>
      <c r="D5235" t="s">
        <v>709</v>
      </c>
    </row>
    <row r="5236" spans="1:4">
      <c r="A5236" s="2">
        <v>8.5453</v>
      </c>
      <c r="B5236" t="s">
        <v>525</v>
      </c>
      <c r="C5236" t="s">
        <v>709</v>
      </c>
      <c r="D5236" t="s">
        <v>709</v>
      </c>
    </row>
    <row r="5237" spans="1:4">
      <c r="A5237" s="2">
        <v>4.8465</v>
      </c>
      <c r="B5237" t="s">
        <v>526</v>
      </c>
      <c r="C5237" t="s">
        <v>709</v>
      </c>
      <c r="D5237" t="s">
        <v>709</v>
      </c>
    </row>
    <row r="5238" spans="1:4">
      <c r="A5238" s="2">
        <v>0.8435970980259827</v>
      </c>
      <c r="B5238" t="s">
        <v>527</v>
      </c>
      <c r="C5238" t="s">
        <v>709</v>
      </c>
      <c r="D5238" t="s">
        <v>709</v>
      </c>
    </row>
    <row r="5239" spans="1:4">
      <c r="A5239" s="2">
        <v>1.677345768056627</v>
      </c>
      <c r="B5239" t="s">
        <v>528</v>
      </c>
      <c r="C5239" t="s">
        <v>709</v>
      </c>
      <c r="D5239" t="s">
        <v>709</v>
      </c>
    </row>
    <row r="5240" spans="1:4">
      <c r="A5240" s="2">
        <v>0.09327140112298768</v>
      </c>
      <c r="B5240" t="s">
        <v>529</v>
      </c>
      <c r="C5240" t="s">
        <v>709</v>
      </c>
      <c r="D5240" t="s">
        <v>709</v>
      </c>
    </row>
    <row r="5241" spans="1:4">
      <c r="A5241" s="2">
        <v>0.41930479265378</v>
      </c>
      <c r="B5241" t="s">
        <v>530</v>
      </c>
      <c r="C5241" t="s">
        <v>709</v>
      </c>
      <c r="D5241" t="s">
        <v>709</v>
      </c>
    </row>
    <row r="5242" spans="1:4">
      <c r="A5242" s="2">
        <v>0.004469873055605221</v>
      </c>
      <c r="B5242" t="s">
        <v>531</v>
      </c>
      <c r="C5242" t="s">
        <v>709</v>
      </c>
      <c r="D5242" t="s">
        <v>709</v>
      </c>
    </row>
    <row r="5243" spans="1:4">
      <c r="A5243" s="2">
        <v>1.846244738202496</v>
      </c>
      <c r="B5243" t="s">
        <v>532</v>
      </c>
      <c r="C5243" t="s">
        <v>709</v>
      </c>
      <c r="D5243" t="s">
        <v>709</v>
      </c>
    </row>
    <row r="5244" spans="1:4">
      <c r="A5244" s="2">
        <v>1.807076511619502</v>
      </c>
      <c r="B5244" t="s">
        <v>533</v>
      </c>
      <c r="C5244" t="s">
        <v>709</v>
      </c>
      <c r="D5244" t="s">
        <v>709</v>
      </c>
    </row>
    <row r="5245" spans="1:4">
      <c r="A5245" s="2">
        <v>0.02247115265777558</v>
      </c>
      <c r="B5245" t="s">
        <v>534</v>
      </c>
      <c r="C5245" t="s">
        <v>709</v>
      </c>
      <c r="D5245" t="s">
        <v>709</v>
      </c>
    </row>
    <row r="5246" spans="1:4">
      <c r="A5246" s="2">
        <v>1.8521948508983144</v>
      </c>
      <c r="B5246" t="s">
        <v>535</v>
      </c>
      <c r="C5246" t="s">
        <v>709</v>
      </c>
      <c r="D5246" t="s">
        <v>709</v>
      </c>
    </row>
    <row r="5247" spans="1:4">
      <c r="A5247" s="2">
        <v>1.0520778537611783</v>
      </c>
      <c r="B5247" t="s">
        <v>536</v>
      </c>
      <c r="C5247" t="s">
        <v>709</v>
      </c>
      <c r="D5247" t="s">
        <v>709</v>
      </c>
    </row>
    <row r="5248" spans="1:4">
      <c r="A5248" s="2">
        <v>0.7215007215007215</v>
      </c>
      <c r="B5248" t="s">
        <v>537</v>
      </c>
      <c r="C5248" t="s">
        <v>709</v>
      </c>
      <c r="D5248" t="s">
        <v>709</v>
      </c>
    </row>
    <row r="5249" spans="1:4">
      <c r="A5249" s="2">
        <v>0.7110858280594468</v>
      </c>
      <c r="B5249" t="s">
        <v>538</v>
      </c>
      <c r="C5249" t="s">
        <v>709</v>
      </c>
      <c r="D5249" t="s">
        <v>709</v>
      </c>
    </row>
    <row r="5250" spans="1:4">
      <c r="A5250" s="2">
        <v>0.14661015333955937</v>
      </c>
      <c r="B5250" t="s">
        <v>539</v>
      </c>
      <c r="C5250" t="s">
        <v>709</v>
      </c>
      <c r="D5250" t="s">
        <v>709</v>
      </c>
    </row>
    <row r="5251" spans="1:4">
      <c r="A5251" s="2">
        <v>0.3947264545669851</v>
      </c>
      <c r="B5251" t="s">
        <v>540</v>
      </c>
      <c r="C5251" t="s">
        <v>709</v>
      </c>
      <c r="D5251" t="s">
        <v>709</v>
      </c>
    </row>
    <row r="5252" spans="1:4">
      <c r="A5252" s="2">
        <v>0.20808190103624788</v>
      </c>
      <c r="B5252" t="s">
        <v>541</v>
      </c>
      <c r="C5252" t="s">
        <v>709</v>
      </c>
      <c r="D5252" t="s">
        <v>709</v>
      </c>
    </row>
    <row r="5253" spans="1:4">
      <c r="A5253" s="2">
        <v>1</v>
      </c>
      <c r="B5253" t="s">
        <v>542</v>
      </c>
      <c r="C5253" t="s">
        <v>709</v>
      </c>
      <c r="D5253" t="s">
        <v>709</v>
      </c>
    </row>
    <row r="5254" spans="1:4">
      <c r="A5254" s="2">
        <v>6.8096000000000005</v>
      </c>
      <c r="B5254" t="s">
        <v>364</v>
      </c>
      <c r="C5254" t="s">
        <v>310</v>
      </c>
      <c r="D5254" t="s">
        <v>310</v>
      </c>
    </row>
    <row r="5255" spans="1:4">
      <c r="A5255" s="2">
        <v>7.8776</v>
      </c>
      <c r="B5255" t="s">
        <v>373</v>
      </c>
      <c r="C5255" t="s">
        <v>310</v>
      </c>
      <c r="D5255" t="s">
        <v>310</v>
      </c>
    </row>
    <row r="5256" spans="1:4">
      <c r="A5256" s="2">
        <v>0.042346</v>
      </c>
      <c r="B5256" t="s">
        <v>520</v>
      </c>
      <c r="C5256" t="s">
        <v>310</v>
      </c>
      <c r="D5256" t="s">
        <v>310</v>
      </c>
    </row>
    <row r="5257" spans="1:4">
      <c r="A5257" s="2">
        <v>0.86945</v>
      </c>
      <c r="B5257" t="s">
        <v>370</v>
      </c>
      <c r="C5257" t="s">
        <v>310</v>
      </c>
      <c r="D5257" t="s">
        <v>310</v>
      </c>
    </row>
    <row r="5258" spans="1:4">
      <c r="A5258" s="2">
        <v>9.1099</v>
      </c>
      <c r="B5258" t="s">
        <v>521</v>
      </c>
      <c r="C5258" t="s">
        <v>310</v>
      </c>
      <c r="D5258" t="s">
        <v>310</v>
      </c>
    </row>
    <row r="5259" spans="1:4">
      <c r="A5259" s="2">
        <v>4.7944</v>
      </c>
      <c r="B5259" t="s">
        <v>522</v>
      </c>
      <c r="C5259" t="s">
        <v>310</v>
      </c>
      <c r="D5259" t="s">
        <v>310</v>
      </c>
    </row>
    <row r="5260" spans="1:4">
      <c r="A5260" s="2">
        <v>3.9557</v>
      </c>
      <c r="B5260" t="s">
        <v>523</v>
      </c>
      <c r="C5260" t="s">
        <v>310</v>
      </c>
      <c r="D5260" t="s">
        <v>310</v>
      </c>
    </row>
    <row r="5261" spans="1:4">
      <c r="A5261" s="2">
        <v>5.2925</v>
      </c>
      <c r="B5261" t="s">
        <v>524</v>
      </c>
      <c r="C5261" t="s">
        <v>310</v>
      </c>
      <c r="D5261" t="s">
        <v>310</v>
      </c>
    </row>
    <row r="5262" spans="1:4">
      <c r="A5262" s="2">
        <v>8.5616</v>
      </c>
      <c r="B5262" t="s">
        <v>525</v>
      </c>
      <c r="C5262" t="s">
        <v>310</v>
      </c>
      <c r="D5262" t="s">
        <v>310</v>
      </c>
    </row>
    <row r="5263" spans="1:4">
      <c r="A5263" s="2">
        <v>4.845</v>
      </c>
      <c r="B5263" t="s">
        <v>526</v>
      </c>
      <c r="C5263" t="s">
        <v>310</v>
      </c>
      <c r="D5263" t="s">
        <v>310</v>
      </c>
    </row>
    <row r="5264" spans="1:4">
      <c r="A5264" s="2">
        <v>0.8437394532568343</v>
      </c>
      <c r="B5264" t="s">
        <v>527</v>
      </c>
      <c r="C5264" t="s">
        <v>310</v>
      </c>
      <c r="D5264" t="s">
        <v>310</v>
      </c>
    </row>
    <row r="5265" spans="1:4">
      <c r="A5265" s="2">
        <v>1.6696163221691656</v>
      </c>
      <c r="B5265" t="s">
        <v>528</v>
      </c>
      <c r="C5265" t="s">
        <v>310</v>
      </c>
      <c r="D5265" t="s">
        <v>310</v>
      </c>
    </row>
    <row r="5266" spans="1:4">
      <c r="A5266" s="2">
        <v>0.09319230231582872</v>
      </c>
      <c r="B5266" t="s">
        <v>529</v>
      </c>
      <c r="C5266" t="s">
        <v>310</v>
      </c>
      <c r="D5266" t="s">
        <v>310</v>
      </c>
    </row>
    <row r="5267" spans="1:4">
      <c r="A5267" s="2">
        <v>0.4193927193423922</v>
      </c>
      <c r="B5267" t="s">
        <v>530</v>
      </c>
      <c r="C5267" t="s">
        <v>310</v>
      </c>
      <c r="D5267" t="s">
        <v>310</v>
      </c>
    </row>
    <row r="5268" spans="1:4">
      <c r="A5268" s="2">
        <v>0.004479483963447411</v>
      </c>
      <c r="B5268" t="s">
        <v>531</v>
      </c>
      <c r="C5268" t="s">
        <v>310</v>
      </c>
      <c r="D5268" t="s">
        <v>310</v>
      </c>
    </row>
    <row r="5269" spans="1:4">
      <c r="A5269" s="2">
        <v>1.845835794447726</v>
      </c>
      <c r="B5269" t="s">
        <v>532</v>
      </c>
      <c r="C5269" t="s">
        <v>310</v>
      </c>
      <c r="D5269" t="s">
        <v>310</v>
      </c>
    </row>
    <row r="5270" spans="1:4">
      <c r="A5270" s="2">
        <v>1.80658681552942</v>
      </c>
      <c r="B5270" t="s">
        <v>533</v>
      </c>
      <c r="C5270" t="s">
        <v>310</v>
      </c>
      <c r="D5270" t="s">
        <v>310</v>
      </c>
    </row>
    <row r="5271" spans="1:4">
      <c r="A5271" s="2">
        <v>0.022576370216349357</v>
      </c>
      <c r="B5271" t="s">
        <v>534</v>
      </c>
      <c r="C5271" t="s">
        <v>310</v>
      </c>
      <c r="D5271" t="s">
        <v>310</v>
      </c>
    </row>
    <row r="5272" spans="1:4">
      <c r="A5272" s="2">
        <v>1.861434793939168</v>
      </c>
      <c r="B5272" t="s">
        <v>535</v>
      </c>
      <c r="C5272" t="s">
        <v>310</v>
      </c>
      <c r="D5272" t="s">
        <v>310</v>
      </c>
    </row>
    <row r="5273" spans="1:4">
      <c r="A5273" s="2">
        <v>1.053962900505902</v>
      </c>
      <c r="B5273" t="s">
        <v>536</v>
      </c>
      <c r="C5273" t="s">
        <v>310</v>
      </c>
      <c r="D5273" t="s">
        <v>310</v>
      </c>
    </row>
    <row r="5274" spans="1:4">
      <c r="A5274" s="2">
        <v>0.7242702976750924</v>
      </c>
      <c r="B5274" t="s">
        <v>537</v>
      </c>
      <c r="C5274" t="s">
        <v>310</v>
      </c>
      <c r="D5274" t="s">
        <v>310</v>
      </c>
    </row>
    <row r="5275" spans="1:4">
      <c r="A5275" s="2">
        <v>0.71571714858288</v>
      </c>
      <c r="B5275" t="s">
        <v>538</v>
      </c>
      <c r="C5275" t="s">
        <v>310</v>
      </c>
      <c r="D5275" t="s">
        <v>310</v>
      </c>
    </row>
    <row r="5276" spans="1:4">
      <c r="A5276" s="2">
        <v>0.14651928779904586</v>
      </c>
      <c r="B5276" t="s">
        <v>539</v>
      </c>
      <c r="C5276" t="s">
        <v>310</v>
      </c>
      <c r="D5276" t="s">
        <v>310</v>
      </c>
    </row>
    <row r="5277" spans="1:4">
      <c r="A5277" s="2">
        <v>0.3949759064697053</v>
      </c>
      <c r="B5277" t="s">
        <v>540</v>
      </c>
      <c r="C5277" t="s">
        <v>310</v>
      </c>
      <c r="D5277" t="s">
        <v>310</v>
      </c>
    </row>
    <row r="5278" spans="1:4">
      <c r="A5278" s="2">
        <v>0.2081641999208976</v>
      </c>
      <c r="B5278" t="s">
        <v>541</v>
      </c>
      <c r="C5278" t="s">
        <v>310</v>
      </c>
      <c r="D5278" t="s">
        <v>310</v>
      </c>
    </row>
    <row r="5279" spans="1:4">
      <c r="A5279" s="2">
        <v>1</v>
      </c>
      <c r="B5279" t="s">
        <v>542</v>
      </c>
      <c r="C5279" t="s">
        <v>310</v>
      </c>
      <c r="D5279" t="s">
        <v>310</v>
      </c>
    </row>
    <row r="5280" spans="1:4">
      <c r="A5280" s="2">
        <v>6.813</v>
      </c>
      <c r="B5280" t="s">
        <v>364</v>
      </c>
      <c r="C5280" t="s">
        <v>710</v>
      </c>
      <c r="D5280" t="s">
        <v>710</v>
      </c>
    </row>
    <row r="5281" spans="1:4">
      <c r="A5281" s="2">
        <v>7.8174</v>
      </c>
      <c r="B5281" t="s">
        <v>373</v>
      </c>
      <c r="C5281" t="s">
        <v>710</v>
      </c>
      <c r="D5281" t="s">
        <v>710</v>
      </c>
    </row>
    <row r="5282" spans="1:4">
      <c r="A5282" s="2">
        <v>0.042336</v>
      </c>
      <c r="B5282" t="s">
        <v>520</v>
      </c>
      <c r="C5282" t="s">
        <v>710</v>
      </c>
      <c r="D5282" t="s">
        <v>710</v>
      </c>
    </row>
    <row r="5283" spans="1:4">
      <c r="A5283" s="2">
        <v>0.8694799999999999</v>
      </c>
      <c r="B5283" t="s">
        <v>370</v>
      </c>
      <c r="C5283" t="s">
        <v>710</v>
      </c>
      <c r="D5283" t="s">
        <v>710</v>
      </c>
    </row>
    <row r="5284" spans="1:4">
      <c r="A5284" s="2">
        <v>9.0392</v>
      </c>
      <c r="B5284" t="s">
        <v>521</v>
      </c>
      <c r="C5284" t="s">
        <v>710</v>
      </c>
      <c r="D5284" t="s">
        <v>710</v>
      </c>
    </row>
    <row r="5285" spans="1:4">
      <c r="A5285" s="2">
        <v>4.7702</v>
      </c>
      <c r="B5285" t="s">
        <v>522</v>
      </c>
      <c r="C5285" t="s">
        <v>710</v>
      </c>
      <c r="D5285" t="s">
        <v>710</v>
      </c>
    </row>
    <row r="5286" spans="1:4">
      <c r="A5286" s="2">
        <v>3.9259</v>
      </c>
      <c r="B5286" t="s">
        <v>523</v>
      </c>
      <c r="C5286" t="s">
        <v>710</v>
      </c>
      <c r="D5286" t="s">
        <v>710</v>
      </c>
    </row>
    <row r="5287" spans="1:4">
      <c r="A5287" s="2">
        <v>5.2764</v>
      </c>
      <c r="B5287" t="s">
        <v>524</v>
      </c>
      <c r="C5287" t="s">
        <v>710</v>
      </c>
      <c r="D5287" t="s">
        <v>710</v>
      </c>
    </row>
    <row r="5288" spans="1:4">
      <c r="A5288" s="2">
        <v>8.5038</v>
      </c>
      <c r="B5288" t="s">
        <v>525</v>
      </c>
      <c r="C5288" t="s">
        <v>710</v>
      </c>
      <c r="D5288" t="s">
        <v>710</v>
      </c>
    </row>
    <row r="5289" spans="1:4">
      <c r="A5289" s="2">
        <v>4.8168</v>
      </c>
      <c r="B5289" t="s">
        <v>526</v>
      </c>
      <c r="C5289" t="s">
        <v>710</v>
      </c>
      <c r="D5289" t="s">
        <v>710</v>
      </c>
    </row>
    <row r="5290" spans="1:4">
      <c r="A5290" s="2">
        <v>0.8438106488903889</v>
      </c>
      <c r="B5290" t="s">
        <v>527</v>
      </c>
      <c r="C5290" t="s">
        <v>710</v>
      </c>
      <c r="D5290" t="s">
        <v>710</v>
      </c>
    </row>
    <row r="5291" spans="1:4">
      <c r="A5291" s="2">
        <v>1.667722891164404</v>
      </c>
      <c r="B5291" t="s">
        <v>528</v>
      </c>
      <c r="C5291" t="s">
        <v>710</v>
      </c>
      <c r="D5291" t="s">
        <v>710</v>
      </c>
    </row>
    <row r="5292" spans="1:4">
      <c r="A5292" s="2">
        <v>0.0928962256263528</v>
      </c>
      <c r="B5292" t="s">
        <v>529</v>
      </c>
      <c r="C5292" t="s">
        <v>710</v>
      </c>
      <c r="D5292" t="s">
        <v>710</v>
      </c>
    </row>
    <row r="5293" spans="1:4">
      <c r="A5293" s="2">
        <v>0.4151961801951422</v>
      </c>
      <c r="B5293" t="s">
        <v>530</v>
      </c>
      <c r="C5293" t="s">
        <v>710</v>
      </c>
      <c r="D5293" t="s">
        <v>710</v>
      </c>
    </row>
    <row r="5294" spans="1:4">
      <c r="A5294" s="2">
        <v>0.004447013830213012</v>
      </c>
      <c r="B5294" t="s">
        <v>531</v>
      </c>
      <c r="C5294" t="s">
        <v>710</v>
      </c>
      <c r="D5294" t="s">
        <v>710</v>
      </c>
    </row>
    <row r="5295" spans="1:4">
      <c r="A5295" s="2">
        <v>1.849249204822842</v>
      </c>
      <c r="B5295" t="s">
        <v>532</v>
      </c>
      <c r="C5295" t="s">
        <v>710</v>
      </c>
      <c r="D5295" t="s">
        <v>710</v>
      </c>
    </row>
    <row r="5296" spans="1:4">
      <c r="A5296" s="2">
        <v>1.809758216302302</v>
      </c>
      <c r="B5296" t="s">
        <v>533</v>
      </c>
      <c r="C5296" t="s">
        <v>710</v>
      </c>
      <c r="D5296" t="s">
        <v>710</v>
      </c>
    </row>
    <row r="5297" spans="1:4">
      <c r="A5297" s="2">
        <v>0.02228198746415385</v>
      </c>
      <c r="B5297" t="s">
        <v>534</v>
      </c>
      <c r="C5297" t="s">
        <v>710</v>
      </c>
      <c r="D5297" t="s">
        <v>710</v>
      </c>
    </row>
    <row r="5298" spans="1:4">
      <c r="A5298" s="2">
        <v>1.8435558505244916</v>
      </c>
      <c r="B5298" t="s">
        <v>535</v>
      </c>
      <c r="C5298" t="s">
        <v>710</v>
      </c>
      <c r="D5298" t="s">
        <v>710</v>
      </c>
    </row>
    <row r="5299" spans="1:4">
      <c r="A5299" s="2">
        <v>1.0462439840970914</v>
      </c>
      <c r="B5299" t="s">
        <v>536</v>
      </c>
      <c r="C5299" t="s">
        <v>710</v>
      </c>
      <c r="D5299" t="s">
        <v>710</v>
      </c>
    </row>
    <row r="5300" spans="1:4">
      <c r="A5300" s="2">
        <v>0.7144388083160678</v>
      </c>
      <c r="B5300" t="s">
        <v>537</v>
      </c>
      <c r="C5300" t="s">
        <v>710</v>
      </c>
      <c r="D5300" t="s">
        <v>710</v>
      </c>
    </row>
    <row r="5301" spans="1:4">
      <c r="A5301" s="2">
        <v>0.7065140596297866</v>
      </c>
      <c r="B5301" t="s">
        <v>538</v>
      </c>
      <c r="C5301" t="s">
        <v>710</v>
      </c>
      <c r="D5301" t="s">
        <v>710</v>
      </c>
    </row>
    <row r="5302" spans="1:4">
      <c r="A5302" s="2">
        <v>0.14634346225216735</v>
      </c>
      <c r="B5302" t="s">
        <v>539</v>
      </c>
      <c r="C5302" t="s">
        <v>710</v>
      </c>
      <c r="D5302" t="s">
        <v>710</v>
      </c>
    </row>
    <row r="5303" spans="1:4">
      <c r="A5303" s="2">
        <v>0.3932672644329086</v>
      </c>
      <c r="B5303" t="s">
        <v>540</v>
      </c>
      <c r="C5303" t="s">
        <v>710</v>
      </c>
      <c r="D5303" t="s">
        <v>710</v>
      </c>
    </row>
    <row r="5304" spans="1:4">
      <c r="A5304" s="2">
        <v>0.20748179347262277</v>
      </c>
      <c r="B5304" t="s">
        <v>541</v>
      </c>
      <c r="C5304" t="s">
        <v>710</v>
      </c>
      <c r="D5304" t="s">
        <v>710</v>
      </c>
    </row>
    <row r="5305" spans="1:4">
      <c r="A5305" s="2">
        <v>1</v>
      </c>
      <c r="B5305" t="s">
        <v>542</v>
      </c>
      <c r="C5305" t="s">
        <v>710</v>
      </c>
      <c r="D5305" t="s">
        <v>710</v>
      </c>
    </row>
    <row r="5306" spans="1:4">
      <c r="A5306" s="2">
        <v>6.813</v>
      </c>
      <c r="B5306" t="s">
        <v>364</v>
      </c>
      <c r="C5306" t="s">
        <v>710</v>
      </c>
      <c r="D5306" t="s">
        <v>711</v>
      </c>
    </row>
    <row r="5307" spans="1:4">
      <c r="A5307" s="2">
        <v>7.8174</v>
      </c>
      <c r="B5307" t="s">
        <v>373</v>
      </c>
      <c r="C5307" t="s">
        <v>710</v>
      </c>
      <c r="D5307" t="s">
        <v>711</v>
      </c>
    </row>
    <row r="5308" spans="1:4">
      <c r="A5308" s="2">
        <v>0.042336</v>
      </c>
      <c r="B5308" t="s">
        <v>520</v>
      </c>
      <c r="C5308" t="s">
        <v>710</v>
      </c>
      <c r="D5308" t="s">
        <v>711</v>
      </c>
    </row>
    <row r="5309" spans="1:4">
      <c r="A5309" s="2">
        <v>0.8694799999999999</v>
      </c>
      <c r="B5309" t="s">
        <v>370</v>
      </c>
      <c r="C5309" t="s">
        <v>710</v>
      </c>
      <c r="D5309" t="s">
        <v>711</v>
      </c>
    </row>
    <row r="5310" spans="1:4">
      <c r="A5310" s="2">
        <v>9.0392</v>
      </c>
      <c r="B5310" t="s">
        <v>521</v>
      </c>
      <c r="C5310" t="s">
        <v>710</v>
      </c>
      <c r="D5310" t="s">
        <v>711</v>
      </c>
    </row>
    <row r="5311" spans="1:4">
      <c r="A5311" s="2">
        <v>4.7702</v>
      </c>
      <c r="B5311" t="s">
        <v>522</v>
      </c>
      <c r="C5311" t="s">
        <v>710</v>
      </c>
      <c r="D5311" t="s">
        <v>711</v>
      </c>
    </row>
    <row r="5312" spans="1:4">
      <c r="A5312" s="2">
        <v>3.9259</v>
      </c>
      <c r="B5312" t="s">
        <v>523</v>
      </c>
      <c r="C5312" t="s">
        <v>710</v>
      </c>
      <c r="D5312" t="s">
        <v>711</v>
      </c>
    </row>
    <row r="5313" spans="1:4">
      <c r="A5313" s="2">
        <v>5.2764</v>
      </c>
      <c r="B5313" t="s">
        <v>524</v>
      </c>
      <c r="C5313" t="s">
        <v>710</v>
      </c>
      <c r="D5313" t="s">
        <v>711</v>
      </c>
    </row>
    <row r="5314" spans="1:4">
      <c r="A5314" s="2">
        <v>8.5038</v>
      </c>
      <c r="B5314" t="s">
        <v>525</v>
      </c>
      <c r="C5314" t="s">
        <v>710</v>
      </c>
      <c r="D5314" t="s">
        <v>711</v>
      </c>
    </row>
    <row r="5315" spans="1:4">
      <c r="A5315" s="2">
        <v>4.8168</v>
      </c>
      <c r="B5315" t="s">
        <v>526</v>
      </c>
      <c r="C5315" t="s">
        <v>710</v>
      </c>
      <c r="D5315" t="s">
        <v>711</v>
      </c>
    </row>
    <row r="5316" spans="1:4">
      <c r="A5316" s="2">
        <v>0.8438106488903889</v>
      </c>
      <c r="B5316" t="s">
        <v>527</v>
      </c>
      <c r="C5316" t="s">
        <v>710</v>
      </c>
      <c r="D5316" t="s">
        <v>711</v>
      </c>
    </row>
    <row r="5317" spans="1:4">
      <c r="A5317" s="2">
        <v>1.667722891164404</v>
      </c>
      <c r="B5317" t="s">
        <v>528</v>
      </c>
      <c r="C5317" t="s">
        <v>710</v>
      </c>
      <c r="D5317" t="s">
        <v>711</v>
      </c>
    </row>
    <row r="5318" spans="1:4">
      <c r="A5318" s="2">
        <v>0.0928962256263528</v>
      </c>
      <c r="B5318" t="s">
        <v>529</v>
      </c>
      <c r="C5318" t="s">
        <v>710</v>
      </c>
      <c r="D5318" t="s">
        <v>711</v>
      </c>
    </row>
    <row r="5319" spans="1:4">
      <c r="A5319" s="2">
        <v>0.4151961801951422</v>
      </c>
      <c r="B5319" t="s">
        <v>530</v>
      </c>
      <c r="C5319" t="s">
        <v>710</v>
      </c>
      <c r="D5319" t="s">
        <v>711</v>
      </c>
    </row>
    <row r="5320" spans="1:4">
      <c r="A5320" s="2">
        <v>0.004447013830213012</v>
      </c>
      <c r="B5320" t="s">
        <v>531</v>
      </c>
      <c r="C5320" t="s">
        <v>710</v>
      </c>
      <c r="D5320" t="s">
        <v>711</v>
      </c>
    </row>
    <row r="5321" spans="1:4">
      <c r="A5321" s="2">
        <v>1.849249204822842</v>
      </c>
      <c r="B5321" t="s">
        <v>532</v>
      </c>
      <c r="C5321" t="s">
        <v>710</v>
      </c>
      <c r="D5321" t="s">
        <v>711</v>
      </c>
    </row>
    <row r="5322" spans="1:4">
      <c r="A5322" s="2">
        <v>1.809758216302302</v>
      </c>
      <c r="B5322" t="s">
        <v>533</v>
      </c>
      <c r="C5322" t="s">
        <v>710</v>
      </c>
      <c r="D5322" t="s">
        <v>711</v>
      </c>
    </row>
    <row r="5323" spans="1:4">
      <c r="A5323" s="2">
        <v>0.02228198746415385</v>
      </c>
      <c r="B5323" t="s">
        <v>534</v>
      </c>
      <c r="C5323" t="s">
        <v>710</v>
      </c>
      <c r="D5323" t="s">
        <v>711</v>
      </c>
    </row>
    <row r="5324" spans="1:4">
      <c r="A5324" s="2">
        <v>1.8435558505244916</v>
      </c>
      <c r="B5324" t="s">
        <v>535</v>
      </c>
      <c r="C5324" t="s">
        <v>710</v>
      </c>
      <c r="D5324" t="s">
        <v>711</v>
      </c>
    </row>
    <row r="5325" spans="1:4">
      <c r="A5325" s="2">
        <v>1.0462439840970914</v>
      </c>
      <c r="B5325" t="s">
        <v>536</v>
      </c>
      <c r="C5325" t="s">
        <v>710</v>
      </c>
      <c r="D5325" t="s">
        <v>711</v>
      </c>
    </row>
    <row r="5326" spans="1:4">
      <c r="A5326" s="2">
        <v>0.7144388083160678</v>
      </c>
      <c r="B5326" t="s">
        <v>537</v>
      </c>
      <c r="C5326" t="s">
        <v>710</v>
      </c>
      <c r="D5326" t="s">
        <v>711</v>
      </c>
    </row>
    <row r="5327" spans="1:4">
      <c r="A5327" s="2">
        <v>0.7065140596297866</v>
      </c>
      <c r="B5327" t="s">
        <v>538</v>
      </c>
      <c r="C5327" t="s">
        <v>710</v>
      </c>
      <c r="D5327" t="s">
        <v>711</v>
      </c>
    </row>
    <row r="5328" spans="1:4">
      <c r="A5328" s="2">
        <v>0.14634346225216735</v>
      </c>
      <c r="B5328" t="s">
        <v>539</v>
      </c>
      <c r="C5328" t="s">
        <v>710</v>
      </c>
      <c r="D5328" t="s">
        <v>711</v>
      </c>
    </row>
    <row r="5329" spans="1:4">
      <c r="A5329" s="2">
        <v>0.3932672644329086</v>
      </c>
      <c r="B5329" t="s">
        <v>540</v>
      </c>
      <c r="C5329" t="s">
        <v>710</v>
      </c>
      <c r="D5329" t="s">
        <v>711</v>
      </c>
    </row>
    <row r="5330" spans="1:4">
      <c r="A5330" s="2">
        <v>0.20748179347262277</v>
      </c>
      <c r="B5330" t="s">
        <v>541</v>
      </c>
      <c r="C5330" t="s">
        <v>710</v>
      </c>
      <c r="D5330" t="s">
        <v>711</v>
      </c>
    </row>
    <row r="5331" spans="1:4">
      <c r="A5331" s="2">
        <v>1</v>
      </c>
      <c r="B5331" t="s">
        <v>542</v>
      </c>
      <c r="C5331" t="s">
        <v>711</v>
      </c>
      <c r="D5331" t="s">
        <v>711</v>
      </c>
    </row>
    <row r="5332" spans="1:4">
      <c r="A5332" s="2">
        <v>6.813</v>
      </c>
      <c r="B5332" t="s">
        <v>364</v>
      </c>
      <c r="C5332" t="s">
        <v>710</v>
      </c>
      <c r="D5332" t="s">
        <v>712</v>
      </c>
    </row>
    <row r="5333" spans="1:4">
      <c r="A5333" s="2">
        <v>7.8174</v>
      </c>
      <c r="B5333" t="s">
        <v>373</v>
      </c>
      <c r="C5333" t="s">
        <v>710</v>
      </c>
      <c r="D5333" t="s">
        <v>712</v>
      </c>
    </row>
    <row r="5334" spans="1:4">
      <c r="A5334" s="2">
        <v>0.042336</v>
      </c>
      <c r="B5334" t="s">
        <v>520</v>
      </c>
      <c r="C5334" t="s">
        <v>710</v>
      </c>
      <c r="D5334" t="s">
        <v>712</v>
      </c>
    </row>
    <row r="5335" spans="1:4">
      <c r="A5335" s="2">
        <v>0.8694799999999999</v>
      </c>
      <c r="B5335" t="s">
        <v>370</v>
      </c>
      <c r="C5335" t="s">
        <v>710</v>
      </c>
      <c r="D5335" t="s">
        <v>712</v>
      </c>
    </row>
    <row r="5336" spans="1:4">
      <c r="A5336" s="2">
        <v>9.0392</v>
      </c>
      <c r="B5336" t="s">
        <v>521</v>
      </c>
      <c r="C5336" t="s">
        <v>710</v>
      </c>
      <c r="D5336" t="s">
        <v>712</v>
      </c>
    </row>
    <row r="5337" spans="1:4">
      <c r="A5337" s="2">
        <v>4.7702</v>
      </c>
      <c r="B5337" t="s">
        <v>522</v>
      </c>
      <c r="C5337" t="s">
        <v>710</v>
      </c>
      <c r="D5337" t="s">
        <v>712</v>
      </c>
    </row>
    <row r="5338" spans="1:4">
      <c r="A5338" s="2">
        <v>3.9259</v>
      </c>
      <c r="B5338" t="s">
        <v>523</v>
      </c>
      <c r="C5338" t="s">
        <v>710</v>
      </c>
      <c r="D5338" t="s">
        <v>712</v>
      </c>
    </row>
    <row r="5339" spans="1:4">
      <c r="A5339" s="2">
        <v>5.2764</v>
      </c>
      <c r="B5339" t="s">
        <v>524</v>
      </c>
      <c r="C5339" t="s">
        <v>710</v>
      </c>
      <c r="D5339" t="s">
        <v>712</v>
      </c>
    </row>
    <row r="5340" spans="1:4">
      <c r="A5340" s="2">
        <v>8.5038</v>
      </c>
      <c r="B5340" t="s">
        <v>525</v>
      </c>
      <c r="C5340" t="s">
        <v>710</v>
      </c>
      <c r="D5340" t="s">
        <v>712</v>
      </c>
    </row>
    <row r="5341" spans="1:4">
      <c r="A5341" s="2">
        <v>4.8168</v>
      </c>
      <c r="B5341" t="s">
        <v>526</v>
      </c>
      <c r="C5341" t="s">
        <v>710</v>
      </c>
      <c r="D5341" t="s">
        <v>712</v>
      </c>
    </row>
    <row r="5342" spans="1:4">
      <c r="A5342" s="2">
        <v>0.8438106488903889</v>
      </c>
      <c r="B5342" t="s">
        <v>527</v>
      </c>
      <c r="C5342" t="s">
        <v>710</v>
      </c>
      <c r="D5342" t="s">
        <v>712</v>
      </c>
    </row>
    <row r="5343" spans="1:4">
      <c r="A5343" s="2">
        <v>1.667722891164404</v>
      </c>
      <c r="B5343" t="s">
        <v>528</v>
      </c>
      <c r="C5343" t="s">
        <v>710</v>
      </c>
      <c r="D5343" t="s">
        <v>712</v>
      </c>
    </row>
    <row r="5344" spans="1:4">
      <c r="A5344" s="2">
        <v>0.0928962256263528</v>
      </c>
      <c r="B5344" t="s">
        <v>529</v>
      </c>
      <c r="C5344" t="s">
        <v>710</v>
      </c>
      <c r="D5344" t="s">
        <v>712</v>
      </c>
    </row>
    <row r="5345" spans="1:4">
      <c r="A5345" s="2">
        <v>0.4151961801951422</v>
      </c>
      <c r="B5345" t="s">
        <v>530</v>
      </c>
      <c r="C5345" t="s">
        <v>710</v>
      </c>
      <c r="D5345" t="s">
        <v>712</v>
      </c>
    </row>
    <row r="5346" spans="1:4">
      <c r="A5346" s="2">
        <v>0.004447013830213012</v>
      </c>
      <c r="B5346" t="s">
        <v>531</v>
      </c>
      <c r="C5346" t="s">
        <v>710</v>
      </c>
      <c r="D5346" t="s">
        <v>712</v>
      </c>
    </row>
    <row r="5347" spans="1:4">
      <c r="A5347" s="2">
        <v>1.849249204822842</v>
      </c>
      <c r="B5347" t="s">
        <v>532</v>
      </c>
      <c r="C5347" t="s">
        <v>710</v>
      </c>
      <c r="D5347" t="s">
        <v>712</v>
      </c>
    </row>
    <row r="5348" spans="1:4">
      <c r="A5348" s="2">
        <v>1.809758216302302</v>
      </c>
      <c r="B5348" t="s">
        <v>533</v>
      </c>
      <c r="C5348" t="s">
        <v>710</v>
      </c>
      <c r="D5348" t="s">
        <v>712</v>
      </c>
    </row>
    <row r="5349" spans="1:4">
      <c r="A5349" s="2">
        <v>0.02228198746415385</v>
      </c>
      <c r="B5349" t="s">
        <v>534</v>
      </c>
      <c r="C5349" t="s">
        <v>710</v>
      </c>
      <c r="D5349" t="s">
        <v>712</v>
      </c>
    </row>
    <row r="5350" spans="1:4">
      <c r="A5350" s="2">
        <v>1.8435558505244916</v>
      </c>
      <c r="B5350" t="s">
        <v>535</v>
      </c>
      <c r="C5350" t="s">
        <v>710</v>
      </c>
      <c r="D5350" t="s">
        <v>712</v>
      </c>
    </row>
    <row r="5351" spans="1:4">
      <c r="A5351" s="2">
        <v>1.0462439840970914</v>
      </c>
      <c r="B5351" t="s">
        <v>536</v>
      </c>
      <c r="C5351" t="s">
        <v>710</v>
      </c>
      <c r="D5351" t="s">
        <v>712</v>
      </c>
    </row>
    <row r="5352" spans="1:4">
      <c r="A5352" s="2">
        <v>0.7144388083160678</v>
      </c>
      <c r="B5352" t="s">
        <v>537</v>
      </c>
      <c r="C5352" t="s">
        <v>710</v>
      </c>
      <c r="D5352" t="s">
        <v>712</v>
      </c>
    </row>
    <row r="5353" spans="1:4">
      <c r="A5353" s="2">
        <v>0.7065140596297866</v>
      </c>
      <c r="B5353" t="s">
        <v>538</v>
      </c>
      <c r="C5353" t="s">
        <v>710</v>
      </c>
      <c r="D5353" t="s">
        <v>712</v>
      </c>
    </row>
    <row r="5354" spans="1:4">
      <c r="A5354" s="2">
        <v>0.14634346225216735</v>
      </c>
      <c r="B5354" t="s">
        <v>539</v>
      </c>
      <c r="C5354" t="s">
        <v>710</v>
      </c>
      <c r="D5354" t="s">
        <v>712</v>
      </c>
    </row>
    <row r="5355" spans="1:4">
      <c r="A5355" s="2">
        <v>0.3932672644329086</v>
      </c>
      <c r="B5355" t="s">
        <v>540</v>
      </c>
      <c r="C5355" t="s">
        <v>710</v>
      </c>
      <c r="D5355" t="s">
        <v>712</v>
      </c>
    </row>
    <row r="5356" spans="1:4">
      <c r="A5356" s="2">
        <v>0.20748179347262277</v>
      </c>
      <c r="B5356" t="s">
        <v>541</v>
      </c>
      <c r="C5356" t="s">
        <v>710</v>
      </c>
      <c r="D5356" t="s">
        <v>712</v>
      </c>
    </row>
    <row r="5357" spans="1:4">
      <c r="A5357" s="2">
        <v>1</v>
      </c>
      <c r="B5357" t="s">
        <v>542</v>
      </c>
      <c r="C5357" t="s">
        <v>712</v>
      </c>
      <c r="D5357" t="s">
        <v>712</v>
      </c>
    </row>
    <row r="5358" spans="1:4">
      <c r="A5358" s="2">
        <v>6.813</v>
      </c>
      <c r="B5358" t="s">
        <v>364</v>
      </c>
      <c r="C5358" t="s">
        <v>710</v>
      </c>
      <c r="D5358" t="s">
        <v>713</v>
      </c>
    </row>
    <row r="5359" spans="1:4">
      <c r="A5359" s="2">
        <v>7.8174</v>
      </c>
      <c r="B5359" t="s">
        <v>373</v>
      </c>
      <c r="C5359" t="s">
        <v>710</v>
      </c>
      <c r="D5359" t="s">
        <v>713</v>
      </c>
    </row>
    <row r="5360" spans="1:4">
      <c r="A5360" s="2">
        <v>0.042336</v>
      </c>
      <c r="B5360" t="s">
        <v>520</v>
      </c>
      <c r="C5360" t="s">
        <v>710</v>
      </c>
      <c r="D5360" t="s">
        <v>713</v>
      </c>
    </row>
    <row r="5361" spans="1:4">
      <c r="A5361" s="2">
        <v>0.8694799999999999</v>
      </c>
      <c r="B5361" t="s">
        <v>370</v>
      </c>
      <c r="C5361" t="s">
        <v>710</v>
      </c>
      <c r="D5361" t="s">
        <v>713</v>
      </c>
    </row>
    <row r="5362" spans="1:4">
      <c r="A5362" s="2">
        <v>9.0392</v>
      </c>
      <c r="B5362" t="s">
        <v>521</v>
      </c>
      <c r="C5362" t="s">
        <v>710</v>
      </c>
      <c r="D5362" t="s">
        <v>713</v>
      </c>
    </row>
    <row r="5363" spans="1:4">
      <c r="A5363" s="2">
        <v>4.7702</v>
      </c>
      <c r="B5363" t="s">
        <v>522</v>
      </c>
      <c r="C5363" t="s">
        <v>710</v>
      </c>
      <c r="D5363" t="s">
        <v>713</v>
      </c>
    </row>
    <row r="5364" spans="1:4">
      <c r="A5364" s="2">
        <v>3.9259</v>
      </c>
      <c r="B5364" t="s">
        <v>523</v>
      </c>
      <c r="C5364" t="s">
        <v>710</v>
      </c>
      <c r="D5364" t="s">
        <v>713</v>
      </c>
    </row>
    <row r="5365" spans="1:4">
      <c r="A5365" s="2">
        <v>5.2764</v>
      </c>
      <c r="B5365" t="s">
        <v>524</v>
      </c>
      <c r="C5365" t="s">
        <v>710</v>
      </c>
      <c r="D5365" t="s">
        <v>713</v>
      </c>
    </row>
    <row r="5366" spans="1:4">
      <c r="A5366" s="2">
        <v>8.5038</v>
      </c>
      <c r="B5366" t="s">
        <v>525</v>
      </c>
      <c r="C5366" t="s">
        <v>710</v>
      </c>
      <c r="D5366" t="s">
        <v>713</v>
      </c>
    </row>
    <row r="5367" spans="1:4">
      <c r="A5367" s="2">
        <v>4.8168</v>
      </c>
      <c r="B5367" t="s">
        <v>526</v>
      </c>
      <c r="C5367" t="s">
        <v>710</v>
      </c>
      <c r="D5367" t="s">
        <v>713</v>
      </c>
    </row>
    <row r="5368" spans="1:4">
      <c r="A5368" s="2">
        <v>0.8438106488903889</v>
      </c>
      <c r="B5368" t="s">
        <v>527</v>
      </c>
      <c r="C5368" t="s">
        <v>710</v>
      </c>
      <c r="D5368" t="s">
        <v>713</v>
      </c>
    </row>
    <row r="5369" spans="1:4">
      <c r="A5369" s="2">
        <v>1.667722891164404</v>
      </c>
      <c r="B5369" t="s">
        <v>528</v>
      </c>
      <c r="C5369" t="s">
        <v>710</v>
      </c>
      <c r="D5369" t="s">
        <v>713</v>
      </c>
    </row>
    <row r="5370" spans="1:4">
      <c r="A5370" s="2">
        <v>0.0928962256263528</v>
      </c>
      <c r="B5370" t="s">
        <v>529</v>
      </c>
      <c r="C5370" t="s">
        <v>710</v>
      </c>
      <c r="D5370" t="s">
        <v>713</v>
      </c>
    </row>
    <row r="5371" spans="1:4">
      <c r="A5371" s="2">
        <v>0.4151961801951422</v>
      </c>
      <c r="B5371" t="s">
        <v>530</v>
      </c>
      <c r="C5371" t="s">
        <v>710</v>
      </c>
      <c r="D5371" t="s">
        <v>713</v>
      </c>
    </row>
    <row r="5372" spans="1:4">
      <c r="A5372" s="2">
        <v>0.004447013830213012</v>
      </c>
      <c r="B5372" t="s">
        <v>531</v>
      </c>
      <c r="C5372" t="s">
        <v>710</v>
      </c>
      <c r="D5372" t="s">
        <v>713</v>
      </c>
    </row>
    <row r="5373" spans="1:4">
      <c r="A5373" s="2">
        <v>1.849249204822842</v>
      </c>
      <c r="B5373" t="s">
        <v>532</v>
      </c>
      <c r="C5373" t="s">
        <v>710</v>
      </c>
      <c r="D5373" t="s">
        <v>713</v>
      </c>
    </row>
    <row r="5374" spans="1:4">
      <c r="A5374" s="2">
        <v>1.809758216302302</v>
      </c>
      <c r="B5374" t="s">
        <v>533</v>
      </c>
      <c r="C5374" t="s">
        <v>710</v>
      </c>
      <c r="D5374" t="s">
        <v>713</v>
      </c>
    </row>
    <row r="5375" spans="1:4">
      <c r="A5375" s="2">
        <v>0.02228198746415385</v>
      </c>
      <c r="B5375" t="s">
        <v>534</v>
      </c>
      <c r="C5375" t="s">
        <v>710</v>
      </c>
      <c r="D5375" t="s">
        <v>713</v>
      </c>
    </row>
    <row r="5376" spans="1:4">
      <c r="A5376" s="2">
        <v>1.8435558505244916</v>
      </c>
      <c r="B5376" t="s">
        <v>535</v>
      </c>
      <c r="C5376" t="s">
        <v>710</v>
      </c>
      <c r="D5376" t="s">
        <v>713</v>
      </c>
    </row>
    <row r="5377" spans="1:4">
      <c r="A5377" s="2">
        <v>1.0462439840970914</v>
      </c>
      <c r="B5377" t="s">
        <v>536</v>
      </c>
      <c r="C5377" t="s">
        <v>710</v>
      </c>
      <c r="D5377" t="s">
        <v>713</v>
      </c>
    </row>
    <row r="5378" spans="1:4">
      <c r="A5378" s="2">
        <v>0.7144388083160678</v>
      </c>
      <c r="B5378" t="s">
        <v>537</v>
      </c>
      <c r="C5378" t="s">
        <v>710</v>
      </c>
      <c r="D5378" t="s">
        <v>713</v>
      </c>
    </row>
    <row r="5379" spans="1:4">
      <c r="A5379" s="2">
        <v>0.7065140596297866</v>
      </c>
      <c r="B5379" t="s">
        <v>538</v>
      </c>
      <c r="C5379" t="s">
        <v>710</v>
      </c>
      <c r="D5379" t="s">
        <v>713</v>
      </c>
    </row>
    <row r="5380" spans="1:4">
      <c r="A5380" s="2">
        <v>0.14634346225216735</v>
      </c>
      <c r="B5380" t="s">
        <v>539</v>
      </c>
      <c r="C5380" t="s">
        <v>710</v>
      </c>
      <c r="D5380" t="s">
        <v>713</v>
      </c>
    </row>
    <row r="5381" spans="1:4">
      <c r="A5381" s="2">
        <v>0.3932672644329086</v>
      </c>
      <c r="B5381" t="s">
        <v>540</v>
      </c>
      <c r="C5381" t="s">
        <v>710</v>
      </c>
      <c r="D5381" t="s">
        <v>713</v>
      </c>
    </row>
    <row r="5382" spans="1:4">
      <c r="A5382" s="2">
        <v>0.20748179347262277</v>
      </c>
      <c r="B5382" t="s">
        <v>541</v>
      </c>
      <c r="C5382" t="s">
        <v>710</v>
      </c>
      <c r="D5382" t="s">
        <v>713</v>
      </c>
    </row>
    <row r="5383" spans="1:4">
      <c r="A5383" s="2">
        <v>1</v>
      </c>
      <c r="B5383" t="s">
        <v>542</v>
      </c>
      <c r="C5383" t="s">
        <v>713</v>
      </c>
      <c r="D5383" t="s">
        <v>713</v>
      </c>
    </row>
    <row r="5384" spans="1:4">
      <c r="A5384" s="2">
        <v>6.815</v>
      </c>
      <c r="B5384" t="s">
        <v>364</v>
      </c>
      <c r="C5384" t="s">
        <v>319</v>
      </c>
      <c r="D5384" t="s">
        <v>319</v>
      </c>
    </row>
    <row r="5385" spans="1:4">
      <c r="A5385" s="2">
        <v>7.7886</v>
      </c>
      <c r="B5385" t="s">
        <v>373</v>
      </c>
      <c r="C5385" t="s">
        <v>319</v>
      </c>
      <c r="D5385" t="s">
        <v>319</v>
      </c>
    </row>
    <row r="5386" spans="1:4">
      <c r="A5386" s="2">
        <v>0.042158</v>
      </c>
      <c r="B5386" t="s">
        <v>520</v>
      </c>
      <c r="C5386" t="s">
        <v>319</v>
      </c>
      <c r="D5386" t="s">
        <v>319</v>
      </c>
    </row>
    <row r="5387" spans="1:4">
      <c r="A5387" s="2">
        <v>0.8695499999999999</v>
      </c>
      <c r="B5387" t="s">
        <v>370</v>
      </c>
      <c r="C5387" t="s">
        <v>319</v>
      </c>
      <c r="D5387" t="s">
        <v>319</v>
      </c>
    </row>
    <row r="5388" spans="1:4">
      <c r="A5388" s="2">
        <v>8.9774</v>
      </c>
      <c r="B5388" t="s">
        <v>521</v>
      </c>
      <c r="C5388" t="s">
        <v>319</v>
      </c>
      <c r="D5388" t="s">
        <v>319</v>
      </c>
    </row>
    <row r="5389" spans="1:4">
      <c r="A5389" s="2">
        <v>4.7589999999999995</v>
      </c>
      <c r="B5389" t="s">
        <v>522</v>
      </c>
      <c r="C5389" t="s">
        <v>319</v>
      </c>
      <c r="D5389" t="s">
        <v>319</v>
      </c>
    </row>
    <row r="5390" spans="1:4">
      <c r="A5390" s="2">
        <v>3.8958</v>
      </c>
      <c r="B5390" t="s">
        <v>523</v>
      </c>
      <c r="C5390" t="s">
        <v>319</v>
      </c>
      <c r="D5390" t="s">
        <v>319</v>
      </c>
    </row>
    <row r="5391" spans="1:4">
      <c r="A5391" s="2">
        <v>5.2586</v>
      </c>
      <c r="B5391" t="s">
        <v>524</v>
      </c>
      <c r="C5391" t="s">
        <v>319</v>
      </c>
      <c r="D5391" t="s">
        <v>319</v>
      </c>
    </row>
    <row r="5392" spans="1:4">
      <c r="A5392" s="2">
        <v>8.4161</v>
      </c>
      <c r="B5392" t="s">
        <v>525</v>
      </c>
      <c r="C5392" t="s">
        <v>319</v>
      </c>
      <c r="D5392" t="s">
        <v>319</v>
      </c>
    </row>
    <row r="5393" spans="1:4">
      <c r="A5393" s="2">
        <v>4.7915</v>
      </c>
      <c r="B5393" t="s">
        <v>526</v>
      </c>
      <c r="C5393" t="s">
        <v>319</v>
      </c>
      <c r="D5393" t="s">
        <v>319</v>
      </c>
    </row>
    <row r="5394" spans="1:4">
      <c r="A5394" s="2">
        <v>0.8437394532568343</v>
      </c>
      <c r="B5394" t="s">
        <v>527</v>
      </c>
      <c r="C5394" t="s">
        <v>319</v>
      </c>
      <c r="D5394" t="s">
        <v>319</v>
      </c>
    </row>
    <row r="5395" spans="1:4">
      <c r="A5395" s="2">
        <v>1.6441689548017957</v>
      </c>
      <c r="B5395" t="s">
        <v>528</v>
      </c>
      <c r="C5395" t="s">
        <v>319</v>
      </c>
      <c r="D5395" t="s">
        <v>319</v>
      </c>
    </row>
    <row r="5396" spans="1:4">
      <c r="A5396" s="2">
        <v>0.0927643784786642</v>
      </c>
      <c r="B5396" t="s">
        <v>529</v>
      </c>
      <c r="C5396" t="s">
        <v>319</v>
      </c>
      <c r="D5396" t="s">
        <v>319</v>
      </c>
    </row>
    <row r="5397" spans="1:4">
      <c r="A5397" s="2">
        <v>0.41324021653787346</v>
      </c>
      <c r="B5397" t="s">
        <v>530</v>
      </c>
      <c r="C5397" t="s">
        <v>319</v>
      </c>
      <c r="D5397" t="s">
        <v>319</v>
      </c>
    </row>
    <row r="5398" spans="1:4">
      <c r="A5398" s="2">
        <v>0.004430660168365086</v>
      </c>
      <c r="B5398" t="s">
        <v>531</v>
      </c>
      <c r="C5398" t="s">
        <v>319</v>
      </c>
      <c r="D5398" t="s">
        <v>319</v>
      </c>
    </row>
    <row r="5399" spans="1:4">
      <c r="A5399" s="2">
        <v>1.849317601804934</v>
      </c>
      <c r="B5399" t="s">
        <v>532</v>
      </c>
      <c r="C5399" t="s">
        <v>319</v>
      </c>
      <c r="D5399" t="s">
        <v>319</v>
      </c>
    </row>
    <row r="5400" spans="1:4">
      <c r="A5400" s="2">
        <v>1.8095617241504107</v>
      </c>
      <c r="B5400" t="s">
        <v>533</v>
      </c>
      <c r="C5400" t="s">
        <v>319</v>
      </c>
      <c r="D5400" t="s">
        <v>319</v>
      </c>
    </row>
    <row r="5401" spans="1:4">
      <c r="A5401" s="2">
        <v>0.022131238242779683</v>
      </c>
      <c r="B5401" t="s">
        <v>534</v>
      </c>
      <c r="C5401" t="s">
        <v>319</v>
      </c>
      <c r="D5401" t="s">
        <v>319</v>
      </c>
    </row>
    <row r="5402" spans="1:4">
      <c r="A5402" s="2">
        <v>1.8310323360310543</v>
      </c>
      <c r="B5402" t="s">
        <v>535</v>
      </c>
      <c r="C5402" t="s">
        <v>319</v>
      </c>
      <c r="D5402" t="s">
        <v>319</v>
      </c>
    </row>
    <row r="5403" spans="1:4">
      <c r="A5403" s="2">
        <v>1.0419922892570594</v>
      </c>
      <c r="B5403" t="s">
        <v>536</v>
      </c>
      <c r="C5403" t="s">
        <v>319</v>
      </c>
      <c r="D5403" t="s">
        <v>319</v>
      </c>
    </row>
    <row r="5404" spans="1:4">
      <c r="A5404" s="2">
        <v>0.7083658000991713</v>
      </c>
      <c r="B5404" t="s">
        <v>537</v>
      </c>
      <c r="C5404" t="s">
        <v>319</v>
      </c>
      <c r="D5404" t="s">
        <v>319</v>
      </c>
    </row>
    <row r="5405" spans="1:4">
      <c r="A5405" s="2">
        <v>0.6999860002799944</v>
      </c>
      <c r="B5405" t="s">
        <v>538</v>
      </c>
      <c r="C5405" t="s">
        <v>319</v>
      </c>
      <c r="D5405" t="s">
        <v>319</v>
      </c>
    </row>
    <row r="5406" spans="1:4">
      <c r="A5406" s="2">
        <v>0.1463081337080772</v>
      </c>
      <c r="B5406" t="s">
        <v>539</v>
      </c>
      <c r="C5406" t="s">
        <v>319</v>
      </c>
      <c r="D5406" t="s">
        <v>319</v>
      </c>
    </row>
    <row r="5407" spans="1:4">
      <c r="A5407" s="2">
        <v>0.3922645432079394</v>
      </c>
      <c r="B5407" t="s">
        <v>540</v>
      </c>
      <c r="C5407" t="s">
        <v>319</v>
      </c>
      <c r="D5407" t="s">
        <v>319</v>
      </c>
    </row>
    <row r="5408" spans="1:4">
      <c r="A5408" s="2">
        <v>0.20609208194221176</v>
      </c>
      <c r="B5408" t="s">
        <v>541</v>
      </c>
      <c r="C5408" t="s">
        <v>319</v>
      </c>
      <c r="D5408" t="s">
        <v>319</v>
      </c>
    </row>
    <row r="5409" spans="1:4">
      <c r="A5409" s="2">
        <v>1</v>
      </c>
      <c r="B5409" t="s">
        <v>542</v>
      </c>
      <c r="C5409" t="s">
        <v>319</v>
      </c>
      <c r="D5409" t="s">
        <v>319</v>
      </c>
    </row>
    <row r="5410" spans="1:4">
      <c r="A5410" s="2">
        <v>6.8171</v>
      </c>
      <c r="B5410" t="s">
        <v>364</v>
      </c>
      <c r="C5410" t="s">
        <v>714</v>
      </c>
      <c r="D5410" t="s">
        <v>714</v>
      </c>
    </row>
    <row r="5411" spans="1:4">
      <c r="A5411" s="2">
        <v>7.7654</v>
      </c>
      <c r="B5411" t="s">
        <v>373</v>
      </c>
      <c r="C5411" t="s">
        <v>714</v>
      </c>
      <c r="D5411" t="s">
        <v>714</v>
      </c>
    </row>
    <row r="5412" spans="1:4">
      <c r="A5412" s="2">
        <v>0.042121000000000006</v>
      </c>
      <c r="B5412" t="s">
        <v>520</v>
      </c>
      <c r="C5412" t="s">
        <v>714</v>
      </c>
      <c r="D5412" t="s">
        <v>714</v>
      </c>
    </row>
    <row r="5413" spans="1:4">
      <c r="A5413" s="2">
        <v>0.86953</v>
      </c>
      <c r="B5413" t="s">
        <v>370</v>
      </c>
      <c r="C5413" t="s">
        <v>714</v>
      </c>
      <c r="D5413" t="s">
        <v>714</v>
      </c>
    </row>
    <row r="5414" spans="1:4">
      <c r="A5414" s="2">
        <v>9.004299999999999</v>
      </c>
      <c r="B5414" t="s">
        <v>521</v>
      </c>
      <c r="C5414" t="s">
        <v>714</v>
      </c>
      <c r="D5414" t="s">
        <v>714</v>
      </c>
    </row>
    <row r="5415" spans="1:4">
      <c r="A5415" s="2">
        <v>4.7541</v>
      </c>
      <c r="B5415" t="s">
        <v>522</v>
      </c>
      <c r="C5415" t="s">
        <v>714</v>
      </c>
      <c r="D5415" t="s">
        <v>714</v>
      </c>
    </row>
    <row r="5416" spans="1:4">
      <c r="A5416" s="2">
        <v>3.8806</v>
      </c>
      <c r="B5416" t="s">
        <v>523</v>
      </c>
      <c r="C5416" t="s">
        <v>714</v>
      </c>
      <c r="D5416" t="s">
        <v>714</v>
      </c>
    </row>
    <row r="5417" spans="1:4">
      <c r="A5417" s="2">
        <v>5.2553</v>
      </c>
      <c r="B5417" t="s">
        <v>524</v>
      </c>
      <c r="C5417" t="s">
        <v>714</v>
      </c>
      <c r="D5417" t="s">
        <v>714</v>
      </c>
    </row>
    <row r="5418" spans="1:4">
      <c r="A5418" s="2">
        <v>8.4077</v>
      </c>
      <c r="B5418" t="s">
        <v>525</v>
      </c>
      <c r="C5418" t="s">
        <v>714</v>
      </c>
      <c r="D5418" t="s">
        <v>714</v>
      </c>
    </row>
    <row r="5419" spans="1:4">
      <c r="A5419" s="2">
        <v>4.7989999999999995</v>
      </c>
      <c r="B5419" t="s">
        <v>526</v>
      </c>
      <c r="C5419" t="s">
        <v>714</v>
      </c>
      <c r="D5419" t="s">
        <v>714</v>
      </c>
    </row>
    <row r="5420" spans="1:4">
      <c r="A5420" s="2">
        <v>0.8438106488903889</v>
      </c>
      <c r="B5420" t="s">
        <v>527</v>
      </c>
      <c r="C5420" t="s">
        <v>714</v>
      </c>
      <c r="D5420" t="s">
        <v>714</v>
      </c>
    </row>
    <row r="5421" spans="1:4">
      <c r="A5421" s="2">
        <v>1.640904466541958</v>
      </c>
      <c r="B5421" t="s">
        <v>528</v>
      </c>
      <c r="C5421" t="s">
        <v>714</v>
      </c>
      <c r="D5421" t="s">
        <v>714</v>
      </c>
    </row>
    <row r="5422" spans="1:4">
      <c r="A5422" s="2">
        <v>0.09135173157207194</v>
      </c>
      <c r="B5422" t="s">
        <v>529</v>
      </c>
      <c r="C5422" t="s">
        <v>714</v>
      </c>
      <c r="D5422" t="s">
        <v>714</v>
      </c>
    </row>
    <row r="5423" spans="1:4">
      <c r="A5423" s="2">
        <v>0.4146280786134837</v>
      </c>
      <c r="B5423" t="s">
        <v>530</v>
      </c>
      <c r="C5423" t="s">
        <v>714</v>
      </c>
      <c r="D5423" t="s">
        <v>714</v>
      </c>
    </row>
    <row r="5424" spans="1:4">
      <c r="A5424" s="2">
        <v>0.004412089124200309</v>
      </c>
      <c r="B5424" t="s">
        <v>531</v>
      </c>
      <c r="C5424" t="s">
        <v>714</v>
      </c>
      <c r="D5424" t="s">
        <v>714</v>
      </c>
    </row>
    <row r="5425" spans="1:4">
      <c r="A5425" s="2">
        <v>1.8498307404872456</v>
      </c>
      <c r="B5425" t="s">
        <v>532</v>
      </c>
      <c r="C5425" t="s">
        <v>714</v>
      </c>
      <c r="D5425" t="s">
        <v>714</v>
      </c>
    </row>
    <row r="5426" spans="1:4">
      <c r="A5426" s="2">
        <v>1.8095617241504107</v>
      </c>
      <c r="B5426" t="s">
        <v>533</v>
      </c>
      <c r="C5426" t="s">
        <v>714</v>
      </c>
      <c r="D5426" t="s">
        <v>714</v>
      </c>
    </row>
    <row r="5427" spans="1:4">
      <c r="A5427" s="2">
        <v>0.02206847848875059</v>
      </c>
      <c r="B5427" t="s">
        <v>534</v>
      </c>
      <c r="C5427" t="s">
        <v>714</v>
      </c>
      <c r="D5427" t="s">
        <v>714</v>
      </c>
    </row>
    <row r="5428" spans="1:4">
      <c r="A5428" s="2">
        <v>1.8196044179995268</v>
      </c>
      <c r="B5428" t="s">
        <v>535</v>
      </c>
      <c r="C5428" t="s">
        <v>714</v>
      </c>
      <c r="D5428" t="s">
        <v>714</v>
      </c>
    </row>
    <row r="5429" spans="1:4">
      <c r="A5429" s="2">
        <v>1.0389610389610389</v>
      </c>
      <c r="B5429" t="s">
        <v>536</v>
      </c>
      <c r="C5429" t="s">
        <v>714</v>
      </c>
      <c r="D5429" t="s">
        <v>714</v>
      </c>
    </row>
    <row r="5430" spans="1:4">
      <c r="A5430" s="2">
        <v>0.7062645667066884</v>
      </c>
      <c r="B5430" t="s">
        <v>537</v>
      </c>
      <c r="C5430" t="s">
        <v>714</v>
      </c>
      <c r="D5430" t="s">
        <v>714</v>
      </c>
    </row>
    <row r="5431" spans="1:4">
      <c r="A5431" s="2">
        <v>0.7005253940455342</v>
      </c>
      <c r="B5431" t="s">
        <v>538</v>
      </c>
      <c r="C5431" t="s">
        <v>714</v>
      </c>
      <c r="D5431" t="s">
        <v>714</v>
      </c>
    </row>
    <row r="5432" spans="1:4">
      <c r="A5432" s="2">
        <v>0.14628673076951207</v>
      </c>
      <c r="B5432" t="s">
        <v>539</v>
      </c>
      <c r="C5432" t="s">
        <v>714</v>
      </c>
      <c r="D5432" t="s">
        <v>714</v>
      </c>
    </row>
    <row r="5433" spans="1:4">
      <c r="A5433" s="2">
        <v>0.39192631785224374</v>
      </c>
      <c r="B5433" t="s">
        <v>540</v>
      </c>
      <c r="C5433" t="s">
        <v>714</v>
      </c>
      <c r="D5433" t="s">
        <v>714</v>
      </c>
    </row>
    <row r="5434" spans="1:4">
      <c r="A5434" s="2">
        <v>0.20581637063412023</v>
      </c>
      <c r="B5434" t="s">
        <v>541</v>
      </c>
      <c r="C5434" t="s">
        <v>714</v>
      </c>
      <c r="D5434" t="s">
        <v>714</v>
      </c>
    </row>
    <row r="5435" spans="1:4">
      <c r="A5435" s="2">
        <v>1</v>
      </c>
      <c r="B5435" t="s">
        <v>542</v>
      </c>
      <c r="C5435" t="s">
        <v>714</v>
      </c>
      <c r="D5435" t="s">
        <v>714</v>
      </c>
    </row>
    <row r="5436" spans="1:4">
      <c r="A5436" s="2">
        <v>6.819500000000001</v>
      </c>
      <c r="B5436" t="s">
        <v>364</v>
      </c>
      <c r="C5436" t="s">
        <v>325</v>
      </c>
      <c r="D5436" t="s">
        <v>325</v>
      </c>
    </row>
    <row r="5437" spans="1:4">
      <c r="A5437" s="2">
        <v>7.7434</v>
      </c>
      <c r="B5437" t="s">
        <v>373</v>
      </c>
      <c r="C5437" t="s">
        <v>325</v>
      </c>
      <c r="D5437" t="s">
        <v>325</v>
      </c>
    </row>
    <row r="5438" spans="1:4">
      <c r="A5438" s="2">
        <v>0.042144</v>
      </c>
      <c r="B5438" t="s">
        <v>520</v>
      </c>
      <c r="C5438" t="s">
        <v>325</v>
      </c>
      <c r="D5438" t="s">
        <v>325</v>
      </c>
    </row>
    <row r="5439" spans="1:4">
      <c r="A5439" s="2">
        <v>0.8697499999999999</v>
      </c>
      <c r="B5439" t="s">
        <v>370</v>
      </c>
      <c r="C5439" t="s">
        <v>325</v>
      </c>
      <c r="D5439" t="s">
        <v>325</v>
      </c>
    </row>
    <row r="5440" spans="1:4">
      <c r="A5440" s="2">
        <v>8.9818</v>
      </c>
      <c r="B5440" t="s">
        <v>521</v>
      </c>
      <c r="C5440" t="s">
        <v>325</v>
      </c>
      <c r="D5440" t="s">
        <v>325</v>
      </c>
    </row>
    <row r="5441" spans="1:4">
      <c r="A5441" s="2">
        <v>4.7046</v>
      </c>
      <c r="B5441" t="s">
        <v>522</v>
      </c>
      <c r="C5441" t="s">
        <v>325</v>
      </c>
      <c r="D5441" t="s">
        <v>325</v>
      </c>
    </row>
    <row r="5442" spans="1:4">
      <c r="A5442" s="2">
        <v>3.8542</v>
      </c>
      <c r="B5442" t="s">
        <v>523</v>
      </c>
      <c r="C5442" t="s">
        <v>325</v>
      </c>
      <c r="D5442" t="s">
        <v>325</v>
      </c>
    </row>
    <row r="5443" spans="1:4">
      <c r="A5443" s="2">
        <v>5.2477</v>
      </c>
      <c r="B5443" t="s">
        <v>524</v>
      </c>
      <c r="C5443" t="s">
        <v>325</v>
      </c>
      <c r="D5443" t="s">
        <v>325</v>
      </c>
    </row>
    <row r="5444" spans="1:4">
      <c r="A5444" s="2">
        <v>8.4083</v>
      </c>
      <c r="B5444" t="s">
        <v>525</v>
      </c>
      <c r="C5444" t="s">
        <v>325</v>
      </c>
      <c r="D5444" t="s">
        <v>325</v>
      </c>
    </row>
    <row r="5445" spans="1:4">
      <c r="A5445" s="2">
        <v>4.787</v>
      </c>
      <c r="B5445" t="s">
        <v>526</v>
      </c>
      <c r="C5445" t="s">
        <v>325</v>
      </c>
      <c r="D5445" t="s">
        <v>325</v>
      </c>
    </row>
    <row r="5446" spans="1:4">
      <c r="A5446" s="2">
        <v>0.8440243079000674</v>
      </c>
      <c r="B5446" t="s">
        <v>527</v>
      </c>
      <c r="C5446" t="s">
        <v>325</v>
      </c>
      <c r="D5446" t="s">
        <v>325</v>
      </c>
    </row>
    <row r="5447" spans="1:4">
      <c r="A5447" s="2">
        <v>1.643898670085976</v>
      </c>
      <c r="B5447" t="s">
        <v>528</v>
      </c>
      <c r="C5447" t="s">
        <v>325</v>
      </c>
      <c r="D5447" t="s">
        <v>325</v>
      </c>
    </row>
    <row r="5448" spans="1:4">
      <c r="A5448" s="2">
        <v>0.0911244760342628</v>
      </c>
      <c r="B5448" t="s">
        <v>529</v>
      </c>
      <c r="C5448" t="s">
        <v>325</v>
      </c>
      <c r="D5448" t="s">
        <v>325</v>
      </c>
    </row>
    <row r="5449" spans="1:4">
      <c r="A5449" s="2">
        <v>0.41160732661041366</v>
      </c>
      <c r="B5449" t="s">
        <v>530</v>
      </c>
      <c r="C5449" t="s">
        <v>325</v>
      </c>
      <c r="D5449" t="s">
        <v>325</v>
      </c>
    </row>
    <row r="5450" spans="1:4">
      <c r="A5450" s="2">
        <v>0.004432820603750166</v>
      </c>
      <c r="B5450" t="s">
        <v>531</v>
      </c>
      <c r="C5450" t="s">
        <v>325</v>
      </c>
      <c r="D5450" t="s">
        <v>325</v>
      </c>
    </row>
    <row r="5451" spans="1:4">
      <c r="A5451" s="2">
        <v>1.852229157791402</v>
      </c>
      <c r="B5451" t="s">
        <v>532</v>
      </c>
      <c r="C5451" t="s">
        <v>325</v>
      </c>
      <c r="D5451" t="s">
        <v>325</v>
      </c>
    </row>
    <row r="5452" spans="1:4">
      <c r="A5452" s="2">
        <v>1.812152293278727</v>
      </c>
      <c r="B5452" t="s">
        <v>533</v>
      </c>
      <c r="C5452" t="s">
        <v>325</v>
      </c>
      <c r="D5452" t="s">
        <v>325</v>
      </c>
    </row>
    <row r="5453" spans="1:4">
      <c r="A5453" s="2">
        <v>0.021810678944624868</v>
      </c>
      <c r="B5453" t="s">
        <v>534</v>
      </c>
      <c r="C5453" t="s">
        <v>325</v>
      </c>
      <c r="D5453" t="s">
        <v>325</v>
      </c>
    </row>
    <row r="5454" spans="1:4">
      <c r="A5454" s="2">
        <v>1.8101513286510753</v>
      </c>
      <c r="B5454" t="s">
        <v>535</v>
      </c>
      <c r="C5454" t="s">
        <v>325</v>
      </c>
      <c r="D5454" t="s">
        <v>325</v>
      </c>
    </row>
    <row r="5455" spans="1:4">
      <c r="A5455" s="2">
        <v>1.035840066293764</v>
      </c>
      <c r="B5455" t="s">
        <v>536</v>
      </c>
      <c r="C5455" t="s">
        <v>325</v>
      </c>
      <c r="D5455" t="s">
        <v>325</v>
      </c>
    </row>
    <row r="5456" spans="1:4">
      <c r="A5456" s="2">
        <v>0.6985679357317499</v>
      </c>
      <c r="B5456" t="s">
        <v>537</v>
      </c>
      <c r="C5456" t="s">
        <v>325</v>
      </c>
      <c r="D5456" t="s">
        <v>325</v>
      </c>
    </row>
    <row r="5457" spans="1:4">
      <c r="A5457" s="2">
        <v>0.6943962224845497</v>
      </c>
      <c r="B5457" t="s">
        <v>538</v>
      </c>
      <c r="C5457" t="s">
        <v>325</v>
      </c>
      <c r="D5457" t="s">
        <v>325</v>
      </c>
    </row>
    <row r="5458" spans="1:4">
      <c r="A5458" s="2">
        <v>0.14644311636809354</v>
      </c>
      <c r="B5458" t="s">
        <v>539</v>
      </c>
      <c r="C5458" t="s">
        <v>325</v>
      </c>
      <c r="D5458" t="s">
        <v>325</v>
      </c>
    </row>
    <row r="5459" spans="1:4">
      <c r="A5459" s="2">
        <v>0.38792769027853213</v>
      </c>
      <c r="B5459" t="s">
        <v>540</v>
      </c>
      <c r="C5459" t="s">
        <v>325</v>
      </c>
      <c r="D5459" t="s">
        <v>325</v>
      </c>
    </row>
    <row r="5460" spans="1:4">
      <c r="A5460" s="2">
        <v>0.20423585156138307</v>
      </c>
      <c r="B5460" t="s">
        <v>541</v>
      </c>
      <c r="C5460" t="s">
        <v>325</v>
      </c>
      <c r="D5460" t="s">
        <v>325</v>
      </c>
    </row>
    <row r="5461" spans="1:4">
      <c r="A5461" s="2">
        <v>1</v>
      </c>
      <c r="B5461" t="s">
        <v>542</v>
      </c>
      <c r="C5461" t="s">
        <v>325</v>
      </c>
      <c r="D5461" t="s">
        <v>325</v>
      </c>
    </row>
    <row r="5462" spans="1:4">
      <c r="A5462" s="2">
        <v>6.8209</v>
      </c>
      <c r="B5462" t="s">
        <v>364</v>
      </c>
      <c r="C5462" t="s">
        <v>332</v>
      </c>
      <c r="D5462" t="s">
        <v>332</v>
      </c>
    </row>
    <row r="5463" spans="1:4">
      <c r="A5463" s="2">
        <v>7.7349</v>
      </c>
      <c r="B5463" t="s">
        <v>373</v>
      </c>
      <c r="C5463" t="s">
        <v>332</v>
      </c>
      <c r="D5463" t="s">
        <v>332</v>
      </c>
    </row>
    <row r="5464" spans="1:4">
      <c r="A5464" s="2">
        <v>0.042123999999999995</v>
      </c>
      <c r="B5464" t="s">
        <v>520</v>
      </c>
      <c r="C5464" t="s">
        <v>332</v>
      </c>
      <c r="D5464" t="s">
        <v>332</v>
      </c>
    </row>
    <row r="5465" spans="1:4">
      <c r="A5465" s="2">
        <v>0.87012</v>
      </c>
      <c r="B5465" t="s">
        <v>370</v>
      </c>
      <c r="C5465" t="s">
        <v>332</v>
      </c>
      <c r="D5465" t="s">
        <v>332</v>
      </c>
    </row>
    <row r="5466" spans="1:4">
      <c r="A5466" s="2">
        <v>8.968200000000001</v>
      </c>
      <c r="B5466" t="s">
        <v>521</v>
      </c>
      <c r="C5466" t="s">
        <v>332</v>
      </c>
      <c r="D5466" t="s">
        <v>332</v>
      </c>
    </row>
    <row r="5467" spans="1:4">
      <c r="A5467" s="2">
        <v>4.6992</v>
      </c>
      <c r="B5467" t="s">
        <v>522</v>
      </c>
      <c r="C5467" t="s">
        <v>332</v>
      </c>
      <c r="D5467" t="s">
        <v>332</v>
      </c>
    </row>
    <row r="5468" spans="1:4">
      <c r="A5468" s="2">
        <v>3.845</v>
      </c>
      <c r="B5468" t="s">
        <v>523</v>
      </c>
      <c r="C5468" t="s">
        <v>332</v>
      </c>
      <c r="D5468" t="s">
        <v>332</v>
      </c>
    </row>
    <row r="5469" spans="1:4">
      <c r="A5469" s="2">
        <v>5.2507</v>
      </c>
      <c r="B5469" t="s">
        <v>524</v>
      </c>
      <c r="C5469" t="s">
        <v>332</v>
      </c>
      <c r="D5469" t="s">
        <v>332</v>
      </c>
    </row>
    <row r="5470" spans="1:4">
      <c r="A5470" s="2">
        <v>8.3874</v>
      </c>
      <c r="B5470" t="s">
        <v>525</v>
      </c>
      <c r="C5470" t="s">
        <v>332</v>
      </c>
      <c r="D5470" t="s">
        <v>332</v>
      </c>
    </row>
    <row r="5471" spans="1:4">
      <c r="A5471" s="2">
        <v>4.785299999999999</v>
      </c>
      <c r="B5471" t="s">
        <v>526</v>
      </c>
      <c r="C5471" t="s">
        <v>332</v>
      </c>
      <c r="D5471" t="s">
        <v>332</v>
      </c>
    </row>
    <row r="5472" spans="1:4">
      <c r="A5472" s="2">
        <v>0.8443806467955755</v>
      </c>
      <c r="B5472" t="s">
        <v>527</v>
      </c>
      <c r="C5472" t="s">
        <v>332</v>
      </c>
      <c r="D5472" t="s">
        <v>332</v>
      </c>
    </row>
    <row r="5473" spans="1:4">
      <c r="A5473" s="2">
        <v>1.648315421639085</v>
      </c>
      <c r="B5473" t="s">
        <v>528</v>
      </c>
      <c r="C5473" t="s">
        <v>332</v>
      </c>
      <c r="D5473" t="s">
        <v>332</v>
      </c>
    </row>
    <row r="5474" spans="1:4">
      <c r="A5474" s="2">
        <v>0.09099429465772496</v>
      </c>
      <c r="B5474" t="s">
        <v>529</v>
      </c>
      <c r="C5474" t="s">
        <v>332</v>
      </c>
      <c r="D5474" t="s">
        <v>332</v>
      </c>
    </row>
    <row r="5475" spans="1:4">
      <c r="A5475" s="2">
        <v>0.41135335252982314</v>
      </c>
      <c r="B5475" t="s">
        <v>530</v>
      </c>
      <c r="C5475" t="s">
        <v>332</v>
      </c>
      <c r="D5475" t="s">
        <v>332</v>
      </c>
    </row>
    <row r="5476" spans="1:4">
      <c r="A5476" s="2">
        <v>0.004412089124200309</v>
      </c>
      <c r="B5476" t="s">
        <v>531</v>
      </c>
      <c r="C5476" t="s">
        <v>332</v>
      </c>
      <c r="D5476" t="s">
        <v>332</v>
      </c>
    </row>
    <row r="5477" spans="1:4">
      <c r="A5477" s="2">
        <v>1.85459940652819</v>
      </c>
      <c r="B5477" t="s">
        <v>532</v>
      </c>
      <c r="C5477" t="s">
        <v>332</v>
      </c>
      <c r="D5477" t="s">
        <v>332</v>
      </c>
    </row>
    <row r="5478" spans="1:4">
      <c r="A5478" s="2">
        <v>1.8142893428644</v>
      </c>
      <c r="B5478" t="s">
        <v>533</v>
      </c>
      <c r="C5478" t="s">
        <v>332</v>
      </c>
      <c r="D5478" t="s">
        <v>332</v>
      </c>
    </row>
    <row r="5479" spans="1:4">
      <c r="A5479" s="2">
        <v>0.021750715054757425</v>
      </c>
      <c r="B5479" t="s">
        <v>534</v>
      </c>
      <c r="C5479" t="s">
        <v>332</v>
      </c>
      <c r="D5479" t="s">
        <v>332</v>
      </c>
    </row>
    <row r="5480" spans="1:4">
      <c r="A5480" s="2">
        <v>1.8053474391146576</v>
      </c>
      <c r="B5480" t="s">
        <v>535</v>
      </c>
      <c r="C5480" t="s">
        <v>332</v>
      </c>
      <c r="D5480" t="s">
        <v>332</v>
      </c>
    </row>
    <row r="5481" spans="1:4">
      <c r="A5481" s="2">
        <v>1.0347682119205297</v>
      </c>
      <c r="B5481" t="s">
        <v>536</v>
      </c>
      <c r="C5481" t="s">
        <v>332</v>
      </c>
      <c r="D5481" t="s">
        <v>332</v>
      </c>
    </row>
    <row r="5482" spans="1:4">
      <c r="A5482" s="2">
        <v>0.6982265046781175</v>
      </c>
      <c r="B5482" t="s">
        <v>537</v>
      </c>
      <c r="C5482" t="s">
        <v>332</v>
      </c>
      <c r="D5482" t="s">
        <v>332</v>
      </c>
    </row>
    <row r="5483" spans="1:4">
      <c r="A5483" s="2">
        <v>0.6912760956726116</v>
      </c>
      <c r="B5483" t="s">
        <v>538</v>
      </c>
      <c r="C5483" t="s">
        <v>332</v>
      </c>
      <c r="D5483" t="s">
        <v>332</v>
      </c>
    </row>
    <row r="5484" spans="1:4">
      <c r="A5484" s="2">
        <v>0.1464860201066711</v>
      </c>
      <c r="B5484" t="s">
        <v>539</v>
      </c>
      <c r="C5484" t="s">
        <v>332</v>
      </c>
      <c r="D5484" t="s">
        <v>332</v>
      </c>
    </row>
    <row r="5485" spans="1:4">
      <c r="A5485" s="2">
        <v>0.3867574257425742</v>
      </c>
      <c r="B5485" t="s">
        <v>540</v>
      </c>
      <c r="C5485" t="s">
        <v>332</v>
      </c>
      <c r="D5485" t="s">
        <v>332</v>
      </c>
    </row>
    <row r="5486" spans="1:4">
      <c r="A5486" s="2">
        <v>0.2036701358479806</v>
      </c>
      <c r="B5486" t="s">
        <v>541</v>
      </c>
      <c r="C5486" t="s">
        <v>332</v>
      </c>
      <c r="D5486" t="s">
        <v>332</v>
      </c>
    </row>
    <row r="5487" spans="1:4">
      <c r="A5487" s="2">
        <v>1</v>
      </c>
      <c r="B5487" t="s">
        <v>542</v>
      </c>
      <c r="C5487" t="s">
        <v>332</v>
      </c>
      <c r="D5487" t="s">
        <v>332</v>
      </c>
    </row>
    <row r="5488" spans="1:4">
      <c r="A5488" s="2">
        <v>6.816599999999999</v>
      </c>
      <c r="B5488" t="s">
        <v>364</v>
      </c>
      <c r="C5488" t="s">
        <v>341</v>
      </c>
      <c r="D5488" t="s">
        <v>341</v>
      </c>
    </row>
    <row r="5489" spans="1:4">
      <c r="A5489" s="2">
        <v>7.7405</v>
      </c>
      <c r="B5489" t="s">
        <v>373</v>
      </c>
      <c r="C5489" t="s">
        <v>341</v>
      </c>
      <c r="D5489" t="s">
        <v>341</v>
      </c>
    </row>
    <row r="5490" spans="1:4">
      <c r="A5490" s="2">
        <v>0.042107</v>
      </c>
      <c r="B5490" t="s">
        <v>520</v>
      </c>
      <c r="C5490" t="s">
        <v>341</v>
      </c>
      <c r="D5490" t="s">
        <v>341</v>
      </c>
    </row>
    <row r="5491" spans="1:4">
      <c r="A5491" s="2">
        <v>0.86942</v>
      </c>
      <c r="B5491" t="s">
        <v>370</v>
      </c>
      <c r="C5491" t="s">
        <v>341</v>
      </c>
      <c r="D5491" t="s">
        <v>341</v>
      </c>
    </row>
    <row r="5492" spans="1:4">
      <c r="A5492" s="2">
        <v>8.9832</v>
      </c>
      <c r="B5492" t="s">
        <v>521</v>
      </c>
      <c r="C5492" t="s">
        <v>341</v>
      </c>
      <c r="D5492" t="s">
        <v>341</v>
      </c>
    </row>
    <row r="5493" spans="1:4">
      <c r="A5493" s="2">
        <v>4.7021</v>
      </c>
      <c r="B5493" t="s">
        <v>522</v>
      </c>
      <c r="C5493" t="s">
        <v>341</v>
      </c>
      <c r="D5493" t="s">
        <v>341</v>
      </c>
    </row>
    <row r="5494" spans="1:4">
      <c r="A5494" s="2">
        <v>3.8435</v>
      </c>
      <c r="B5494" t="s">
        <v>523</v>
      </c>
      <c r="C5494" t="s">
        <v>341</v>
      </c>
      <c r="D5494" t="s">
        <v>341</v>
      </c>
    </row>
    <row r="5495" spans="1:4">
      <c r="A5495" s="2">
        <v>5.2526</v>
      </c>
      <c r="B5495" t="s">
        <v>524</v>
      </c>
      <c r="C5495" t="s">
        <v>341</v>
      </c>
      <c r="D5495" t="s">
        <v>341</v>
      </c>
    </row>
    <row r="5496" spans="1:4">
      <c r="A5496" s="2">
        <v>8.4046</v>
      </c>
      <c r="B5496" t="s">
        <v>525</v>
      </c>
      <c r="C5496" t="s">
        <v>341</v>
      </c>
      <c r="D5496" t="s">
        <v>341</v>
      </c>
    </row>
    <row r="5497" spans="1:4">
      <c r="A5497" s="2">
        <v>4.7954</v>
      </c>
      <c r="B5497" t="s">
        <v>526</v>
      </c>
      <c r="C5497" t="s">
        <v>341</v>
      </c>
      <c r="D5497" t="s">
        <v>341</v>
      </c>
    </row>
    <row r="5498" spans="1:4">
      <c r="A5498" s="2">
        <v>0.8437394532568343</v>
      </c>
      <c r="B5498" t="s">
        <v>527</v>
      </c>
      <c r="C5498" t="s">
        <v>341</v>
      </c>
      <c r="D5498" t="s">
        <v>341</v>
      </c>
    </row>
    <row r="5499" spans="1:4">
      <c r="A5499" s="2">
        <v>1.6542870849807276</v>
      </c>
      <c r="B5499" t="s">
        <v>528</v>
      </c>
      <c r="C5499" t="s">
        <v>341</v>
      </c>
      <c r="D5499" t="s">
        <v>341</v>
      </c>
    </row>
    <row r="5500" spans="1:4">
      <c r="A5500" s="2">
        <v>0.09007142664132657</v>
      </c>
      <c r="B5500" t="s">
        <v>529</v>
      </c>
      <c r="C5500" t="s">
        <v>341</v>
      </c>
      <c r="D5500" t="s">
        <v>341</v>
      </c>
    </row>
    <row r="5501" spans="1:4">
      <c r="A5501" s="2">
        <v>0.4129842240026431</v>
      </c>
      <c r="B5501" t="s">
        <v>530</v>
      </c>
      <c r="C5501" t="s">
        <v>341</v>
      </c>
      <c r="D5501" t="s">
        <v>341</v>
      </c>
    </row>
    <row r="5502" spans="1:4">
      <c r="A5502" s="2">
        <v>0.004404316229905308</v>
      </c>
      <c r="B5502" t="s">
        <v>531</v>
      </c>
      <c r="C5502" t="s">
        <v>341</v>
      </c>
      <c r="D5502" t="s">
        <v>341</v>
      </c>
    </row>
    <row r="5503" spans="1:4">
      <c r="A5503" s="2">
        <v>1.854393057152394</v>
      </c>
      <c r="B5503" t="s">
        <v>532</v>
      </c>
      <c r="C5503" t="s">
        <v>341</v>
      </c>
      <c r="D5503" t="s">
        <v>341</v>
      </c>
    </row>
    <row r="5504" spans="1:4">
      <c r="A5504" s="2">
        <v>1.813762832372039</v>
      </c>
      <c r="B5504" t="s">
        <v>533</v>
      </c>
      <c r="C5504" t="s">
        <v>341</v>
      </c>
      <c r="D5504" t="s">
        <v>341</v>
      </c>
    </row>
    <row r="5505" spans="1:4">
      <c r="A5505" s="2">
        <v>0.0218651879968864</v>
      </c>
      <c r="B5505" t="s">
        <v>534</v>
      </c>
      <c r="C5505" t="s">
        <v>341</v>
      </c>
      <c r="D5505" t="s">
        <v>341</v>
      </c>
    </row>
    <row r="5506" spans="1:4">
      <c r="A5506" s="2">
        <v>1.808187472877188</v>
      </c>
      <c r="B5506" t="s">
        <v>535</v>
      </c>
      <c r="C5506" t="s">
        <v>341</v>
      </c>
      <c r="D5506" t="s">
        <v>341</v>
      </c>
    </row>
    <row r="5507" spans="1:4">
      <c r="A5507" s="2">
        <v>1.0354110581901017</v>
      </c>
      <c r="B5507" t="s">
        <v>536</v>
      </c>
      <c r="C5507" t="s">
        <v>341</v>
      </c>
      <c r="D5507" t="s">
        <v>341</v>
      </c>
    </row>
    <row r="5508" spans="1:4">
      <c r="A5508" s="2">
        <v>0.6992029086841001</v>
      </c>
      <c r="B5508" t="s">
        <v>537</v>
      </c>
      <c r="C5508" t="s">
        <v>341</v>
      </c>
      <c r="D5508" t="s">
        <v>341</v>
      </c>
    </row>
    <row r="5509" spans="1:4">
      <c r="A5509" s="2">
        <v>0.6903693476009666</v>
      </c>
      <c r="B5509" t="s">
        <v>538</v>
      </c>
      <c r="C5509" t="s">
        <v>341</v>
      </c>
      <c r="D5509" t="s">
        <v>341</v>
      </c>
    </row>
    <row r="5510" spans="1:4">
      <c r="A5510" s="2">
        <v>0.14623303696771173</v>
      </c>
      <c r="B5510" t="s">
        <v>539</v>
      </c>
      <c r="C5510" t="s">
        <v>341</v>
      </c>
      <c r="D5510" t="s">
        <v>341</v>
      </c>
    </row>
    <row r="5511" spans="1:4">
      <c r="A5511" s="2">
        <v>0.38934745366765305</v>
      </c>
      <c r="B5511" t="s">
        <v>540</v>
      </c>
      <c r="C5511" t="s">
        <v>341</v>
      </c>
      <c r="D5511" t="s">
        <v>341</v>
      </c>
    </row>
    <row r="5512" spans="1:4">
      <c r="A5512" s="2">
        <v>0.20388606846494176</v>
      </c>
      <c r="B5512" t="s">
        <v>541</v>
      </c>
      <c r="C5512" t="s">
        <v>341</v>
      </c>
      <c r="D5512" t="s">
        <v>341</v>
      </c>
    </row>
    <row r="5513" spans="1:4">
      <c r="A5513" s="2">
        <v>1</v>
      </c>
      <c r="B5513" t="s">
        <v>542</v>
      </c>
      <c r="C5513" t="s">
        <v>341</v>
      </c>
      <c r="D5513" t="s">
        <v>341</v>
      </c>
    </row>
    <row r="5514" spans="1:4">
      <c r="A5514" s="2">
        <v>6.816599999999999</v>
      </c>
      <c r="B5514" t="s">
        <v>364</v>
      </c>
      <c r="C5514" t="s">
        <v>341</v>
      </c>
      <c r="D5514" t="s">
        <v>715</v>
      </c>
    </row>
    <row r="5515" spans="1:4">
      <c r="A5515" s="2">
        <v>7.7405</v>
      </c>
      <c r="B5515" t="s">
        <v>373</v>
      </c>
      <c r="C5515" t="s">
        <v>341</v>
      </c>
      <c r="D5515" t="s">
        <v>715</v>
      </c>
    </row>
    <row r="5516" spans="1:4">
      <c r="A5516" s="2">
        <v>0.042107</v>
      </c>
      <c r="B5516" t="s">
        <v>520</v>
      </c>
      <c r="C5516" t="s">
        <v>341</v>
      </c>
      <c r="D5516" t="s">
        <v>715</v>
      </c>
    </row>
    <row r="5517" spans="1:4">
      <c r="A5517" s="2">
        <v>0.86942</v>
      </c>
      <c r="B5517" t="s">
        <v>370</v>
      </c>
      <c r="C5517" t="s">
        <v>341</v>
      </c>
      <c r="D5517" t="s">
        <v>715</v>
      </c>
    </row>
    <row r="5518" spans="1:4">
      <c r="A5518" s="2">
        <v>8.9832</v>
      </c>
      <c r="B5518" t="s">
        <v>521</v>
      </c>
      <c r="C5518" t="s">
        <v>341</v>
      </c>
      <c r="D5518" t="s">
        <v>715</v>
      </c>
    </row>
    <row r="5519" spans="1:4">
      <c r="A5519" s="2">
        <v>4.7021</v>
      </c>
      <c r="B5519" t="s">
        <v>522</v>
      </c>
      <c r="C5519" t="s">
        <v>341</v>
      </c>
      <c r="D5519" t="s">
        <v>715</v>
      </c>
    </row>
    <row r="5520" spans="1:4">
      <c r="A5520" s="2">
        <v>3.8435</v>
      </c>
      <c r="B5520" t="s">
        <v>523</v>
      </c>
      <c r="C5520" t="s">
        <v>341</v>
      </c>
      <c r="D5520" t="s">
        <v>715</v>
      </c>
    </row>
    <row r="5521" spans="1:4">
      <c r="A5521" s="2">
        <v>5.2526</v>
      </c>
      <c r="B5521" t="s">
        <v>524</v>
      </c>
      <c r="C5521" t="s">
        <v>341</v>
      </c>
      <c r="D5521" t="s">
        <v>715</v>
      </c>
    </row>
    <row r="5522" spans="1:4">
      <c r="A5522" s="2">
        <v>8.4046</v>
      </c>
      <c r="B5522" t="s">
        <v>525</v>
      </c>
      <c r="C5522" t="s">
        <v>341</v>
      </c>
      <c r="D5522" t="s">
        <v>715</v>
      </c>
    </row>
    <row r="5523" spans="1:4">
      <c r="A5523" s="2">
        <v>4.7954</v>
      </c>
      <c r="B5523" t="s">
        <v>526</v>
      </c>
      <c r="C5523" t="s">
        <v>341</v>
      </c>
      <c r="D5523" t="s">
        <v>715</v>
      </c>
    </row>
    <row r="5524" spans="1:4">
      <c r="A5524" s="2">
        <v>0.8437394532568343</v>
      </c>
      <c r="B5524" t="s">
        <v>527</v>
      </c>
      <c r="C5524" t="s">
        <v>341</v>
      </c>
      <c r="D5524" t="s">
        <v>715</v>
      </c>
    </row>
    <row r="5525" spans="1:4">
      <c r="A5525" s="2">
        <v>1.6542870849807276</v>
      </c>
      <c r="B5525" t="s">
        <v>528</v>
      </c>
      <c r="C5525" t="s">
        <v>341</v>
      </c>
      <c r="D5525" t="s">
        <v>715</v>
      </c>
    </row>
    <row r="5526" spans="1:4">
      <c r="A5526" s="2">
        <v>0.09007142664132657</v>
      </c>
      <c r="B5526" t="s">
        <v>529</v>
      </c>
      <c r="C5526" t="s">
        <v>341</v>
      </c>
      <c r="D5526" t="s">
        <v>715</v>
      </c>
    </row>
    <row r="5527" spans="1:4">
      <c r="A5527" s="2">
        <v>0.4129842240026431</v>
      </c>
      <c r="B5527" t="s">
        <v>530</v>
      </c>
      <c r="C5527" t="s">
        <v>341</v>
      </c>
      <c r="D5527" t="s">
        <v>715</v>
      </c>
    </row>
    <row r="5528" spans="1:4">
      <c r="A5528" s="2">
        <v>0.004404316229905308</v>
      </c>
      <c r="B5528" t="s">
        <v>531</v>
      </c>
      <c r="C5528" t="s">
        <v>341</v>
      </c>
      <c r="D5528" t="s">
        <v>715</v>
      </c>
    </row>
    <row r="5529" spans="1:4">
      <c r="A5529" s="2">
        <v>1.854393057152394</v>
      </c>
      <c r="B5529" t="s">
        <v>532</v>
      </c>
      <c r="C5529" t="s">
        <v>341</v>
      </c>
      <c r="D5529" t="s">
        <v>715</v>
      </c>
    </row>
    <row r="5530" spans="1:4">
      <c r="A5530" s="2">
        <v>1.813762832372039</v>
      </c>
      <c r="B5530" t="s">
        <v>533</v>
      </c>
      <c r="C5530" t="s">
        <v>341</v>
      </c>
      <c r="D5530" t="s">
        <v>715</v>
      </c>
    </row>
    <row r="5531" spans="1:4">
      <c r="A5531" s="2">
        <v>0.0218651879968864</v>
      </c>
      <c r="B5531" t="s">
        <v>534</v>
      </c>
      <c r="C5531" t="s">
        <v>341</v>
      </c>
      <c r="D5531" t="s">
        <v>715</v>
      </c>
    </row>
    <row r="5532" spans="1:4">
      <c r="A5532" s="2">
        <v>1.808187472877188</v>
      </c>
      <c r="B5532" t="s">
        <v>535</v>
      </c>
      <c r="C5532" t="s">
        <v>341</v>
      </c>
      <c r="D5532" t="s">
        <v>715</v>
      </c>
    </row>
    <row r="5533" spans="1:4">
      <c r="A5533" s="2">
        <v>1.0354110581901017</v>
      </c>
      <c r="B5533" t="s">
        <v>536</v>
      </c>
      <c r="C5533" t="s">
        <v>341</v>
      </c>
      <c r="D5533" t="s">
        <v>715</v>
      </c>
    </row>
    <row r="5534" spans="1:4">
      <c r="A5534" s="2">
        <v>0.6992029086841001</v>
      </c>
      <c r="B5534" t="s">
        <v>537</v>
      </c>
      <c r="C5534" t="s">
        <v>341</v>
      </c>
      <c r="D5534" t="s">
        <v>715</v>
      </c>
    </row>
    <row r="5535" spans="1:4">
      <c r="A5535" s="2">
        <v>0.6903693476009666</v>
      </c>
      <c r="B5535" t="s">
        <v>538</v>
      </c>
      <c r="C5535" t="s">
        <v>341</v>
      </c>
      <c r="D5535" t="s">
        <v>715</v>
      </c>
    </row>
    <row r="5536" spans="1:4">
      <c r="A5536" s="2">
        <v>0.14623303696771173</v>
      </c>
      <c r="B5536" t="s">
        <v>539</v>
      </c>
      <c r="C5536" t="s">
        <v>341</v>
      </c>
      <c r="D5536" t="s">
        <v>715</v>
      </c>
    </row>
    <row r="5537" spans="1:4">
      <c r="A5537" s="2">
        <v>0.38934745366765305</v>
      </c>
      <c r="B5537" t="s">
        <v>540</v>
      </c>
      <c r="C5537" t="s">
        <v>341</v>
      </c>
      <c r="D5537" t="s">
        <v>715</v>
      </c>
    </row>
    <row r="5538" spans="1:4">
      <c r="A5538" s="2">
        <v>0.20388606846494176</v>
      </c>
      <c r="B5538" t="s">
        <v>541</v>
      </c>
      <c r="C5538" t="s">
        <v>341</v>
      </c>
      <c r="D5538" t="s">
        <v>715</v>
      </c>
    </row>
    <row r="5539" spans="1:4">
      <c r="A5539" s="2">
        <v>1</v>
      </c>
      <c r="B5539" t="s">
        <v>542</v>
      </c>
      <c r="C5539" t="s">
        <v>715</v>
      </c>
      <c r="D5539" t="s">
        <v>715</v>
      </c>
    </row>
    <row r="5540" spans="1:4">
      <c r="A5540" s="2">
        <v>6.816599999999999</v>
      </c>
      <c r="B5540" t="s">
        <v>364</v>
      </c>
      <c r="C5540" t="s">
        <v>341</v>
      </c>
      <c r="D5540" t="s">
        <v>716</v>
      </c>
    </row>
    <row r="5541" spans="1:4">
      <c r="A5541" s="2">
        <v>7.7405</v>
      </c>
      <c r="B5541" t="s">
        <v>373</v>
      </c>
      <c r="C5541" t="s">
        <v>341</v>
      </c>
      <c r="D5541" t="s">
        <v>716</v>
      </c>
    </row>
    <row r="5542" spans="1:4">
      <c r="A5542" s="2">
        <v>0.042107</v>
      </c>
      <c r="B5542" t="s">
        <v>520</v>
      </c>
      <c r="C5542" t="s">
        <v>341</v>
      </c>
      <c r="D5542" t="s">
        <v>716</v>
      </c>
    </row>
    <row r="5543" spans="1:4">
      <c r="A5543" s="2">
        <v>0.86942</v>
      </c>
      <c r="B5543" t="s">
        <v>370</v>
      </c>
      <c r="C5543" t="s">
        <v>341</v>
      </c>
      <c r="D5543" t="s">
        <v>716</v>
      </c>
    </row>
    <row r="5544" spans="1:4">
      <c r="A5544" s="2">
        <v>8.9832</v>
      </c>
      <c r="B5544" t="s">
        <v>521</v>
      </c>
      <c r="C5544" t="s">
        <v>341</v>
      </c>
      <c r="D5544" t="s">
        <v>716</v>
      </c>
    </row>
    <row r="5545" spans="1:4">
      <c r="A5545" s="2">
        <v>4.7021</v>
      </c>
      <c r="B5545" t="s">
        <v>522</v>
      </c>
      <c r="C5545" t="s">
        <v>341</v>
      </c>
      <c r="D5545" t="s">
        <v>716</v>
      </c>
    </row>
    <row r="5546" spans="1:4">
      <c r="A5546" s="2">
        <v>3.8435</v>
      </c>
      <c r="B5546" t="s">
        <v>523</v>
      </c>
      <c r="C5546" t="s">
        <v>341</v>
      </c>
      <c r="D5546" t="s">
        <v>716</v>
      </c>
    </row>
    <row r="5547" spans="1:4">
      <c r="A5547" s="2">
        <v>5.2526</v>
      </c>
      <c r="B5547" t="s">
        <v>524</v>
      </c>
      <c r="C5547" t="s">
        <v>341</v>
      </c>
      <c r="D5547" t="s">
        <v>716</v>
      </c>
    </row>
    <row r="5548" spans="1:4">
      <c r="A5548" s="2">
        <v>8.4046</v>
      </c>
      <c r="B5548" t="s">
        <v>525</v>
      </c>
      <c r="C5548" t="s">
        <v>341</v>
      </c>
      <c r="D5548" t="s">
        <v>716</v>
      </c>
    </row>
    <row r="5549" spans="1:4">
      <c r="A5549" s="2">
        <v>4.7954</v>
      </c>
      <c r="B5549" t="s">
        <v>526</v>
      </c>
      <c r="C5549" t="s">
        <v>341</v>
      </c>
      <c r="D5549" t="s">
        <v>716</v>
      </c>
    </row>
    <row r="5550" spans="1:4">
      <c r="A5550" s="2">
        <v>0.8437394532568343</v>
      </c>
      <c r="B5550" t="s">
        <v>527</v>
      </c>
      <c r="C5550" t="s">
        <v>341</v>
      </c>
      <c r="D5550" t="s">
        <v>716</v>
      </c>
    </row>
    <row r="5551" spans="1:4">
      <c r="A5551" s="2">
        <v>1.6542870849807276</v>
      </c>
      <c r="B5551" t="s">
        <v>528</v>
      </c>
      <c r="C5551" t="s">
        <v>341</v>
      </c>
      <c r="D5551" t="s">
        <v>716</v>
      </c>
    </row>
    <row r="5552" spans="1:4">
      <c r="A5552" s="2">
        <v>0.09007142664132657</v>
      </c>
      <c r="B5552" t="s">
        <v>529</v>
      </c>
      <c r="C5552" t="s">
        <v>341</v>
      </c>
      <c r="D5552" t="s">
        <v>716</v>
      </c>
    </row>
    <row r="5553" spans="1:4">
      <c r="A5553" s="2">
        <v>0.4129842240026431</v>
      </c>
      <c r="B5553" t="s">
        <v>530</v>
      </c>
      <c r="C5553" t="s">
        <v>341</v>
      </c>
      <c r="D5553" t="s">
        <v>716</v>
      </c>
    </row>
    <row r="5554" spans="1:4">
      <c r="A5554" s="2">
        <v>0.004404316229905308</v>
      </c>
      <c r="B5554" t="s">
        <v>531</v>
      </c>
      <c r="C5554" t="s">
        <v>341</v>
      </c>
      <c r="D5554" t="s">
        <v>716</v>
      </c>
    </row>
    <row r="5555" spans="1:4">
      <c r="A5555" s="2">
        <v>1.854393057152394</v>
      </c>
      <c r="B5555" t="s">
        <v>532</v>
      </c>
      <c r="C5555" t="s">
        <v>341</v>
      </c>
      <c r="D5555" t="s">
        <v>716</v>
      </c>
    </row>
    <row r="5556" spans="1:4">
      <c r="A5556" s="2">
        <v>1.813762832372039</v>
      </c>
      <c r="B5556" t="s">
        <v>533</v>
      </c>
      <c r="C5556" t="s">
        <v>341</v>
      </c>
      <c r="D5556" t="s">
        <v>716</v>
      </c>
    </row>
    <row r="5557" spans="1:4">
      <c r="A5557" s="2">
        <v>0.0218651879968864</v>
      </c>
      <c r="B5557" t="s">
        <v>534</v>
      </c>
      <c r="C5557" t="s">
        <v>341</v>
      </c>
      <c r="D5557" t="s">
        <v>716</v>
      </c>
    </row>
    <row r="5558" spans="1:4">
      <c r="A5558" s="2">
        <v>1.808187472877188</v>
      </c>
      <c r="B5558" t="s">
        <v>535</v>
      </c>
      <c r="C5558" t="s">
        <v>341</v>
      </c>
      <c r="D5558" t="s">
        <v>716</v>
      </c>
    </row>
    <row r="5559" spans="1:4">
      <c r="A5559" s="2">
        <v>1.0354110581901017</v>
      </c>
      <c r="B5559" t="s">
        <v>536</v>
      </c>
      <c r="C5559" t="s">
        <v>341</v>
      </c>
      <c r="D5559" t="s">
        <v>716</v>
      </c>
    </row>
    <row r="5560" spans="1:4">
      <c r="A5560" s="2">
        <v>0.6992029086841001</v>
      </c>
      <c r="B5560" t="s">
        <v>537</v>
      </c>
      <c r="C5560" t="s">
        <v>341</v>
      </c>
      <c r="D5560" t="s">
        <v>716</v>
      </c>
    </row>
    <row r="5561" spans="1:4">
      <c r="A5561" s="2">
        <v>0.6903693476009666</v>
      </c>
      <c r="B5561" t="s">
        <v>538</v>
      </c>
      <c r="C5561" t="s">
        <v>341</v>
      </c>
      <c r="D5561" t="s">
        <v>716</v>
      </c>
    </row>
    <row r="5562" spans="1:4">
      <c r="A5562" s="2">
        <v>0.14623303696771173</v>
      </c>
      <c r="B5562" t="s">
        <v>539</v>
      </c>
      <c r="C5562" t="s">
        <v>341</v>
      </c>
      <c r="D5562" t="s">
        <v>716</v>
      </c>
    </row>
    <row r="5563" spans="1:4">
      <c r="A5563" s="2">
        <v>0.38934745366765305</v>
      </c>
      <c r="B5563" t="s">
        <v>540</v>
      </c>
      <c r="C5563" t="s">
        <v>341</v>
      </c>
      <c r="D5563" t="s">
        <v>716</v>
      </c>
    </row>
    <row r="5564" spans="1:4">
      <c r="A5564" s="2">
        <v>0.20388606846494176</v>
      </c>
      <c r="B5564" t="s">
        <v>541</v>
      </c>
      <c r="C5564" t="s">
        <v>341</v>
      </c>
      <c r="D5564" t="s">
        <v>716</v>
      </c>
    </row>
    <row r="5565" spans="1:4">
      <c r="A5565" s="2">
        <v>1</v>
      </c>
      <c r="B5565" t="s">
        <v>542</v>
      </c>
      <c r="C5565" t="s">
        <v>716</v>
      </c>
      <c r="D5565" t="s">
        <v>716</v>
      </c>
    </row>
    <row r="5566" spans="1:4">
      <c r="A5566" s="2">
        <v>6.8175</v>
      </c>
      <c r="B5566" t="s">
        <v>364</v>
      </c>
      <c r="C5566" t="s">
        <v>717</v>
      </c>
      <c r="D5566" t="s">
        <v>717</v>
      </c>
    </row>
    <row r="5567" spans="1:4">
      <c r="A5567" s="2">
        <v>7.7564</v>
      </c>
      <c r="B5567" t="s">
        <v>373</v>
      </c>
      <c r="C5567" t="s">
        <v>717</v>
      </c>
      <c r="D5567" t="s">
        <v>717</v>
      </c>
    </row>
    <row r="5568" spans="1:4">
      <c r="A5568" s="2">
        <v>0.04211</v>
      </c>
      <c r="B5568" t="s">
        <v>520</v>
      </c>
      <c r="C5568" t="s">
        <v>717</v>
      </c>
      <c r="D5568" t="s">
        <v>717</v>
      </c>
    </row>
    <row r="5569" spans="1:4">
      <c r="A5569" s="2">
        <v>0.86919</v>
      </c>
      <c r="B5569" t="s">
        <v>370</v>
      </c>
      <c r="C5569" t="s">
        <v>717</v>
      </c>
      <c r="D5569" t="s">
        <v>717</v>
      </c>
    </row>
    <row r="5570" spans="1:4">
      <c r="A5570" s="2">
        <v>8.9902</v>
      </c>
      <c r="B5570" t="s">
        <v>521</v>
      </c>
      <c r="C5570" t="s">
        <v>717</v>
      </c>
      <c r="D5570" t="s">
        <v>717</v>
      </c>
    </row>
    <row r="5571" spans="1:4">
      <c r="A5571" s="2">
        <v>4.6955</v>
      </c>
      <c r="B5571" t="s">
        <v>522</v>
      </c>
      <c r="C5571" t="s">
        <v>717</v>
      </c>
      <c r="D5571" t="s">
        <v>717</v>
      </c>
    </row>
    <row r="5572" spans="1:4">
      <c r="A5572" s="2">
        <v>3.8404</v>
      </c>
      <c r="B5572" t="s">
        <v>523</v>
      </c>
      <c r="C5572" t="s">
        <v>717</v>
      </c>
      <c r="D5572" t="s">
        <v>717</v>
      </c>
    </row>
    <row r="5573" spans="1:4">
      <c r="A5573" s="2">
        <v>5.2623</v>
      </c>
      <c r="B5573" t="s">
        <v>524</v>
      </c>
      <c r="C5573" t="s">
        <v>717</v>
      </c>
      <c r="D5573" t="s">
        <v>717</v>
      </c>
    </row>
    <row r="5574" spans="1:4">
      <c r="A5574" s="2">
        <v>8.4108</v>
      </c>
      <c r="B5574" t="s">
        <v>525</v>
      </c>
      <c r="C5574" t="s">
        <v>717</v>
      </c>
      <c r="D5574" t="s">
        <v>717</v>
      </c>
    </row>
    <row r="5575" spans="1:4">
      <c r="A5575" s="2">
        <v>4.8004</v>
      </c>
      <c r="B5575" t="s">
        <v>526</v>
      </c>
      <c r="C5575" t="s">
        <v>717</v>
      </c>
      <c r="D5575" t="s">
        <v>717</v>
      </c>
    </row>
    <row r="5576" spans="1:4">
      <c r="A5576" s="2">
        <v>0.8438818565400844</v>
      </c>
      <c r="B5576" t="s">
        <v>527</v>
      </c>
      <c r="C5576" t="s">
        <v>717</v>
      </c>
      <c r="D5576" t="s">
        <v>717</v>
      </c>
    </row>
    <row r="5577" spans="1:4">
      <c r="A5577" s="2">
        <v>1.666611112962901</v>
      </c>
      <c r="B5577" t="s">
        <v>528</v>
      </c>
      <c r="C5577" t="s">
        <v>717</v>
      </c>
      <c r="D5577" t="s">
        <v>717</v>
      </c>
    </row>
    <row r="5578" spans="1:4">
      <c r="A5578" s="2">
        <v>0.08651192566895347</v>
      </c>
      <c r="B5578" t="s">
        <v>529</v>
      </c>
      <c r="C5578" t="s">
        <v>717</v>
      </c>
      <c r="D5578" t="s">
        <v>717</v>
      </c>
    </row>
    <row r="5579" spans="1:4">
      <c r="A5579" s="2">
        <v>0.4139072847682119</v>
      </c>
      <c r="B5579" t="s">
        <v>530</v>
      </c>
      <c r="C5579" t="s">
        <v>717</v>
      </c>
      <c r="D5579" t="s">
        <v>717</v>
      </c>
    </row>
    <row r="5580" spans="1:4">
      <c r="A5580" s="2">
        <v>0.004432624113475178</v>
      </c>
      <c r="B5580" t="s">
        <v>531</v>
      </c>
      <c r="C5580" t="s">
        <v>717</v>
      </c>
      <c r="D5580" t="s">
        <v>717</v>
      </c>
    </row>
    <row r="5581" spans="1:4">
      <c r="A5581" s="2">
        <v>1.854530618300508</v>
      </c>
      <c r="B5581" t="s">
        <v>532</v>
      </c>
      <c r="C5581" t="s">
        <v>717</v>
      </c>
      <c r="D5581" t="s">
        <v>717</v>
      </c>
    </row>
    <row r="5582" spans="1:4">
      <c r="A5582" s="2">
        <v>1.8138944313440957</v>
      </c>
      <c r="B5582" t="s">
        <v>533</v>
      </c>
      <c r="C5582" t="s">
        <v>717</v>
      </c>
      <c r="D5582" t="s">
        <v>717</v>
      </c>
    </row>
    <row r="5583" spans="1:4">
      <c r="A5583" s="2">
        <v>0.021918048416968955</v>
      </c>
      <c r="B5583" t="s">
        <v>534</v>
      </c>
      <c r="C5583" t="s">
        <v>717</v>
      </c>
      <c r="D5583" t="s">
        <v>717</v>
      </c>
    </row>
    <row r="5584" spans="1:4">
      <c r="A5584" s="2">
        <v>1.8092998009770216</v>
      </c>
      <c r="B5584" t="s">
        <v>535</v>
      </c>
      <c r="C5584" t="s">
        <v>717</v>
      </c>
      <c r="D5584" t="s">
        <v>717</v>
      </c>
    </row>
    <row r="5585" spans="1:4">
      <c r="A5585" s="2">
        <v>1.0376673238559715</v>
      </c>
      <c r="B5585" t="s">
        <v>536</v>
      </c>
      <c r="C5585" t="s">
        <v>717</v>
      </c>
      <c r="D5585" t="s">
        <v>717</v>
      </c>
    </row>
    <row r="5586" spans="1:4">
      <c r="A5586" s="2">
        <v>0.6995452955578875</v>
      </c>
      <c r="B5586" t="s">
        <v>537</v>
      </c>
      <c r="C5586" t="s">
        <v>717</v>
      </c>
      <c r="D5586" t="s">
        <v>717</v>
      </c>
    </row>
    <row r="5587" spans="1:4">
      <c r="A5587" s="2">
        <v>0.6853539853334247</v>
      </c>
      <c r="B5587" t="s">
        <v>538</v>
      </c>
      <c r="C5587" t="s">
        <v>717</v>
      </c>
      <c r="D5587" t="s">
        <v>717</v>
      </c>
    </row>
    <row r="5588" spans="1:4">
      <c r="A5588" s="2">
        <v>0.1461926321837232</v>
      </c>
      <c r="B5588" t="s">
        <v>539</v>
      </c>
      <c r="C5588" t="s">
        <v>717</v>
      </c>
      <c r="D5588" t="s">
        <v>717</v>
      </c>
    </row>
    <row r="5589" spans="1:4">
      <c r="A5589" s="2">
        <v>0.38924136857265185</v>
      </c>
      <c r="B5589" t="s">
        <v>540</v>
      </c>
      <c r="C5589" t="s">
        <v>717</v>
      </c>
      <c r="D5589" t="s">
        <v>717</v>
      </c>
    </row>
    <row r="5590" spans="1:4">
      <c r="A5590" s="2">
        <v>0.20381957890874997</v>
      </c>
      <c r="B5590" t="s">
        <v>541</v>
      </c>
      <c r="C5590" t="s">
        <v>717</v>
      </c>
      <c r="D5590" t="s">
        <v>717</v>
      </c>
    </row>
    <row r="5591" spans="1:4">
      <c r="A5591" s="2">
        <v>1</v>
      </c>
      <c r="B5591" t="s">
        <v>542</v>
      </c>
      <c r="C5591" t="s">
        <v>717</v>
      </c>
      <c r="D5591" t="s">
        <v>717</v>
      </c>
    </row>
    <row r="5592" spans="1:4">
      <c r="A5592" s="2">
        <v>6.8109</v>
      </c>
      <c r="B5592" t="s">
        <v>364</v>
      </c>
      <c r="C5592" t="s">
        <v>383</v>
      </c>
      <c r="D5592" t="s">
        <v>383</v>
      </c>
    </row>
    <row r="5593" spans="1:4">
      <c r="A5593" s="2">
        <v>7.7671</v>
      </c>
      <c r="B5593" t="s">
        <v>373</v>
      </c>
      <c r="C5593" t="s">
        <v>383</v>
      </c>
      <c r="D5593" t="s">
        <v>383</v>
      </c>
    </row>
    <row r="5594" spans="1:4">
      <c r="A5594" s="2">
        <v>0.042045000000000006</v>
      </c>
      <c r="B5594" t="s">
        <v>520</v>
      </c>
      <c r="C5594" t="s">
        <v>383</v>
      </c>
      <c r="D5594" t="s">
        <v>383</v>
      </c>
    </row>
    <row r="5595" spans="1:4">
      <c r="A5595" s="2">
        <v>0.86855</v>
      </c>
      <c r="B5595" t="s">
        <v>370</v>
      </c>
      <c r="C5595" t="s">
        <v>383</v>
      </c>
      <c r="D5595" t="s">
        <v>383</v>
      </c>
    </row>
    <row r="5596" spans="1:4">
      <c r="A5596" s="2">
        <v>9.0145</v>
      </c>
      <c r="B5596" t="s">
        <v>521</v>
      </c>
      <c r="C5596" t="s">
        <v>383</v>
      </c>
      <c r="D5596" t="s">
        <v>383</v>
      </c>
    </row>
    <row r="5597" spans="1:4">
      <c r="A5597" s="2">
        <v>4.680400000000001</v>
      </c>
      <c r="B5597" t="s">
        <v>522</v>
      </c>
      <c r="C5597" t="s">
        <v>383</v>
      </c>
      <c r="D5597" t="s">
        <v>383</v>
      </c>
    </row>
    <row r="5598" spans="1:4">
      <c r="A5598" s="2">
        <v>3.8414</v>
      </c>
      <c r="B5598" t="s">
        <v>523</v>
      </c>
      <c r="C5598" t="s">
        <v>383</v>
      </c>
      <c r="D5598" t="s">
        <v>383</v>
      </c>
    </row>
    <row r="5599" spans="1:4">
      <c r="A5599" s="2">
        <v>5.2604999999999995</v>
      </c>
      <c r="B5599" t="s">
        <v>524</v>
      </c>
      <c r="C5599" t="s">
        <v>383</v>
      </c>
      <c r="D5599" t="s">
        <v>383</v>
      </c>
    </row>
    <row r="5600" spans="1:4">
      <c r="A5600" s="2">
        <v>8.4228</v>
      </c>
      <c r="B5600" t="s">
        <v>525</v>
      </c>
      <c r="C5600" t="s">
        <v>383</v>
      </c>
      <c r="D5600" t="s">
        <v>383</v>
      </c>
    </row>
    <row r="5601" spans="1:4">
      <c r="A5601" s="2">
        <v>4.7847</v>
      </c>
      <c r="B5601" t="s">
        <v>526</v>
      </c>
      <c r="C5601" t="s">
        <v>383</v>
      </c>
      <c r="D5601" t="s">
        <v>383</v>
      </c>
    </row>
    <row r="5602" spans="1:4">
      <c r="A5602" s="2">
        <v>0.8432414200185513</v>
      </c>
      <c r="B5602" t="s">
        <v>527</v>
      </c>
      <c r="C5602" t="s">
        <v>383</v>
      </c>
      <c r="D5602" t="s">
        <v>383</v>
      </c>
    </row>
    <row r="5603" spans="1:4">
      <c r="A5603" s="2">
        <v>1.673416111650323</v>
      </c>
      <c r="B5603" t="s">
        <v>528</v>
      </c>
      <c r="C5603" t="s">
        <v>383</v>
      </c>
      <c r="D5603" t="s">
        <v>383</v>
      </c>
    </row>
    <row r="5604" spans="1:4">
      <c r="A5604" s="2">
        <v>0.08826670668090703</v>
      </c>
      <c r="B5604" t="s">
        <v>529</v>
      </c>
      <c r="C5604" t="s">
        <v>383</v>
      </c>
      <c r="D5604" t="s">
        <v>383</v>
      </c>
    </row>
    <row r="5605" spans="1:4">
      <c r="A5605" s="2">
        <v>0.4144047076374788</v>
      </c>
      <c r="B5605" t="s">
        <v>530</v>
      </c>
      <c r="C5605" t="s">
        <v>383</v>
      </c>
      <c r="D5605" t="s">
        <v>383</v>
      </c>
    </row>
    <row r="5606" spans="1:4">
      <c r="A5606" s="2">
        <v>0.004402958788305741</v>
      </c>
      <c r="B5606" t="s">
        <v>531</v>
      </c>
      <c r="C5606" t="s">
        <v>383</v>
      </c>
      <c r="D5606" t="s">
        <v>383</v>
      </c>
    </row>
    <row r="5607" spans="1:4">
      <c r="A5607" s="2">
        <v>1.8510634359439495</v>
      </c>
      <c r="B5607" t="s">
        <v>532</v>
      </c>
      <c r="C5607" t="s">
        <v>383</v>
      </c>
      <c r="D5607" t="s">
        <v>383</v>
      </c>
    </row>
    <row r="5608" spans="1:4">
      <c r="A5608" s="2">
        <v>1.810380723066061</v>
      </c>
      <c r="B5608" t="s">
        <v>533</v>
      </c>
      <c r="C5608" t="s">
        <v>383</v>
      </c>
      <c r="D5608" t="s">
        <v>383</v>
      </c>
    </row>
    <row r="5609" spans="1:4">
      <c r="A5609" s="2">
        <v>0.02196117703124417</v>
      </c>
      <c r="B5609" t="s">
        <v>534</v>
      </c>
      <c r="C5609" t="s">
        <v>383</v>
      </c>
      <c r="D5609" t="s">
        <v>383</v>
      </c>
    </row>
    <row r="5610" spans="1:4">
      <c r="A5610" s="2">
        <v>1.812119454914468</v>
      </c>
      <c r="B5610" t="s">
        <v>535</v>
      </c>
      <c r="C5610" t="s">
        <v>383</v>
      </c>
      <c r="D5610" t="s">
        <v>383</v>
      </c>
    </row>
    <row r="5611" spans="1:4">
      <c r="A5611" s="2">
        <v>1.039176971838304</v>
      </c>
      <c r="B5611" t="s">
        <v>536</v>
      </c>
      <c r="C5611" t="s">
        <v>383</v>
      </c>
      <c r="D5611" t="s">
        <v>383</v>
      </c>
    </row>
    <row r="5612" spans="1:4">
      <c r="A5612" s="2">
        <v>0.7003291547027103</v>
      </c>
      <c r="B5612" t="s">
        <v>537</v>
      </c>
      <c r="C5612" t="s">
        <v>383</v>
      </c>
      <c r="D5612" t="s">
        <v>383</v>
      </c>
    </row>
    <row r="5613" spans="1:4">
      <c r="A5613" s="2">
        <v>0.684931506849315</v>
      </c>
      <c r="B5613" t="s">
        <v>538</v>
      </c>
      <c r="C5613" t="s">
        <v>383</v>
      </c>
      <c r="D5613" t="s">
        <v>383</v>
      </c>
    </row>
    <row r="5614" spans="1:4">
      <c r="A5614" s="2">
        <v>0.1458078777080168</v>
      </c>
      <c r="B5614" t="s">
        <v>539</v>
      </c>
      <c r="C5614" t="s">
        <v>383</v>
      </c>
      <c r="D5614" t="s">
        <v>383</v>
      </c>
    </row>
    <row r="5615" spans="1:4">
      <c r="A5615" s="2">
        <v>0.38968124074507055</v>
      </c>
      <c r="B5615" t="s">
        <v>540</v>
      </c>
      <c r="C5615" t="s">
        <v>383</v>
      </c>
      <c r="D5615" t="s">
        <v>383</v>
      </c>
    </row>
    <row r="5616" spans="1:4">
      <c r="A5616" s="2">
        <v>0.20424419435877533</v>
      </c>
      <c r="B5616" t="s">
        <v>541</v>
      </c>
      <c r="C5616" t="s">
        <v>383</v>
      </c>
      <c r="D5616" t="s">
        <v>383</v>
      </c>
    </row>
    <row r="5617" spans="1:4">
      <c r="A5617" s="2">
        <v>1</v>
      </c>
      <c r="B5617" t="s">
        <v>542</v>
      </c>
      <c r="C5617" t="s">
        <v>383</v>
      </c>
      <c r="D5617" t="s">
        <v>383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7" width="12.7109375" customWidth="1"/>
  </cols>
  <sheetData>
    <row r="1" spans="1:27">
      <c r="A1" s="1" t="s">
        <v>18</v>
      </c>
      <c r="B1" s="1" t="s">
        <v>532</v>
      </c>
      <c r="C1" s="1" t="s">
        <v>522</v>
      </c>
      <c r="D1" s="1" t="s">
        <v>526</v>
      </c>
      <c r="E1" s="1" t="s">
        <v>525</v>
      </c>
      <c r="F1" s="1" t="s">
        <v>542</v>
      </c>
      <c r="G1" s="1" t="s">
        <v>536</v>
      </c>
      <c r="H1" s="1" t="s">
        <v>373</v>
      </c>
      <c r="I1" s="1" t="s">
        <v>521</v>
      </c>
      <c r="J1" s="1" t="s">
        <v>370</v>
      </c>
      <c r="K1" s="1" t="s">
        <v>534</v>
      </c>
      <c r="L1" s="1" t="s">
        <v>520</v>
      </c>
      <c r="M1" s="1" t="s">
        <v>531</v>
      </c>
      <c r="N1" s="1" t="s">
        <v>527</v>
      </c>
      <c r="O1" s="1" t="s">
        <v>540</v>
      </c>
      <c r="P1" s="1" t="s">
        <v>528</v>
      </c>
      <c r="Q1" s="1" t="s">
        <v>538</v>
      </c>
      <c r="R1" s="1" t="s">
        <v>523</v>
      </c>
      <c r="S1" s="1" t="s">
        <v>535</v>
      </c>
      <c r="T1" s="1" t="s">
        <v>529</v>
      </c>
      <c r="U1" s="1" t="s">
        <v>533</v>
      </c>
      <c r="V1" s="1" t="s">
        <v>537</v>
      </c>
      <c r="W1" s="1" t="s">
        <v>524</v>
      </c>
      <c r="X1" s="1" t="s">
        <v>541</v>
      </c>
      <c r="Y1" s="1" t="s">
        <v>539</v>
      </c>
      <c r="Z1" s="1" t="s">
        <v>364</v>
      </c>
      <c r="AA1" s="1" t="s">
        <v>530</v>
      </c>
    </row>
    <row r="2" spans="1:27">
      <c r="A2" t="s">
        <v>519</v>
      </c>
      <c r="B2" s="7">
        <v>1.925669170036588</v>
      </c>
      <c r="C2" s="7">
        <v>4.6133999999999995</v>
      </c>
      <c r="D2" s="7">
        <v>5.0378</v>
      </c>
      <c r="E2" s="7">
        <v>8.8005</v>
      </c>
      <c r="F2" s="7">
        <v>1</v>
      </c>
      <c r="G2" s="7">
        <v>1.098659635245001</v>
      </c>
      <c r="H2" s="7">
        <v>8.205599999999999</v>
      </c>
      <c r="I2" s="7">
        <v>9.3671</v>
      </c>
      <c r="J2" s="7">
        <v>0.90998</v>
      </c>
      <c r="K2" s="7">
        <v>0.02147789387772635</v>
      </c>
      <c r="L2" s="7">
        <v>0.045267</v>
      </c>
      <c r="M2" s="7">
        <v>0.004814636494944632</v>
      </c>
      <c r="N2" s="7">
        <v>0.8828462964597864</v>
      </c>
      <c r="O2" s="7">
        <v>0.38563881068990785</v>
      </c>
      <c r="P2" s="7">
        <v>1.710893257369673</v>
      </c>
      <c r="Q2" s="7">
        <v>0.6935293709688606</v>
      </c>
      <c r="R2" s="7">
        <v>4.0339</v>
      </c>
      <c r="S2" s="7">
        <v>1.9385856079404464</v>
      </c>
      <c r="T2" s="7">
        <v>0.09008846687447074</v>
      </c>
      <c r="U2" s="7">
        <v>1.8857961831485253</v>
      </c>
      <c r="V2" s="7">
        <v>0.7452675510508272</v>
      </c>
      <c r="W2" s="7">
        <v>5.4565</v>
      </c>
      <c r="X2" s="7">
        <v>0.21959682023804297</v>
      </c>
      <c r="Y2" s="7">
        <v>0.16663861583300144</v>
      </c>
      <c r="Z2" s="7">
        <v>7.0779</v>
      </c>
      <c r="AA2" s="7">
        <v>0.4127285484336952</v>
      </c>
    </row>
    <row r="3" spans="1:27">
      <c r="A3" t="s">
        <v>543</v>
      </c>
      <c r="B3" s="7">
        <v>1.926893654739195</v>
      </c>
      <c r="C3" s="7">
        <v>4.6243</v>
      </c>
      <c r="D3" s="7">
        <v>5.046</v>
      </c>
      <c r="E3" s="7">
        <v>8.7971</v>
      </c>
      <c r="F3" s="7">
        <v>1</v>
      </c>
      <c r="G3" s="7">
        <v>1.0990218705352237</v>
      </c>
      <c r="H3" s="7">
        <v>8.207799999999999</v>
      </c>
      <c r="I3" s="7">
        <v>9.3697</v>
      </c>
      <c r="J3" s="7">
        <v>0.9099</v>
      </c>
      <c r="K3" s="7">
        <v>0.02152245545389782</v>
      </c>
      <c r="L3" s="7">
        <v>0.045293</v>
      </c>
      <c r="M3" s="7">
        <v>0.004836057645807138</v>
      </c>
      <c r="N3" s="7">
        <v>0.8826904404625298</v>
      </c>
      <c r="O3" s="7">
        <v>0.38583224014198625</v>
      </c>
      <c r="P3" s="7">
        <v>1.7139723022075963</v>
      </c>
      <c r="Q3" s="7">
        <v>0.6965728615213151</v>
      </c>
      <c r="R3" s="7">
        <v>4.0533</v>
      </c>
      <c r="S3" s="7">
        <v>1.941747572815534</v>
      </c>
      <c r="T3" s="7">
        <v>0.09079765742043856</v>
      </c>
      <c r="U3" s="7">
        <v>1.8865076969514032</v>
      </c>
      <c r="V3" s="7">
        <v>0.7471049682480388</v>
      </c>
      <c r="W3" s="7">
        <v>5.4589</v>
      </c>
      <c r="X3" s="7">
        <v>0.2196547028071871</v>
      </c>
      <c r="Y3" s="7">
        <v>0.16657421797569016</v>
      </c>
      <c r="Z3" s="7">
        <v>7.0789</v>
      </c>
      <c r="AA3" s="7">
        <v>0.4126263668248401</v>
      </c>
    </row>
    <row r="4" spans="1:27">
      <c r="A4" t="s">
        <v>544</v>
      </c>
      <c r="B4" s="7">
        <v>1.926893654739195</v>
      </c>
      <c r="C4" s="7">
        <v>4.6243</v>
      </c>
      <c r="D4" s="7">
        <v>5.046</v>
      </c>
      <c r="E4" s="7">
        <v>8.7971</v>
      </c>
      <c r="F4" s="7">
        <v>1</v>
      </c>
      <c r="G4" s="7">
        <v>1.0990218705352237</v>
      </c>
      <c r="H4" s="7">
        <v>8.207799999999999</v>
      </c>
      <c r="I4" s="7">
        <v>9.3697</v>
      </c>
      <c r="J4" s="7">
        <v>0.9099</v>
      </c>
      <c r="K4" s="7">
        <v>0.02152245545389782</v>
      </c>
      <c r="L4" s="7">
        <v>0.045293</v>
      </c>
      <c r="M4" s="7">
        <v>0.004836057645807138</v>
      </c>
      <c r="N4" s="7">
        <v>0.8826904404625298</v>
      </c>
      <c r="O4" s="7">
        <v>0.38583224014198625</v>
      </c>
      <c r="P4" s="7">
        <v>1.7139723022075963</v>
      </c>
      <c r="Q4" s="7">
        <v>0.6965728615213151</v>
      </c>
      <c r="R4" s="7">
        <v>4.0533</v>
      </c>
      <c r="S4" s="7">
        <v>1.941747572815534</v>
      </c>
      <c r="T4" s="7">
        <v>0.09079765742043856</v>
      </c>
      <c r="U4" s="7">
        <v>1.8865076969514032</v>
      </c>
      <c r="V4" s="7">
        <v>0.7471049682480388</v>
      </c>
      <c r="W4" s="7">
        <v>5.4589</v>
      </c>
      <c r="X4" s="7">
        <v>0.2196547028071871</v>
      </c>
      <c r="Y4" s="7">
        <v>0.16657421797569016</v>
      </c>
      <c r="Z4" s="7">
        <v>7.0789</v>
      </c>
      <c r="AA4" s="7">
        <v>0.4126263668248401</v>
      </c>
    </row>
    <row r="5" spans="1:27">
      <c r="A5" t="s">
        <v>545</v>
      </c>
      <c r="B5" s="7">
        <v>1.926893654739195</v>
      </c>
      <c r="C5" s="7">
        <v>4.6243</v>
      </c>
      <c r="D5" s="7">
        <v>5.046</v>
      </c>
      <c r="E5" s="7">
        <v>8.7971</v>
      </c>
      <c r="F5" s="7">
        <v>1</v>
      </c>
      <c r="G5" s="7">
        <v>1.0990218705352237</v>
      </c>
      <c r="H5" s="7">
        <v>8.207799999999999</v>
      </c>
      <c r="I5" s="7">
        <v>9.3697</v>
      </c>
      <c r="J5" s="7">
        <v>0.9099</v>
      </c>
      <c r="K5" s="7">
        <v>0.02152245545389782</v>
      </c>
      <c r="L5" s="7">
        <v>0.045293</v>
      </c>
      <c r="M5" s="7">
        <v>0.004836057645807138</v>
      </c>
      <c r="N5" s="7">
        <v>0.8826904404625298</v>
      </c>
      <c r="O5" s="7">
        <v>0.38583224014198625</v>
      </c>
      <c r="P5" s="7">
        <v>1.7139723022075963</v>
      </c>
      <c r="Q5" s="7">
        <v>0.6965728615213151</v>
      </c>
      <c r="R5" s="7">
        <v>4.0533</v>
      </c>
      <c r="S5" s="7">
        <v>1.941747572815534</v>
      </c>
      <c r="T5" s="7">
        <v>0.09079765742043856</v>
      </c>
      <c r="U5" s="7">
        <v>1.8865076969514032</v>
      </c>
      <c r="V5" s="7">
        <v>0.7471049682480388</v>
      </c>
      <c r="W5" s="7">
        <v>5.4589</v>
      </c>
      <c r="X5" s="7">
        <v>0.2196547028071871</v>
      </c>
      <c r="Y5" s="7">
        <v>0.16657421797569016</v>
      </c>
      <c r="Z5" s="7">
        <v>7.0789</v>
      </c>
      <c r="AA5" s="7">
        <v>0.4126263668248401</v>
      </c>
    </row>
    <row r="6" spans="1:27">
      <c r="A6" t="s">
        <v>546</v>
      </c>
      <c r="B6" s="7">
        <v>1.9255208533908423</v>
      </c>
      <c r="C6" s="7">
        <v>4.630199999999999</v>
      </c>
      <c r="D6" s="7">
        <v>5.0621</v>
      </c>
      <c r="E6" s="7">
        <v>8.8013</v>
      </c>
      <c r="F6" s="7">
        <v>1</v>
      </c>
      <c r="G6" s="7">
        <v>1.0985389432055366</v>
      </c>
      <c r="H6" s="7">
        <v>8.2052</v>
      </c>
      <c r="I6" s="7">
        <v>9.3616</v>
      </c>
      <c r="J6" s="7">
        <v>0.90877</v>
      </c>
      <c r="K6" s="7">
        <v>0.021500567614985037</v>
      </c>
      <c r="L6" s="7">
        <v>0.045331</v>
      </c>
      <c r="M6" s="7">
        <v>0.004819277108433735</v>
      </c>
      <c r="N6" s="7">
        <v>0.8816009873931058</v>
      </c>
      <c r="O6" s="7">
        <v>0.38678734431809386</v>
      </c>
      <c r="P6" s="7">
        <v>1.712592694079567</v>
      </c>
      <c r="Q6" s="7">
        <v>0.6992029086841001</v>
      </c>
      <c r="R6" s="7">
        <v>4.0535000000000005</v>
      </c>
      <c r="S6" s="7">
        <v>1.937458828999884</v>
      </c>
      <c r="T6" s="7">
        <v>0.09125669596006608</v>
      </c>
      <c r="U6" s="7">
        <v>1.8854050792812835</v>
      </c>
      <c r="V6" s="7">
        <v>0.7485029940119761</v>
      </c>
      <c r="W6" s="7">
        <v>5.456900000000001</v>
      </c>
      <c r="X6" s="7">
        <v>0.2201091741503786</v>
      </c>
      <c r="Y6" s="7">
        <v>0.1664483419248419</v>
      </c>
      <c r="Z6" s="7">
        <v>7.075900000000001</v>
      </c>
      <c r="AA6" s="7">
        <v>0.41324021653787346</v>
      </c>
    </row>
    <row r="7" spans="1:27">
      <c r="A7" t="s">
        <v>547</v>
      </c>
      <c r="B7" s="7">
        <v>1.926299770770327</v>
      </c>
      <c r="C7" s="7">
        <v>4.6292</v>
      </c>
      <c r="D7" s="7">
        <v>5.0539</v>
      </c>
      <c r="E7" s="7">
        <v>8.7915</v>
      </c>
      <c r="F7" s="7">
        <v>1</v>
      </c>
      <c r="G7" s="7">
        <v>1.0995052226498077</v>
      </c>
      <c r="H7" s="7">
        <v>8.2113</v>
      </c>
      <c r="I7" s="7">
        <v>9.3451</v>
      </c>
      <c r="J7" s="7">
        <v>0.9088</v>
      </c>
      <c r="K7" s="7">
        <v>0.021563714306661895</v>
      </c>
      <c r="L7" s="7">
        <v>0.045495</v>
      </c>
      <c r="M7" s="7">
        <v>0.004809542131589073</v>
      </c>
      <c r="N7" s="7">
        <v>0.8819119851838787</v>
      </c>
      <c r="O7" s="7">
        <v>0.3864734299516908</v>
      </c>
      <c r="P7" s="7">
        <v>1.7131207921470544</v>
      </c>
      <c r="Q7" s="7">
        <v>0.6983727913960472</v>
      </c>
      <c r="R7" s="7">
        <v>4.0512</v>
      </c>
      <c r="S7" s="7">
        <v>1.942351021676637</v>
      </c>
      <c r="T7" s="7">
        <v>0.09102742656362364</v>
      </c>
      <c r="U7" s="7">
        <v>1.8849786054928277</v>
      </c>
      <c r="V7" s="7">
        <v>0.7483349547257353</v>
      </c>
      <c r="W7" s="7">
        <v>5.4576</v>
      </c>
      <c r="X7" s="7">
        <v>0.22106287028030772</v>
      </c>
      <c r="Y7" s="7">
        <v>0.1666872247577201</v>
      </c>
      <c r="Z7" s="7">
        <v>7.079400000000001</v>
      </c>
      <c r="AA7" s="7">
        <v>0.4139929621196439</v>
      </c>
    </row>
    <row r="8" spans="1:27">
      <c r="A8" t="s">
        <v>548</v>
      </c>
      <c r="B8" s="7">
        <v>1.9245943917319424</v>
      </c>
      <c r="C8" s="7">
        <v>4.6437</v>
      </c>
      <c r="D8" s="7">
        <v>5.0588999999999995</v>
      </c>
      <c r="E8" s="7">
        <v>8.8047</v>
      </c>
      <c r="F8" s="7">
        <v>1</v>
      </c>
      <c r="G8" s="7">
        <v>1.100473203477495</v>
      </c>
      <c r="H8" s="7">
        <v>8.221</v>
      </c>
      <c r="I8" s="7">
        <v>9.3429</v>
      </c>
      <c r="J8" s="7">
        <v>0.90897</v>
      </c>
      <c r="K8" s="7">
        <v>0.021577254121794967</v>
      </c>
      <c r="L8" s="7">
        <v>0.04536</v>
      </c>
      <c r="M8" s="7">
        <v>0.004814404698858986</v>
      </c>
      <c r="N8" s="7">
        <v>0.8821453775582216</v>
      </c>
      <c r="O8" s="7">
        <v>0.3867723844517501</v>
      </c>
      <c r="P8" s="7">
        <v>1.7116546565564932</v>
      </c>
      <c r="Q8" s="7">
        <v>0.6979341150195422</v>
      </c>
      <c r="R8" s="7">
        <v>4.0567</v>
      </c>
      <c r="S8" s="7">
        <v>1.941747572815534</v>
      </c>
      <c r="T8" s="7">
        <v>0.09126252578166354</v>
      </c>
      <c r="U8" s="7">
        <v>1.8830973184694184</v>
      </c>
      <c r="V8" s="7">
        <v>0.7498500299940011</v>
      </c>
      <c r="W8" s="7">
        <v>5.454400000000001</v>
      </c>
      <c r="X8" s="7">
        <v>0.2209212415773777</v>
      </c>
      <c r="Y8" s="7">
        <v>0.1664175949994841</v>
      </c>
      <c r="Z8" s="7">
        <v>7.075399999999999</v>
      </c>
      <c r="AA8" s="7">
        <v>0.4131207138725936</v>
      </c>
    </row>
    <row r="9" spans="1:27">
      <c r="A9" t="s">
        <v>549</v>
      </c>
      <c r="B9" s="7">
        <v>1.9215618454679968</v>
      </c>
      <c r="C9" s="7">
        <v>4.6586</v>
      </c>
      <c r="D9" s="7">
        <v>5.0597</v>
      </c>
      <c r="E9" s="7">
        <v>8.8252</v>
      </c>
      <c r="F9" s="7">
        <v>1</v>
      </c>
      <c r="G9" s="7">
        <v>1.102535832414553</v>
      </c>
      <c r="H9" s="7">
        <v>8.2373</v>
      </c>
      <c r="I9" s="7">
        <v>9.4207</v>
      </c>
      <c r="J9" s="7">
        <v>0.90891</v>
      </c>
      <c r="K9" s="7">
        <v>0.02163584280262053</v>
      </c>
      <c r="L9" s="7">
        <v>0.045468</v>
      </c>
      <c r="M9" s="7">
        <v>0.004813941173638858</v>
      </c>
      <c r="N9" s="7">
        <v>0.8819897689186805</v>
      </c>
      <c r="O9" s="7">
        <v>0.3860854793251226</v>
      </c>
      <c r="P9" s="7">
        <v>1.714207350521119</v>
      </c>
      <c r="Q9" s="7">
        <v>0.7012622720897616</v>
      </c>
      <c r="R9" s="7">
        <v>4.0714999999999995</v>
      </c>
      <c r="S9" s="7">
        <v>1.94984986156066</v>
      </c>
      <c r="T9" s="7">
        <v>0.09137760883073212</v>
      </c>
      <c r="U9" s="7">
        <v>1.8808305747818237</v>
      </c>
      <c r="V9" s="7">
        <v>0.7528419784687194</v>
      </c>
      <c r="W9" s="7">
        <v>5.4573</v>
      </c>
      <c r="X9" s="7">
        <v>0.22134667315950243</v>
      </c>
      <c r="Y9" s="7">
        <v>0.16629914555499012</v>
      </c>
      <c r="Z9" s="7">
        <v>7.073300000000001</v>
      </c>
      <c r="AA9" s="7">
        <v>0.4143016944939305</v>
      </c>
    </row>
    <row r="10" spans="1:27">
      <c r="A10" t="s">
        <v>550</v>
      </c>
      <c r="B10" s="7">
        <v>1.9258916878514751</v>
      </c>
      <c r="C10" s="7">
        <v>4.6754</v>
      </c>
      <c r="D10" s="7">
        <v>5.0682</v>
      </c>
      <c r="E10" s="7">
        <v>8.8016</v>
      </c>
      <c r="F10" s="7">
        <v>1</v>
      </c>
      <c r="G10" s="7">
        <v>1.102779003087781</v>
      </c>
      <c r="H10" s="7">
        <v>8.2376</v>
      </c>
      <c r="I10" s="7">
        <v>9.4269</v>
      </c>
      <c r="J10" s="7">
        <v>0.90906</v>
      </c>
      <c r="K10" s="7">
        <v>0.02150819784961038</v>
      </c>
      <c r="L10" s="7">
        <v>0.045597000000000006</v>
      </c>
      <c r="M10" s="7">
        <v>0.004799155348658636</v>
      </c>
      <c r="N10" s="7">
        <v>0.88261253309797</v>
      </c>
      <c r="O10" s="7">
        <v>0.38791264207300513</v>
      </c>
      <c r="P10" s="7">
        <v>1.7198383351964914</v>
      </c>
      <c r="Q10" s="7">
        <v>0.6993006993006993</v>
      </c>
      <c r="R10" s="7">
        <v>4.0767</v>
      </c>
      <c r="S10" s="7">
        <v>1.9453360568038127</v>
      </c>
      <c r="T10" s="7">
        <v>0.09222369780138703</v>
      </c>
      <c r="U10" s="7">
        <v>1.8847654409408747</v>
      </c>
      <c r="V10" s="7">
        <v>0.7505817008181341</v>
      </c>
      <c r="W10" s="7">
        <v>5.4573</v>
      </c>
      <c r="X10" s="7">
        <v>0.22079441831710492</v>
      </c>
      <c r="Y10" s="7">
        <v>0.16645138953619987</v>
      </c>
      <c r="Z10" s="7">
        <v>7.0749</v>
      </c>
      <c r="AA10" s="7">
        <v>0.4163717366865137</v>
      </c>
    </row>
    <row r="11" spans="1:27">
      <c r="A11" t="s">
        <v>551</v>
      </c>
      <c r="B11" s="7">
        <v>1.9258916878514751</v>
      </c>
      <c r="C11" s="7">
        <v>4.6754</v>
      </c>
      <c r="D11" s="7">
        <v>5.0682</v>
      </c>
      <c r="E11" s="7">
        <v>8.8016</v>
      </c>
      <c r="F11" s="7">
        <v>1</v>
      </c>
      <c r="G11" s="7">
        <v>1.102779003087781</v>
      </c>
      <c r="H11" s="7">
        <v>8.2376</v>
      </c>
      <c r="I11" s="7">
        <v>9.4269</v>
      </c>
      <c r="J11" s="7">
        <v>0.90906</v>
      </c>
      <c r="K11" s="7">
        <v>0.02150819784961038</v>
      </c>
      <c r="L11" s="7">
        <v>0.045597000000000006</v>
      </c>
      <c r="M11" s="7">
        <v>0.004799155348658636</v>
      </c>
      <c r="N11" s="7">
        <v>0.88261253309797</v>
      </c>
      <c r="O11" s="7">
        <v>0.38791264207300513</v>
      </c>
      <c r="P11" s="7">
        <v>1.7198383351964914</v>
      </c>
      <c r="Q11" s="7">
        <v>0.6993006993006993</v>
      </c>
      <c r="R11" s="7">
        <v>4.0767</v>
      </c>
      <c r="S11" s="7">
        <v>1.9453360568038127</v>
      </c>
      <c r="T11" s="7">
        <v>0.09222369780138703</v>
      </c>
      <c r="U11" s="7">
        <v>1.8847654409408747</v>
      </c>
      <c r="V11" s="7">
        <v>0.7505817008181341</v>
      </c>
      <c r="W11" s="7">
        <v>5.4573</v>
      </c>
      <c r="X11" s="7">
        <v>0.22079441831710492</v>
      </c>
      <c r="Y11" s="7">
        <v>0.16645138953619987</v>
      </c>
      <c r="Z11" s="7">
        <v>7.0749</v>
      </c>
      <c r="AA11" s="7">
        <v>0.4163717366865137</v>
      </c>
    </row>
    <row r="12" spans="1:27">
      <c r="A12" t="s">
        <v>552</v>
      </c>
      <c r="B12" s="7">
        <v>1.9258916878514751</v>
      </c>
      <c r="C12" s="7">
        <v>4.6754</v>
      </c>
      <c r="D12" s="7">
        <v>5.0682</v>
      </c>
      <c r="E12" s="7">
        <v>8.8016</v>
      </c>
      <c r="F12" s="7">
        <v>1</v>
      </c>
      <c r="G12" s="7">
        <v>1.102779003087781</v>
      </c>
      <c r="H12" s="7">
        <v>8.2376</v>
      </c>
      <c r="I12" s="7">
        <v>9.4269</v>
      </c>
      <c r="J12" s="7">
        <v>0.90906</v>
      </c>
      <c r="K12" s="7">
        <v>0.02150819784961038</v>
      </c>
      <c r="L12" s="7">
        <v>0.045597000000000006</v>
      </c>
      <c r="M12" s="7">
        <v>0.004799155348658636</v>
      </c>
      <c r="N12" s="7">
        <v>0.88261253309797</v>
      </c>
      <c r="O12" s="7">
        <v>0.38791264207300513</v>
      </c>
      <c r="P12" s="7">
        <v>1.7198383351964914</v>
      </c>
      <c r="Q12" s="7">
        <v>0.6993006993006993</v>
      </c>
      <c r="R12" s="7">
        <v>4.0767</v>
      </c>
      <c r="S12" s="7">
        <v>1.9453360568038127</v>
      </c>
      <c r="T12" s="7">
        <v>0.09222369780138703</v>
      </c>
      <c r="U12" s="7">
        <v>1.8847654409408747</v>
      </c>
      <c r="V12" s="7">
        <v>0.7505817008181341</v>
      </c>
      <c r="W12" s="7">
        <v>5.4573</v>
      </c>
      <c r="X12" s="7">
        <v>0.22079441831710492</v>
      </c>
      <c r="Y12" s="7">
        <v>0.16645138953619987</v>
      </c>
      <c r="Z12" s="7">
        <v>7.0749</v>
      </c>
      <c r="AA12" s="7">
        <v>0.4163717366865137</v>
      </c>
    </row>
    <row r="13" spans="1:27">
      <c r="A13" t="s">
        <v>553</v>
      </c>
      <c r="B13" s="7">
        <v>1.9258916878514751</v>
      </c>
      <c r="C13" s="7">
        <v>4.6954</v>
      </c>
      <c r="D13" s="7">
        <v>5.1152999999999995</v>
      </c>
      <c r="E13" s="7">
        <v>8.7914</v>
      </c>
      <c r="F13" s="7">
        <v>1</v>
      </c>
      <c r="G13" s="7">
        <v>1.102779003087781</v>
      </c>
      <c r="H13" s="7">
        <v>8.237400000000001</v>
      </c>
      <c r="I13" s="7">
        <v>9.4271</v>
      </c>
      <c r="J13" s="7">
        <v>0.90919</v>
      </c>
      <c r="K13" s="7">
        <v>0.02158177117279661</v>
      </c>
      <c r="L13" s="7">
        <v>0.045563</v>
      </c>
      <c r="M13" s="7">
        <v>0.004805151122002787</v>
      </c>
      <c r="N13" s="7">
        <v>0.882223202470225</v>
      </c>
      <c r="O13" s="7">
        <v>0.3891959212267456</v>
      </c>
      <c r="P13" s="7">
        <v>1.7200749952697938</v>
      </c>
      <c r="Q13" s="7">
        <v>0.699741095794556</v>
      </c>
      <c r="R13" s="7">
        <v>4.0861</v>
      </c>
      <c r="S13" s="7">
        <v>1.947685176168124</v>
      </c>
      <c r="T13" s="7">
        <v>0.09247015525739068</v>
      </c>
      <c r="U13" s="7">
        <v>1.8846233580218992</v>
      </c>
      <c r="V13" s="7">
        <v>0.7526153383005946</v>
      </c>
      <c r="W13" s="7">
        <v>5.4599</v>
      </c>
      <c r="X13" s="7">
        <v>0.22161647053609024</v>
      </c>
      <c r="Y13" s="7">
        <v>0.16623418073977533</v>
      </c>
      <c r="Z13" s="7">
        <v>7.0764</v>
      </c>
      <c r="AA13" s="7">
        <v>0.4177109440267335</v>
      </c>
    </row>
    <row r="14" spans="1:27">
      <c r="A14" t="s">
        <v>554</v>
      </c>
      <c r="B14" s="7">
        <v>1.92648532018186</v>
      </c>
      <c r="C14" s="7">
        <v>4.688</v>
      </c>
      <c r="D14" s="7">
        <v>5.1092</v>
      </c>
      <c r="E14" s="7">
        <v>8.7713</v>
      </c>
      <c r="F14" s="7">
        <v>1</v>
      </c>
      <c r="G14" s="7">
        <v>1.102779003087781</v>
      </c>
      <c r="H14" s="7">
        <v>8.2372</v>
      </c>
      <c r="I14" s="7">
        <v>9.4298</v>
      </c>
      <c r="J14" s="7">
        <v>0.90981</v>
      </c>
      <c r="K14" s="7">
        <v>0.02141611948481383</v>
      </c>
      <c r="L14" s="7">
        <v>0.045391</v>
      </c>
      <c r="M14" s="7">
        <v>0.004812087964967999</v>
      </c>
      <c r="N14" s="7">
        <v>0.8833141948591114</v>
      </c>
      <c r="O14" s="7">
        <v>0.3874016968194321</v>
      </c>
      <c r="P14" s="7">
        <v>1.7194834671664634</v>
      </c>
      <c r="Q14" s="7">
        <v>0.6989585517578808</v>
      </c>
      <c r="R14" s="7">
        <v>4.0869</v>
      </c>
      <c r="S14" s="7">
        <v>1.94352127184032</v>
      </c>
      <c r="T14" s="7">
        <v>0.0921871398939848</v>
      </c>
      <c r="U14" s="7">
        <v>1.885333986915782</v>
      </c>
      <c r="V14" s="7">
        <v>0.7531821947729155</v>
      </c>
      <c r="W14" s="7">
        <v>5.453200000000001</v>
      </c>
      <c r="X14" s="7">
        <v>0.22171965766484855</v>
      </c>
      <c r="Y14" s="7">
        <v>0.166312144611736</v>
      </c>
      <c r="Z14" s="7">
        <v>7.0773</v>
      </c>
      <c r="AA14" s="7">
        <v>0.4152651467962294</v>
      </c>
    </row>
    <row r="15" spans="1:27">
      <c r="A15" t="s">
        <v>555</v>
      </c>
      <c r="B15" s="7">
        <v>1.926114257097731</v>
      </c>
      <c r="C15" s="7">
        <v>4.6973</v>
      </c>
      <c r="D15" s="7">
        <v>5.1093</v>
      </c>
      <c r="E15" s="7">
        <v>8.7759</v>
      </c>
      <c r="F15" s="7">
        <v>1</v>
      </c>
      <c r="G15" s="7">
        <v>1.1013215859030838</v>
      </c>
      <c r="H15" s="7">
        <v>8.2258</v>
      </c>
      <c r="I15" s="7">
        <v>9.4107</v>
      </c>
      <c r="J15" s="7">
        <v>0.90928</v>
      </c>
      <c r="K15" s="7">
        <v>0.021435997470552297</v>
      </c>
      <c r="L15" s="7">
        <v>0.045096</v>
      </c>
      <c r="M15" s="7">
        <v>0.004810930433945925</v>
      </c>
      <c r="N15" s="7">
        <v>0.882223202470225</v>
      </c>
      <c r="O15" s="7">
        <v>0.3886664852889735</v>
      </c>
      <c r="P15" s="7">
        <v>1.7188332559858368</v>
      </c>
      <c r="Q15" s="7">
        <v>0.6970584134950508</v>
      </c>
      <c r="R15" s="7">
        <v>4.0877</v>
      </c>
      <c r="S15" s="7">
        <v>1.9453739008637456</v>
      </c>
      <c r="T15" s="7">
        <v>0.09147791723078048</v>
      </c>
      <c r="U15" s="7">
        <v>1.8850496710588325</v>
      </c>
      <c r="V15" s="7">
        <v>0.7558007709167863</v>
      </c>
      <c r="W15" s="7">
        <v>5.455</v>
      </c>
      <c r="X15" s="7">
        <v>0.22226173541963015</v>
      </c>
      <c r="Y15" s="7">
        <v>0.16623860226583215</v>
      </c>
      <c r="Z15" s="7">
        <v>7.0752999999999995</v>
      </c>
      <c r="AA15" s="7">
        <v>0.4148861137617724</v>
      </c>
    </row>
    <row r="16" spans="1:27">
      <c r="A16" t="s">
        <v>556</v>
      </c>
      <c r="B16" s="7">
        <v>1.921451079855507</v>
      </c>
      <c r="C16" s="7">
        <v>4.7084</v>
      </c>
      <c r="D16" s="7">
        <v>5.1167</v>
      </c>
      <c r="E16" s="7">
        <v>8.8282</v>
      </c>
      <c r="F16" s="7">
        <v>1</v>
      </c>
      <c r="G16" s="7">
        <v>1.105583195135434</v>
      </c>
      <c r="H16" s="7">
        <v>8.2593</v>
      </c>
      <c r="I16" s="7">
        <v>9.4482</v>
      </c>
      <c r="J16" s="7">
        <v>0.90862</v>
      </c>
      <c r="K16" s="7">
        <v>0.02158885324329342</v>
      </c>
      <c r="L16" s="7">
        <v>0.045304</v>
      </c>
      <c r="M16" s="7">
        <v>0.004807230074031344</v>
      </c>
      <c r="N16" s="7">
        <v>0.8820675663755844</v>
      </c>
      <c r="O16" s="7">
        <v>0.38878737218615145</v>
      </c>
      <c r="P16" s="7">
        <v>1.7170034855170755</v>
      </c>
      <c r="Q16" s="7">
        <v>0.6995942353435007</v>
      </c>
      <c r="R16" s="7">
        <v>4.1015</v>
      </c>
      <c r="S16" s="7">
        <v>1.9550724354337328</v>
      </c>
      <c r="T16" s="7">
        <v>0.09008116312797831</v>
      </c>
      <c r="U16" s="7">
        <v>1.880759826970096</v>
      </c>
      <c r="V16" s="7">
        <v>0.7617306520414382</v>
      </c>
      <c r="W16" s="7">
        <v>5.464600000000001</v>
      </c>
      <c r="X16" s="7">
        <v>0.22227161591464772</v>
      </c>
      <c r="Y16" s="7">
        <v>0.1656375056316752</v>
      </c>
      <c r="Z16" s="7">
        <v>7.0686</v>
      </c>
      <c r="AA16" s="7">
        <v>0.4169446297531688</v>
      </c>
    </row>
    <row r="17" spans="1:27">
      <c r="A17" t="s">
        <v>557</v>
      </c>
      <c r="B17" s="7">
        <v>1.9204916458613408</v>
      </c>
      <c r="C17" s="7">
        <v>4.6996</v>
      </c>
      <c r="D17" s="7">
        <v>5.120299999999999</v>
      </c>
      <c r="E17" s="7">
        <v>8.8751</v>
      </c>
      <c r="F17" s="7">
        <v>1</v>
      </c>
      <c r="G17" s="7">
        <v>1.1086474501108647</v>
      </c>
      <c r="H17" s="7">
        <v>8.2842</v>
      </c>
      <c r="I17" s="7">
        <v>9.4468</v>
      </c>
      <c r="J17" s="7">
        <v>0.90779</v>
      </c>
      <c r="K17" s="7">
        <v>0.021625315459289265</v>
      </c>
      <c r="L17" s="7">
        <v>0.045343999999999995</v>
      </c>
      <c r="M17" s="7">
        <v>0.0047920260686218135</v>
      </c>
      <c r="N17" s="7">
        <v>0.8807468733485996</v>
      </c>
      <c r="O17" s="7">
        <v>0.39128223187385064</v>
      </c>
      <c r="P17" s="7">
        <v>1.7182721055706385</v>
      </c>
      <c r="Q17" s="7">
        <v>0.7007217433956975</v>
      </c>
      <c r="R17" s="7">
        <v>4.097300000000001</v>
      </c>
      <c r="S17" s="7">
        <v>1.959938849907883</v>
      </c>
      <c r="T17" s="7">
        <v>0.08840560491535163</v>
      </c>
      <c r="U17" s="7">
        <v>1.8795579279753405</v>
      </c>
      <c r="V17" s="7">
        <v>0.7625438462711607</v>
      </c>
      <c r="W17" s="7">
        <v>5.4632000000000005</v>
      </c>
      <c r="X17" s="7">
        <v>0.22291076881924168</v>
      </c>
      <c r="Y17" s="7">
        <v>0.16542323534763692</v>
      </c>
      <c r="Z17" s="7">
        <v>7.0638</v>
      </c>
      <c r="AA17" s="7">
        <v>0.4184625685232456</v>
      </c>
    </row>
    <row r="18" spans="1:27">
      <c r="A18" t="s">
        <v>558</v>
      </c>
      <c r="B18" s="7">
        <v>1.9204916458613408</v>
      </c>
      <c r="C18" s="7">
        <v>4.6996</v>
      </c>
      <c r="D18" s="7">
        <v>5.120299999999999</v>
      </c>
      <c r="E18" s="7">
        <v>8.8751</v>
      </c>
      <c r="F18" s="7">
        <v>1</v>
      </c>
      <c r="G18" s="7">
        <v>1.1086474501108647</v>
      </c>
      <c r="H18" s="7">
        <v>8.2842</v>
      </c>
      <c r="I18" s="7">
        <v>9.4468</v>
      </c>
      <c r="J18" s="7">
        <v>0.90779</v>
      </c>
      <c r="K18" s="7">
        <v>0.021625315459289265</v>
      </c>
      <c r="L18" s="7">
        <v>0.045343999999999995</v>
      </c>
      <c r="M18" s="7">
        <v>0.0047920260686218135</v>
      </c>
      <c r="N18" s="7">
        <v>0.8807468733485996</v>
      </c>
      <c r="O18" s="7">
        <v>0.39128223187385064</v>
      </c>
      <c r="P18" s="7">
        <v>1.7182721055706385</v>
      </c>
      <c r="Q18" s="7">
        <v>0.7007217433956975</v>
      </c>
      <c r="R18" s="7">
        <v>4.097300000000001</v>
      </c>
      <c r="S18" s="7">
        <v>1.959938849907883</v>
      </c>
      <c r="T18" s="7">
        <v>0.08840560491535163</v>
      </c>
      <c r="U18" s="7">
        <v>1.8795579279753405</v>
      </c>
      <c r="V18" s="7">
        <v>0.7625438462711607</v>
      </c>
      <c r="W18" s="7">
        <v>5.4632000000000005</v>
      </c>
      <c r="X18" s="7">
        <v>0.22291076881924168</v>
      </c>
      <c r="Y18" s="7">
        <v>0.16542323534763692</v>
      </c>
      <c r="Z18" s="7">
        <v>7.0638</v>
      </c>
      <c r="AA18" s="7">
        <v>0.4184625685232456</v>
      </c>
    </row>
    <row r="19" spans="1:27">
      <c r="A19" t="s">
        <v>559</v>
      </c>
      <c r="B19" s="7">
        <v>1.9204916458613408</v>
      </c>
      <c r="C19" s="7">
        <v>4.6996</v>
      </c>
      <c r="D19" s="7">
        <v>5.120299999999999</v>
      </c>
      <c r="E19" s="7">
        <v>8.8751</v>
      </c>
      <c r="F19" s="7">
        <v>1</v>
      </c>
      <c r="G19" s="7">
        <v>1.1086474501108647</v>
      </c>
      <c r="H19" s="7">
        <v>8.2842</v>
      </c>
      <c r="I19" s="7">
        <v>9.4468</v>
      </c>
      <c r="J19" s="7">
        <v>0.90779</v>
      </c>
      <c r="K19" s="7">
        <v>0.021625315459289265</v>
      </c>
      <c r="L19" s="7">
        <v>0.045343999999999995</v>
      </c>
      <c r="M19" s="7">
        <v>0.0047920260686218135</v>
      </c>
      <c r="N19" s="7">
        <v>0.8807468733485996</v>
      </c>
      <c r="O19" s="7">
        <v>0.39128223187385064</v>
      </c>
      <c r="P19" s="7">
        <v>1.7182721055706385</v>
      </c>
      <c r="Q19" s="7">
        <v>0.7007217433956975</v>
      </c>
      <c r="R19" s="7">
        <v>4.097300000000001</v>
      </c>
      <c r="S19" s="7">
        <v>1.959938849907883</v>
      </c>
      <c r="T19" s="7">
        <v>0.08840560491535163</v>
      </c>
      <c r="U19" s="7">
        <v>1.8795579279753405</v>
      </c>
      <c r="V19" s="7">
        <v>0.7625438462711607</v>
      </c>
      <c r="W19" s="7">
        <v>5.4632000000000005</v>
      </c>
      <c r="X19" s="7">
        <v>0.22291076881924168</v>
      </c>
      <c r="Y19" s="7">
        <v>0.16542323534763692</v>
      </c>
      <c r="Z19" s="7">
        <v>7.0638</v>
      </c>
      <c r="AA19" s="7">
        <v>0.4184625685232456</v>
      </c>
    </row>
    <row r="20" spans="1:27">
      <c r="A20" t="s">
        <v>560</v>
      </c>
      <c r="B20" s="7">
        <v>1.921931156425977</v>
      </c>
      <c r="C20" s="7">
        <v>4.6919</v>
      </c>
      <c r="D20" s="7">
        <v>5.1278</v>
      </c>
      <c r="E20" s="7">
        <v>8.8702</v>
      </c>
      <c r="F20" s="7">
        <v>1</v>
      </c>
      <c r="G20" s="7">
        <v>1.1092623405435384</v>
      </c>
      <c r="H20" s="7">
        <v>8.285499999999999</v>
      </c>
      <c r="I20" s="7">
        <v>9.4357</v>
      </c>
      <c r="J20" s="7">
        <v>0.90776</v>
      </c>
      <c r="K20" s="7">
        <v>0.021537752449380897</v>
      </c>
      <c r="L20" s="7">
        <v>0.045303</v>
      </c>
      <c r="M20" s="7">
        <v>0.004780114722753346</v>
      </c>
      <c r="N20" s="7">
        <v>0.8807468733485996</v>
      </c>
      <c r="O20" s="7">
        <v>0.39192631785224374</v>
      </c>
      <c r="P20" s="7">
        <v>1.7230684402784475</v>
      </c>
      <c r="Q20" s="7">
        <v>0.6975933031042902</v>
      </c>
      <c r="R20" s="7">
        <v>4.0944</v>
      </c>
      <c r="S20" s="7">
        <v>1.9615535504119264</v>
      </c>
      <c r="T20" s="7">
        <v>0.08816398501212255</v>
      </c>
      <c r="U20" s="7">
        <v>1.8812197829072372</v>
      </c>
      <c r="V20" s="7">
        <v>0.7614986293024673</v>
      </c>
      <c r="W20" s="7">
        <v>5.4653</v>
      </c>
      <c r="X20" s="7">
        <v>0.22356360384529397</v>
      </c>
      <c r="Y20" s="7">
        <v>0.16534473550629383</v>
      </c>
      <c r="Z20" s="7">
        <v>7.0656</v>
      </c>
      <c r="AA20" s="7">
        <v>0.4184625685232456</v>
      </c>
    </row>
    <row r="21" spans="1:27">
      <c r="A21" t="s">
        <v>561</v>
      </c>
      <c r="B21" s="7">
        <v>1.9197174175961296</v>
      </c>
      <c r="C21" s="7">
        <v>4.684200000000001</v>
      </c>
      <c r="D21" s="7">
        <v>5.1208</v>
      </c>
      <c r="E21" s="7">
        <v>8.857899999999999</v>
      </c>
      <c r="F21" s="7">
        <v>1</v>
      </c>
      <c r="G21" s="7">
        <v>1.1096316023080337</v>
      </c>
      <c r="H21" s="7">
        <v>8.2899</v>
      </c>
      <c r="I21" s="7">
        <v>9.4333</v>
      </c>
      <c r="J21" s="7">
        <v>0.90733</v>
      </c>
      <c r="K21" s="7">
        <v>0.021562644874020247</v>
      </c>
      <c r="L21" s="7">
        <v>0.045466</v>
      </c>
      <c r="M21" s="7">
        <v>0.004798925040790863</v>
      </c>
      <c r="N21" s="7">
        <v>0.880514220304658</v>
      </c>
      <c r="O21" s="7">
        <v>0.3924030764401193</v>
      </c>
      <c r="P21" s="7">
        <v>1.7244947230461476</v>
      </c>
      <c r="Q21" s="7">
        <v>0.6950719399457843</v>
      </c>
      <c r="R21" s="7">
        <v>4.0774</v>
      </c>
      <c r="S21" s="7">
        <v>1.9660657059158917</v>
      </c>
      <c r="T21" s="7">
        <v>0.08872484650601555</v>
      </c>
      <c r="U21" s="7">
        <v>1.8792047205622584</v>
      </c>
      <c r="V21" s="7">
        <v>0.7597052343690648</v>
      </c>
      <c r="W21" s="7">
        <v>5.470599999999999</v>
      </c>
      <c r="X21" s="7">
        <v>0.22407457201756745</v>
      </c>
      <c r="Y21" s="7">
        <v>0.16516476837292882</v>
      </c>
      <c r="Z21" s="7">
        <v>7.0602</v>
      </c>
      <c r="AA21" s="7">
        <v>0.4200445247196203</v>
      </c>
    </row>
    <row r="22" spans="1:27">
      <c r="A22" t="s">
        <v>562</v>
      </c>
      <c r="B22" s="7">
        <v>1.9178765271091849</v>
      </c>
      <c r="C22" s="7">
        <v>4.67</v>
      </c>
      <c r="D22" s="7">
        <v>5.1213999999999995</v>
      </c>
      <c r="E22" s="7">
        <v>8.8606</v>
      </c>
      <c r="F22" s="7">
        <v>1</v>
      </c>
      <c r="G22" s="7">
        <v>1.1079104808331486</v>
      </c>
      <c r="H22" s="7">
        <v>8.2803</v>
      </c>
      <c r="I22" s="7">
        <v>9.4581</v>
      </c>
      <c r="J22" s="7">
        <v>0.90719</v>
      </c>
      <c r="K22" s="7">
        <v>0.0214826924688125</v>
      </c>
      <c r="L22" s="7">
        <v>0.045515999999999994</v>
      </c>
      <c r="M22" s="7">
        <v>0.0047794293361372656</v>
      </c>
      <c r="N22" s="7">
        <v>0.8800492827598346</v>
      </c>
      <c r="O22" s="7">
        <v>0.39227993095873215</v>
      </c>
      <c r="P22" s="7">
        <v>1.7270858879812092</v>
      </c>
      <c r="Q22" s="7">
        <v>0.6915629322268326</v>
      </c>
      <c r="R22" s="7">
        <v>4.0709</v>
      </c>
      <c r="S22" s="7">
        <v>1.9653315514327268</v>
      </c>
      <c r="T22" s="7">
        <v>0.0890242056815248</v>
      </c>
      <c r="U22" s="7">
        <v>1.878181169355596</v>
      </c>
      <c r="V22" s="7">
        <v>0.7575183698204682</v>
      </c>
      <c r="W22" s="7">
        <v>5.468</v>
      </c>
      <c r="X22" s="7">
        <v>0.22398924851607124</v>
      </c>
      <c r="Y22" s="7">
        <v>0.16493947545948015</v>
      </c>
      <c r="Z22" s="7">
        <v>7.057300000000001</v>
      </c>
      <c r="AA22" s="7">
        <v>0.42075146211133085</v>
      </c>
    </row>
    <row r="23" spans="1:27">
      <c r="A23" t="s">
        <v>563</v>
      </c>
      <c r="B23" s="7">
        <v>1.9186492709132772</v>
      </c>
      <c r="C23" s="7">
        <v>4.6525</v>
      </c>
      <c r="D23" s="7">
        <v>5.1126</v>
      </c>
      <c r="E23" s="7">
        <v>8.8612</v>
      </c>
      <c r="F23" s="7">
        <v>1</v>
      </c>
      <c r="G23" s="7">
        <v>1.1074197120708749</v>
      </c>
      <c r="H23" s="7">
        <v>8.2759</v>
      </c>
      <c r="I23" s="7">
        <v>9.4251</v>
      </c>
      <c r="J23" s="7">
        <v>0.90736</v>
      </c>
      <c r="K23" s="7">
        <v>0.02128071605353377</v>
      </c>
      <c r="L23" s="7">
        <v>0.045299</v>
      </c>
      <c r="M23" s="7">
        <v>0.004775093114315729</v>
      </c>
      <c r="N23" s="7">
        <v>0.880514220304658</v>
      </c>
      <c r="O23" s="7">
        <v>0.39145071635481093</v>
      </c>
      <c r="P23" s="7">
        <v>1.7241082050309475</v>
      </c>
      <c r="Q23" s="7">
        <v>0.6906077348066297</v>
      </c>
      <c r="R23" s="7">
        <v>4.0645</v>
      </c>
      <c r="S23" s="7">
        <v>1.9648295510364475</v>
      </c>
      <c r="T23" s="7">
        <v>0.0876055647054701</v>
      </c>
      <c r="U23" s="7">
        <v>1.878675158278382</v>
      </c>
      <c r="V23" s="7">
        <v>0.7576331540268202</v>
      </c>
      <c r="W23" s="7">
        <v>5.459700000000001</v>
      </c>
      <c r="X23" s="7">
        <v>0.22378373539811125</v>
      </c>
      <c r="Y23" s="7">
        <v>0.16492941021242907</v>
      </c>
      <c r="Z23" s="7">
        <v>7.0583</v>
      </c>
      <c r="AA23" s="7">
        <v>0.4203623523477238</v>
      </c>
    </row>
    <row r="24" spans="1:27">
      <c r="A24" t="s">
        <v>564</v>
      </c>
      <c r="B24" s="7">
        <v>1.9176558574798168</v>
      </c>
      <c r="C24" s="7">
        <v>4.6578</v>
      </c>
      <c r="D24" s="7">
        <v>5.1131</v>
      </c>
      <c r="E24" s="7">
        <v>8.87</v>
      </c>
      <c r="F24" s="7">
        <v>1</v>
      </c>
      <c r="G24" s="7">
        <v>1.1053387863380126</v>
      </c>
      <c r="H24" s="7">
        <v>8.2616</v>
      </c>
      <c r="I24" s="7">
        <v>9.4267</v>
      </c>
      <c r="J24" s="7">
        <v>0.90675</v>
      </c>
      <c r="K24" s="7">
        <v>0.021313599781748738</v>
      </c>
      <c r="L24" s="7">
        <v>0.045274</v>
      </c>
      <c r="M24" s="7">
        <v>0.004774181227919412</v>
      </c>
      <c r="N24" s="7">
        <v>0.8798944126704795</v>
      </c>
      <c r="O24" s="7">
        <v>0.3917113870500216</v>
      </c>
      <c r="P24" s="7">
        <v>1.725744658820281</v>
      </c>
      <c r="Q24" s="7">
        <v>0.6935293709688606</v>
      </c>
      <c r="R24" s="7">
        <v>4.0655</v>
      </c>
      <c r="S24" s="7">
        <v>1.9656406022722803</v>
      </c>
      <c r="T24" s="7">
        <v>0.08809951721464566</v>
      </c>
      <c r="U24" s="7">
        <v>1.8779342723004695</v>
      </c>
      <c r="V24" s="7">
        <v>0.7590708972218004</v>
      </c>
      <c r="W24" s="7">
        <v>5.4639</v>
      </c>
      <c r="X24" s="7">
        <v>0.2240946575833632</v>
      </c>
      <c r="Y24" s="7">
        <v>0.16464320171755786</v>
      </c>
      <c r="Z24" s="7">
        <v>7.055</v>
      </c>
      <c r="AA24" s="7">
        <v>0.4212477357934201</v>
      </c>
    </row>
    <row r="25" spans="1:27">
      <c r="A25" t="s">
        <v>565</v>
      </c>
      <c r="B25" s="7">
        <v>1.9176558574798168</v>
      </c>
      <c r="C25" s="7">
        <v>4.6578</v>
      </c>
      <c r="D25" s="7">
        <v>5.1131</v>
      </c>
      <c r="E25" s="7">
        <v>8.87</v>
      </c>
      <c r="F25" s="7">
        <v>1</v>
      </c>
      <c r="G25" s="7">
        <v>1.1053387863380126</v>
      </c>
      <c r="H25" s="7">
        <v>8.2616</v>
      </c>
      <c r="I25" s="7">
        <v>9.4267</v>
      </c>
      <c r="J25" s="7">
        <v>0.90675</v>
      </c>
      <c r="K25" s="7">
        <v>0.021313599781748738</v>
      </c>
      <c r="L25" s="7">
        <v>0.045274</v>
      </c>
      <c r="M25" s="7">
        <v>0.004774181227919412</v>
      </c>
      <c r="N25" s="7">
        <v>0.8798944126704795</v>
      </c>
      <c r="O25" s="7">
        <v>0.3917113870500216</v>
      </c>
      <c r="P25" s="7">
        <v>1.725744658820281</v>
      </c>
      <c r="Q25" s="7">
        <v>0.6935293709688606</v>
      </c>
      <c r="R25" s="7">
        <v>4.0655</v>
      </c>
      <c r="S25" s="7">
        <v>1.9656406022722803</v>
      </c>
      <c r="T25" s="7">
        <v>0.08809951721464566</v>
      </c>
      <c r="U25" s="7">
        <v>1.8779342723004695</v>
      </c>
      <c r="V25" s="7">
        <v>0.7590708972218004</v>
      </c>
      <c r="W25" s="7">
        <v>5.4639</v>
      </c>
      <c r="X25" s="7">
        <v>0.2240946575833632</v>
      </c>
      <c r="Y25" s="7">
        <v>0.16464320171755786</v>
      </c>
      <c r="Z25" s="7">
        <v>7.055</v>
      </c>
      <c r="AA25" s="7">
        <v>0.4212477357934201</v>
      </c>
    </row>
    <row r="26" spans="1:27">
      <c r="A26" t="s">
        <v>566</v>
      </c>
      <c r="B26" s="7">
        <v>1.9176558574798168</v>
      </c>
      <c r="C26" s="7">
        <v>4.6578</v>
      </c>
      <c r="D26" s="7">
        <v>5.1131</v>
      </c>
      <c r="E26" s="7">
        <v>8.87</v>
      </c>
      <c r="F26" s="7">
        <v>1</v>
      </c>
      <c r="G26" s="7">
        <v>1.1053387863380126</v>
      </c>
      <c r="H26" s="7">
        <v>8.2616</v>
      </c>
      <c r="I26" s="7">
        <v>9.4267</v>
      </c>
      <c r="J26" s="7">
        <v>0.90675</v>
      </c>
      <c r="K26" s="7">
        <v>0.021313599781748738</v>
      </c>
      <c r="L26" s="7">
        <v>0.045274</v>
      </c>
      <c r="M26" s="7">
        <v>0.004774181227919412</v>
      </c>
      <c r="N26" s="7">
        <v>0.8798944126704795</v>
      </c>
      <c r="O26" s="7">
        <v>0.3917113870500216</v>
      </c>
      <c r="P26" s="7">
        <v>1.725744658820281</v>
      </c>
      <c r="Q26" s="7">
        <v>0.6935293709688606</v>
      </c>
      <c r="R26" s="7">
        <v>4.0655</v>
      </c>
      <c r="S26" s="7">
        <v>1.9656406022722803</v>
      </c>
      <c r="T26" s="7">
        <v>0.08809951721464566</v>
      </c>
      <c r="U26" s="7">
        <v>1.8779342723004695</v>
      </c>
      <c r="V26" s="7">
        <v>0.7590708972218004</v>
      </c>
      <c r="W26" s="7">
        <v>5.4639</v>
      </c>
      <c r="X26" s="7">
        <v>0.2240946575833632</v>
      </c>
      <c r="Y26" s="7">
        <v>0.16464320171755786</v>
      </c>
      <c r="Z26" s="7">
        <v>7.055</v>
      </c>
      <c r="AA26" s="7">
        <v>0.4212477357934201</v>
      </c>
    </row>
    <row r="27" spans="1:27">
      <c r="A27" t="s">
        <v>567</v>
      </c>
      <c r="B27" s="7">
        <v>1.9179500949385295</v>
      </c>
      <c r="C27" s="7">
        <v>4.6575999999999995</v>
      </c>
      <c r="D27" s="7">
        <v>5.1071</v>
      </c>
      <c r="E27" s="7">
        <v>8.8599</v>
      </c>
      <c r="F27" s="7">
        <v>1</v>
      </c>
      <c r="G27" s="7">
        <v>1.104728236853734</v>
      </c>
      <c r="H27" s="7">
        <v>8.2531</v>
      </c>
      <c r="I27" s="7">
        <v>9.4289</v>
      </c>
      <c r="J27" s="7">
        <v>0.90699</v>
      </c>
      <c r="K27" s="7">
        <v>0.02134048097176014</v>
      </c>
      <c r="L27" s="7">
        <v>0.044699</v>
      </c>
      <c r="M27" s="7">
        <v>0.004767125899795013</v>
      </c>
      <c r="N27" s="7">
        <v>0.8805917576611483</v>
      </c>
      <c r="O27" s="7">
        <v>0.39094569764259746</v>
      </c>
      <c r="P27" s="7">
        <v>1.7287578874578615</v>
      </c>
      <c r="Q27" s="7">
        <v>0.6951685783802573</v>
      </c>
      <c r="R27" s="7">
        <v>4.0553</v>
      </c>
      <c r="S27" s="7">
        <v>1.9625929778423252</v>
      </c>
      <c r="T27" s="7">
        <v>0.08753501400560224</v>
      </c>
      <c r="U27" s="7">
        <v>1.878075348382977</v>
      </c>
      <c r="V27" s="7">
        <v>0.7601672367920942</v>
      </c>
      <c r="W27" s="7">
        <v>5.4511</v>
      </c>
      <c r="X27" s="7">
        <v>0.2241901132160072</v>
      </c>
      <c r="Y27" s="7">
        <v>0.16455758692754527</v>
      </c>
      <c r="Z27" s="7">
        <v>7.0572</v>
      </c>
      <c r="AA27" s="7">
        <v>0.42038002354128134</v>
      </c>
    </row>
    <row r="28" spans="1:27">
      <c r="A28" t="s">
        <v>568</v>
      </c>
      <c r="B28" s="7">
        <v>1.9155253328225263</v>
      </c>
      <c r="C28" s="7">
        <v>4.6841</v>
      </c>
      <c r="D28" s="7">
        <v>5.1172</v>
      </c>
      <c r="E28" s="7">
        <v>8.891</v>
      </c>
      <c r="F28" s="7">
        <v>1</v>
      </c>
      <c r="G28" s="7">
        <v>1.10803324099723</v>
      </c>
      <c r="H28" s="7">
        <v>8.2828</v>
      </c>
      <c r="I28" s="7">
        <v>9.4771</v>
      </c>
      <c r="J28" s="7">
        <v>0.90673</v>
      </c>
      <c r="K28" s="7">
        <v>0.02130696950972663</v>
      </c>
      <c r="L28" s="7">
        <v>0.044846</v>
      </c>
      <c r="M28" s="7">
        <v>0.004752174119659744</v>
      </c>
      <c r="N28" s="7">
        <v>0.8798169980644026</v>
      </c>
      <c r="O28" s="7">
        <v>0.39166536111546296</v>
      </c>
      <c r="P28" s="7">
        <v>1.72869811744775</v>
      </c>
      <c r="Q28" s="7">
        <v>0.6959910913140311</v>
      </c>
      <c r="R28" s="7">
        <v>4.0766</v>
      </c>
      <c r="S28" s="7">
        <v>1.9645593493379432</v>
      </c>
      <c r="T28" s="7">
        <v>0.08924826189009968</v>
      </c>
      <c r="U28" s="7">
        <v>1.875891048247918</v>
      </c>
      <c r="V28" s="7">
        <v>0.7623113279463333</v>
      </c>
      <c r="W28" s="7">
        <v>5.4663</v>
      </c>
      <c r="X28" s="7">
        <v>0.2259835935911053</v>
      </c>
      <c r="Y28" s="7">
        <v>0.1643352965923433</v>
      </c>
      <c r="Z28" s="7">
        <v>7.0523</v>
      </c>
      <c r="AA28" s="7">
        <v>0.42138974337364626</v>
      </c>
    </row>
    <row r="29" spans="1:27">
      <c r="A29" t="s">
        <v>569</v>
      </c>
      <c r="B29" s="7">
        <v>1.9142053176623728</v>
      </c>
      <c r="C29" s="7">
        <v>4.7108</v>
      </c>
      <c r="D29" s="7">
        <v>5.1364</v>
      </c>
      <c r="E29" s="7">
        <v>8.9312</v>
      </c>
      <c r="F29" s="7">
        <v>1</v>
      </c>
      <c r="G29" s="7">
        <v>1.1102475852115024</v>
      </c>
      <c r="H29" s="7">
        <v>8.2969</v>
      </c>
      <c r="I29" s="7">
        <v>9.5009</v>
      </c>
      <c r="J29" s="7">
        <v>0.90623</v>
      </c>
      <c r="K29" s="7">
        <v>0.02124328446669797</v>
      </c>
      <c r="L29" s="7">
        <v>0.045016999999999995</v>
      </c>
      <c r="M29" s="7">
        <v>0.004765762760329791</v>
      </c>
      <c r="N29" s="7">
        <v>0.8798169980644026</v>
      </c>
      <c r="O29" s="7">
        <v>0.3930354124906654</v>
      </c>
      <c r="P29" s="7">
        <v>1.7336731332674538</v>
      </c>
      <c r="Q29" s="7">
        <v>0.7009182028457279</v>
      </c>
      <c r="R29" s="7">
        <v>4.1038</v>
      </c>
      <c r="S29" s="7">
        <v>1.9647909462433195</v>
      </c>
      <c r="T29" s="7">
        <v>0.08994180765045016</v>
      </c>
      <c r="U29" s="7">
        <v>1.8744142455482664</v>
      </c>
      <c r="V29" s="7">
        <v>0.7672241829062452</v>
      </c>
      <c r="W29" s="7">
        <v>5.4762</v>
      </c>
      <c r="X29" s="7">
        <v>0.22589681033703804</v>
      </c>
      <c r="Y29" s="7">
        <v>0.16414216024214254</v>
      </c>
      <c r="Z29" s="7">
        <v>7.0471</v>
      </c>
      <c r="AA29" s="7">
        <v>0.421674045962471</v>
      </c>
    </row>
    <row r="30" spans="1:27">
      <c r="A30" t="s">
        <v>570</v>
      </c>
      <c r="B30" s="7">
        <v>1.9121555729774176</v>
      </c>
      <c r="C30" s="7">
        <v>4.7120999999999995</v>
      </c>
      <c r="D30" s="7">
        <v>5.1366</v>
      </c>
      <c r="E30" s="7">
        <v>8.9163</v>
      </c>
      <c r="F30" s="7">
        <v>1</v>
      </c>
      <c r="G30" s="7">
        <v>1.1085245538188673</v>
      </c>
      <c r="H30" s="7">
        <v>8.2825</v>
      </c>
      <c r="I30" s="7">
        <v>9.4877</v>
      </c>
      <c r="J30" s="7">
        <v>0.90526</v>
      </c>
      <c r="K30" s="7">
        <v>0.02128035376460098</v>
      </c>
      <c r="L30" s="7">
        <v>0.045047</v>
      </c>
      <c r="M30" s="7">
        <v>0.0048454307587944565</v>
      </c>
      <c r="N30" s="7">
        <v>0.8788890841975743</v>
      </c>
      <c r="O30" s="7">
        <v>0.3924030764401193</v>
      </c>
      <c r="P30" s="7">
        <v>1.7388280299078422</v>
      </c>
      <c r="Q30" s="7">
        <v>0.7029382820188388</v>
      </c>
      <c r="R30" s="7">
        <v>4.1006</v>
      </c>
      <c r="S30" s="7">
        <v>1.9635563933396167</v>
      </c>
      <c r="T30" s="7">
        <v>0.08881625692766804</v>
      </c>
      <c r="U30" s="7">
        <v>1.872378669862193</v>
      </c>
      <c r="V30" s="7">
        <v>0.7665772326561902</v>
      </c>
      <c r="W30" s="7">
        <v>5.474</v>
      </c>
      <c r="X30" s="7">
        <v>0.2258202922114581</v>
      </c>
      <c r="Y30" s="7">
        <v>0.1642068480823924</v>
      </c>
      <c r="Z30" s="7">
        <v>7.039199999999999</v>
      </c>
      <c r="AA30" s="7">
        <v>0.4218697266284171</v>
      </c>
    </row>
    <row r="31" spans="1:27">
      <c r="A31" t="s">
        <v>571</v>
      </c>
      <c r="B31" s="7">
        <v>1.9094901661256445</v>
      </c>
      <c r="C31" s="7">
        <v>4.7057</v>
      </c>
      <c r="D31" s="7">
        <v>5.1292</v>
      </c>
      <c r="E31" s="7">
        <v>8.903500000000001</v>
      </c>
      <c r="F31" s="7">
        <v>1</v>
      </c>
      <c r="G31" s="7">
        <v>1.1076650420912717</v>
      </c>
      <c r="H31" s="7">
        <v>8.274700000000001</v>
      </c>
      <c r="I31" s="7">
        <v>9.4767</v>
      </c>
      <c r="J31" s="7">
        <v>0.90486</v>
      </c>
      <c r="K31" s="7">
        <v>0.021216827490219043</v>
      </c>
      <c r="L31" s="7">
        <v>0.044998</v>
      </c>
      <c r="M31" s="7">
        <v>0.004840974003969599</v>
      </c>
      <c r="N31" s="7">
        <v>0.8785802143735724</v>
      </c>
      <c r="O31" s="7">
        <v>0.3913741145160659</v>
      </c>
      <c r="P31" s="7">
        <v>1.7367744624683037</v>
      </c>
      <c r="Q31" s="7">
        <v>0.7016559079427448</v>
      </c>
      <c r="R31" s="7">
        <v>4.0938</v>
      </c>
      <c r="S31" s="7">
        <v>1.9614381264343017</v>
      </c>
      <c r="T31" s="7">
        <v>0.08972230945224531</v>
      </c>
      <c r="U31" s="7">
        <v>1.8697530056279563</v>
      </c>
      <c r="V31" s="7">
        <v>0.7651109410864576</v>
      </c>
      <c r="W31" s="7">
        <v>5.4655</v>
      </c>
      <c r="X31" s="7">
        <v>0.22578969947391</v>
      </c>
      <c r="Y31" s="7">
        <v>0.16365594283825227</v>
      </c>
      <c r="Z31" s="7">
        <v>7.0358</v>
      </c>
      <c r="AA31" s="7">
        <v>0.4220299641274531</v>
      </c>
    </row>
    <row r="32" spans="1:27">
      <c r="A32" t="s">
        <v>572</v>
      </c>
      <c r="B32" s="7">
        <v>1.9094901661256445</v>
      </c>
      <c r="C32" s="7">
        <v>4.7057</v>
      </c>
      <c r="D32" s="7">
        <v>5.1292</v>
      </c>
      <c r="E32" s="7">
        <v>8.903500000000001</v>
      </c>
      <c r="F32" s="7">
        <v>1</v>
      </c>
      <c r="G32" s="7">
        <v>1.1076650420912717</v>
      </c>
      <c r="H32" s="7">
        <v>8.274700000000001</v>
      </c>
      <c r="I32" s="7">
        <v>9.4767</v>
      </c>
      <c r="J32" s="7">
        <v>0.90486</v>
      </c>
      <c r="K32" s="7">
        <v>0.021216827490219043</v>
      </c>
      <c r="L32" s="7">
        <v>0.044998</v>
      </c>
      <c r="M32" s="7">
        <v>0.004840974003969599</v>
      </c>
      <c r="N32" s="7">
        <v>0.8785802143735724</v>
      </c>
      <c r="O32" s="7">
        <v>0.3913741145160659</v>
      </c>
      <c r="P32" s="7">
        <v>1.7367744624683037</v>
      </c>
      <c r="Q32" s="7">
        <v>0.7016559079427448</v>
      </c>
      <c r="R32" s="7">
        <v>4.0938</v>
      </c>
      <c r="S32" s="7">
        <v>1.9614381264343017</v>
      </c>
      <c r="T32" s="7">
        <v>0.08972230945224531</v>
      </c>
      <c r="U32" s="7">
        <v>1.8697530056279563</v>
      </c>
      <c r="V32" s="7">
        <v>0.7651109410864576</v>
      </c>
      <c r="W32" s="7">
        <v>5.4655</v>
      </c>
      <c r="X32" s="7">
        <v>0.22578969947391</v>
      </c>
      <c r="Y32" s="7">
        <v>0.16365594283825227</v>
      </c>
      <c r="Z32" s="7">
        <v>7.0358</v>
      </c>
      <c r="AA32" s="7">
        <v>0.4220299641274531</v>
      </c>
    </row>
    <row r="33" spans="1:27">
      <c r="A33" t="s">
        <v>573</v>
      </c>
      <c r="B33" s="7">
        <v>1.9094901661256445</v>
      </c>
      <c r="C33" s="7">
        <v>4.7057</v>
      </c>
      <c r="D33" s="7">
        <v>5.1292</v>
      </c>
      <c r="E33" s="7">
        <v>8.903500000000001</v>
      </c>
      <c r="F33" s="7">
        <v>1</v>
      </c>
      <c r="G33" s="7">
        <v>1.1076650420912717</v>
      </c>
      <c r="H33" s="7">
        <v>8.274700000000001</v>
      </c>
      <c r="I33" s="7">
        <v>9.4767</v>
      </c>
      <c r="J33" s="7">
        <v>0.90486</v>
      </c>
      <c r="K33" s="7">
        <v>0.021216827490219043</v>
      </c>
      <c r="L33" s="7">
        <v>0.044998</v>
      </c>
      <c r="M33" s="7">
        <v>0.004840974003969599</v>
      </c>
      <c r="N33" s="7">
        <v>0.8785802143735724</v>
      </c>
      <c r="O33" s="7">
        <v>0.3913741145160659</v>
      </c>
      <c r="P33" s="7">
        <v>1.7367744624683037</v>
      </c>
      <c r="Q33" s="7">
        <v>0.7016559079427448</v>
      </c>
      <c r="R33" s="7">
        <v>4.0938</v>
      </c>
      <c r="S33" s="7">
        <v>1.9614381264343017</v>
      </c>
      <c r="T33" s="7">
        <v>0.08972230945224531</v>
      </c>
      <c r="U33" s="7">
        <v>1.8697530056279563</v>
      </c>
      <c r="V33" s="7">
        <v>0.7651109410864576</v>
      </c>
      <c r="W33" s="7">
        <v>5.4655</v>
      </c>
      <c r="X33" s="7">
        <v>0.22578969947391</v>
      </c>
      <c r="Y33" s="7">
        <v>0.16365594283825227</v>
      </c>
      <c r="Z33" s="7">
        <v>7.0358</v>
      </c>
      <c r="AA33" s="7">
        <v>0.4220299641274531</v>
      </c>
    </row>
    <row r="34" spans="1:27">
      <c r="A34" t="s">
        <v>574</v>
      </c>
      <c r="B34" s="7">
        <v>1.9088340841414064</v>
      </c>
      <c r="C34" s="7">
        <v>4.7061</v>
      </c>
      <c r="D34" s="7">
        <v>5.1305</v>
      </c>
      <c r="E34" s="7">
        <v>8.8904</v>
      </c>
      <c r="F34" s="7">
        <v>1</v>
      </c>
      <c r="G34" s="7">
        <v>1.105583195135434</v>
      </c>
      <c r="H34" s="7">
        <v>8.263</v>
      </c>
      <c r="I34" s="7">
        <v>9.4661</v>
      </c>
      <c r="J34" s="7">
        <v>0.90494</v>
      </c>
      <c r="K34" s="7">
        <v>0.02133269619680692</v>
      </c>
      <c r="L34" s="7">
        <v>0.044833</v>
      </c>
      <c r="M34" s="7">
        <v>0.004871395167575994</v>
      </c>
      <c r="N34" s="7">
        <v>0.8781944322472995</v>
      </c>
      <c r="O34" s="7">
        <v>0.3922030042750128</v>
      </c>
      <c r="P34" s="7">
        <v>1.7358398861289035</v>
      </c>
      <c r="Q34" s="7">
        <v>0.7006726457399103</v>
      </c>
      <c r="R34" s="7">
        <v>4.0819</v>
      </c>
      <c r="S34" s="7">
        <v>1.9602846333287591</v>
      </c>
      <c r="T34" s="7">
        <v>0.0906947215672048</v>
      </c>
      <c r="U34" s="7">
        <v>1.8695083193120208</v>
      </c>
      <c r="V34" s="7">
        <v>0.7659900421294522</v>
      </c>
      <c r="W34" s="7">
        <v>5.4633</v>
      </c>
      <c r="X34" s="7">
        <v>0.22565213466919395</v>
      </c>
      <c r="Y34" s="7">
        <v>0.16341097533474738</v>
      </c>
      <c r="Z34" s="7">
        <v>7.033099999999999</v>
      </c>
      <c r="AA34" s="7">
        <v>0.4211058238935445</v>
      </c>
    </row>
    <row r="35" spans="1:27">
      <c r="A35" t="s">
        <v>575</v>
      </c>
      <c r="B35" s="7">
        <v>1.9112419250028667</v>
      </c>
      <c r="C35" s="7">
        <v>4.6986</v>
      </c>
      <c r="D35" s="7">
        <v>5.1284</v>
      </c>
      <c r="E35" s="7">
        <v>8.8995</v>
      </c>
      <c r="F35" s="7">
        <v>1</v>
      </c>
      <c r="G35" s="7">
        <v>1.1068068622025458</v>
      </c>
      <c r="H35" s="7">
        <v>8.268099999999999</v>
      </c>
      <c r="I35" s="7">
        <v>9.4836</v>
      </c>
      <c r="J35" s="7">
        <v>0.90447</v>
      </c>
      <c r="K35" s="7">
        <v>0.02139531699301657</v>
      </c>
      <c r="L35" s="7">
        <v>0.044969</v>
      </c>
      <c r="M35" s="7">
        <v>0.004889497359671426</v>
      </c>
      <c r="N35" s="7">
        <v>0.8777319406653208</v>
      </c>
      <c r="O35" s="7">
        <v>0.39080819133969047</v>
      </c>
      <c r="P35" s="7">
        <v>1.7317516668109794</v>
      </c>
      <c r="Q35" s="7">
        <v>0.6991051454138703</v>
      </c>
      <c r="R35" s="7">
        <v>4.0741000000000005</v>
      </c>
      <c r="S35" s="7">
        <v>1.9557606931215896</v>
      </c>
      <c r="T35" s="7">
        <v>0.08951028920774443</v>
      </c>
      <c r="U35" s="7">
        <v>1.8719931110653512</v>
      </c>
      <c r="V35" s="7">
        <v>0.7648183556405354</v>
      </c>
      <c r="W35" s="7">
        <v>5.462999999999999</v>
      </c>
      <c r="X35" s="7">
        <v>0.22197558268590456</v>
      </c>
      <c r="Y35" s="7">
        <v>0.16352454258097326</v>
      </c>
      <c r="Z35" s="7">
        <v>7.034800000000001</v>
      </c>
      <c r="AA35" s="7">
        <v>0.42096400757735214</v>
      </c>
    </row>
    <row r="36" spans="1:27">
      <c r="A36" t="s">
        <v>576</v>
      </c>
      <c r="B36" s="7">
        <v>1.907086734304676</v>
      </c>
      <c r="C36" s="7">
        <v>4.6892000000000005</v>
      </c>
      <c r="D36" s="7">
        <v>5.1142</v>
      </c>
      <c r="E36" s="7">
        <v>8.851</v>
      </c>
      <c r="F36" s="7">
        <v>1</v>
      </c>
      <c r="G36" s="7">
        <v>1.1018069634200087</v>
      </c>
      <c r="H36" s="7">
        <v>8.2355</v>
      </c>
      <c r="I36" s="7">
        <v>9.4346</v>
      </c>
      <c r="J36" s="7">
        <v>0.90322</v>
      </c>
      <c r="K36" s="7">
        <v>0.021338750530801417</v>
      </c>
      <c r="L36" s="7">
        <v>0.044797</v>
      </c>
      <c r="M36" s="7">
        <v>0.004860267314702308</v>
      </c>
      <c r="N36" s="7">
        <v>0.8762705923589204</v>
      </c>
      <c r="O36" s="7">
        <v>0.38987874770946235</v>
      </c>
      <c r="P36" s="7">
        <v>1.7319316233395106</v>
      </c>
      <c r="Q36" s="7">
        <v>0.6968155529231412</v>
      </c>
      <c r="R36" s="7">
        <v>4.052</v>
      </c>
      <c r="S36" s="7">
        <v>1.9497358107976368</v>
      </c>
      <c r="T36" s="7">
        <v>0.08805297266835728</v>
      </c>
      <c r="U36" s="7">
        <v>1.8680415452439665</v>
      </c>
      <c r="V36" s="7">
        <v>0.7616726331022927</v>
      </c>
      <c r="W36" s="7">
        <v>5.458600000000001</v>
      </c>
      <c r="X36" s="7">
        <v>0.22251891410769917</v>
      </c>
      <c r="Y36" s="7">
        <v>0.16314358103423243</v>
      </c>
      <c r="Z36" s="7">
        <v>7.0288</v>
      </c>
      <c r="AA36" s="7">
        <v>0.4224400135180804</v>
      </c>
    </row>
    <row r="37" spans="1:27">
      <c r="A37" t="s">
        <v>436</v>
      </c>
      <c r="B37" s="7">
        <v>1.907086734304676</v>
      </c>
      <c r="C37" s="7">
        <v>4.6892000000000005</v>
      </c>
      <c r="D37" s="7">
        <v>5.1142</v>
      </c>
      <c r="E37" s="7">
        <v>8.851</v>
      </c>
      <c r="F37" s="7">
        <v>1</v>
      </c>
      <c r="G37" s="7">
        <v>1.1018069634200087</v>
      </c>
      <c r="H37" s="7">
        <v>8.2355</v>
      </c>
      <c r="I37" s="7">
        <v>9.4346</v>
      </c>
      <c r="J37" s="7">
        <v>0.90322</v>
      </c>
      <c r="K37" s="7">
        <v>0.021338750530801417</v>
      </c>
      <c r="L37" s="7">
        <v>0.044797</v>
      </c>
      <c r="M37" s="7">
        <v>0.004860267314702308</v>
      </c>
      <c r="N37" s="7">
        <v>0.8762705923589204</v>
      </c>
      <c r="O37" s="7">
        <v>0.38987874770946235</v>
      </c>
      <c r="P37" s="7">
        <v>1.7319316233395106</v>
      </c>
      <c r="Q37" s="7">
        <v>0.6968155529231412</v>
      </c>
      <c r="R37" s="7">
        <v>4.052</v>
      </c>
      <c r="S37" s="7">
        <v>1.9497358107976368</v>
      </c>
      <c r="T37" s="7">
        <v>0.08805297266835728</v>
      </c>
      <c r="U37" s="7">
        <v>1.8680415452439665</v>
      </c>
      <c r="V37" s="7">
        <v>0.7616726331022927</v>
      </c>
      <c r="W37" s="7">
        <v>5.458600000000001</v>
      </c>
      <c r="X37" s="7">
        <v>0.22251891410769917</v>
      </c>
      <c r="Y37" s="7">
        <v>0.16314358103423243</v>
      </c>
      <c r="Z37" s="7">
        <v>7.0288</v>
      </c>
      <c r="AA37" s="7">
        <v>0.4224400135180804</v>
      </c>
    </row>
    <row r="38" spans="1:27">
      <c r="A38" t="s">
        <v>577</v>
      </c>
      <c r="B38" s="7">
        <v>1.907086734304676</v>
      </c>
      <c r="C38" s="7">
        <v>4.6892000000000005</v>
      </c>
      <c r="D38" s="7">
        <v>5.1142</v>
      </c>
      <c r="E38" s="7">
        <v>8.851</v>
      </c>
      <c r="F38" s="7">
        <v>1</v>
      </c>
      <c r="G38" s="7">
        <v>1.1018069634200087</v>
      </c>
      <c r="H38" s="7">
        <v>8.2355</v>
      </c>
      <c r="I38" s="7">
        <v>9.4346</v>
      </c>
      <c r="J38" s="7">
        <v>0.90322</v>
      </c>
      <c r="K38" s="7">
        <v>0.021338750530801417</v>
      </c>
      <c r="L38" s="7">
        <v>0.044797</v>
      </c>
      <c r="M38" s="7">
        <v>0.004860267314702308</v>
      </c>
      <c r="N38" s="7">
        <v>0.8762705923589204</v>
      </c>
      <c r="O38" s="7">
        <v>0.38987874770946235</v>
      </c>
      <c r="P38" s="7">
        <v>1.7319316233395106</v>
      </c>
      <c r="Q38" s="7">
        <v>0.6968155529231412</v>
      </c>
      <c r="R38" s="7">
        <v>4.052</v>
      </c>
      <c r="S38" s="7">
        <v>1.9497358107976368</v>
      </c>
      <c r="T38" s="7">
        <v>0.08805297266835728</v>
      </c>
      <c r="U38" s="7">
        <v>1.8680415452439665</v>
      </c>
      <c r="V38" s="7">
        <v>0.7616726331022927</v>
      </c>
      <c r="W38" s="7">
        <v>5.458600000000001</v>
      </c>
      <c r="X38" s="7">
        <v>0.22251891410769917</v>
      </c>
      <c r="Y38" s="7">
        <v>0.16314358103423243</v>
      </c>
      <c r="Z38" s="7">
        <v>7.0288</v>
      </c>
      <c r="AA38" s="7">
        <v>0.4224400135180804</v>
      </c>
    </row>
    <row r="39" spans="1:27">
      <c r="A39" t="s">
        <v>578</v>
      </c>
      <c r="B39" s="7">
        <v>1.907086734304676</v>
      </c>
      <c r="C39" s="7">
        <v>4.6892000000000005</v>
      </c>
      <c r="D39" s="7">
        <v>5.1142</v>
      </c>
      <c r="E39" s="7">
        <v>8.851</v>
      </c>
      <c r="F39" s="7">
        <v>1</v>
      </c>
      <c r="G39" s="7">
        <v>1.1018069634200087</v>
      </c>
      <c r="H39" s="7">
        <v>8.2355</v>
      </c>
      <c r="I39" s="7">
        <v>9.4346</v>
      </c>
      <c r="J39" s="7">
        <v>0.90322</v>
      </c>
      <c r="K39" s="7">
        <v>0.021338750530801417</v>
      </c>
      <c r="L39" s="7">
        <v>0.044797</v>
      </c>
      <c r="M39" s="7">
        <v>0.004860267314702308</v>
      </c>
      <c r="N39" s="7">
        <v>0.8762705923589204</v>
      </c>
      <c r="O39" s="7">
        <v>0.38987874770946235</v>
      </c>
      <c r="P39" s="7">
        <v>1.7319316233395106</v>
      </c>
      <c r="Q39" s="7">
        <v>0.6968155529231412</v>
      </c>
      <c r="R39" s="7">
        <v>4.052</v>
      </c>
      <c r="S39" s="7">
        <v>1.9497358107976368</v>
      </c>
      <c r="T39" s="7">
        <v>0.08805297266835728</v>
      </c>
      <c r="U39" s="7">
        <v>1.8680415452439665</v>
      </c>
      <c r="V39" s="7">
        <v>0.7616726331022927</v>
      </c>
      <c r="W39" s="7">
        <v>5.458600000000001</v>
      </c>
      <c r="X39" s="7">
        <v>0.22251891410769917</v>
      </c>
      <c r="Y39" s="7">
        <v>0.16314358103423243</v>
      </c>
      <c r="Z39" s="7">
        <v>7.0288</v>
      </c>
      <c r="AA39" s="7">
        <v>0.4224400135180804</v>
      </c>
    </row>
    <row r="40" spans="1:27">
      <c r="A40" t="s">
        <v>579</v>
      </c>
      <c r="B40" s="7">
        <v>1.907086734304676</v>
      </c>
      <c r="C40" s="7">
        <v>4.6892000000000005</v>
      </c>
      <c r="D40" s="7">
        <v>5.1142</v>
      </c>
      <c r="E40" s="7">
        <v>8.851</v>
      </c>
      <c r="F40" s="7">
        <v>1</v>
      </c>
      <c r="G40" s="7">
        <v>1.1018069634200087</v>
      </c>
      <c r="H40" s="7">
        <v>8.2355</v>
      </c>
      <c r="I40" s="7">
        <v>9.4346</v>
      </c>
      <c r="J40" s="7">
        <v>0.90322</v>
      </c>
      <c r="K40" s="7">
        <v>0.021338750530801417</v>
      </c>
      <c r="L40" s="7">
        <v>0.044797</v>
      </c>
      <c r="M40" s="7">
        <v>0.004860267314702308</v>
      </c>
      <c r="N40" s="7">
        <v>0.8762705923589204</v>
      </c>
      <c r="O40" s="7">
        <v>0.38987874770946235</v>
      </c>
      <c r="P40" s="7">
        <v>1.7319316233395106</v>
      </c>
      <c r="Q40" s="7">
        <v>0.6968155529231412</v>
      </c>
      <c r="R40" s="7">
        <v>4.052</v>
      </c>
      <c r="S40" s="7">
        <v>1.9497358107976368</v>
      </c>
      <c r="T40" s="7">
        <v>0.08805297266835728</v>
      </c>
      <c r="U40" s="7">
        <v>1.8680415452439665</v>
      </c>
      <c r="V40" s="7">
        <v>0.7616726331022927</v>
      </c>
      <c r="W40" s="7">
        <v>5.458600000000001</v>
      </c>
      <c r="X40" s="7">
        <v>0.22251891410769917</v>
      </c>
      <c r="Y40" s="7">
        <v>0.16314358103423243</v>
      </c>
      <c r="Z40" s="7">
        <v>7.0288</v>
      </c>
      <c r="AA40" s="7">
        <v>0.4224400135180804</v>
      </c>
    </row>
    <row r="41" spans="1:27">
      <c r="A41" t="s">
        <v>580</v>
      </c>
      <c r="B41" s="7">
        <v>1.9062142584826536</v>
      </c>
      <c r="C41" s="7">
        <v>4.6817</v>
      </c>
      <c r="D41" s="7">
        <v>5.0945</v>
      </c>
      <c r="E41" s="7">
        <v>8.8342</v>
      </c>
      <c r="F41" s="7">
        <v>1</v>
      </c>
      <c r="G41" s="7">
        <v>1.0974539069359086</v>
      </c>
      <c r="H41" s="7">
        <v>8.2027</v>
      </c>
      <c r="I41" s="7">
        <v>9.4168</v>
      </c>
      <c r="J41" s="7">
        <v>0.90141</v>
      </c>
      <c r="K41" s="7">
        <v>0.021374966067241367</v>
      </c>
      <c r="L41" s="7">
        <v>0.044660000000000005</v>
      </c>
      <c r="M41" s="7">
        <v>0.0048430840759395586</v>
      </c>
      <c r="N41" s="7">
        <v>0.8745080891998251</v>
      </c>
      <c r="O41" s="7">
        <v>0.39128223187385064</v>
      </c>
      <c r="P41" s="7">
        <v>1.727652810891123</v>
      </c>
      <c r="Q41" s="7">
        <v>0.6953619358876295</v>
      </c>
      <c r="R41" s="7">
        <v>4.0306999999999995</v>
      </c>
      <c r="S41" s="7">
        <v>1.9481025481181329</v>
      </c>
      <c r="T41" s="7">
        <v>0.08701402666109777</v>
      </c>
      <c r="U41" s="7">
        <v>1.8667861409796895</v>
      </c>
      <c r="V41" s="7">
        <v>0.7588980799878575</v>
      </c>
      <c r="W41" s="7">
        <v>5.4428</v>
      </c>
      <c r="X41" s="7">
        <v>0.222182723071454</v>
      </c>
      <c r="Y41" s="7">
        <v>0.16272598571265845</v>
      </c>
      <c r="Z41" s="7">
        <v>7.023</v>
      </c>
      <c r="AA41" s="7">
        <v>0.42482688304515914</v>
      </c>
    </row>
    <row r="42" spans="1:27">
      <c r="A42" t="s">
        <v>581</v>
      </c>
      <c r="B42" s="7">
        <v>1.90171915411532</v>
      </c>
      <c r="C42" s="7">
        <v>4.6862</v>
      </c>
      <c r="D42" s="7">
        <v>5.0742</v>
      </c>
      <c r="E42" s="7">
        <v>8.8224</v>
      </c>
      <c r="F42" s="7">
        <v>1</v>
      </c>
      <c r="G42" s="7">
        <v>1.0955302366345312</v>
      </c>
      <c r="H42" s="7">
        <v>8.1919</v>
      </c>
      <c r="I42" s="7">
        <v>9.4562</v>
      </c>
      <c r="J42" s="7">
        <v>0.90161</v>
      </c>
      <c r="K42" s="7">
        <v>0.021329784057266207</v>
      </c>
      <c r="L42" s="7">
        <v>0.044664</v>
      </c>
      <c r="M42" s="7">
        <v>0.004826487764853516</v>
      </c>
      <c r="N42" s="7">
        <v>0.8747375787263821</v>
      </c>
      <c r="O42" s="7">
        <v>0.3905334687182691</v>
      </c>
      <c r="P42" s="7">
        <v>1.722504521574369</v>
      </c>
      <c r="Q42" s="7">
        <v>0.6957489737702638</v>
      </c>
      <c r="R42" s="7">
        <v>4.0347</v>
      </c>
      <c r="S42" s="7">
        <v>1.9445416715280208</v>
      </c>
      <c r="T42" s="7">
        <v>0.08616975441619991</v>
      </c>
      <c r="U42" s="7">
        <v>1.8625789267820223</v>
      </c>
      <c r="V42" s="7">
        <v>0.761266747868453</v>
      </c>
      <c r="W42" s="7">
        <v>5.4517999999999995</v>
      </c>
      <c r="X42" s="7">
        <v>0.2231246374224642</v>
      </c>
      <c r="Y42" s="7">
        <v>0.16233766233766234</v>
      </c>
      <c r="Z42" s="7">
        <v>7.0173000000000005</v>
      </c>
      <c r="AA42" s="7">
        <v>0.42725913266396065</v>
      </c>
    </row>
    <row r="43" spans="1:27">
      <c r="A43" t="s">
        <v>582</v>
      </c>
      <c r="B43" s="7">
        <v>1.9043266301035953</v>
      </c>
      <c r="C43" s="7">
        <v>4.711</v>
      </c>
      <c r="D43" s="7">
        <v>5.0637</v>
      </c>
      <c r="E43" s="7">
        <v>8.7953</v>
      </c>
      <c r="F43" s="7">
        <v>1</v>
      </c>
      <c r="G43" s="7">
        <v>1.0944511327569224</v>
      </c>
      <c r="H43" s="7">
        <v>8.1822</v>
      </c>
      <c r="I43" s="7">
        <v>9.447</v>
      </c>
      <c r="J43" s="7">
        <v>0.90131</v>
      </c>
      <c r="K43" s="7">
        <v>0.02126252628579812</v>
      </c>
      <c r="L43" s="7">
        <v>0.044662</v>
      </c>
      <c r="M43" s="7">
        <v>0.004826720725938797</v>
      </c>
      <c r="N43" s="7">
        <v>0.8746610688358262</v>
      </c>
      <c r="O43" s="7">
        <v>0.38930198154708606</v>
      </c>
      <c r="P43" s="7">
        <v>1.7308524448290783</v>
      </c>
      <c r="Q43" s="7">
        <v>0.6960395350455907</v>
      </c>
      <c r="R43" s="7">
        <v>4.0423</v>
      </c>
      <c r="S43" s="7">
        <v>1.943294661769564</v>
      </c>
      <c r="T43" s="7">
        <v>0.08666487559257109</v>
      </c>
      <c r="U43" s="7">
        <v>1.8651844667437611</v>
      </c>
      <c r="V43" s="7">
        <v>0.7605141075366948</v>
      </c>
      <c r="W43" s="7">
        <v>5.465199999999999</v>
      </c>
      <c r="X43" s="7">
        <v>0.22415996054784693</v>
      </c>
      <c r="Y43" s="7">
        <v>0.16253898903999597</v>
      </c>
      <c r="Z43" s="7">
        <v>7.0187</v>
      </c>
      <c r="AA43" s="7">
        <v>0.42773429145814623</v>
      </c>
    </row>
    <row r="44" spans="1:27">
      <c r="A44" t="s">
        <v>583</v>
      </c>
      <c r="B44" s="7">
        <v>1.905560425321087</v>
      </c>
      <c r="C44" s="7">
        <v>4.7027</v>
      </c>
      <c r="D44" s="7">
        <v>5.0502</v>
      </c>
      <c r="E44" s="7">
        <v>8.7774</v>
      </c>
      <c r="F44" s="7">
        <v>1</v>
      </c>
      <c r="G44" s="7">
        <v>1.0937329104232745</v>
      </c>
      <c r="H44" s="7">
        <v>8.1769</v>
      </c>
      <c r="I44" s="7">
        <v>9.4207</v>
      </c>
      <c r="J44" s="7">
        <v>0.90146</v>
      </c>
      <c r="K44" s="7">
        <v>0.021253533399927735</v>
      </c>
      <c r="L44" s="7">
        <v>0.044674</v>
      </c>
      <c r="M44" s="7">
        <v>0.004829984544049459</v>
      </c>
      <c r="N44" s="7">
        <v>0.8748141020033243</v>
      </c>
      <c r="O44" s="7">
        <v>0.3895901511609786</v>
      </c>
      <c r="P44" s="7">
        <v>1.7277125086385623</v>
      </c>
      <c r="Q44" s="7">
        <v>0.6942997986530584</v>
      </c>
      <c r="R44" s="7">
        <v>4.0371</v>
      </c>
      <c r="S44" s="7">
        <v>1.9425774117098569</v>
      </c>
      <c r="T44" s="7">
        <v>0.0868507903421921</v>
      </c>
      <c r="U44" s="7">
        <v>1.8664377169733848</v>
      </c>
      <c r="V44" s="7">
        <v>0.7620789513793629</v>
      </c>
      <c r="W44" s="7">
        <v>5.4595</v>
      </c>
      <c r="X44" s="7">
        <v>0.223254152527237</v>
      </c>
      <c r="Y44" s="7">
        <v>0.1626637820955975</v>
      </c>
      <c r="Z44" s="7">
        <v>7.0197</v>
      </c>
      <c r="AA44" s="7">
        <v>0.42589437819420783</v>
      </c>
    </row>
    <row r="45" spans="1:27">
      <c r="A45" t="s">
        <v>584</v>
      </c>
      <c r="B45" s="7">
        <v>1.90352914303118</v>
      </c>
      <c r="C45" s="7">
        <v>4.6825</v>
      </c>
      <c r="D45" s="7">
        <v>5.0426</v>
      </c>
      <c r="E45" s="7">
        <v>8.7537</v>
      </c>
      <c r="F45" s="7">
        <v>1</v>
      </c>
      <c r="G45" s="7">
        <v>1.0907504363001743</v>
      </c>
      <c r="H45" s="7">
        <v>8.1556</v>
      </c>
      <c r="I45" s="7">
        <v>9.3961</v>
      </c>
      <c r="J45" s="7">
        <v>0.89973</v>
      </c>
      <c r="K45" s="7">
        <v>0.021176390865352036</v>
      </c>
      <c r="L45" s="7">
        <v>0.044592</v>
      </c>
      <c r="M45" s="7">
        <v>0.004809542131589073</v>
      </c>
      <c r="N45" s="7">
        <v>0.8740494712000699</v>
      </c>
      <c r="O45" s="7">
        <v>0.38943842978425114</v>
      </c>
      <c r="P45" s="7">
        <v>1.7240784800524118</v>
      </c>
      <c r="Q45" s="7">
        <v>0.6933851060879213</v>
      </c>
      <c r="R45" s="7">
        <v>4.0163</v>
      </c>
      <c r="S45" s="7">
        <v>1.9357336430507164</v>
      </c>
      <c r="T45" s="7">
        <v>0.08698450805911466</v>
      </c>
      <c r="U45" s="7">
        <v>1.864349901189455</v>
      </c>
      <c r="V45" s="7">
        <v>0.7584951456310679</v>
      </c>
      <c r="W45" s="7">
        <v>5.4456</v>
      </c>
      <c r="X45" s="7">
        <v>0.222246916324036</v>
      </c>
      <c r="Y45" s="7">
        <v>0.16217259380468255</v>
      </c>
      <c r="Z45" s="7">
        <v>7.0127999999999995</v>
      </c>
      <c r="AA45" s="7">
        <v>0.4236031685517008</v>
      </c>
    </row>
    <row r="46" spans="1:27">
      <c r="A46" t="s">
        <v>585</v>
      </c>
      <c r="B46" s="7">
        <v>1.90352914303118</v>
      </c>
      <c r="C46" s="7">
        <v>4.6825</v>
      </c>
      <c r="D46" s="7">
        <v>5.0426</v>
      </c>
      <c r="E46" s="7">
        <v>8.7537</v>
      </c>
      <c r="F46" s="7">
        <v>1</v>
      </c>
      <c r="G46" s="7">
        <v>1.0907504363001743</v>
      </c>
      <c r="H46" s="7">
        <v>8.1556</v>
      </c>
      <c r="I46" s="7">
        <v>9.3961</v>
      </c>
      <c r="J46" s="7">
        <v>0.89973</v>
      </c>
      <c r="K46" s="7">
        <v>0.021176390865352036</v>
      </c>
      <c r="L46" s="7">
        <v>0.044592</v>
      </c>
      <c r="M46" s="7">
        <v>0.004809542131589073</v>
      </c>
      <c r="N46" s="7">
        <v>0.8740494712000699</v>
      </c>
      <c r="O46" s="7">
        <v>0.38943842978425114</v>
      </c>
      <c r="P46" s="7">
        <v>1.7240784800524118</v>
      </c>
      <c r="Q46" s="7">
        <v>0.6933851060879213</v>
      </c>
      <c r="R46" s="7">
        <v>4.0163</v>
      </c>
      <c r="S46" s="7">
        <v>1.9357336430507164</v>
      </c>
      <c r="T46" s="7">
        <v>0.08698450805911466</v>
      </c>
      <c r="U46" s="7">
        <v>1.864349901189455</v>
      </c>
      <c r="V46" s="7">
        <v>0.7584951456310679</v>
      </c>
      <c r="W46" s="7">
        <v>5.4456</v>
      </c>
      <c r="X46" s="7">
        <v>0.222246916324036</v>
      </c>
      <c r="Y46" s="7">
        <v>0.16217259380468255</v>
      </c>
      <c r="Z46" s="7">
        <v>7.0127999999999995</v>
      </c>
      <c r="AA46" s="7">
        <v>0.4236031685517008</v>
      </c>
    </row>
    <row r="47" spans="1:27">
      <c r="A47" t="s">
        <v>586</v>
      </c>
      <c r="B47" s="7">
        <v>1.90352914303118</v>
      </c>
      <c r="C47" s="7">
        <v>4.6825</v>
      </c>
      <c r="D47" s="7">
        <v>5.0426</v>
      </c>
      <c r="E47" s="7">
        <v>8.7537</v>
      </c>
      <c r="F47" s="7">
        <v>1</v>
      </c>
      <c r="G47" s="7">
        <v>1.0907504363001743</v>
      </c>
      <c r="H47" s="7">
        <v>8.1556</v>
      </c>
      <c r="I47" s="7">
        <v>9.3961</v>
      </c>
      <c r="J47" s="7">
        <v>0.89973</v>
      </c>
      <c r="K47" s="7">
        <v>0.021176390865352036</v>
      </c>
      <c r="L47" s="7">
        <v>0.044592</v>
      </c>
      <c r="M47" s="7">
        <v>0.004809542131589073</v>
      </c>
      <c r="N47" s="7">
        <v>0.8740494712000699</v>
      </c>
      <c r="O47" s="7">
        <v>0.38943842978425114</v>
      </c>
      <c r="P47" s="7">
        <v>1.7240784800524118</v>
      </c>
      <c r="Q47" s="7">
        <v>0.6933851060879213</v>
      </c>
      <c r="R47" s="7">
        <v>4.0163</v>
      </c>
      <c r="S47" s="7">
        <v>1.9357336430507164</v>
      </c>
      <c r="T47" s="7">
        <v>0.08698450805911466</v>
      </c>
      <c r="U47" s="7">
        <v>1.864349901189455</v>
      </c>
      <c r="V47" s="7">
        <v>0.7584951456310679</v>
      </c>
      <c r="W47" s="7">
        <v>5.4456</v>
      </c>
      <c r="X47" s="7">
        <v>0.222246916324036</v>
      </c>
      <c r="Y47" s="7">
        <v>0.16217259380468255</v>
      </c>
      <c r="Z47" s="7">
        <v>7.0127999999999995</v>
      </c>
      <c r="AA47" s="7">
        <v>0.4236031685517008</v>
      </c>
    </row>
    <row r="48" spans="1:27">
      <c r="A48" t="s">
        <v>47</v>
      </c>
      <c r="B48" s="7">
        <v>1.9030944315456932</v>
      </c>
      <c r="C48" s="7">
        <v>4.6758999999999995</v>
      </c>
      <c r="D48" s="7">
        <v>5.024100000000001</v>
      </c>
      <c r="E48" s="7">
        <v>8.726</v>
      </c>
      <c r="F48" s="7">
        <v>1</v>
      </c>
      <c r="G48" s="7">
        <v>1.0887316276537835</v>
      </c>
      <c r="H48" s="7">
        <v>8.14</v>
      </c>
      <c r="I48" s="7">
        <v>9.3699</v>
      </c>
      <c r="J48" s="7">
        <v>0.89959</v>
      </c>
      <c r="K48" s="7">
        <v>0.02109477672233578</v>
      </c>
      <c r="L48" s="7">
        <v>0.044267</v>
      </c>
      <c r="M48" s="7">
        <v>0.004789272030651341</v>
      </c>
      <c r="N48" s="7">
        <v>0.8729812309035356</v>
      </c>
      <c r="O48" s="7">
        <v>0.3894080996884735</v>
      </c>
      <c r="P48" s="7">
        <v>1.7184788025639703</v>
      </c>
      <c r="Q48" s="7">
        <v>0.6931447979482913</v>
      </c>
      <c r="R48" s="7">
        <v>4.0056</v>
      </c>
      <c r="S48" s="7">
        <v>1.9313594839407455</v>
      </c>
      <c r="T48" s="7">
        <v>0.08840091583348803</v>
      </c>
      <c r="U48" s="7">
        <v>1.8641066268990585</v>
      </c>
      <c r="V48" s="7">
        <v>0.7591861524445794</v>
      </c>
      <c r="W48" s="7">
        <v>5.434500000000001</v>
      </c>
      <c r="X48" s="7">
        <v>0.2228759917981635</v>
      </c>
      <c r="Y48" s="7">
        <v>0.16207980809750722</v>
      </c>
      <c r="Z48" s="7">
        <v>7.010800000000001</v>
      </c>
      <c r="AA48" s="7">
        <v>0.42434015106509376</v>
      </c>
    </row>
    <row r="49" spans="1:27">
      <c r="A49" t="s">
        <v>587</v>
      </c>
      <c r="B49" s="7">
        <v>1.9006709368407049</v>
      </c>
      <c r="C49" s="7">
        <v>4.6827</v>
      </c>
      <c r="D49" s="7">
        <v>5.0308</v>
      </c>
      <c r="E49" s="7">
        <v>8.7582</v>
      </c>
      <c r="F49" s="7">
        <v>1</v>
      </c>
      <c r="G49" s="7">
        <v>1.090037061260083</v>
      </c>
      <c r="H49" s="7">
        <v>8.1463</v>
      </c>
      <c r="I49" s="7">
        <v>9.4038</v>
      </c>
      <c r="J49" s="7">
        <v>0.89914</v>
      </c>
      <c r="K49" s="7">
        <v>0.02105945927732359</v>
      </c>
      <c r="L49" s="7">
        <v>0.044222</v>
      </c>
      <c r="M49" s="7">
        <v>0.004751045229950589</v>
      </c>
      <c r="N49" s="7">
        <v>0.8726003490401396</v>
      </c>
      <c r="O49" s="7">
        <v>0.3900308124341823</v>
      </c>
      <c r="P49" s="7">
        <v>1.7230684402784475</v>
      </c>
      <c r="Q49" s="7">
        <v>0.6934812760055479</v>
      </c>
      <c r="R49" s="7">
        <v>4.026</v>
      </c>
      <c r="S49" s="7">
        <v>1.934984520123839</v>
      </c>
      <c r="T49" s="7">
        <v>0.08898301314279104</v>
      </c>
      <c r="U49" s="7">
        <v>1.8616773713115515</v>
      </c>
      <c r="V49" s="7">
        <v>0.7617886798202178</v>
      </c>
      <c r="W49" s="7">
        <v>5.4368</v>
      </c>
      <c r="X49" s="7">
        <v>0.22345370039327853</v>
      </c>
      <c r="Y49" s="7">
        <v>0.16186572914036348</v>
      </c>
      <c r="Z49" s="7">
        <v>7.0103</v>
      </c>
      <c r="AA49" s="7">
        <v>0.4265119849867781</v>
      </c>
    </row>
    <row r="50" spans="1:27">
      <c r="A50" t="s">
        <v>588</v>
      </c>
      <c r="B50" s="7">
        <v>1.9026599185661557</v>
      </c>
      <c r="C50" s="7">
        <v>4.6712</v>
      </c>
      <c r="D50" s="7">
        <v>5.0328</v>
      </c>
      <c r="E50" s="7">
        <v>8.7281</v>
      </c>
      <c r="F50" s="7">
        <v>1</v>
      </c>
      <c r="G50" s="7">
        <v>1.0890873448050535</v>
      </c>
      <c r="H50" s="7">
        <v>8.1423</v>
      </c>
      <c r="I50" s="7">
        <v>9.385</v>
      </c>
      <c r="J50" s="7">
        <v>0.89884</v>
      </c>
      <c r="K50" s="7">
        <v>0.021078813684365844</v>
      </c>
      <c r="L50" s="7">
        <v>0.043958</v>
      </c>
      <c r="M50" s="7">
        <v>0.00473260766682442</v>
      </c>
      <c r="N50" s="7">
        <v>0.8730574471800244</v>
      </c>
      <c r="O50" s="7">
        <v>0.39251089217725793</v>
      </c>
      <c r="P50" s="7">
        <v>1.7254468907447027</v>
      </c>
      <c r="Q50" s="7">
        <v>0.6928566479595372</v>
      </c>
      <c r="R50" s="7">
        <v>4.0086</v>
      </c>
      <c r="S50" s="7">
        <v>1.932665919369178</v>
      </c>
      <c r="T50" s="7">
        <v>0.08858180529719195</v>
      </c>
      <c r="U50" s="7">
        <v>1.8636550001863657</v>
      </c>
      <c r="V50" s="7">
        <v>0.7579777154551656</v>
      </c>
      <c r="W50" s="7">
        <v>5.4261</v>
      </c>
      <c r="X50" s="7">
        <v>0.22158209616662977</v>
      </c>
      <c r="Y50" s="7">
        <v>0.16197453436370737</v>
      </c>
      <c r="Z50" s="7">
        <v>7.0120000000000005</v>
      </c>
      <c r="AA50" s="7">
        <v>0.4266939750810718</v>
      </c>
    </row>
    <row r="51" spans="1:27">
      <c r="A51" t="s">
        <v>589</v>
      </c>
      <c r="B51" s="7">
        <v>1.8996599608670048</v>
      </c>
      <c r="C51" s="7">
        <v>4.6593</v>
      </c>
      <c r="D51" s="7">
        <v>5.0254</v>
      </c>
      <c r="E51" s="7">
        <v>8.729800000000001</v>
      </c>
      <c r="F51" s="7">
        <v>1</v>
      </c>
      <c r="G51" s="7">
        <v>1.087547580206634</v>
      </c>
      <c r="H51" s="7">
        <v>8.1312</v>
      </c>
      <c r="I51" s="7">
        <v>9.3786</v>
      </c>
      <c r="J51" s="7">
        <v>0.8987999999999999</v>
      </c>
      <c r="K51" s="7">
        <v>0.02105772976615391</v>
      </c>
      <c r="L51" s="7">
        <v>0.044086</v>
      </c>
      <c r="M51" s="7">
        <v>0.004762811964183654</v>
      </c>
      <c r="N51" s="7">
        <v>0.872219799389446</v>
      </c>
      <c r="O51" s="7">
        <v>0.3926650174735933</v>
      </c>
      <c r="P51" s="7">
        <v>1.7279811995645489</v>
      </c>
      <c r="Q51" s="7">
        <v>0.6936736958934517</v>
      </c>
      <c r="R51" s="7">
        <v>4.0009</v>
      </c>
      <c r="S51" s="7">
        <v>1.931322183166596</v>
      </c>
      <c r="T51" s="7">
        <v>0.08880915800037299</v>
      </c>
      <c r="U51" s="7">
        <v>1.86039589224587</v>
      </c>
      <c r="V51" s="7">
        <v>0.7590132827324478</v>
      </c>
      <c r="W51" s="7">
        <v>5.4231</v>
      </c>
      <c r="X51" s="7">
        <v>0.2215526409074796</v>
      </c>
      <c r="Y51" s="7">
        <v>0.16166815670817763</v>
      </c>
      <c r="Z51" s="7">
        <v>7.0064</v>
      </c>
      <c r="AA51" s="7">
        <v>0.425930658488798</v>
      </c>
    </row>
    <row r="52" spans="1:27">
      <c r="A52" t="s">
        <v>590</v>
      </c>
      <c r="B52" s="7">
        <v>1.9000931045621237</v>
      </c>
      <c r="C52" s="7">
        <v>4.6745</v>
      </c>
      <c r="D52" s="7">
        <v>5.0245</v>
      </c>
      <c r="E52" s="7">
        <v>8.690800000000001</v>
      </c>
      <c r="F52" s="7">
        <v>1</v>
      </c>
      <c r="G52" s="7">
        <v>1.0844810758052272</v>
      </c>
      <c r="H52" s="7">
        <v>8.1067</v>
      </c>
      <c r="I52" s="7">
        <v>9.3404</v>
      </c>
      <c r="J52" s="7">
        <v>0.89877</v>
      </c>
      <c r="K52" s="7">
        <v>0.02104053880611775</v>
      </c>
      <c r="L52" s="7">
        <v>0.044041</v>
      </c>
      <c r="M52" s="7">
        <v>0.004742483164184767</v>
      </c>
      <c r="N52" s="7">
        <v>0.8719916288803627</v>
      </c>
      <c r="O52" s="7">
        <v>0.3957104981995172</v>
      </c>
      <c r="P52" s="7">
        <v>1.724673174433445</v>
      </c>
      <c r="Q52" s="7">
        <v>0.6900835001035125</v>
      </c>
      <c r="R52" s="7">
        <v>4.0042</v>
      </c>
      <c r="S52" s="7">
        <v>1.924668475855034</v>
      </c>
      <c r="T52" s="7">
        <v>0.08908765334212332</v>
      </c>
      <c r="U52" s="7">
        <v>1.8611230016191769</v>
      </c>
      <c r="V52" s="7">
        <v>0.7574036203893054</v>
      </c>
      <c r="W52" s="7">
        <v>5.4238</v>
      </c>
      <c r="X52" s="7">
        <v>0.22213830330763937</v>
      </c>
      <c r="Y52" s="7">
        <v>0.16131634134537828</v>
      </c>
      <c r="Z52" s="7">
        <v>7.0078</v>
      </c>
      <c r="AA52" s="7">
        <v>0.4275879762261085</v>
      </c>
    </row>
    <row r="53" spans="1:27">
      <c r="A53" t="s">
        <v>591</v>
      </c>
      <c r="B53" s="7">
        <v>1.9000931045621237</v>
      </c>
      <c r="C53" s="7">
        <v>4.6745</v>
      </c>
      <c r="D53" s="7">
        <v>5.0245</v>
      </c>
      <c r="E53" s="7">
        <v>8.690800000000001</v>
      </c>
      <c r="F53" s="7">
        <v>1</v>
      </c>
      <c r="G53" s="7">
        <v>1.0844810758052272</v>
      </c>
      <c r="H53" s="7">
        <v>8.1067</v>
      </c>
      <c r="I53" s="7">
        <v>9.3404</v>
      </c>
      <c r="J53" s="7">
        <v>0.89877</v>
      </c>
      <c r="K53" s="7">
        <v>0.02104053880611775</v>
      </c>
      <c r="L53" s="7">
        <v>0.044041</v>
      </c>
      <c r="M53" s="7">
        <v>0.004742483164184767</v>
      </c>
      <c r="N53" s="7">
        <v>0.8719916288803627</v>
      </c>
      <c r="O53" s="7">
        <v>0.3957104981995172</v>
      </c>
      <c r="P53" s="7">
        <v>1.724673174433445</v>
      </c>
      <c r="Q53" s="7">
        <v>0.6900835001035125</v>
      </c>
      <c r="R53" s="7">
        <v>4.0042</v>
      </c>
      <c r="S53" s="7">
        <v>1.924668475855034</v>
      </c>
      <c r="T53" s="7">
        <v>0.08908765334212332</v>
      </c>
      <c r="U53" s="7">
        <v>1.8611230016191769</v>
      </c>
      <c r="V53" s="7">
        <v>0.7574036203893054</v>
      </c>
      <c r="W53" s="7">
        <v>5.4238</v>
      </c>
      <c r="X53" s="7">
        <v>0.22213830330763937</v>
      </c>
      <c r="Y53" s="7">
        <v>0.16131634134537828</v>
      </c>
      <c r="Z53" s="7">
        <v>7.0078</v>
      </c>
      <c r="AA53" s="7">
        <v>0.4275879762261085</v>
      </c>
    </row>
    <row r="54" spans="1:27">
      <c r="A54" t="s">
        <v>592</v>
      </c>
      <c r="B54" s="7">
        <v>1.9000931045621237</v>
      </c>
      <c r="C54" s="7">
        <v>4.6745</v>
      </c>
      <c r="D54" s="7">
        <v>5.0245</v>
      </c>
      <c r="E54" s="7">
        <v>8.690800000000001</v>
      </c>
      <c r="F54" s="7">
        <v>1</v>
      </c>
      <c r="G54" s="7">
        <v>1.0844810758052272</v>
      </c>
      <c r="H54" s="7">
        <v>8.1067</v>
      </c>
      <c r="I54" s="7">
        <v>9.3404</v>
      </c>
      <c r="J54" s="7">
        <v>0.89877</v>
      </c>
      <c r="K54" s="7">
        <v>0.02104053880611775</v>
      </c>
      <c r="L54" s="7">
        <v>0.044041</v>
      </c>
      <c r="M54" s="7">
        <v>0.004742483164184767</v>
      </c>
      <c r="N54" s="7">
        <v>0.8719916288803627</v>
      </c>
      <c r="O54" s="7">
        <v>0.3957104981995172</v>
      </c>
      <c r="P54" s="7">
        <v>1.724673174433445</v>
      </c>
      <c r="Q54" s="7">
        <v>0.6900835001035125</v>
      </c>
      <c r="R54" s="7">
        <v>4.0042</v>
      </c>
      <c r="S54" s="7">
        <v>1.924668475855034</v>
      </c>
      <c r="T54" s="7">
        <v>0.08908765334212332</v>
      </c>
      <c r="U54" s="7">
        <v>1.8611230016191769</v>
      </c>
      <c r="V54" s="7">
        <v>0.7574036203893054</v>
      </c>
      <c r="W54" s="7">
        <v>5.4238</v>
      </c>
      <c r="X54" s="7">
        <v>0.22213830330763937</v>
      </c>
      <c r="Y54" s="7">
        <v>0.16131634134537828</v>
      </c>
      <c r="Z54" s="7">
        <v>7.0078</v>
      </c>
      <c r="AA54" s="7">
        <v>0.4275879762261085</v>
      </c>
    </row>
    <row r="55" spans="1:27">
      <c r="A55" t="s">
        <v>593</v>
      </c>
      <c r="B55" s="7">
        <v>1.899984800121599</v>
      </c>
      <c r="C55" s="7">
        <v>4.6637</v>
      </c>
      <c r="D55" s="7">
        <v>5.018</v>
      </c>
      <c r="E55" s="7">
        <v>8.7401</v>
      </c>
      <c r="F55" s="7">
        <v>1</v>
      </c>
      <c r="G55" s="7">
        <v>1.0851871947911014</v>
      </c>
      <c r="H55" s="7">
        <v>8.1097</v>
      </c>
      <c r="I55" s="7">
        <v>9.3445</v>
      </c>
      <c r="J55" s="7">
        <v>0.8982800000000001</v>
      </c>
      <c r="K55" s="7">
        <v>0.02105192246155919</v>
      </c>
      <c r="L55" s="7">
        <v>0.044280999999999994</v>
      </c>
      <c r="M55" s="7">
        <v>0.004730592743270732</v>
      </c>
      <c r="N55" s="7">
        <v>0.871763577717723</v>
      </c>
      <c r="O55" s="7">
        <v>0.3961808169248445</v>
      </c>
      <c r="P55" s="7">
        <v>1.725149225407998</v>
      </c>
      <c r="Q55" s="7">
        <v>0.6922331441229406</v>
      </c>
      <c r="R55" s="7">
        <v>4.0139</v>
      </c>
      <c r="S55" s="7">
        <v>1.9204916458613408</v>
      </c>
      <c r="T55" s="7">
        <v>0.08937908350687773</v>
      </c>
      <c r="U55" s="7">
        <v>1.8608805686851015</v>
      </c>
      <c r="V55" s="7">
        <v>0.7572889057175312</v>
      </c>
      <c r="W55" s="7">
        <v>5.4244</v>
      </c>
      <c r="X55" s="7">
        <v>0.2227667631989307</v>
      </c>
      <c r="Y55" s="7">
        <v>0.1613082746305637</v>
      </c>
      <c r="Z55" s="7">
        <v>7.0051</v>
      </c>
      <c r="AA55" s="7">
        <v>0.4252423881612519</v>
      </c>
    </row>
    <row r="56" spans="1:27">
      <c r="A56" t="s">
        <v>594</v>
      </c>
      <c r="B56" s="7">
        <v>1.897209205259064</v>
      </c>
      <c r="C56" s="7">
        <v>4.6739999999999995</v>
      </c>
      <c r="D56" s="7">
        <v>5.0219</v>
      </c>
      <c r="E56" s="7">
        <v>8.738</v>
      </c>
      <c r="F56" s="7">
        <v>1</v>
      </c>
      <c r="G56" s="7">
        <v>1.0857763300760044</v>
      </c>
      <c r="H56" s="7">
        <v>8.1186</v>
      </c>
      <c r="I56" s="7">
        <v>9.3527</v>
      </c>
      <c r="J56" s="7">
        <v>0.89775</v>
      </c>
      <c r="K56" s="7">
        <v>0.021053296419886944</v>
      </c>
      <c r="L56" s="7">
        <v>0.044086999999999994</v>
      </c>
      <c r="M56" s="7">
        <v>0.004725004725004725</v>
      </c>
      <c r="N56" s="7">
        <v>0.8711560240439062</v>
      </c>
      <c r="O56" s="7">
        <v>0.3968883949833307</v>
      </c>
      <c r="P56" s="7">
        <v>1.7236624379481522</v>
      </c>
      <c r="Q56" s="7">
        <v>0.6923769300006923</v>
      </c>
      <c r="R56" s="7">
        <v>4.031499999999999</v>
      </c>
      <c r="S56" s="7">
        <v>1.9219680953296177</v>
      </c>
      <c r="T56" s="7">
        <v>0.08978917501705994</v>
      </c>
      <c r="U56" s="7">
        <v>1.858183439869184</v>
      </c>
      <c r="V56" s="7">
        <v>0.7571742257893541</v>
      </c>
      <c r="W56" s="7">
        <v>5.427899999999999</v>
      </c>
      <c r="X56" s="7">
        <v>0.2229008314201012</v>
      </c>
      <c r="Y56" s="7">
        <v>0.16105808720973305</v>
      </c>
      <c r="Z56" s="7">
        <v>7.0005999999999995</v>
      </c>
      <c r="AA56" s="7">
        <v>0.4256949470009791</v>
      </c>
    </row>
    <row r="57" spans="1:27">
      <c r="A57" t="s">
        <v>595</v>
      </c>
      <c r="B57" s="7">
        <v>1.897281196046066</v>
      </c>
      <c r="C57" s="7">
        <v>4.6898</v>
      </c>
      <c r="D57" s="7">
        <v>5.0365</v>
      </c>
      <c r="E57" s="7">
        <v>8.8238</v>
      </c>
      <c r="F57" s="7">
        <v>1</v>
      </c>
      <c r="G57" s="7">
        <v>1.0937329104232745</v>
      </c>
      <c r="H57" s="7">
        <v>8.1745</v>
      </c>
      <c r="I57" s="7">
        <v>9.3662</v>
      </c>
      <c r="J57" s="7">
        <v>0.89779</v>
      </c>
      <c r="K57" s="7">
        <v>0.021233135582063942</v>
      </c>
      <c r="L57" s="7">
        <v>0.044095</v>
      </c>
      <c r="M57" s="7">
        <v>0.00470787627701144</v>
      </c>
      <c r="N57" s="7">
        <v>0.8712319219376198</v>
      </c>
      <c r="O57" s="7">
        <v>0.39651070578905634</v>
      </c>
      <c r="P57" s="7">
        <v>1.7211111493580256</v>
      </c>
      <c r="Q57" s="7">
        <v>0.6967670011148271</v>
      </c>
      <c r="R57" s="7">
        <v>4.0555</v>
      </c>
      <c r="S57" s="7">
        <v>1.9352466471851837</v>
      </c>
      <c r="T57" s="7">
        <v>0.08922278036028158</v>
      </c>
      <c r="U57" s="7">
        <v>1.8580798602723945</v>
      </c>
      <c r="V57" s="7">
        <v>0.7638252367858235</v>
      </c>
      <c r="W57" s="7">
        <v>5.4286</v>
      </c>
      <c r="X57" s="7">
        <v>0.22439133849433412</v>
      </c>
      <c r="Y57" s="7">
        <v>0.16100933532126194</v>
      </c>
      <c r="Z57" s="7">
        <v>7.0014</v>
      </c>
      <c r="AA57" s="7">
        <v>0.42482688304515914</v>
      </c>
    </row>
    <row r="58" spans="1:27">
      <c r="A58" t="s">
        <v>67</v>
      </c>
      <c r="B58" s="7">
        <v>1.8992991586104728</v>
      </c>
      <c r="C58" s="7">
        <v>4.7138</v>
      </c>
      <c r="D58" s="7">
        <v>5.0408</v>
      </c>
      <c r="E58" s="7">
        <v>8.7678</v>
      </c>
      <c r="F58" s="7">
        <v>1</v>
      </c>
      <c r="G58" s="7">
        <v>1.0907504363001743</v>
      </c>
      <c r="H58" s="7">
        <v>8.1537</v>
      </c>
      <c r="I58" s="7">
        <v>9.3657</v>
      </c>
      <c r="J58" s="7">
        <v>0.8981999999999999</v>
      </c>
      <c r="K58" s="7">
        <v>0.0212039608998961</v>
      </c>
      <c r="L58" s="7">
        <v>0.044112</v>
      </c>
      <c r="M58" s="7">
        <v>0.004751722499406035</v>
      </c>
      <c r="N58" s="7">
        <v>0.8716875871687587</v>
      </c>
      <c r="O58" s="7">
        <v>0.3993769719237989</v>
      </c>
      <c r="P58" s="7">
        <v>1.7275334277718273</v>
      </c>
      <c r="Q58" s="7">
        <v>0.6993006993006993</v>
      </c>
      <c r="R58" s="7">
        <v>4.0709</v>
      </c>
      <c r="S58" s="7">
        <v>1.9353964659660532</v>
      </c>
      <c r="T58" s="7">
        <v>0.09045435221115664</v>
      </c>
      <c r="U58" s="7">
        <v>1.8601882510510064</v>
      </c>
      <c r="V58" s="7">
        <v>0.765345170671973</v>
      </c>
      <c r="W58" s="7">
        <v>5.4322</v>
      </c>
      <c r="X58" s="7">
        <v>0.22268739143989663</v>
      </c>
      <c r="Y58" s="7">
        <v>0.16111932819684915</v>
      </c>
      <c r="Z58" s="7">
        <v>7.001900000000001</v>
      </c>
      <c r="AA58" s="7">
        <v>0.4287613085795138</v>
      </c>
    </row>
    <row r="59" spans="1:27">
      <c r="A59" t="s">
        <v>596</v>
      </c>
      <c r="B59" s="7">
        <v>1.8953393605124995</v>
      </c>
      <c r="C59" s="7">
        <v>4.7529</v>
      </c>
      <c r="D59" s="7">
        <v>5.047</v>
      </c>
      <c r="E59" s="7">
        <v>8.8266</v>
      </c>
      <c r="F59" s="7">
        <v>1</v>
      </c>
      <c r="G59" s="7">
        <v>1.095290251916758</v>
      </c>
      <c r="H59" s="7">
        <v>8.19</v>
      </c>
      <c r="I59" s="7">
        <v>9.3981</v>
      </c>
      <c r="J59" s="7">
        <v>0.89676</v>
      </c>
      <c r="K59" s="7">
        <v>0.021447123190130892</v>
      </c>
      <c r="L59" s="7">
        <v>0.04401</v>
      </c>
      <c r="M59" s="7">
        <v>0.0047485635595232445</v>
      </c>
      <c r="N59" s="7">
        <v>0.8702462796971543</v>
      </c>
      <c r="O59" s="7">
        <v>0.3993610223642172</v>
      </c>
      <c r="P59" s="7">
        <v>1.7307026652821045</v>
      </c>
      <c r="Q59" s="7">
        <v>0.7055171440666008</v>
      </c>
      <c r="R59" s="7">
        <v>4.1078</v>
      </c>
      <c r="S59" s="7">
        <v>1.9511814403621397</v>
      </c>
      <c r="T59" s="7">
        <v>0.09172208209126348</v>
      </c>
      <c r="U59" s="7">
        <v>1.8563207722294413</v>
      </c>
      <c r="V59" s="7">
        <v>0.7724393635099644</v>
      </c>
      <c r="W59" s="7">
        <v>5.4419</v>
      </c>
      <c r="X59" s="7">
        <v>0.22393407380867072</v>
      </c>
      <c r="Y59" s="7">
        <v>0.16069213315592923</v>
      </c>
      <c r="Z59" s="7">
        <v>6.9929</v>
      </c>
      <c r="AA59" s="7">
        <v>0.43161120462687214</v>
      </c>
    </row>
    <row r="60" spans="1:27">
      <c r="A60" t="s">
        <v>80</v>
      </c>
      <c r="B60" s="7">
        <v>1.8953393605124995</v>
      </c>
      <c r="C60" s="7">
        <v>4.7529</v>
      </c>
      <c r="D60" s="7">
        <v>5.047</v>
      </c>
      <c r="E60" s="7">
        <v>8.8266</v>
      </c>
      <c r="F60" s="7">
        <v>1</v>
      </c>
      <c r="G60" s="7">
        <v>1.095290251916758</v>
      </c>
      <c r="H60" s="7">
        <v>8.19</v>
      </c>
      <c r="I60" s="7">
        <v>9.3981</v>
      </c>
      <c r="J60" s="7">
        <v>0.89676</v>
      </c>
      <c r="K60" s="7">
        <v>0.021447123190130892</v>
      </c>
      <c r="L60" s="7">
        <v>0.04401</v>
      </c>
      <c r="M60" s="7">
        <v>0.0047485635595232445</v>
      </c>
      <c r="N60" s="7">
        <v>0.8702462796971543</v>
      </c>
      <c r="O60" s="7">
        <v>0.3993610223642172</v>
      </c>
      <c r="P60" s="7">
        <v>1.7307026652821045</v>
      </c>
      <c r="Q60" s="7">
        <v>0.7055171440666008</v>
      </c>
      <c r="R60" s="7">
        <v>4.1078</v>
      </c>
      <c r="S60" s="7">
        <v>1.9511814403621397</v>
      </c>
      <c r="T60" s="7">
        <v>0.09172208209126348</v>
      </c>
      <c r="U60" s="7">
        <v>1.8563207722294413</v>
      </c>
      <c r="V60" s="7">
        <v>0.7724393635099644</v>
      </c>
      <c r="W60" s="7">
        <v>5.4419</v>
      </c>
      <c r="X60" s="7">
        <v>0.22393407380867072</v>
      </c>
      <c r="Y60" s="7">
        <v>0.16069213315592923</v>
      </c>
      <c r="Z60" s="7">
        <v>6.9929</v>
      </c>
      <c r="AA60" s="7">
        <v>0.43161120462687214</v>
      </c>
    </row>
    <row r="61" spans="1:27">
      <c r="A61" t="s">
        <v>95</v>
      </c>
      <c r="B61" s="7">
        <v>1.8953393605124995</v>
      </c>
      <c r="C61" s="7">
        <v>4.7529</v>
      </c>
      <c r="D61" s="7">
        <v>5.047</v>
      </c>
      <c r="E61" s="7">
        <v>8.8266</v>
      </c>
      <c r="F61" s="7">
        <v>1</v>
      </c>
      <c r="G61" s="7">
        <v>1.095290251916758</v>
      </c>
      <c r="H61" s="7">
        <v>8.19</v>
      </c>
      <c r="I61" s="7">
        <v>9.3981</v>
      </c>
      <c r="J61" s="7">
        <v>0.89676</v>
      </c>
      <c r="K61" s="7">
        <v>0.021447123190130892</v>
      </c>
      <c r="L61" s="7">
        <v>0.04401</v>
      </c>
      <c r="M61" s="7">
        <v>0.0047485635595232445</v>
      </c>
      <c r="N61" s="7">
        <v>0.8702462796971543</v>
      </c>
      <c r="O61" s="7">
        <v>0.3993610223642172</v>
      </c>
      <c r="P61" s="7">
        <v>1.7307026652821045</v>
      </c>
      <c r="Q61" s="7">
        <v>0.7055171440666008</v>
      </c>
      <c r="R61" s="7">
        <v>4.1078</v>
      </c>
      <c r="S61" s="7">
        <v>1.9511814403621397</v>
      </c>
      <c r="T61" s="7">
        <v>0.09172208209126348</v>
      </c>
      <c r="U61" s="7">
        <v>1.8563207722294413</v>
      </c>
      <c r="V61" s="7">
        <v>0.7724393635099644</v>
      </c>
      <c r="W61" s="7">
        <v>5.4419</v>
      </c>
      <c r="X61" s="7">
        <v>0.22393407380867072</v>
      </c>
      <c r="Y61" s="7">
        <v>0.16069213315592923</v>
      </c>
      <c r="Z61" s="7">
        <v>6.9929</v>
      </c>
      <c r="AA61" s="7">
        <v>0.43161120462687214</v>
      </c>
    </row>
    <row r="62" spans="1:27">
      <c r="A62" t="s">
        <v>111</v>
      </c>
      <c r="B62" s="7">
        <v>1.8918254223500257</v>
      </c>
      <c r="C62" s="7">
        <v>4.8006</v>
      </c>
      <c r="D62" s="7">
        <v>5.0738</v>
      </c>
      <c r="E62" s="7">
        <v>8.94</v>
      </c>
      <c r="F62" s="7">
        <v>1</v>
      </c>
      <c r="G62" s="7">
        <v>1.1037527593818983</v>
      </c>
      <c r="H62" s="7">
        <v>8.249</v>
      </c>
      <c r="I62" s="7">
        <v>9.4983</v>
      </c>
      <c r="J62" s="7">
        <v>0.89594</v>
      </c>
      <c r="K62" s="7">
        <v>0.021585404812681855</v>
      </c>
      <c r="L62" s="7">
        <v>0.044826</v>
      </c>
      <c r="M62" s="7">
        <v>0.004799616030717543</v>
      </c>
      <c r="N62" s="7">
        <v>0.8694140149539211</v>
      </c>
      <c r="O62" s="7">
        <v>0.40093015796648224</v>
      </c>
      <c r="P62" s="7">
        <v>1.7462673535318256</v>
      </c>
      <c r="Q62" s="7">
        <v>0.7135212272565109</v>
      </c>
      <c r="R62" s="7">
        <v>4.133500000000001</v>
      </c>
      <c r="S62" s="7">
        <v>1.9589406049208584</v>
      </c>
      <c r="T62" s="7">
        <v>0.09198278082342984</v>
      </c>
      <c r="U62" s="7">
        <v>1.8530185672460435</v>
      </c>
      <c r="V62" s="7">
        <v>0.7814942169427946</v>
      </c>
      <c r="W62" s="7">
        <v>5.478400000000001</v>
      </c>
      <c r="X62" s="7">
        <v>0.22412479268456675</v>
      </c>
      <c r="Y62" s="7">
        <v>0.16016734283979903</v>
      </c>
      <c r="Z62" s="7">
        <v>6.984299999999999</v>
      </c>
      <c r="AA62" s="7">
        <v>0.4334821622090251</v>
      </c>
    </row>
    <row r="63" spans="1:27">
      <c r="A63" t="s">
        <v>597</v>
      </c>
      <c r="B63" s="7">
        <v>1.8959143046734288</v>
      </c>
      <c r="C63" s="7">
        <v>4.8135</v>
      </c>
      <c r="D63" s="7">
        <v>5.0782</v>
      </c>
      <c r="E63" s="7">
        <v>8.9646</v>
      </c>
      <c r="F63" s="7">
        <v>1</v>
      </c>
      <c r="G63" s="7">
        <v>1.1076650420912717</v>
      </c>
      <c r="H63" s="7">
        <v>8.2755</v>
      </c>
      <c r="I63" s="7">
        <v>9.5261</v>
      </c>
      <c r="J63" s="7">
        <v>0.8959199999999999</v>
      </c>
      <c r="K63" s="7">
        <v>0.02169131523120773</v>
      </c>
      <c r="L63" s="7">
        <v>0.045176</v>
      </c>
      <c r="M63" s="7">
        <v>0.0048118564142046</v>
      </c>
      <c r="N63" s="7">
        <v>0.8694140149539211</v>
      </c>
      <c r="O63" s="7">
        <v>0.4015741707493374</v>
      </c>
      <c r="P63" s="7">
        <v>1.758272672926117</v>
      </c>
      <c r="Q63" s="7">
        <v>0.7122507122507122</v>
      </c>
      <c r="R63" s="7">
        <v>4.1544</v>
      </c>
      <c r="S63" s="7">
        <v>1.967419532541119</v>
      </c>
      <c r="T63" s="7">
        <v>0.0911020616396549</v>
      </c>
      <c r="U63" s="7">
        <v>1.856872284324284</v>
      </c>
      <c r="V63" s="7">
        <v>0.778816199376947</v>
      </c>
      <c r="W63" s="7">
        <v>5.4847</v>
      </c>
      <c r="X63" s="7">
        <v>0.22309974789728487</v>
      </c>
      <c r="Y63" s="7">
        <v>0.16052549626457172</v>
      </c>
      <c r="Z63" s="7">
        <v>6.9858</v>
      </c>
      <c r="AA63" s="7">
        <v>0.4346881112801565</v>
      </c>
    </row>
    <row r="64" spans="1:27">
      <c r="A64" t="s">
        <v>598</v>
      </c>
      <c r="B64" s="7">
        <v>1.889466225791214</v>
      </c>
      <c r="C64" s="7">
        <v>4.845400000000001</v>
      </c>
      <c r="D64" s="7">
        <v>5.1016</v>
      </c>
      <c r="E64" s="7">
        <v>9.0893</v>
      </c>
      <c r="F64" s="7">
        <v>1</v>
      </c>
      <c r="G64" s="7">
        <v>1.1150758251561106</v>
      </c>
      <c r="H64" s="7">
        <v>8.3436</v>
      </c>
      <c r="I64" s="7">
        <v>9.5905</v>
      </c>
      <c r="J64" s="7">
        <v>0.8942700000000001</v>
      </c>
      <c r="K64" s="7">
        <v>0.02196291342439157</v>
      </c>
      <c r="L64" s="7">
        <v>0.04543</v>
      </c>
      <c r="M64" s="7">
        <v>0.004839099927413501</v>
      </c>
      <c r="N64" s="7">
        <v>0.8678295582747548</v>
      </c>
      <c r="O64" s="7">
        <v>0.40500587258515247</v>
      </c>
      <c r="P64" s="7">
        <v>1.7680026873640848</v>
      </c>
      <c r="Q64" s="7">
        <v>0.7229612492770388</v>
      </c>
      <c r="R64" s="7">
        <v>4.1723</v>
      </c>
      <c r="S64" s="7">
        <v>1.9875973922722217</v>
      </c>
      <c r="T64" s="7">
        <v>0.0910804878270928</v>
      </c>
      <c r="U64" s="7">
        <v>1.850549613235131</v>
      </c>
      <c r="V64" s="7">
        <v>0.7892036934732855</v>
      </c>
      <c r="W64" s="7">
        <v>5.5083</v>
      </c>
      <c r="X64" s="7">
        <v>0.2243611316775482</v>
      </c>
      <c r="Y64" s="7">
        <v>0.15986111266531638</v>
      </c>
      <c r="Z64" s="7">
        <v>6.975499999999999</v>
      </c>
      <c r="AA64" s="7">
        <v>0.4374835943652113</v>
      </c>
    </row>
    <row r="65" spans="1:27">
      <c r="A65" t="s">
        <v>599</v>
      </c>
      <c r="B65" s="7">
        <v>1.894621170496959</v>
      </c>
      <c r="C65" s="7">
        <v>4.9</v>
      </c>
      <c r="D65" s="7">
        <v>5.1372</v>
      </c>
      <c r="E65" s="7">
        <v>9.0779</v>
      </c>
      <c r="F65" s="7">
        <v>1</v>
      </c>
      <c r="G65" s="7">
        <v>1.115822361080116</v>
      </c>
      <c r="H65" s="7">
        <v>8.3349</v>
      </c>
      <c r="I65" s="7">
        <v>9.6175</v>
      </c>
      <c r="J65" s="7">
        <v>0.89435</v>
      </c>
      <c r="K65" s="7">
        <v>0.021919345576018483</v>
      </c>
      <c r="L65" s="7">
        <v>0.045437000000000005</v>
      </c>
      <c r="M65" s="7">
        <v>0.004860031104199067</v>
      </c>
      <c r="N65" s="7">
        <v>0.8679048776254122</v>
      </c>
      <c r="O65" s="7">
        <v>0.40558079169370537</v>
      </c>
      <c r="P65" s="7">
        <v>1.7789479301940831</v>
      </c>
      <c r="Q65" s="7">
        <v>0.7267441860465117</v>
      </c>
      <c r="R65" s="7">
        <v>4.2173</v>
      </c>
      <c r="S65" s="7">
        <v>1.981649921724828</v>
      </c>
      <c r="T65" s="7">
        <v>0.09083064626004814</v>
      </c>
      <c r="U65" s="7">
        <v>1.8556662769767485</v>
      </c>
      <c r="V65" s="7">
        <v>0.7887679444707367</v>
      </c>
      <c r="W65" s="7">
        <v>5.5181</v>
      </c>
      <c r="X65" s="7">
        <v>0.22381879630251347</v>
      </c>
      <c r="Y65" s="7">
        <v>0.16032655312340174</v>
      </c>
      <c r="Z65" s="7">
        <v>6.9771</v>
      </c>
      <c r="AA65" s="7">
        <v>0.4426149692382596</v>
      </c>
    </row>
    <row r="66" spans="1:27">
      <c r="A66" t="s">
        <v>600</v>
      </c>
      <c r="B66" s="7">
        <v>1.8948365703458077</v>
      </c>
      <c r="C66" s="7">
        <v>4.9019</v>
      </c>
      <c r="D66" s="7">
        <v>5.1577</v>
      </c>
      <c r="E66" s="7">
        <v>9.1047</v>
      </c>
      <c r="F66" s="7">
        <v>1</v>
      </c>
      <c r="G66" s="7">
        <v>1.115324559446799</v>
      </c>
      <c r="H66" s="7">
        <v>8.3244</v>
      </c>
      <c r="I66" s="7">
        <v>9.608</v>
      </c>
      <c r="J66" s="7">
        <v>0.89262</v>
      </c>
      <c r="K66" s="7">
        <v>0.021886196157221677</v>
      </c>
      <c r="L66" s="7">
        <v>0.045464</v>
      </c>
      <c r="M66" s="7">
        <v>0.0048503662026483</v>
      </c>
      <c r="N66" s="7">
        <v>0.8661758336942399</v>
      </c>
      <c r="O66" s="7">
        <v>0.4045143804862263</v>
      </c>
      <c r="P66" s="7">
        <v>1.7727353306151392</v>
      </c>
      <c r="Q66" s="7">
        <v>0.7293946024799417</v>
      </c>
      <c r="R66" s="7">
        <v>4.2233</v>
      </c>
      <c r="S66" s="7">
        <v>1.9809825673534072</v>
      </c>
      <c r="T66" s="7">
        <v>0.09236424764702078</v>
      </c>
      <c r="U66" s="7">
        <v>1.8553908380800417</v>
      </c>
      <c r="V66" s="7">
        <v>0.790263948158685</v>
      </c>
      <c r="W66" s="7">
        <v>5.5061</v>
      </c>
      <c r="X66" s="7">
        <v>0.22239025041142196</v>
      </c>
      <c r="Y66" s="7">
        <v>0.1602114791524813</v>
      </c>
      <c r="Z66" s="7">
        <v>6.9677999999999995</v>
      </c>
      <c r="AA66" s="7">
        <v>0.4426345609065156</v>
      </c>
    </row>
    <row r="67" spans="1:27">
      <c r="A67" t="s">
        <v>375</v>
      </c>
      <c r="B67" s="7">
        <v>1.8948365703458077</v>
      </c>
      <c r="C67" s="7">
        <v>4.9019</v>
      </c>
      <c r="D67" s="7">
        <v>5.1577</v>
      </c>
      <c r="E67" s="7">
        <v>9.1047</v>
      </c>
      <c r="F67" s="7">
        <v>1</v>
      </c>
      <c r="G67" s="7">
        <v>1.115324559446799</v>
      </c>
      <c r="H67" s="7">
        <v>8.3244</v>
      </c>
      <c r="I67" s="7">
        <v>9.608</v>
      </c>
      <c r="J67" s="7">
        <v>0.89262</v>
      </c>
      <c r="K67" s="7">
        <v>0.021886196157221677</v>
      </c>
      <c r="L67" s="7">
        <v>0.045464</v>
      </c>
      <c r="M67" s="7">
        <v>0.0048503662026483</v>
      </c>
      <c r="N67" s="7">
        <v>0.8661758336942399</v>
      </c>
      <c r="O67" s="7">
        <v>0.4045143804862263</v>
      </c>
      <c r="P67" s="7">
        <v>1.7727353306151392</v>
      </c>
      <c r="Q67" s="7">
        <v>0.7293946024799417</v>
      </c>
      <c r="R67" s="7">
        <v>4.2233</v>
      </c>
      <c r="S67" s="7">
        <v>1.9809825673534072</v>
      </c>
      <c r="T67" s="7">
        <v>0.09236424764702078</v>
      </c>
      <c r="U67" s="7">
        <v>1.8553908380800417</v>
      </c>
      <c r="V67" s="7">
        <v>0.790263948158685</v>
      </c>
      <c r="W67" s="7">
        <v>5.5061</v>
      </c>
      <c r="X67" s="7">
        <v>0.22239025041142196</v>
      </c>
      <c r="Y67" s="7">
        <v>0.1602114791524813</v>
      </c>
      <c r="Z67" s="7">
        <v>6.9677999999999995</v>
      </c>
      <c r="AA67" s="7">
        <v>0.4426345609065156</v>
      </c>
    </row>
    <row r="68" spans="1:27">
      <c r="A68" t="s">
        <v>601</v>
      </c>
      <c r="B68" s="7">
        <v>1.8948365703458077</v>
      </c>
      <c r="C68" s="7">
        <v>4.9019</v>
      </c>
      <c r="D68" s="7">
        <v>5.1577</v>
      </c>
      <c r="E68" s="7">
        <v>9.1047</v>
      </c>
      <c r="F68" s="7">
        <v>1</v>
      </c>
      <c r="G68" s="7">
        <v>1.115324559446799</v>
      </c>
      <c r="H68" s="7">
        <v>8.3244</v>
      </c>
      <c r="I68" s="7">
        <v>9.608</v>
      </c>
      <c r="J68" s="7">
        <v>0.89262</v>
      </c>
      <c r="K68" s="7">
        <v>0.021886196157221677</v>
      </c>
      <c r="L68" s="7">
        <v>0.045464</v>
      </c>
      <c r="M68" s="7">
        <v>0.0048503662026483</v>
      </c>
      <c r="N68" s="7">
        <v>0.8661758336942399</v>
      </c>
      <c r="O68" s="7">
        <v>0.4045143804862263</v>
      </c>
      <c r="P68" s="7">
        <v>1.7727353306151392</v>
      </c>
      <c r="Q68" s="7">
        <v>0.7293946024799417</v>
      </c>
      <c r="R68" s="7">
        <v>4.2233</v>
      </c>
      <c r="S68" s="7">
        <v>1.9809825673534072</v>
      </c>
      <c r="T68" s="7">
        <v>0.09236424764702078</v>
      </c>
      <c r="U68" s="7">
        <v>1.8553908380800417</v>
      </c>
      <c r="V68" s="7">
        <v>0.790263948158685</v>
      </c>
      <c r="W68" s="7">
        <v>5.5061</v>
      </c>
      <c r="X68" s="7">
        <v>0.22239025041142196</v>
      </c>
      <c r="Y68" s="7">
        <v>0.1602114791524813</v>
      </c>
      <c r="Z68" s="7">
        <v>6.9677999999999995</v>
      </c>
      <c r="AA68" s="7">
        <v>0.4426345609065156</v>
      </c>
    </row>
    <row r="69" spans="1:27">
      <c r="A69" t="s">
        <v>602</v>
      </c>
      <c r="B69" s="7">
        <v>1.8982175736982976</v>
      </c>
      <c r="C69" s="7">
        <v>4.843</v>
      </c>
      <c r="D69" s="7">
        <v>5.1098</v>
      </c>
      <c r="E69" s="7">
        <v>9.0099</v>
      </c>
      <c r="F69" s="7">
        <v>1</v>
      </c>
      <c r="G69" s="7">
        <v>1.1068068622025458</v>
      </c>
      <c r="H69" s="7">
        <v>8.2651</v>
      </c>
      <c r="I69" s="7">
        <v>9.5385</v>
      </c>
      <c r="J69" s="7">
        <v>0.89249</v>
      </c>
      <c r="K69" s="7">
        <v>0.02170134179396312</v>
      </c>
      <c r="L69" s="7">
        <v>0.044926</v>
      </c>
      <c r="M69" s="7">
        <v>0.004806767929244376</v>
      </c>
      <c r="N69" s="7">
        <v>0.8661008141347654</v>
      </c>
      <c r="O69" s="7">
        <v>0.399090074629844</v>
      </c>
      <c r="P69" s="7">
        <v>1.7681277295471824</v>
      </c>
      <c r="Q69" s="7">
        <v>0.7227522405319455</v>
      </c>
      <c r="R69" s="7">
        <v>4.1916</v>
      </c>
      <c r="S69" s="7">
        <v>1.9620153822005963</v>
      </c>
      <c r="T69" s="7">
        <v>0.09154407389437644</v>
      </c>
      <c r="U69" s="7">
        <v>1.8586324182666396</v>
      </c>
      <c r="V69" s="7">
        <v>0.7822277847309136</v>
      </c>
      <c r="W69" s="7">
        <v>5.4759</v>
      </c>
      <c r="X69" s="7">
        <v>0.2209456473707468</v>
      </c>
      <c r="Y69" s="7">
        <v>0.16030727698853162</v>
      </c>
      <c r="Z69" s="7">
        <v>6.9695</v>
      </c>
      <c r="AA69" s="7">
        <v>0.430533430920911</v>
      </c>
    </row>
    <row r="70" spans="1:27">
      <c r="A70" t="s">
        <v>603</v>
      </c>
      <c r="B70" s="7">
        <v>1.896094046264695</v>
      </c>
      <c r="C70" s="7">
        <v>4.8441</v>
      </c>
      <c r="D70" s="7">
        <v>5.092</v>
      </c>
      <c r="E70" s="7">
        <v>8.938099999999999</v>
      </c>
      <c r="F70" s="7">
        <v>1</v>
      </c>
      <c r="G70" s="7">
        <v>1.1002310485201892</v>
      </c>
      <c r="H70" s="7">
        <v>8.2174</v>
      </c>
      <c r="I70" s="7">
        <v>9.5192</v>
      </c>
      <c r="J70" s="7">
        <v>0.89117</v>
      </c>
      <c r="K70" s="7">
        <v>0.021577673150038192</v>
      </c>
      <c r="L70" s="7">
        <v>0.044797</v>
      </c>
      <c r="M70" s="7">
        <v>0.004795933048774639</v>
      </c>
      <c r="N70" s="7">
        <v>0.8648274669203494</v>
      </c>
      <c r="O70" s="7">
        <v>0.4006089255668616</v>
      </c>
      <c r="P70" s="7">
        <v>1.763108713283261</v>
      </c>
      <c r="Q70" s="7">
        <v>0.7183391997701314</v>
      </c>
      <c r="R70" s="7">
        <v>4.1856</v>
      </c>
      <c r="S70" s="7">
        <v>1.9469646820606672</v>
      </c>
      <c r="T70" s="7">
        <v>0.09084880034159148</v>
      </c>
      <c r="U70" s="7">
        <v>1.856872284324284</v>
      </c>
      <c r="V70" s="7">
        <v>0.776940408670655</v>
      </c>
      <c r="W70" s="7">
        <v>5.4765</v>
      </c>
      <c r="X70" s="7">
        <v>0.2205947233742169</v>
      </c>
      <c r="Y70" s="7">
        <v>0.16021686955462916</v>
      </c>
      <c r="Z70" s="7">
        <v>6.960800000000001</v>
      </c>
      <c r="AA70" s="7">
        <v>0.43340701252546265</v>
      </c>
    </row>
    <row r="71" spans="1:27">
      <c r="A71" t="s">
        <v>604</v>
      </c>
      <c r="B71" s="7">
        <v>1.8920759857715888</v>
      </c>
      <c r="C71" s="7">
        <v>4.8751999999999995</v>
      </c>
      <c r="D71" s="7">
        <v>5.0933</v>
      </c>
      <c r="E71" s="7">
        <v>8.9558</v>
      </c>
      <c r="F71" s="7">
        <v>1</v>
      </c>
      <c r="G71" s="7">
        <v>1.0993843447669307</v>
      </c>
      <c r="H71" s="7">
        <v>8.2111</v>
      </c>
      <c r="I71" s="7">
        <v>9.5144</v>
      </c>
      <c r="J71" s="7">
        <v>0.8897799999999999</v>
      </c>
      <c r="K71" s="7">
        <v>0.021574647200581654</v>
      </c>
      <c r="L71" s="7">
        <v>0.044615</v>
      </c>
      <c r="M71" s="7">
        <v>0.004790189691511784</v>
      </c>
      <c r="N71" s="7">
        <v>0.8634832915983075</v>
      </c>
      <c r="O71" s="7">
        <v>0.40324206621234726</v>
      </c>
      <c r="P71" s="7">
        <v>1.7687219215394956</v>
      </c>
      <c r="Q71" s="7">
        <v>0.7218652999350321</v>
      </c>
      <c r="R71" s="7">
        <v>4.1951</v>
      </c>
      <c r="S71" s="7">
        <v>1.9449576971700864</v>
      </c>
      <c r="T71" s="7">
        <v>0.09009901882168504</v>
      </c>
      <c r="U71" s="7">
        <v>1.8530872433474168</v>
      </c>
      <c r="V71" s="7">
        <v>0.7799703611262772</v>
      </c>
      <c r="W71" s="7">
        <v>5.472899999999999</v>
      </c>
      <c r="X71" s="7">
        <v>0.21939447125932424</v>
      </c>
      <c r="Y71" s="7">
        <v>0.15983121823354535</v>
      </c>
      <c r="Z71" s="7">
        <v>6.9533000000000005</v>
      </c>
      <c r="AA71" s="7">
        <v>0.4352746583093932</v>
      </c>
    </row>
    <row r="72" spans="1:27">
      <c r="A72" t="s">
        <v>605</v>
      </c>
      <c r="B72" s="7">
        <v>1.892362425251684</v>
      </c>
      <c r="C72" s="7">
        <v>4.8637</v>
      </c>
      <c r="D72" s="7">
        <v>5.0851</v>
      </c>
      <c r="E72" s="7">
        <v>8.9439</v>
      </c>
      <c r="F72" s="7">
        <v>1</v>
      </c>
      <c r="G72" s="7">
        <v>1.0985389432055366</v>
      </c>
      <c r="H72" s="7">
        <v>8.2036</v>
      </c>
      <c r="I72" s="7">
        <v>9.4843</v>
      </c>
      <c r="J72" s="7">
        <v>0.89062</v>
      </c>
      <c r="K72" s="7">
        <v>0.021616573859509564</v>
      </c>
      <c r="L72" s="7">
        <v>0.044328000000000006</v>
      </c>
      <c r="M72" s="7">
        <v>0.004756016360696281</v>
      </c>
      <c r="N72" s="7">
        <v>0.8640801866413202</v>
      </c>
      <c r="O72" s="7">
        <v>0.4013163175214704</v>
      </c>
      <c r="P72" s="7">
        <v>1.7675339366515836</v>
      </c>
      <c r="Q72" s="7">
        <v>0.718803910293272</v>
      </c>
      <c r="R72" s="7">
        <v>4.1714</v>
      </c>
      <c r="S72" s="7">
        <v>1.945411746396125</v>
      </c>
      <c r="T72" s="7">
        <v>0.09074574856167988</v>
      </c>
      <c r="U72" s="7">
        <v>1.8533276497952071</v>
      </c>
      <c r="V72" s="7">
        <v>0.7732755954222085</v>
      </c>
      <c r="W72" s="7">
        <v>5.4621</v>
      </c>
      <c r="X72" s="7">
        <v>0.21915886826360428</v>
      </c>
      <c r="Y72" s="7">
        <v>0.15969466380280903</v>
      </c>
      <c r="Z72" s="7">
        <v>6.957000000000001</v>
      </c>
      <c r="AA72" s="7">
        <v>0.4323763403666551</v>
      </c>
    </row>
    <row r="73" spans="1:27">
      <c r="A73" t="s">
        <v>606</v>
      </c>
      <c r="B73" s="7">
        <v>1.8938676565281616</v>
      </c>
      <c r="C73" s="7">
        <v>4.8103</v>
      </c>
      <c r="D73" s="7">
        <v>5.0725</v>
      </c>
      <c r="E73" s="7">
        <v>8.9412</v>
      </c>
      <c r="F73" s="7">
        <v>1</v>
      </c>
      <c r="G73" s="7">
        <v>1.097092704333516</v>
      </c>
      <c r="H73" s="7">
        <v>8.1923</v>
      </c>
      <c r="I73" s="7">
        <v>9.4053</v>
      </c>
      <c r="J73" s="7">
        <v>0.8908</v>
      </c>
      <c r="K73" s="7">
        <v>0.021556184038076843</v>
      </c>
      <c r="L73" s="7">
        <v>0.044367</v>
      </c>
      <c r="M73" s="7">
        <v>0.004723888705182106</v>
      </c>
      <c r="N73" s="7">
        <v>0.8643789437289308</v>
      </c>
      <c r="O73" s="7">
        <v>0.3972983710766786</v>
      </c>
      <c r="P73" s="7">
        <v>1.7591077805337132</v>
      </c>
      <c r="Q73" s="7">
        <v>0.7088679379031687</v>
      </c>
      <c r="R73" s="7">
        <v>4.131600000000001</v>
      </c>
      <c r="S73" s="7">
        <v>1.9399018409668471</v>
      </c>
      <c r="T73" s="7">
        <v>0.09056084330257284</v>
      </c>
      <c r="U73" s="7">
        <v>1.854736998293642</v>
      </c>
      <c r="V73" s="7">
        <v>0.7670476336580502</v>
      </c>
      <c r="W73" s="7">
        <v>5.453099999999999</v>
      </c>
      <c r="X73" s="7">
        <v>0.218435998252512</v>
      </c>
      <c r="Y73" s="7">
        <v>0.159509730891133</v>
      </c>
      <c r="Z73" s="7">
        <v>6.959</v>
      </c>
      <c r="AA73" s="7">
        <v>0.4270219489281749</v>
      </c>
    </row>
    <row r="74" spans="1:27">
      <c r="A74" t="s">
        <v>607</v>
      </c>
      <c r="B74" s="7">
        <v>1.8938676565281616</v>
      </c>
      <c r="C74" s="7">
        <v>4.8103</v>
      </c>
      <c r="D74" s="7">
        <v>5.0725</v>
      </c>
      <c r="E74" s="7">
        <v>8.9412</v>
      </c>
      <c r="F74" s="7">
        <v>1</v>
      </c>
      <c r="G74" s="7">
        <v>1.097092704333516</v>
      </c>
      <c r="H74" s="7">
        <v>8.1923</v>
      </c>
      <c r="I74" s="7">
        <v>9.4053</v>
      </c>
      <c r="J74" s="7">
        <v>0.8908</v>
      </c>
      <c r="K74" s="7">
        <v>0.021556184038076843</v>
      </c>
      <c r="L74" s="7">
        <v>0.044367</v>
      </c>
      <c r="M74" s="7">
        <v>0.004723888705182106</v>
      </c>
      <c r="N74" s="7">
        <v>0.8643789437289308</v>
      </c>
      <c r="O74" s="7">
        <v>0.3972983710766786</v>
      </c>
      <c r="P74" s="7">
        <v>1.7591077805337132</v>
      </c>
      <c r="Q74" s="7">
        <v>0.7088679379031687</v>
      </c>
      <c r="R74" s="7">
        <v>4.131600000000001</v>
      </c>
      <c r="S74" s="7">
        <v>1.9399018409668471</v>
      </c>
      <c r="T74" s="7">
        <v>0.09056084330257284</v>
      </c>
      <c r="U74" s="7">
        <v>1.854736998293642</v>
      </c>
      <c r="V74" s="7">
        <v>0.7670476336580502</v>
      </c>
      <c r="W74" s="7">
        <v>5.453099999999999</v>
      </c>
      <c r="X74" s="7">
        <v>0.218435998252512</v>
      </c>
      <c r="Y74" s="7">
        <v>0.159509730891133</v>
      </c>
      <c r="Z74" s="7">
        <v>6.959</v>
      </c>
      <c r="AA74" s="7">
        <v>0.4270219489281749</v>
      </c>
    </row>
    <row r="75" spans="1:27">
      <c r="A75" t="s">
        <v>608</v>
      </c>
      <c r="B75" s="7">
        <v>1.8938676565281616</v>
      </c>
      <c r="C75" s="7">
        <v>4.8103</v>
      </c>
      <c r="D75" s="7">
        <v>5.0725</v>
      </c>
      <c r="E75" s="7">
        <v>8.9412</v>
      </c>
      <c r="F75" s="7">
        <v>1</v>
      </c>
      <c r="G75" s="7">
        <v>1.097092704333516</v>
      </c>
      <c r="H75" s="7">
        <v>8.1923</v>
      </c>
      <c r="I75" s="7">
        <v>9.4053</v>
      </c>
      <c r="J75" s="7">
        <v>0.8908</v>
      </c>
      <c r="K75" s="7">
        <v>0.021556184038076843</v>
      </c>
      <c r="L75" s="7">
        <v>0.044367</v>
      </c>
      <c r="M75" s="7">
        <v>0.004723888705182106</v>
      </c>
      <c r="N75" s="7">
        <v>0.8643789437289308</v>
      </c>
      <c r="O75" s="7">
        <v>0.3972983710766786</v>
      </c>
      <c r="P75" s="7">
        <v>1.7591077805337132</v>
      </c>
      <c r="Q75" s="7">
        <v>0.7088679379031687</v>
      </c>
      <c r="R75" s="7">
        <v>4.131600000000001</v>
      </c>
      <c r="S75" s="7">
        <v>1.9399018409668471</v>
      </c>
      <c r="T75" s="7">
        <v>0.09056084330257284</v>
      </c>
      <c r="U75" s="7">
        <v>1.854736998293642</v>
      </c>
      <c r="V75" s="7">
        <v>0.7670476336580502</v>
      </c>
      <c r="W75" s="7">
        <v>5.453099999999999</v>
      </c>
      <c r="X75" s="7">
        <v>0.218435998252512</v>
      </c>
      <c r="Y75" s="7">
        <v>0.159509730891133</v>
      </c>
      <c r="Z75" s="7">
        <v>6.959</v>
      </c>
      <c r="AA75" s="7">
        <v>0.4270219489281749</v>
      </c>
    </row>
    <row r="76" spans="1:27">
      <c r="A76" t="s">
        <v>609</v>
      </c>
      <c r="B76" s="7">
        <v>1.8888595066298968</v>
      </c>
      <c r="C76" s="7">
        <v>4.8748000000000005</v>
      </c>
      <c r="D76" s="7">
        <v>5.077</v>
      </c>
      <c r="E76" s="7">
        <v>8.9361</v>
      </c>
      <c r="F76" s="7">
        <v>1</v>
      </c>
      <c r="G76" s="7">
        <v>1.0981770261366133</v>
      </c>
      <c r="H76" s="7">
        <v>8.204600000000001</v>
      </c>
      <c r="I76" s="7">
        <v>9.4343</v>
      </c>
      <c r="J76" s="7">
        <v>0.88969</v>
      </c>
      <c r="K76" s="7">
        <v>0.021719960209032895</v>
      </c>
      <c r="L76" s="7">
        <v>0.044125</v>
      </c>
      <c r="M76" s="7">
        <v>0.004741134079271762</v>
      </c>
      <c r="N76" s="7">
        <v>0.8631851532153647</v>
      </c>
      <c r="O76" s="7">
        <v>0.40233353450010056</v>
      </c>
      <c r="P76" s="7">
        <v>1.761028440609316</v>
      </c>
      <c r="Q76" s="7">
        <v>0.7167944950182783</v>
      </c>
      <c r="R76" s="7">
        <v>4.1756</v>
      </c>
      <c r="S76" s="7">
        <v>1.9456767063584717</v>
      </c>
      <c r="T76" s="7">
        <v>0.09002277576226786</v>
      </c>
      <c r="U76" s="7">
        <v>1.8499334023975136</v>
      </c>
      <c r="V76" s="7">
        <v>0.7702973347712218</v>
      </c>
      <c r="W76" s="7">
        <v>5.4615</v>
      </c>
      <c r="X76" s="7">
        <v>0.21995424951610065</v>
      </c>
      <c r="Y76" s="7">
        <v>0.15929756147292898</v>
      </c>
      <c r="Z76" s="7">
        <v>6.9523</v>
      </c>
      <c r="AA76" s="7">
        <v>0.43344458410992154</v>
      </c>
    </row>
    <row r="77" spans="1:27">
      <c r="A77" t="s">
        <v>610</v>
      </c>
      <c r="B77" s="7">
        <v>1.885902876001886</v>
      </c>
      <c r="C77" s="7">
        <v>4.9055</v>
      </c>
      <c r="D77" s="7">
        <v>5.1071</v>
      </c>
      <c r="E77" s="7">
        <v>9.0316</v>
      </c>
      <c r="F77" s="7">
        <v>1</v>
      </c>
      <c r="G77" s="7">
        <v>1.1042402826855124</v>
      </c>
      <c r="H77" s="7">
        <v>8.2513</v>
      </c>
      <c r="I77" s="7">
        <v>9.4795</v>
      </c>
      <c r="J77" s="7">
        <v>0.88882</v>
      </c>
      <c r="K77" s="7">
        <v>0.021919009260781417</v>
      </c>
      <c r="L77" s="7">
        <v>0.044389000000000005</v>
      </c>
      <c r="M77" s="7">
        <v>0.0047467603360706314</v>
      </c>
      <c r="N77" s="7">
        <v>0.8622919720617401</v>
      </c>
      <c r="O77" s="7">
        <v>0.4031120248317007</v>
      </c>
      <c r="P77" s="7">
        <v>1.7629532993670998</v>
      </c>
      <c r="Q77" s="7">
        <v>0.7231180851833104</v>
      </c>
      <c r="R77" s="7">
        <v>4.1876999999999995</v>
      </c>
      <c r="S77" s="7">
        <v>1.9619768879122603</v>
      </c>
      <c r="T77" s="7">
        <v>0.08981256118480731</v>
      </c>
      <c r="U77" s="7">
        <v>1.846790278495974</v>
      </c>
      <c r="V77" s="7">
        <v>0.7763975155279502</v>
      </c>
      <c r="W77" s="7">
        <v>5.4762</v>
      </c>
      <c r="X77" s="7">
        <v>0.22213830330763937</v>
      </c>
      <c r="Y77" s="7">
        <v>0.15896456838735212</v>
      </c>
      <c r="Z77" s="7">
        <v>6.9458</v>
      </c>
      <c r="AA77" s="7">
        <v>0.4360908813396712</v>
      </c>
    </row>
    <row r="78" spans="1:27">
      <c r="A78" t="s">
        <v>611</v>
      </c>
      <c r="B78" s="7">
        <v>1.8857961831485253</v>
      </c>
      <c r="C78" s="7">
        <v>4.8976999999999995</v>
      </c>
      <c r="D78" s="7">
        <v>5.1105</v>
      </c>
      <c r="E78" s="7">
        <v>9.0138</v>
      </c>
      <c r="F78" s="7">
        <v>1</v>
      </c>
      <c r="G78" s="7">
        <v>1.102779003087781</v>
      </c>
      <c r="H78" s="7">
        <v>8.2392</v>
      </c>
      <c r="I78" s="7">
        <v>9.4418</v>
      </c>
      <c r="J78" s="7">
        <v>0.88825</v>
      </c>
      <c r="K78" s="7">
        <v>0.021805067061483743</v>
      </c>
      <c r="L78" s="7">
        <v>0.044836</v>
      </c>
      <c r="M78" s="7">
        <v>0.004751270964983133</v>
      </c>
      <c r="N78" s="7">
        <v>0.8619203585588692</v>
      </c>
      <c r="O78" s="7">
        <v>0.4033884630899556</v>
      </c>
      <c r="P78" s="7">
        <v>1.7677526560483656</v>
      </c>
      <c r="Q78" s="7">
        <v>0.7274843590862796</v>
      </c>
      <c r="R78" s="7">
        <v>4.1813</v>
      </c>
      <c r="S78" s="7">
        <v>1.953850061546277</v>
      </c>
      <c r="T78" s="7">
        <v>0.08940865118108828</v>
      </c>
      <c r="U78" s="7">
        <v>1.846517468055248</v>
      </c>
      <c r="V78" s="7">
        <v>0.7792410192472531</v>
      </c>
      <c r="W78" s="7">
        <v>5.4777</v>
      </c>
      <c r="X78" s="7">
        <v>0.22177374642389833</v>
      </c>
      <c r="Y78" s="7">
        <v>0.15882116577912106</v>
      </c>
      <c r="Z78" s="7">
        <v>6.9437999999999995</v>
      </c>
      <c r="AA78" s="7">
        <v>0.43470700747696056</v>
      </c>
    </row>
    <row r="79" spans="1:27">
      <c r="A79" t="s">
        <v>123</v>
      </c>
      <c r="B79" s="7">
        <v>1.8857606215467009</v>
      </c>
      <c r="C79" s="7">
        <v>4.9364</v>
      </c>
      <c r="D79" s="7">
        <v>5.1029</v>
      </c>
      <c r="E79" s="7">
        <v>8.9846</v>
      </c>
      <c r="F79" s="7">
        <v>1</v>
      </c>
      <c r="G79" s="7">
        <v>1.1012003083360864</v>
      </c>
      <c r="H79" s="7">
        <v>8.225299999999999</v>
      </c>
      <c r="I79" s="7">
        <v>9.4368</v>
      </c>
      <c r="J79" s="7">
        <v>0.88881</v>
      </c>
      <c r="K79" s="7">
        <v>0.02171175474401841</v>
      </c>
      <c r="L79" s="7">
        <v>0.045241</v>
      </c>
      <c r="M79" s="7">
        <v>0.004779200917606577</v>
      </c>
      <c r="N79" s="7">
        <v>0.8625150940141453</v>
      </c>
      <c r="O79" s="7">
        <v>0.4034861200774693</v>
      </c>
      <c r="P79" s="7">
        <v>1.7711967976761898</v>
      </c>
      <c r="Q79" s="7">
        <v>0.7302468234263181</v>
      </c>
      <c r="R79" s="7">
        <v>4.188</v>
      </c>
      <c r="S79" s="7">
        <v>1.953086853772387</v>
      </c>
      <c r="T79" s="7">
        <v>0.08961858330943505</v>
      </c>
      <c r="U79" s="7">
        <v>1.8466879651345312</v>
      </c>
      <c r="V79" s="7">
        <v>0.778755548633284</v>
      </c>
      <c r="W79" s="7">
        <v>5.4905</v>
      </c>
      <c r="X79" s="7">
        <v>0.22275683863494608</v>
      </c>
      <c r="Y79" s="7">
        <v>0.1587737585082888</v>
      </c>
      <c r="Z79" s="7">
        <v>6.9457</v>
      </c>
      <c r="AA79" s="7">
        <v>0.4364906154517678</v>
      </c>
    </row>
    <row r="80" spans="1:27">
      <c r="A80" t="s">
        <v>612</v>
      </c>
      <c r="B80" s="7">
        <v>1.8847654409408747</v>
      </c>
      <c r="C80" s="7">
        <v>4.9048</v>
      </c>
      <c r="D80" s="7">
        <v>5.0865</v>
      </c>
      <c r="E80" s="7">
        <v>8.9993</v>
      </c>
      <c r="F80" s="7">
        <v>1</v>
      </c>
      <c r="G80" s="7">
        <v>1.1003521126760565</v>
      </c>
      <c r="H80" s="7">
        <v>8.2195</v>
      </c>
      <c r="I80" s="7">
        <v>9.4245</v>
      </c>
      <c r="J80" s="7">
        <v>0.88787</v>
      </c>
      <c r="K80" s="7">
        <v>0.021714724972150865</v>
      </c>
      <c r="L80" s="7">
        <v>0.045304</v>
      </c>
      <c r="M80" s="7">
        <v>0.004794783275795934</v>
      </c>
      <c r="N80" s="7">
        <v>0.8615490652192643</v>
      </c>
      <c r="O80" s="7">
        <v>0.4027061855670103</v>
      </c>
      <c r="P80" s="7">
        <v>1.7750639023004828</v>
      </c>
      <c r="Q80" s="7">
        <v>0.7257947452460444</v>
      </c>
      <c r="R80" s="7">
        <v>4.1709</v>
      </c>
      <c r="S80" s="7">
        <v>1.9526292152383184</v>
      </c>
      <c r="T80" s="7">
        <v>0.08942464185430937</v>
      </c>
      <c r="U80" s="7">
        <v>1.8458017239788105</v>
      </c>
      <c r="V80" s="7">
        <v>0.7753140021708793</v>
      </c>
      <c r="W80" s="7">
        <v>5.4851</v>
      </c>
      <c r="X80" s="7">
        <v>0.222637812806127</v>
      </c>
      <c r="Y80" s="7">
        <v>0.1583932587829062</v>
      </c>
      <c r="Z80" s="7">
        <v>6.9398</v>
      </c>
      <c r="AA80" s="7">
        <v>0.4341031429067546</v>
      </c>
    </row>
    <row r="81" spans="1:27">
      <c r="A81" t="s">
        <v>613</v>
      </c>
      <c r="B81" s="7">
        <v>1.8847654409408747</v>
      </c>
      <c r="C81" s="7">
        <v>4.9048</v>
      </c>
      <c r="D81" s="7">
        <v>5.0865</v>
      </c>
      <c r="E81" s="7">
        <v>8.9993</v>
      </c>
      <c r="F81" s="7">
        <v>1</v>
      </c>
      <c r="G81" s="7">
        <v>1.1003521126760565</v>
      </c>
      <c r="H81" s="7">
        <v>8.2195</v>
      </c>
      <c r="I81" s="7">
        <v>9.4245</v>
      </c>
      <c r="J81" s="7">
        <v>0.88787</v>
      </c>
      <c r="K81" s="7">
        <v>0.021714724972150865</v>
      </c>
      <c r="L81" s="7">
        <v>0.045304</v>
      </c>
      <c r="M81" s="7">
        <v>0.004794783275795934</v>
      </c>
      <c r="N81" s="7">
        <v>0.8615490652192643</v>
      </c>
      <c r="O81" s="7">
        <v>0.4027061855670103</v>
      </c>
      <c r="P81" s="7">
        <v>1.7750639023004828</v>
      </c>
      <c r="Q81" s="7">
        <v>0.7257947452460444</v>
      </c>
      <c r="R81" s="7">
        <v>4.1709</v>
      </c>
      <c r="S81" s="7">
        <v>1.9526292152383184</v>
      </c>
      <c r="T81" s="7">
        <v>0.08942464185430937</v>
      </c>
      <c r="U81" s="7">
        <v>1.8458017239788105</v>
      </c>
      <c r="V81" s="7">
        <v>0.7753140021708793</v>
      </c>
      <c r="W81" s="7">
        <v>5.4851</v>
      </c>
      <c r="X81" s="7">
        <v>0.222637812806127</v>
      </c>
      <c r="Y81" s="7">
        <v>0.1583932587829062</v>
      </c>
      <c r="Z81" s="7">
        <v>6.9398</v>
      </c>
      <c r="AA81" s="7">
        <v>0.4341031429067546</v>
      </c>
    </row>
    <row r="82" spans="1:27">
      <c r="A82" t="s">
        <v>614</v>
      </c>
      <c r="B82" s="7">
        <v>1.8847654409408747</v>
      </c>
      <c r="C82" s="7">
        <v>4.9048</v>
      </c>
      <c r="D82" s="7">
        <v>5.0865</v>
      </c>
      <c r="E82" s="7">
        <v>8.9993</v>
      </c>
      <c r="F82" s="7">
        <v>1</v>
      </c>
      <c r="G82" s="7">
        <v>1.1003521126760565</v>
      </c>
      <c r="H82" s="7">
        <v>8.2195</v>
      </c>
      <c r="I82" s="7">
        <v>9.4245</v>
      </c>
      <c r="J82" s="7">
        <v>0.88787</v>
      </c>
      <c r="K82" s="7">
        <v>0.021714724972150865</v>
      </c>
      <c r="L82" s="7">
        <v>0.045304</v>
      </c>
      <c r="M82" s="7">
        <v>0.004794783275795934</v>
      </c>
      <c r="N82" s="7">
        <v>0.8615490652192643</v>
      </c>
      <c r="O82" s="7">
        <v>0.4027061855670103</v>
      </c>
      <c r="P82" s="7">
        <v>1.7750639023004828</v>
      </c>
      <c r="Q82" s="7">
        <v>0.7257947452460444</v>
      </c>
      <c r="R82" s="7">
        <v>4.1709</v>
      </c>
      <c r="S82" s="7">
        <v>1.9526292152383184</v>
      </c>
      <c r="T82" s="7">
        <v>0.08942464185430937</v>
      </c>
      <c r="U82" s="7">
        <v>1.8458017239788105</v>
      </c>
      <c r="V82" s="7">
        <v>0.7753140021708793</v>
      </c>
      <c r="W82" s="7">
        <v>5.4851</v>
      </c>
      <c r="X82" s="7">
        <v>0.222637812806127</v>
      </c>
      <c r="Y82" s="7">
        <v>0.1583932587829062</v>
      </c>
      <c r="Z82" s="7">
        <v>6.9398</v>
      </c>
      <c r="AA82" s="7">
        <v>0.4341031429067546</v>
      </c>
    </row>
    <row r="83" spans="1:27">
      <c r="A83" t="s">
        <v>615</v>
      </c>
      <c r="B83" s="7">
        <v>1.8847654409408747</v>
      </c>
      <c r="C83" s="7">
        <v>4.9048</v>
      </c>
      <c r="D83" s="7">
        <v>5.0865</v>
      </c>
      <c r="E83" s="7">
        <v>8.9993</v>
      </c>
      <c r="F83" s="7">
        <v>1</v>
      </c>
      <c r="G83" s="7">
        <v>1.1003521126760565</v>
      </c>
      <c r="H83" s="7">
        <v>8.2195</v>
      </c>
      <c r="I83" s="7">
        <v>9.4245</v>
      </c>
      <c r="J83" s="7">
        <v>0.88787</v>
      </c>
      <c r="K83" s="7">
        <v>0.021714724972150865</v>
      </c>
      <c r="L83" s="7">
        <v>0.045304</v>
      </c>
      <c r="M83" s="7">
        <v>0.004794783275795934</v>
      </c>
      <c r="N83" s="7">
        <v>0.8615490652192643</v>
      </c>
      <c r="O83" s="7">
        <v>0.4027061855670103</v>
      </c>
      <c r="P83" s="7">
        <v>1.7750639023004828</v>
      </c>
      <c r="Q83" s="7">
        <v>0.7257947452460444</v>
      </c>
      <c r="R83" s="7">
        <v>4.1709</v>
      </c>
      <c r="S83" s="7">
        <v>1.9526292152383184</v>
      </c>
      <c r="T83" s="7">
        <v>0.08942464185430937</v>
      </c>
      <c r="U83" s="7">
        <v>1.8458017239788105</v>
      </c>
      <c r="V83" s="7">
        <v>0.7753140021708793</v>
      </c>
      <c r="W83" s="7">
        <v>5.4851</v>
      </c>
      <c r="X83" s="7">
        <v>0.222637812806127</v>
      </c>
      <c r="Y83" s="7">
        <v>0.1583932587829062</v>
      </c>
      <c r="Z83" s="7">
        <v>6.9398</v>
      </c>
      <c r="AA83" s="7">
        <v>0.4341031429067546</v>
      </c>
    </row>
    <row r="84" spans="1:27">
      <c r="A84" t="s">
        <v>130</v>
      </c>
      <c r="B84" s="7">
        <v>1.8847654409408747</v>
      </c>
      <c r="C84" s="7">
        <v>4.9048</v>
      </c>
      <c r="D84" s="7">
        <v>5.0865</v>
      </c>
      <c r="E84" s="7">
        <v>8.9993</v>
      </c>
      <c r="F84" s="7">
        <v>1</v>
      </c>
      <c r="G84" s="7">
        <v>1.1003521126760565</v>
      </c>
      <c r="H84" s="7">
        <v>8.2195</v>
      </c>
      <c r="I84" s="7">
        <v>9.4245</v>
      </c>
      <c r="J84" s="7">
        <v>0.88787</v>
      </c>
      <c r="K84" s="7">
        <v>0.021714724972150865</v>
      </c>
      <c r="L84" s="7">
        <v>0.045304</v>
      </c>
      <c r="M84" s="7">
        <v>0.004794783275795934</v>
      </c>
      <c r="N84" s="7">
        <v>0.8615490652192643</v>
      </c>
      <c r="O84" s="7">
        <v>0.4027061855670103</v>
      </c>
      <c r="P84" s="7">
        <v>1.7750639023004828</v>
      </c>
      <c r="Q84" s="7">
        <v>0.7257947452460444</v>
      </c>
      <c r="R84" s="7">
        <v>4.1709</v>
      </c>
      <c r="S84" s="7">
        <v>1.9526292152383184</v>
      </c>
      <c r="T84" s="7">
        <v>0.08942464185430937</v>
      </c>
      <c r="U84" s="7">
        <v>1.8458017239788105</v>
      </c>
      <c r="V84" s="7">
        <v>0.7753140021708793</v>
      </c>
      <c r="W84" s="7">
        <v>5.4851</v>
      </c>
      <c r="X84" s="7">
        <v>0.222637812806127</v>
      </c>
      <c r="Y84" s="7">
        <v>0.1583932587829062</v>
      </c>
      <c r="Z84" s="7">
        <v>6.9398</v>
      </c>
      <c r="AA84" s="7">
        <v>0.4341031429067546</v>
      </c>
    </row>
    <row r="85" spans="1:27">
      <c r="A85" t="s">
        <v>616</v>
      </c>
      <c r="B85" s="7">
        <v>1.8847654409408747</v>
      </c>
      <c r="C85" s="7">
        <v>4.9048</v>
      </c>
      <c r="D85" s="7">
        <v>5.0865</v>
      </c>
      <c r="E85" s="7">
        <v>8.9993</v>
      </c>
      <c r="F85" s="7">
        <v>1</v>
      </c>
      <c r="G85" s="7">
        <v>1.1003521126760565</v>
      </c>
      <c r="H85" s="7">
        <v>8.2195</v>
      </c>
      <c r="I85" s="7">
        <v>9.4245</v>
      </c>
      <c r="J85" s="7">
        <v>0.88787</v>
      </c>
      <c r="K85" s="7">
        <v>0.021714724972150865</v>
      </c>
      <c r="L85" s="7">
        <v>0.045304</v>
      </c>
      <c r="M85" s="7">
        <v>0.004794783275795934</v>
      </c>
      <c r="N85" s="7">
        <v>0.8615490652192643</v>
      </c>
      <c r="O85" s="7">
        <v>0.4027061855670103</v>
      </c>
      <c r="P85" s="7">
        <v>1.7750639023004828</v>
      </c>
      <c r="Q85" s="7">
        <v>0.7257947452460444</v>
      </c>
      <c r="R85" s="7">
        <v>4.1709</v>
      </c>
      <c r="S85" s="7">
        <v>1.9526292152383184</v>
      </c>
      <c r="T85" s="7">
        <v>0.08942464185430937</v>
      </c>
      <c r="U85" s="7">
        <v>1.8458017239788105</v>
      </c>
      <c r="V85" s="7">
        <v>0.7753140021708793</v>
      </c>
      <c r="W85" s="7">
        <v>5.4851</v>
      </c>
      <c r="X85" s="7">
        <v>0.222637812806127</v>
      </c>
      <c r="Y85" s="7">
        <v>0.1583932587829062</v>
      </c>
      <c r="Z85" s="7">
        <v>6.9398</v>
      </c>
      <c r="AA85" s="7">
        <v>0.4341031429067546</v>
      </c>
    </row>
    <row r="86" spans="1:27">
      <c r="A86" t="s">
        <v>617</v>
      </c>
      <c r="B86" s="7">
        <v>1.8847654409408747</v>
      </c>
      <c r="C86" s="7">
        <v>4.9048</v>
      </c>
      <c r="D86" s="7">
        <v>5.0865</v>
      </c>
      <c r="E86" s="7">
        <v>8.9993</v>
      </c>
      <c r="F86" s="7">
        <v>1</v>
      </c>
      <c r="G86" s="7">
        <v>1.1003521126760565</v>
      </c>
      <c r="H86" s="7">
        <v>8.2195</v>
      </c>
      <c r="I86" s="7">
        <v>9.4245</v>
      </c>
      <c r="J86" s="7">
        <v>0.88787</v>
      </c>
      <c r="K86" s="7">
        <v>0.021714724972150865</v>
      </c>
      <c r="L86" s="7">
        <v>0.045304</v>
      </c>
      <c r="M86" s="7">
        <v>0.004794783275795934</v>
      </c>
      <c r="N86" s="7">
        <v>0.8615490652192643</v>
      </c>
      <c r="O86" s="7">
        <v>0.4027061855670103</v>
      </c>
      <c r="P86" s="7">
        <v>1.7750639023004828</v>
      </c>
      <c r="Q86" s="7">
        <v>0.7257947452460444</v>
      </c>
      <c r="R86" s="7">
        <v>4.1709</v>
      </c>
      <c r="S86" s="7">
        <v>1.9526292152383184</v>
      </c>
      <c r="T86" s="7">
        <v>0.08942464185430937</v>
      </c>
      <c r="U86" s="7">
        <v>1.8458017239788105</v>
      </c>
      <c r="V86" s="7">
        <v>0.7753140021708793</v>
      </c>
      <c r="W86" s="7">
        <v>5.4851</v>
      </c>
      <c r="X86" s="7">
        <v>0.222637812806127</v>
      </c>
      <c r="Y86" s="7">
        <v>0.1583932587829062</v>
      </c>
      <c r="Z86" s="7">
        <v>6.9398</v>
      </c>
      <c r="AA86" s="7">
        <v>0.4341031429067546</v>
      </c>
    </row>
    <row r="87" spans="1:27">
      <c r="A87" t="s">
        <v>618</v>
      </c>
      <c r="B87" s="7">
        <v>1.8847654409408747</v>
      </c>
      <c r="C87" s="7">
        <v>4.9048</v>
      </c>
      <c r="D87" s="7">
        <v>5.0865</v>
      </c>
      <c r="E87" s="7">
        <v>8.9993</v>
      </c>
      <c r="F87" s="7">
        <v>1</v>
      </c>
      <c r="G87" s="7">
        <v>1.1003521126760565</v>
      </c>
      <c r="H87" s="7">
        <v>8.2195</v>
      </c>
      <c r="I87" s="7">
        <v>9.4245</v>
      </c>
      <c r="J87" s="7">
        <v>0.88787</v>
      </c>
      <c r="K87" s="7">
        <v>0.021714724972150865</v>
      </c>
      <c r="L87" s="7">
        <v>0.045304</v>
      </c>
      <c r="M87" s="7">
        <v>0.004794783275795934</v>
      </c>
      <c r="N87" s="7">
        <v>0.8615490652192643</v>
      </c>
      <c r="O87" s="7">
        <v>0.4027061855670103</v>
      </c>
      <c r="P87" s="7">
        <v>1.7750639023004828</v>
      </c>
      <c r="Q87" s="7">
        <v>0.7257947452460444</v>
      </c>
      <c r="R87" s="7">
        <v>4.1709</v>
      </c>
      <c r="S87" s="7">
        <v>1.9526292152383184</v>
      </c>
      <c r="T87" s="7">
        <v>0.08942464185430937</v>
      </c>
      <c r="U87" s="7">
        <v>1.8458017239788105</v>
      </c>
      <c r="V87" s="7">
        <v>0.7753140021708793</v>
      </c>
      <c r="W87" s="7">
        <v>5.4851</v>
      </c>
      <c r="X87" s="7">
        <v>0.222637812806127</v>
      </c>
      <c r="Y87" s="7">
        <v>0.1583932587829062</v>
      </c>
      <c r="Z87" s="7">
        <v>6.9398</v>
      </c>
      <c r="AA87" s="7">
        <v>0.4341031429067546</v>
      </c>
    </row>
    <row r="88" spans="1:27">
      <c r="A88" t="s">
        <v>619</v>
      </c>
      <c r="B88" s="7">
        <v>1.8847654409408747</v>
      </c>
      <c r="C88" s="7">
        <v>4.9048</v>
      </c>
      <c r="D88" s="7">
        <v>5.0865</v>
      </c>
      <c r="E88" s="7">
        <v>8.9993</v>
      </c>
      <c r="F88" s="7">
        <v>1</v>
      </c>
      <c r="G88" s="7">
        <v>1.1003521126760565</v>
      </c>
      <c r="H88" s="7">
        <v>8.2195</v>
      </c>
      <c r="I88" s="7">
        <v>9.4245</v>
      </c>
      <c r="J88" s="7">
        <v>0.88787</v>
      </c>
      <c r="K88" s="7">
        <v>0.021714724972150865</v>
      </c>
      <c r="L88" s="7">
        <v>0.045304</v>
      </c>
      <c r="M88" s="7">
        <v>0.004794783275795934</v>
      </c>
      <c r="N88" s="7">
        <v>0.8615490652192643</v>
      </c>
      <c r="O88" s="7">
        <v>0.4027061855670103</v>
      </c>
      <c r="P88" s="7">
        <v>1.7750639023004828</v>
      </c>
      <c r="Q88" s="7">
        <v>0.7257947452460444</v>
      </c>
      <c r="R88" s="7">
        <v>4.1709</v>
      </c>
      <c r="S88" s="7">
        <v>1.9526292152383184</v>
      </c>
      <c r="T88" s="7">
        <v>0.08942464185430937</v>
      </c>
      <c r="U88" s="7">
        <v>1.8458017239788105</v>
      </c>
      <c r="V88" s="7">
        <v>0.7753140021708793</v>
      </c>
      <c r="W88" s="7">
        <v>5.4851</v>
      </c>
      <c r="X88" s="7">
        <v>0.222637812806127</v>
      </c>
      <c r="Y88" s="7">
        <v>0.1583932587829062</v>
      </c>
      <c r="Z88" s="7">
        <v>6.9398</v>
      </c>
      <c r="AA88" s="7">
        <v>0.4341031429067546</v>
      </c>
    </row>
    <row r="89" spans="1:27">
      <c r="A89" t="s">
        <v>145</v>
      </c>
      <c r="B89" s="7">
        <v>1.8847654409408747</v>
      </c>
      <c r="C89" s="7">
        <v>4.9048</v>
      </c>
      <c r="D89" s="7">
        <v>5.0865</v>
      </c>
      <c r="E89" s="7">
        <v>8.9993</v>
      </c>
      <c r="F89" s="7">
        <v>1</v>
      </c>
      <c r="G89" s="7">
        <v>1.1003521126760565</v>
      </c>
      <c r="H89" s="7">
        <v>8.2195</v>
      </c>
      <c r="I89" s="7">
        <v>9.4245</v>
      </c>
      <c r="J89" s="7">
        <v>0.88787</v>
      </c>
      <c r="K89" s="7">
        <v>0.021714724972150865</v>
      </c>
      <c r="L89" s="7">
        <v>0.045304</v>
      </c>
      <c r="M89" s="7">
        <v>0.004794783275795934</v>
      </c>
      <c r="N89" s="7">
        <v>0.8615490652192643</v>
      </c>
      <c r="O89" s="7">
        <v>0.4027061855670103</v>
      </c>
      <c r="P89" s="7">
        <v>1.7750639023004828</v>
      </c>
      <c r="Q89" s="7">
        <v>0.7257947452460444</v>
      </c>
      <c r="R89" s="7">
        <v>4.1709</v>
      </c>
      <c r="S89" s="7">
        <v>1.9526292152383184</v>
      </c>
      <c r="T89" s="7">
        <v>0.08942464185430937</v>
      </c>
      <c r="U89" s="7">
        <v>1.8458017239788105</v>
      </c>
      <c r="V89" s="7">
        <v>0.7753140021708793</v>
      </c>
      <c r="W89" s="7">
        <v>5.4851</v>
      </c>
      <c r="X89" s="7">
        <v>0.222637812806127</v>
      </c>
      <c r="Y89" s="7">
        <v>0.1583932587829062</v>
      </c>
      <c r="Z89" s="7">
        <v>6.9398</v>
      </c>
      <c r="AA89" s="7">
        <v>0.4341031429067546</v>
      </c>
    </row>
    <row r="90" spans="1:27">
      <c r="A90" t="s">
        <v>620</v>
      </c>
      <c r="B90" s="7">
        <v>1.8847654409408747</v>
      </c>
      <c r="C90" s="7">
        <v>4.9048</v>
      </c>
      <c r="D90" s="7">
        <v>5.0865</v>
      </c>
      <c r="E90" s="7">
        <v>8.9993</v>
      </c>
      <c r="F90" s="7">
        <v>1</v>
      </c>
      <c r="G90" s="7">
        <v>1.1003521126760565</v>
      </c>
      <c r="H90" s="7">
        <v>8.2195</v>
      </c>
      <c r="I90" s="7">
        <v>9.4245</v>
      </c>
      <c r="J90" s="7">
        <v>0.88787</v>
      </c>
      <c r="K90" s="7">
        <v>0.021714724972150865</v>
      </c>
      <c r="L90" s="7">
        <v>0.045304</v>
      </c>
      <c r="M90" s="7">
        <v>0.004794783275795934</v>
      </c>
      <c r="N90" s="7">
        <v>0.8615490652192643</v>
      </c>
      <c r="O90" s="7">
        <v>0.4027061855670103</v>
      </c>
      <c r="P90" s="7">
        <v>1.7750639023004828</v>
      </c>
      <c r="Q90" s="7">
        <v>0.7257947452460444</v>
      </c>
      <c r="R90" s="7">
        <v>4.1709</v>
      </c>
      <c r="S90" s="7">
        <v>1.9526292152383184</v>
      </c>
      <c r="T90" s="7">
        <v>0.08942464185430937</v>
      </c>
      <c r="U90" s="7">
        <v>1.8458017239788105</v>
      </c>
      <c r="V90" s="7">
        <v>0.7753140021708793</v>
      </c>
      <c r="W90" s="7">
        <v>5.4851</v>
      </c>
      <c r="X90" s="7">
        <v>0.222637812806127</v>
      </c>
      <c r="Y90" s="7">
        <v>0.1583932587829062</v>
      </c>
      <c r="Z90" s="7">
        <v>6.9398</v>
      </c>
      <c r="AA90" s="7">
        <v>0.4341031429067546</v>
      </c>
    </row>
    <row r="91" spans="1:27">
      <c r="A91" t="s">
        <v>150</v>
      </c>
      <c r="B91" s="7">
        <v>1.8871841325558136</v>
      </c>
      <c r="C91" s="7">
        <v>4.8902</v>
      </c>
      <c r="D91" s="7">
        <v>5.0601</v>
      </c>
      <c r="E91" s="7">
        <v>8.9502</v>
      </c>
      <c r="F91" s="7">
        <v>1</v>
      </c>
      <c r="G91" s="7">
        <v>1.0937329104232745</v>
      </c>
      <c r="H91" s="7">
        <v>8.173</v>
      </c>
      <c r="I91" s="7">
        <v>9.3519</v>
      </c>
      <c r="J91" s="7">
        <v>0.8877299999999999</v>
      </c>
      <c r="K91" s="7">
        <v>0.021562133443731455</v>
      </c>
      <c r="L91" s="7">
        <v>0.044846</v>
      </c>
      <c r="M91" s="7">
        <v>0.004790419161676647</v>
      </c>
      <c r="N91" s="7">
        <v>0.861474844934528</v>
      </c>
      <c r="O91" s="7">
        <v>0.40171935885590326</v>
      </c>
      <c r="P91" s="7">
        <v>1.7812928623595004</v>
      </c>
      <c r="Q91" s="7">
        <v>0.7241129616220131</v>
      </c>
      <c r="R91" s="7">
        <v>4.1270999999999995</v>
      </c>
      <c r="S91" s="7">
        <v>1.9377967251235344</v>
      </c>
      <c r="T91" s="7">
        <v>0.08987794574967195</v>
      </c>
      <c r="U91" s="7">
        <v>1.847643330931397</v>
      </c>
      <c r="V91" s="7">
        <v>0.7644091117566122</v>
      </c>
      <c r="W91" s="7">
        <v>5.4715</v>
      </c>
      <c r="X91" s="7">
        <v>0.22345869366047685</v>
      </c>
      <c r="Y91" s="7">
        <v>0.15812626698671425</v>
      </c>
      <c r="Z91" s="7">
        <v>6.9414</v>
      </c>
      <c r="AA91" s="7">
        <v>0.4331441937020834</v>
      </c>
    </row>
    <row r="92" spans="1:27">
      <c r="A92" t="s">
        <v>156</v>
      </c>
      <c r="B92" s="7">
        <v>1.88040616773223</v>
      </c>
      <c r="C92" s="7">
        <v>4.8732999999999995</v>
      </c>
      <c r="D92" s="7">
        <v>5.0387</v>
      </c>
      <c r="E92" s="7">
        <v>8.9237</v>
      </c>
      <c r="F92" s="7">
        <v>1</v>
      </c>
      <c r="G92" s="7">
        <v>1.0884946119516707</v>
      </c>
      <c r="H92" s="7">
        <v>8.1352</v>
      </c>
      <c r="I92" s="7">
        <v>9.3175</v>
      </c>
      <c r="J92" s="7">
        <v>0.8861100000000001</v>
      </c>
      <c r="K92" s="7">
        <v>0.021529174183936656</v>
      </c>
      <c r="L92" s="7">
        <v>0.044388</v>
      </c>
      <c r="M92" s="7">
        <v>0.004784002296321102</v>
      </c>
      <c r="N92" s="7">
        <v>0.8598452278589854</v>
      </c>
      <c r="O92" s="7">
        <v>0.4030307915524746</v>
      </c>
      <c r="P92" s="7">
        <v>1.7754736075848232</v>
      </c>
      <c r="Q92" s="7">
        <v>0.721552781585973</v>
      </c>
      <c r="R92" s="7">
        <v>4.113</v>
      </c>
      <c r="S92" s="7">
        <v>1.932180465655492</v>
      </c>
      <c r="T92" s="7">
        <v>0.08987956138774043</v>
      </c>
      <c r="U92" s="7">
        <v>1.8410442402930944</v>
      </c>
      <c r="V92" s="7">
        <v>0.7633587786259542</v>
      </c>
      <c r="W92" s="7">
        <v>5.455</v>
      </c>
      <c r="X92" s="7">
        <v>0.2219558751720158</v>
      </c>
      <c r="Y92" s="7">
        <v>0.157597706638173</v>
      </c>
      <c r="Z92" s="7">
        <v>6.9321</v>
      </c>
      <c r="AA92" s="7">
        <v>0.4330129037845328</v>
      </c>
    </row>
    <row r="93" spans="1:27">
      <c r="A93" t="s">
        <v>621</v>
      </c>
      <c r="B93" s="7">
        <v>1.875926238580299</v>
      </c>
      <c r="C93" s="7">
        <v>4.9024</v>
      </c>
      <c r="D93" s="7">
        <v>5.0382</v>
      </c>
      <c r="E93" s="7">
        <v>8.921100000000001</v>
      </c>
      <c r="F93" s="7">
        <v>1</v>
      </c>
      <c r="G93" s="7">
        <v>1.090037061260083</v>
      </c>
      <c r="H93" s="7">
        <v>8.1462</v>
      </c>
      <c r="I93" s="7">
        <v>9.3391</v>
      </c>
      <c r="J93" s="7">
        <v>0.88557</v>
      </c>
      <c r="K93" s="7">
        <v>0.021747829566609252</v>
      </c>
      <c r="L93" s="7">
        <v>0.044208</v>
      </c>
      <c r="M93" s="7">
        <v>0.004822298307373294</v>
      </c>
      <c r="N93" s="7">
        <v>0.8593280054996992</v>
      </c>
      <c r="O93" s="7">
        <v>0.4026089057089942</v>
      </c>
      <c r="P93" s="7">
        <v>1.7759465795268878</v>
      </c>
      <c r="Q93" s="7">
        <v>0.7212925562608195</v>
      </c>
      <c r="R93" s="7">
        <v>4.1268</v>
      </c>
      <c r="S93" s="7">
        <v>1.934610176049526</v>
      </c>
      <c r="T93" s="7">
        <v>0.08924985496898567</v>
      </c>
      <c r="U93" s="7">
        <v>1.8368509028122184</v>
      </c>
      <c r="V93" s="7">
        <v>0.7642338555598013</v>
      </c>
      <c r="W93" s="7">
        <v>5.461799999999999</v>
      </c>
      <c r="X93" s="7">
        <v>0.2214103841470165</v>
      </c>
      <c r="Y93" s="7">
        <v>0.15721292919129667</v>
      </c>
      <c r="Z93" s="7">
        <v>6.9228</v>
      </c>
      <c r="AA93" s="7">
        <v>0.4352557127312296</v>
      </c>
    </row>
    <row r="94" spans="1:27">
      <c r="A94" t="s">
        <v>622</v>
      </c>
      <c r="B94" s="7">
        <v>1.8722735017131305</v>
      </c>
      <c r="C94" s="7">
        <v>4.8776</v>
      </c>
      <c r="D94" s="7">
        <v>5.0266</v>
      </c>
      <c r="E94" s="7">
        <v>8.8912</v>
      </c>
      <c r="F94" s="7">
        <v>1</v>
      </c>
      <c r="G94" s="7">
        <v>1.0866021949364335</v>
      </c>
      <c r="H94" s="7">
        <v>8.120800000000001</v>
      </c>
      <c r="I94" s="7">
        <v>9.2709</v>
      </c>
      <c r="J94" s="7">
        <v>0.88484</v>
      </c>
      <c r="K94" s="7">
        <v>0.021643616215397267</v>
      </c>
      <c r="L94" s="7">
        <v>0.044216</v>
      </c>
      <c r="M94" s="7">
        <v>0.004786979415988511</v>
      </c>
      <c r="N94" s="7">
        <v>0.8586639189421261</v>
      </c>
      <c r="O94" s="7">
        <v>0.40117142054800015</v>
      </c>
      <c r="P94" s="7">
        <v>1.7732697320589434</v>
      </c>
      <c r="Q94" s="7">
        <v>0.7193209610128039</v>
      </c>
      <c r="R94" s="7">
        <v>4.1018</v>
      </c>
      <c r="S94" s="7">
        <v>1.9268193992177112</v>
      </c>
      <c r="T94" s="7">
        <v>0.08905353898763936</v>
      </c>
      <c r="U94" s="7">
        <v>1.833550303452575</v>
      </c>
      <c r="V94" s="7">
        <v>0.7595898214963919</v>
      </c>
      <c r="W94" s="7">
        <v>5.4488</v>
      </c>
      <c r="X94" s="7">
        <v>0.22089196174151224</v>
      </c>
      <c r="Y94" s="7">
        <v>0.1566281100469101</v>
      </c>
      <c r="Z94" s="7">
        <v>6.9228</v>
      </c>
      <c r="AA94" s="7">
        <v>0.4324511330219685</v>
      </c>
    </row>
    <row r="95" spans="1:27">
      <c r="A95" t="s">
        <v>379</v>
      </c>
      <c r="B95" s="7">
        <v>1.8722735017131305</v>
      </c>
      <c r="C95" s="7">
        <v>4.8776</v>
      </c>
      <c r="D95" s="7">
        <v>5.0266</v>
      </c>
      <c r="E95" s="7">
        <v>8.8912</v>
      </c>
      <c r="F95" s="7">
        <v>1</v>
      </c>
      <c r="G95" s="7">
        <v>1.0866021949364335</v>
      </c>
      <c r="H95" s="7">
        <v>8.120800000000001</v>
      </c>
      <c r="I95" s="7">
        <v>9.2709</v>
      </c>
      <c r="J95" s="7">
        <v>0.88484</v>
      </c>
      <c r="K95" s="7">
        <v>0.021643616215397267</v>
      </c>
      <c r="L95" s="7">
        <v>0.044216</v>
      </c>
      <c r="M95" s="7">
        <v>0.004786979415988511</v>
      </c>
      <c r="N95" s="7">
        <v>0.8586639189421261</v>
      </c>
      <c r="O95" s="7">
        <v>0.40117142054800015</v>
      </c>
      <c r="P95" s="7">
        <v>1.7732697320589434</v>
      </c>
      <c r="Q95" s="7">
        <v>0.7193209610128039</v>
      </c>
      <c r="R95" s="7">
        <v>4.1018</v>
      </c>
      <c r="S95" s="7">
        <v>1.9268193992177112</v>
      </c>
      <c r="T95" s="7">
        <v>0.08905353898763936</v>
      </c>
      <c r="U95" s="7">
        <v>1.833550303452575</v>
      </c>
      <c r="V95" s="7">
        <v>0.7595898214963919</v>
      </c>
      <c r="W95" s="7">
        <v>5.4488</v>
      </c>
      <c r="X95" s="7">
        <v>0.22089196174151224</v>
      </c>
      <c r="Y95" s="7">
        <v>0.1566281100469101</v>
      </c>
      <c r="Z95" s="7">
        <v>6.9228</v>
      </c>
      <c r="AA95" s="7">
        <v>0.4324511330219685</v>
      </c>
    </row>
    <row r="96" spans="1:27">
      <c r="A96" t="s">
        <v>623</v>
      </c>
      <c r="B96" s="7">
        <v>1.8722735017131305</v>
      </c>
      <c r="C96" s="7">
        <v>4.8776</v>
      </c>
      <c r="D96" s="7">
        <v>5.0266</v>
      </c>
      <c r="E96" s="7">
        <v>8.8912</v>
      </c>
      <c r="F96" s="7">
        <v>1</v>
      </c>
      <c r="G96" s="7">
        <v>1.0866021949364335</v>
      </c>
      <c r="H96" s="7">
        <v>8.120800000000001</v>
      </c>
      <c r="I96" s="7">
        <v>9.2709</v>
      </c>
      <c r="J96" s="7">
        <v>0.88484</v>
      </c>
      <c r="K96" s="7">
        <v>0.021643616215397267</v>
      </c>
      <c r="L96" s="7">
        <v>0.044216</v>
      </c>
      <c r="M96" s="7">
        <v>0.004786979415988511</v>
      </c>
      <c r="N96" s="7">
        <v>0.8586639189421261</v>
      </c>
      <c r="O96" s="7">
        <v>0.40117142054800015</v>
      </c>
      <c r="P96" s="7">
        <v>1.7732697320589434</v>
      </c>
      <c r="Q96" s="7">
        <v>0.7193209610128039</v>
      </c>
      <c r="R96" s="7">
        <v>4.1018</v>
      </c>
      <c r="S96" s="7">
        <v>1.9268193992177112</v>
      </c>
      <c r="T96" s="7">
        <v>0.08905353898763936</v>
      </c>
      <c r="U96" s="7">
        <v>1.833550303452575</v>
      </c>
      <c r="V96" s="7">
        <v>0.7595898214963919</v>
      </c>
      <c r="W96" s="7">
        <v>5.4488</v>
      </c>
      <c r="X96" s="7">
        <v>0.22089196174151224</v>
      </c>
      <c r="Y96" s="7">
        <v>0.1566281100469101</v>
      </c>
      <c r="Z96" s="7">
        <v>6.9228</v>
      </c>
      <c r="AA96" s="7">
        <v>0.4324511330219685</v>
      </c>
    </row>
    <row r="97" spans="1:27">
      <c r="A97" t="s">
        <v>624</v>
      </c>
      <c r="B97" s="7">
        <v>1.8767712028226635</v>
      </c>
      <c r="C97" s="7">
        <v>4.8724</v>
      </c>
      <c r="D97" s="7">
        <v>5.0439</v>
      </c>
      <c r="E97" s="7">
        <v>8.97</v>
      </c>
      <c r="F97" s="7">
        <v>1</v>
      </c>
      <c r="G97" s="7">
        <v>1.086130118388183</v>
      </c>
      <c r="H97" s="7">
        <v>8.1135</v>
      </c>
      <c r="I97" s="7">
        <v>9.2493</v>
      </c>
      <c r="J97" s="7">
        <v>0.88518</v>
      </c>
      <c r="K97" s="7">
        <v>0.02146097750460338</v>
      </c>
      <c r="L97" s="7">
        <v>0.044123</v>
      </c>
      <c r="M97" s="7">
        <v>0.00476077124494168</v>
      </c>
      <c r="N97" s="7">
        <v>0.8587376556462001</v>
      </c>
      <c r="O97" s="7">
        <v>0.3989945337748873</v>
      </c>
      <c r="P97" s="7">
        <v>1.7687219215394956</v>
      </c>
      <c r="Q97" s="7">
        <v>0.7248477819657871</v>
      </c>
      <c r="R97" s="7">
        <v>4.1114</v>
      </c>
      <c r="S97" s="7">
        <v>1.9217834150091289</v>
      </c>
      <c r="T97" s="7">
        <v>0.08911067545891997</v>
      </c>
      <c r="U97" s="7">
        <v>1.8376272556874564</v>
      </c>
      <c r="V97" s="7">
        <v>0.7598206823189726</v>
      </c>
      <c r="W97" s="7">
        <v>5.437799999999999</v>
      </c>
      <c r="X97" s="7">
        <v>0.22078954340722423</v>
      </c>
      <c r="Y97" s="7">
        <v>0.15693241078000117</v>
      </c>
      <c r="Z97" s="7">
        <v>6.9236</v>
      </c>
      <c r="AA97" s="7">
        <v>0.4294241422252759</v>
      </c>
    </row>
    <row r="98" spans="1:27">
      <c r="A98" t="s">
        <v>625</v>
      </c>
      <c r="B98" s="7">
        <v>1.8788869473723768</v>
      </c>
      <c r="C98" s="7">
        <v>4.9025</v>
      </c>
      <c r="D98" s="7">
        <v>5.0472</v>
      </c>
      <c r="E98" s="7">
        <v>8.8691</v>
      </c>
      <c r="F98" s="7">
        <v>1</v>
      </c>
      <c r="G98" s="7">
        <v>1.0807305738679347</v>
      </c>
      <c r="H98" s="7">
        <v>8.0732</v>
      </c>
      <c r="I98" s="7">
        <v>9.2584</v>
      </c>
      <c r="J98" s="7">
        <v>0.88327</v>
      </c>
      <c r="K98" s="7">
        <v>0.021270169438169746</v>
      </c>
      <c r="L98" s="7">
        <v>0.043968999999999994</v>
      </c>
      <c r="M98" s="7">
        <v>0.004741358873453132</v>
      </c>
      <c r="N98" s="7">
        <v>0.8571183680466272</v>
      </c>
      <c r="O98" s="7">
        <v>0.39942482824732384</v>
      </c>
      <c r="P98" s="7">
        <v>1.7599436818021823</v>
      </c>
      <c r="Q98" s="7">
        <v>0.7209285559801023</v>
      </c>
      <c r="R98" s="7">
        <v>4.1034</v>
      </c>
      <c r="S98" s="7">
        <v>1.907705221389191</v>
      </c>
      <c r="T98" s="7">
        <v>0.08901469632636348</v>
      </c>
      <c r="U98" s="7">
        <v>1.8387761106207707</v>
      </c>
      <c r="V98" s="7">
        <v>0.7535795026375284</v>
      </c>
      <c r="W98" s="7">
        <v>5.4251</v>
      </c>
      <c r="X98" s="7">
        <v>0.219823701391484</v>
      </c>
      <c r="Y98" s="7">
        <v>0.1570507132458142</v>
      </c>
      <c r="Z98" s="7">
        <v>6.9088</v>
      </c>
      <c r="AA98" s="7">
        <v>0.42946102641185313</v>
      </c>
    </row>
    <row r="99" spans="1:27">
      <c r="A99" t="s">
        <v>626</v>
      </c>
      <c r="B99" s="7">
        <v>1.881255173451727</v>
      </c>
      <c r="C99" s="7">
        <v>4.8638</v>
      </c>
      <c r="D99" s="7">
        <v>5.0529</v>
      </c>
      <c r="E99" s="7">
        <v>8.837200000000001</v>
      </c>
      <c r="F99" s="7">
        <v>1</v>
      </c>
      <c r="G99" s="7">
        <v>1.074113856068743</v>
      </c>
      <c r="H99" s="7">
        <v>8.0214</v>
      </c>
      <c r="I99" s="7">
        <v>9.2292</v>
      </c>
      <c r="J99" s="7">
        <v>0.88574</v>
      </c>
      <c r="K99" s="7">
        <v>0.0207542079156549</v>
      </c>
      <c r="L99" s="7">
        <v>0.043830999999999995</v>
      </c>
      <c r="M99" s="7">
        <v>0.004659832246039142</v>
      </c>
      <c r="N99" s="7">
        <v>0.8595495960116899</v>
      </c>
      <c r="O99" s="7">
        <v>0.3909762677405481</v>
      </c>
      <c r="P99" s="7">
        <v>1.7517122987720497</v>
      </c>
      <c r="Q99" s="7">
        <v>0.7152052639107425</v>
      </c>
      <c r="R99" s="7">
        <v>4.069599999999999</v>
      </c>
      <c r="S99" s="7">
        <v>1.870102668636508</v>
      </c>
      <c r="T99" s="7">
        <v>0.08905829756158382</v>
      </c>
      <c r="U99" s="7">
        <v>1.841179828033804</v>
      </c>
      <c r="V99" s="7">
        <v>0.7463800567248844</v>
      </c>
      <c r="W99" s="7">
        <v>5.4111</v>
      </c>
      <c r="X99" s="7">
        <v>0.2188758536158291</v>
      </c>
      <c r="Y99" s="7">
        <v>0.15720057221008285</v>
      </c>
      <c r="Z99" s="7">
        <v>6.9124</v>
      </c>
      <c r="AA99" s="7">
        <v>0.4186728072011723</v>
      </c>
    </row>
    <row r="100" spans="1:27">
      <c r="A100" t="s">
        <v>627</v>
      </c>
      <c r="B100" s="7">
        <v>1.8793813076735135</v>
      </c>
      <c r="C100" s="7">
        <v>4.8855</v>
      </c>
      <c r="D100" s="7">
        <v>5.0605</v>
      </c>
      <c r="E100" s="7">
        <v>8.861799999999999</v>
      </c>
      <c r="F100" s="7">
        <v>1</v>
      </c>
      <c r="G100" s="7">
        <v>1.075268817204301</v>
      </c>
      <c r="H100" s="7">
        <v>8.036200000000001</v>
      </c>
      <c r="I100" s="7">
        <v>9.2309</v>
      </c>
      <c r="J100" s="7">
        <v>0.88259</v>
      </c>
      <c r="K100" s="7">
        <v>0.020898248517791724</v>
      </c>
      <c r="L100" s="7">
        <v>0.043985</v>
      </c>
      <c r="M100" s="7">
        <v>0.004719207173194903</v>
      </c>
      <c r="N100" s="7">
        <v>0.8564576909900651</v>
      </c>
      <c r="O100" s="7">
        <v>0.3925571170605323</v>
      </c>
      <c r="P100" s="7">
        <v>1.752879103928202</v>
      </c>
      <c r="Q100" s="7">
        <v>0.7169486664754804</v>
      </c>
      <c r="R100" s="7">
        <v>4.1001</v>
      </c>
      <c r="S100" s="7">
        <v>1.8830973184694184</v>
      </c>
      <c r="T100" s="7">
        <v>0.0886713485138682</v>
      </c>
      <c r="U100" s="7">
        <v>1.839080459770115</v>
      </c>
      <c r="V100" s="7">
        <v>0.7526719855486979</v>
      </c>
      <c r="W100" s="7">
        <v>5.415900000000001</v>
      </c>
      <c r="X100" s="7">
        <v>0.2185601258906325</v>
      </c>
      <c r="Y100" s="7">
        <v>0.15698587127158556</v>
      </c>
      <c r="Z100" s="7">
        <v>6.9007000000000005</v>
      </c>
      <c r="AA100" s="7">
        <v>0.4225114078080108</v>
      </c>
    </row>
    <row r="101" spans="1:27">
      <c r="A101" t="s">
        <v>628</v>
      </c>
      <c r="B101" s="7">
        <v>1.879451951810852</v>
      </c>
      <c r="C101" s="7">
        <v>4.8415</v>
      </c>
      <c r="D101" s="7">
        <v>5.0494</v>
      </c>
      <c r="E101" s="7">
        <v>8.8414</v>
      </c>
      <c r="F101" s="7">
        <v>1</v>
      </c>
      <c r="G101" s="7">
        <v>1.0725010725010726</v>
      </c>
      <c r="H101" s="7">
        <v>8.013200000000001</v>
      </c>
      <c r="I101" s="7">
        <v>9.2198</v>
      </c>
      <c r="J101" s="7">
        <v>0.88253</v>
      </c>
      <c r="K101" s="7">
        <v>0.02067239016242297</v>
      </c>
      <c r="L101" s="7">
        <v>0.043814</v>
      </c>
      <c r="M101" s="7">
        <v>0.004661787329262039</v>
      </c>
      <c r="N101" s="7">
        <v>0.8563843452941681</v>
      </c>
      <c r="O101" s="7">
        <v>0.3898635477582846</v>
      </c>
      <c r="P101" s="7">
        <v>1.749873134197771</v>
      </c>
      <c r="Q101" s="7">
        <v>0.7133685261806249</v>
      </c>
      <c r="R101" s="7">
        <v>4.0721</v>
      </c>
      <c r="S101" s="7">
        <v>1.8740629685157424</v>
      </c>
      <c r="T101" s="7">
        <v>0.08777396448665398</v>
      </c>
      <c r="U101" s="7">
        <v>1.8392495861688432</v>
      </c>
      <c r="V101" s="7">
        <v>0.74827895839569</v>
      </c>
      <c r="W101" s="7">
        <v>5.390700000000001</v>
      </c>
      <c r="X101" s="7">
        <v>0.2175473709400222</v>
      </c>
      <c r="Y101" s="7">
        <v>0.15672433599816946</v>
      </c>
      <c r="Z101" s="7">
        <v>6.9025</v>
      </c>
      <c r="AA101" s="7">
        <v>0.4144390567367069</v>
      </c>
    </row>
    <row r="102" spans="1:27">
      <c r="A102" t="s">
        <v>629</v>
      </c>
      <c r="B102" s="7">
        <v>1.879451951810852</v>
      </c>
      <c r="C102" s="7">
        <v>4.8415</v>
      </c>
      <c r="D102" s="7">
        <v>5.0494</v>
      </c>
      <c r="E102" s="7">
        <v>8.8414</v>
      </c>
      <c r="F102" s="7">
        <v>1</v>
      </c>
      <c r="G102" s="7">
        <v>1.0725010725010726</v>
      </c>
      <c r="H102" s="7">
        <v>8.013200000000001</v>
      </c>
      <c r="I102" s="7">
        <v>9.2198</v>
      </c>
      <c r="J102" s="7">
        <v>0.88253</v>
      </c>
      <c r="K102" s="7">
        <v>0.02067239016242297</v>
      </c>
      <c r="L102" s="7">
        <v>0.043814</v>
      </c>
      <c r="M102" s="7">
        <v>0.004661787329262039</v>
      </c>
      <c r="N102" s="7">
        <v>0.8563843452941681</v>
      </c>
      <c r="O102" s="7">
        <v>0.3898635477582846</v>
      </c>
      <c r="P102" s="7">
        <v>1.749873134197771</v>
      </c>
      <c r="Q102" s="7">
        <v>0.7133685261806249</v>
      </c>
      <c r="R102" s="7">
        <v>4.0721</v>
      </c>
      <c r="S102" s="7">
        <v>1.8740629685157424</v>
      </c>
      <c r="T102" s="7">
        <v>0.08777396448665398</v>
      </c>
      <c r="U102" s="7">
        <v>1.8392495861688432</v>
      </c>
      <c r="V102" s="7">
        <v>0.74827895839569</v>
      </c>
      <c r="W102" s="7">
        <v>5.390700000000001</v>
      </c>
      <c r="X102" s="7">
        <v>0.2175473709400222</v>
      </c>
      <c r="Y102" s="7">
        <v>0.15672433599816946</v>
      </c>
      <c r="Z102" s="7">
        <v>6.9025</v>
      </c>
      <c r="AA102" s="7">
        <v>0.4144390567367069</v>
      </c>
    </row>
    <row r="103" spans="1:27">
      <c r="A103" t="s">
        <v>630</v>
      </c>
      <c r="B103" s="7">
        <v>1.879451951810852</v>
      </c>
      <c r="C103" s="7">
        <v>4.8415</v>
      </c>
      <c r="D103" s="7">
        <v>5.0494</v>
      </c>
      <c r="E103" s="7">
        <v>8.8414</v>
      </c>
      <c r="F103" s="7">
        <v>1</v>
      </c>
      <c r="G103" s="7">
        <v>1.0725010725010726</v>
      </c>
      <c r="H103" s="7">
        <v>8.013200000000001</v>
      </c>
      <c r="I103" s="7">
        <v>9.2198</v>
      </c>
      <c r="J103" s="7">
        <v>0.88253</v>
      </c>
      <c r="K103" s="7">
        <v>0.02067239016242297</v>
      </c>
      <c r="L103" s="7">
        <v>0.043814</v>
      </c>
      <c r="M103" s="7">
        <v>0.004661787329262039</v>
      </c>
      <c r="N103" s="7">
        <v>0.8563843452941681</v>
      </c>
      <c r="O103" s="7">
        <v>0.3898635477582846</v>
      </c>
      <c r="P103" s="7">
        <v>1.749873134197771</v>
      </c>
      <c r="Q103" s="7">
        <v>0.7133685261806249</v>
      </c>
      <c r="R103" s="7">
        <v>4.0721</v>
      </c>
      <c r="S103" s="7">
        <v>1.8740629685157424</v>
      </c>
      <c r="T103" s="7">
        <v>0.08777396448665398</v>
      </c>
      <c r="U103" s="7">
        <v>1.8392495861688432</v>
      </c>
      <c r="V103" s="7">
        <v>0.74827895839569</v>
      </c>
      <c r="W103" s="7">
        <v>5.390700000000001</v>
      </c>
      <c r="X103" s="7">
        <v>0.2175473709400222</v>
      </c>
      <c r="Y103" s="7">
        <v>0.15672433599816946</v>
      </c>
      <c r="Z103" s="7">
        <v>6.9025</v>
      </c>
      <c r="AA103" s="7">
        <v>0.4144390567367069</v>
      </c>
    </row>
    <row r="104" spans="1:27">
      <c r="A104" t="s">
        <v>631</v>
      </c>
      <c r="B104" s="7">
        <v>1.8816445573431175</v>
      </c>
      <c r="C104" s="7">
        <v>4.8208</v>
      </c>
      <c r="D104" s="7">
        <v>5.0827</v>
      </c>
      <c r="E104" s="7">
        <v>8.8527</v>
      </c>
      <c r="F104" s="7">
        <v>1</v>
      </c>
      <c r="G104" s="7">
        <v>1.0668942707777658</v>
      </c>
      <c r="H104" s="7">
        <v>7.967899999999999</v>
      </c>
      <c r="I104" s="7">
        <v>9.203</v>
      </c>
      <c r="J104" s="7">
        <v>0.88505</v>
      </c>
      <c r="K104" s="7">
        <v>0.02016372948340525</v>
      </c>
      <c r="L104" s="7">
        <v>0.043653</v>
      </c>
      <c r="M104" s="7">
        <v>0.004635638791025403</v>
      </c>
      <c r="N104" s="7">
        <v>0.8588114050154586</v>
      </c>
      <c r="O104" s="7">
        <v>0.38396559668253727</v>
      </c>
      <c r="P104" s="7">
        <v>1.7439528435151113</v>
      </c>
      <c r="Q104" s="7">
        <v>0.7175660160734787</v>
      </c>
      <c r="R104" s="7">
        <v>4.0499</v>
      </c>
      <c r="S104" s="7">
        <v>1.8534307002261183</v>
      </c>
      <c r="T104" s="7">
        <v>0.08759098513580982</v>
      </c>
      <c r="U104" s="7">
        <v>1.8412815319462343</v>
      </c>
      <c r="V104" s="7">
        <v>0.7461016190405133</v>
      </c>
      <c r="W104" s="7">
        <v>5.3849</v>
      </c>
      <c r="X104" s="7">
        <v>0.21589412552084455</v>
      </c>
      <c r="Y104" s="7">
        <v>0.15676512038777418</v>
      </c>
      <c r="Z104" s="7">
        <v>6.915800000000001</v>
      </c>
      <c r="AA104" s="7">
        <v>0.4111334950458414</v>
      </c>
    </row>
    <row r="105" spans="1:27">
      <c r="A105" t="s">
        <v>632</v>
      </c>
      <c r="B105" s="7">
        <v>1.8777226979119723</v>
      </c>
      <c r="C105" s="7">
        <v>4.8765</v>
      </c>
      <c r="D105" s="7">
        <v>5.0785</v>
      </c>
      <c r="E105" s="7">
        <v>8.8726</v>
      </c>
      <c r="F105" s="7">
        <v>1</v>
      </c>
      <c r="G105" s="7">
        <v>1.07284626113078</v>
      </c>
      <c r="H105" s="7">
        <v>8.0198</v>
      </c>
      <c r="I105" s="7">
        <v>9.2658</v>
      </c>
      <c r="J105" s="7">
        <v>0.88196</v>
      </c>
      <c r="K105" s="7">
        <v>0.020692966046981308</v>
      </c>
      <c r="L105" s="7">
        <v>0.043717</v>
      </c>
      <c r="M105" s="7">
        <v>0.004692852785208128</v>
      </c>
      <c r="N105" s="7">
        <v>0.8558712769599452</v>
      </c>
      <c r="O105" s="7">
        <v>0.39045722541095623</v>
      </c>
      <c r="P105" s="7">
        <v>1.7435575548348852</v>
      </c>
      <c r="Q105" s="7">
        <v>0.7187005893344833</v>
      </c>
      <c r="R105" s="7">
        <v>4.0869</v>
      </c>
      <c r="S105" s="7">
        <v>1.887433467970254</v>
      </c>
      <c r="T105" s="7">
        <v>0.08809486054583575</v>
      </c>
      <c r="U105" s="7">
        <v>1.8369521290275177</v>
      </c>
      <c r="V105" s="7">
        <v>0.7545461404964914</v>
      </c>
      <c r="W105" s="7">
        <v>5.4137</v>
      </c>
      <c r="X105" s="7">
        <v>0.21748586341887777</v>
      </c>
      <c r="Y105" s="7">
        <v>0.15643013908203665</v>
      </c>
      <c r="Z105" s="7">
        <v>6.8982</v>
      </c>
      <c r="AA105" s="7">
        <v>0.4224757076468103</v>
      </c>
    </row>
    <row r="106" spans="1:27">
      <c r="A106" t="s">
        <v>633</v>
      </c>
      <c r="B106" s="7">
        <v>1.8755392175250385</v>
      </c>
      <c r="C106" s="7">
        <v>4.9036</v>
      </c>
      <c r="D106" s="7">
        <v>5.0684</v>
      </c>
      <c r="E106" s="7">
        <v>8.8476</v>
      </c>
      <c r="F106" s="7">
        <v>1</v>
      </c>
      <c r="G106" s="7">
        <v>1.070090957731407</v>
      </c>
      <c r="H106" s="7">
        <v>7.9986</v>
      </c>
      <c r="I106" s="7">
        <v>9.2432</v>
      </c>
      <c r="J106" s="7">
        <v>0.88075</v>
      </c>
      <c r="K106" s="7">
        <v>0.02068945541215464</v>
      </c>
      <c r="L106" s="7">
        <v>0.043575</v>
      </c>
      <c r="M106" s="7">
        <v>0.004688892014816899</v>
      </c>
      <c r="N106" s="7">
        <v>0.854481756814492</v>
      </c>
      <c r="O106" s="7">
        <v>0.3917267314321529</v>
      </c>
      <c r="P106" s="7">
        <v>1.7570060616709129</v>
      </c>
      <c r="Q106" s="7">
        <v>0.7144388083160678</v>
      </c>
      <c r="R106" s="7">
        <v>4.0789</v>
      </c>
      <c r="S106" s="7">
        <v>1.8767712028226635</v>
      </c>
      <c r="T106" s="7">
        <v>0.08712243315531316</v>
      </c>
      <c r="U106" s="7">
        <v>1.835502285200345</v>
      </c>
      <c r="V106" s="7">
        <v>0.7507507507507508</v>
      </c>
      <c r="W106" s="7">
        <v>5.4091</v>
      </c>
      <c r="X106" s="7">
        <v>0.2178506851404048</v>
      </c>
      <c r="Y106" s="7">
        <v>0.15626660332660344</v>
      </c>
      <c r="Z106" s="7">
        <v>6.891699999999999</v>
      </c>
      <c r="AA106" s="7">
        <v>0.42288662409607986</v>
      </c>
    </row>
    <row r="107" spans="1:27">
      <c r="A107" t="s">
        <v>166</v>
      </c>
      <c r="B107" s="7">
        <v>1.8758206715438004</v>
      </c>
      <c r="C107" s="7">
        <v>4.9158</v>
      </c>
      <c r="D107" s="7">
        <v>5.0655</v>
      </c>
      <c r="E107" s="7">
        <v>8.8163</v>
      </c>
      <c r="F107" s="7">
        <v>1</v>
      </c>
      <c r="G107" s="7">
        <v>1.064962726304579</v>
      </c>
      <c r="H107" s="7">
        <v>7.956799999999999</v>
      </c>
      <c r="I107" s="7">
        <v>9.2225</v>
      </c>
      <c r="J107" s="7">
        <v>0.88128</v>
      </c>
      <c r="K107" s="7">
        <v>0.02052372439921928</v>
      </c>
      <c r="L107" s="7">
        <v>0.043339</v>
      </c>
      <c r="M107" s="7">
        <v>0.004659180915994968</v>
      </c>
      <c r="N107" s="7">
        <v>0.8552125203112974</v>
      </c>
      <c r="O107" s="7">
        <v>0.38860607002681385</v>
      </c>
      <c r="P107" s="7">
        <v>1.7571295531619546</v>
      </c>
      <c r="Q107" s="7">
        <v>0.7134194192765928</v>
      </c>
      <c r="R107" s="7">
        <v>4.0663</v>
      </c>
      <c r="S107" s="7">
        <v>1.8726942452105844</v>
      </c>
      <c r="T107" s="7">
        <v>0.08695349726966019</v>
      </c>
      <c r="U107" s="7">
        <v>1.836007784673007</v>
      </c>
      <c r="V107" s="7">
        <v>0.7452120128176466</v>
      </c>
      <c r="W107" s="7">
        <v>5.402100000000001</v>
      </c>
      <c r="X107" s="7">
        <v>0.215633423180593</v>
      </c>
      <c r="Y107" s="7">
        <v>0.15626025457920678</v>
      </c>
      <c r="Z107" s="7">
        <v>6.8959</v>
      </c>
      <c r="AA107" s="7">
        <v>0.4163890739506995</v>
      </c>
    </row>
    <row r="108" spans="1:27">
      <c r="A108" t="s">
        <v>174</v>
      </c>
      <c r="B108" s="7">
        <v>1.8765598904089025</v>
      </c>
      <c r="C108" s="7">
        <v>4.8788</v>
      </c>
      <c r="D108" s="7">
        <v>5.0544</v>
      </c>
      <c r="E108" s="7">
        <v>8.7736</v>
      </c>
      <c r="F108" s="7">
        <v>1</v>
      </c>
      <c r="G108" s="7">
        <v>1.0625863351397302</v>
      </c>
      <c r="H108" s="7">
        <v>7.9402</v>
      </c>
      <c r="I108" s="7">
        <v>9.2022</v>
      </c>
      <c r="J108" s="7">
        <v>0.8816299999999999</v>
      </c>
      <c r="K108" s="7">
        <v>0.02027028396640809</v>
      </c>
      <c r="L108" s="7">
        <v>0.043284</v>
      </c>
      <c r="M108" s="7">
        <v>0.004628343978524484</v>
      </c>
      <c r="N108" s="7">
        <v>0.8559445347941453</v>
      </c>
      <c r="O108" s="7">
        <v>0.3866228494104002</v>
      </c>
      <c r="P108" s="7">
        <v>1.755032555853911</v>
      </c>
      <c r="Q108" s="7">
        <v>0.7107320540156362</v>
      </c>
      <c r="R108" s="7">
        <v>4.0327</v>
      </c>
      <c r="S108" s="7">
        <v>1.8598076958842455</v>
      </c>
      <c r="T108" s="7">
        <v>0.08657558914688415</v>
      </c>
      <c r="U108" s="7">
        <v>1.836715951878042</v>
      </c>
      <c r="V108" s="7">
        <v>0.7371369600471768</v>
      </c>
      <c r="W108" s="7">
        <v>5.3901</v>
      </c>
      <c r="X108" s="7">
        <v>0.2142382758103563</v>
      </c>
      <c r="Y108" s="7">
        <v>0.15598774560270545</v>
      </c>
      <c r="Z108" s="7">
        <v>6.9007000000000005</v>
      </c>
      <c r="AA108" s="7">
        <v>0.41123493852037674</v>
      </c>
    </row>
    <row r="109" spans="1:27">
      <c r="A109" t="s">
        <v>634</v>
      </c>
      <c r="B109" s="7">
        <v>1.8765598904089025</v>
      </c>
      <c r="C109" s="7">
        <v>4.8788</v>
      </c>
      <c r="D109" s="7">
        <v>5.0544</v>
      </c>
      <c r="E109" s="7">
        <v>8.7736</v>
      </c>
      <c r="F109" s="7">
        <v>1</v>
      </c>
      <c r="G109" s="7">
        <v>1.0625863351397302</v>
      </c>
      <c r="H109" s="7">
        <v>7.9402</v>
      </c>
      <c r="I109" s="7">
        <v>9.2022</v>
      </c>
      <c r="J109" s="7">
        <v>0.8816299999999999</v>
      </c>
      <c r="K109" s="7">
        <v>0.02027028396640809</v>
      </c>
      <c r="L109" s="7">
        <v>0.043284</v>
      </c>
      <c r="M109" s="7">
        <v>0.004628343978524484</v>
      </c>
      <c r="N109" s="7">
        <v>0.8559445347941453</v>
      </c>
      <c r="O109" s="7">
        <v>0.3866228494104002</v>
      </c>
      <c r="P109" s="7">
        <v>1.755032555853911</v>
      </c>
      <c r="Q109" s="7">
        <v>0.7107320540156362</v>
      </c>
      <c r="R109" s="7">
        <v>4.0327</v>
      </c>
      <c r="S109" s="7">
        <v>1.8598076958842455</v>
      </c>
      <c r="T109" s="7">
        <v>0.08657558914688415</v>
      </c>
      <c r="U109" s="7">
        <v>1.836715951878042</v>
      </c>
      <c r="V109" s="7">
        <v>0.7371369600471768</v>
      </c>
      <c r="W109" s="7">
        <v>5.3901</v>
      </c>
      <c r="X109" s="7">
        <v>0.2142382758103563</v>
      </c>
      <c r="Y109" s="7">
        <v>0.15598774560270545</v>
      </c>
      <c r="Z109" s="7">
        <v>6.9007000000000005</v>
      </c>
      <c r="AA109" s="7">
        <v>0.41123493852037674</v>
      </c>
    </row>
    <row r="110" spans="1:27">
      <c r="A110" t="s">
        <v>635</v>
      </c>
      <c r="B110" s="7">
        <v>1.8765598904089025</v>
      </c>
      <c r="C110" s="7">
        <v>4.8788</v>
      </c>
      <c r="D110" s="7">
        <v>5.0544</v>
      </c>
      <c r="E110" s="7">
        <v>8.7736</v>
      </c>
      <c r="F110" s="7">
        <v>1</v>
      </c>
      <c r="G110" s="7">
        <v>1.0625863351397302</v>
      </c>
      <c r="H110" s="7">
        <v>7.9402</v>
      </c>
      <c r="I110" s="7">
        <v>9.2022</v>
      </c>
      <c r="J110" s="7">
        <v>0.8816299999999999</v>
      </c>
      <c r="K110" s="7">
        <v>0.02027028396640809</v>
      </c>
      <c r="L110" s="7">
        <v>0.043284</v>
      </c>
      <c r="M110" s="7">
        <v>0.004628343978524484</v>
      </c>
      <c r="N110" s="7">
        <v>0.8559445347941453</v>
      </c>
      <c r="O110" s="7">
        <v>0.3866228494104002</v>
      </c>
      <c r="P110" s="7">
        <v>1.755032555853911</v>
      </c>
      <c r="Q110" s="7">
        <v>0.7107320540156362</v>
      </c>
      <c r="R110" s="7">
        <v>4.0327</v>
      </c>
      <c r="S110" s="7">
        <v>1.8598076958842455</v>
      </c>
      <c r="T110" s="7">
        <v>0.08657558914688415</v>
      </c>
      <c r="U110" s="7">
        <v>1.836715951878042</v>
      </c>
      <c r="V110" s="7">
        <v>0.7371369600471768</v>
      </c>
      <c r="W110" s="7">
        <v>5.3901</v>
      </c>
      <c r="X110" s="7">
        <v>0.2142382758103563</v>
      </c>
      <c r="Y110" s="7">
        <v>0.15598774560270545</v>
      </c>
      <c r="Z110" s="7">
        <v>6.9007000000000005</v>
      </c>
      <c r="AA110" s="7">
        <v>0.41123493852037674</v>
      </c>
    </row>
    <row r="111" spans="1:27">
      <c r="A111" t="s">
        <v>636</v>
      </c>
      <c r="B111" s="7">
        <v>1.8798052521758744</v>
      </c>
      <c r="C111" s="7">
        <v>4.8337</v>
      </c>
      <c r="D111" s="7">
        <v>5.0356</v>
      </c>
      <c r="E111" s="7">
        <v>8.737400000000001</v>
      </c>
      <c r="F111" s="7">
        <v>1</v>
      </c>
      <c r="G111" s="7">
        <v>1.056412423410099</v>
      </c>
      <c r="H111" s="7">
        <v>7.896</v>
      </c>
      <c r="I111" s="7">
        <v>9.1449</v>
      </c>
      <c r="J111" s="7">
        <v>0.88217</v>
      </c>
      <c r="K111" s="7">
        <v>0.020095493786473323</v>
      </c>
      <c r="L111" s="7">
        <v>0.043276</v>
      </c>
      <c r="M111" s="7">
        <v>0.004613184481247405</v>
      </c>
      <c r="N111" s="7">
        <v>0.8560910880917729</v>
      </c>
      <c r="O111" s="7">
        <v>0.3862196817549822</v>
      </c>
      <c r="P111" s="7">
        <v>1.753862882999807</v>
      </c>
      <c r="Q111" s="7">
        <v>0.7066139061616732</v>
      </c>
      <c r="R111" s="7">
        <v>4.0001999999999995</v>
      </c>
      <c r="S111" s="7">
        <v>1.8475067895874515</v>
      </c>
      <c r="T111" s="7">
        <v>0.08614451604010889</v>
      </c>
      <c r="U111" s="7">
        <v>1.8398586988519283</v>
      </c>
      <c r="V111" s="7">
        <v>0.7305669199298656</v>
      </c>
      <c r="W111" s="7">
        <v>5.3826</v>
      </c>
      <c r="X111" s="7">
        <v>0.21277501170262564</v>
      </c>
      <c r="Y111" s="7">
        <v>0.15623266793840057</v>
      </c>
      <c r="Z111" s="7">
        <v>6.9057</v>
      </c>
      <c r="AA111" s="7">
        <v>0.4088140304975266</v>
      </c>
    </row>
    <row r="112" spans="1:27">
      <c r="A112" t="s">
        <v>637</v>
      </c>
      <c r="B112" s="7">
        <v>1.8764542520453351</v>
      </c>
      <c r="C112" s="7">
        <v>4.8668000000000005</v>
      </c>
      <c r="D112" s="7">
        <v>5.0339</v>
      </c>
      <c r="E112" s="7">
        <v>8.7431</v>
      </c>
      <c r="F112" s="7">
        <v>1</v>
      </c>
      <c r="G112" s="7">
        <v>1.0599957600169598</v>
      </c>
      <c r="H112" s="7">
        <v>7.9238</v>
      </c>
      <c r="I112" s="7">
        <v>9.1725</v>
      </c>
      <c r="J112" s="7">
        <v>0.8807299999999999</v>
      </c>
      <c r="K112" s="7">
        <v>0.02028578615535666</v>
      </c>
      <c r="L112" s="7">
        <v>0.043293</v>
      </c>
      <c r="M112" s="7">
        <v>0.004619364375461937</v>
      </c>
      <c r="N112" s="7">
        <v>0.854627809588924</v>
      </c>
      <c r="O112" s="7">
        <v>0.3894080996884735</v>
      </c>
      <c r="P112" s="7">
        <v>1.7561112672098904</v>
      </c>
      <c r="Q112" s="7">
        <v>0.7118451025056948</v>
      </c>
      <c r="R112" s="7">
        <v>4.0299000000000005</v>
      </c>
      <c r="S112" s="7">
        <v>1.857527630723507</v>
      </c>
      <c r="T112" s="7">
        <v>0.08473211940450266</v>
      </c>
      <c r="U112" s="7">
        <v>1.83651356265266</v>
      </c>
      <c r="V112" s="7">
        <v>0.7371369600471768</v>
      </c>
      <c r="W112" s="7">
        <v>5.3922</v>
      </c>
      <c r="X112" s="7">
        <v>0.2126121529106604</v>
      </c>
      <c r="Y112" s="7">
        <v>0.15599017885833907</v>
      </c>
      <c r="Z112" s="7">
        <v>6.896100000000001</v>
      </c>
      <c r="AA112" s="7">
        <v>0.4127285484336952</v>
      </c>
    </row>
    <row r="113" spans="1:27">
      <c r="A113" t="s">
        <v>638</v>
      </c>
      <c r="B113" s="7">
        <v>1.8742737189339131</v>
      </c>
      <c r="C113" s="7">
        <v>4.8918</v>
      </c>
      <c r="D113" s="7">
        <v>5.0266</v>
      </c>
      <c r="E113" s="7">
        <v>8.7707</v>
      </c>
      <c r="F113" s="7">
        <v>1</v>
      </c>
      <c r="G113" s="7">
        <v>1.0629251700680271</v>
      </c>
      <c r="H113" s="7">
        <v>7.9425</v>
      </c>
      <c r="I113" s="7">
        <v>9.1943</v>
      </c>
      <c r="J113" s="7">
        <v>0.8791800000000001</v>
      </c>
      <c r="K113" s="7">
        <v>0.02044947956074518</v>
      </c>
      <c r="L113" s="7">
        <v>0.043316</v>
      </c>
      <c r="M113" s="7">
        <v>0.004629843974258067</v>
      </c>
      <c r="N113" s="7">
        <v>0.8531695247845748</v>
      </c>
      <c r="O113" s="7">
        <v>0.3899547652472313</v>
      </c>
      <c r="P113" s="7">
        <v>1.7590458935073616</v>
      </c>
      <c r="Q113" s="7">
        <v>0.7180297264306742</v>
      </c>
      <c r="R113" s="7">
        <v>4.0313</v>
      </c>
      <c r="S113" s="7">
        <v>1.865254047601283</v>
      </c>
      <c r="T113" s="7">
        <v>0.08359037373256097</v>
      </c>
      <c r="U113" s="7">
        <v>1.8335166850018336</v>
      </c>
      <c r="V113" s="7">
        <v>0.7418947993174568</v>
      </c>
      <c r="W113" s="7">
        <v>5.394299999999999</v>
      </c>
      <c r="X113" s="7">
        <v>0.2128701279349469</v>
      </c>
      <c r="Y113" s="7">
        <v>0.15573946656117915</v>
      </c>
      <c r="Z113" s="7">
        <v>6.8909</v>
      </c>
      <c r="AA113" s="7">
        <v>0.4126433935792688</v>
      </c>
    </row>
    <row r="114" spans="1:27">
      <c r="A114" t="s">
        <v>639</v>
      </c>
      <c r="B114" s="7">
        <v>1.8777579569993428</v>
      </c>
      <c r="C114" s="7">
        <v>4.8485000000000005</v>
      </c>
      <c r="D114" s="7">
        <v>5.022</v>
      </c>
      <c r="E114" s="7">
        <v>8.7027</v>
      </c>
      <c r="F114" s="7">
        <v>1</v>
      </c>
      <c r="G114" s="7">
        <v>1.0580890911014706</v>
      </c>
      <c r="H114" s="7">
        <v>7.9083</v>
      </c>
      <c r="I114" s="7">
        <v>9.1504</v>
      </c>
      <c r="J114" s="7">
        <v>0.88006</v>
      </c>
      <c r="K114" s="7">
        <v>0.02009545340366742</v>
      </c>
      <c r="L114" s="7">
        <v>0.043169000000000006</v>
      </c>
      <c r="M114" s="7">
        <v>0.004591579044033243</v>
      </c>
      <c r="N114" s="7">
        <v>0.8540438978563498</v>
      </c>
      <c r="O114" s="7">
        <v>0.386234598895369</v>
      </c>
      <c r="P114" s="7">
        <v>1.7583654235023125</v>
      </c>
      <c r="Q114" s="7">
        <v>0.718132854578097</v>
      </c>
      <c r="R114" s="7">
        <v>4.0004</v>
      </c>
      <c r="S114" s="7">
        <v>1.850172991174675</v>
      </c>
      <c r="T114" s="7">
        <v>0.08234180081518383</v>
      </c>
      <c r="U114" s="7">
        <v>1.8370871146709775</v>
      </c>
      <c r="V114" s="7">
        <v>0.7334604664808566</v>
      </c>
      <c r="W114" s="7">
        <v>5.3734</v>
      </c>
      <c r="X114" s="7">
        <v>0.21014142517914555</v>
      </c>
      <c r="Y114" s="7">
        <v>0.15564105437475875</v>
      </c>
      <c r="Z114" s="7">
        <v>6.8975</v>
      </c>
      <c r="AA114" s="7">
        <v>0.40599244854045713</v>
      </c>
    </row>
    <row r="115" spans="1:27">
      <c r="A115" t="s">
        <v>640</v>
      </c>
      <c r="B115" s="7">
        <v>1.8735714018061227</v>
      </c>
      <c r="C115" s="7">
        <v>4.8729000000000005</v>
      </c>
      <c r="D115" s="7">
        <v>5.0105</v>
      </c>
      <c r="E115" s="7">
        <v>8.7243</v>
      </c>
      <c r="F115" s="7">
        <v>1</v>
      </c>
      <c r="G115" s="7">
        <v>1.0663254425250586</v>
      </c>
      <c r="H115" s="7">
        <v>7.9675</v>
      </c>
      <c r="I115" s="7">
        <v>9.2395</v>
      </c>
      <c r="J115" s="7">
        <v>0.8791500000000001</v>
      </c>
      <c r="K115" s="7">
        <v>0.020401085337739967</v>
      </c>
      <c r="L115" s="7">
        <v>0.043570000000000005</v>
      </c>
      <c r="M115" s="7">
        <v>0.00461723150798781</v>
      </c>
      <c r="N115" s="7">
        <v>0.8530239699735562</v>
      </c>
      <c r="O115" s="7">
        <v>0.38777726074143015</v>
      </c>
      <c r="P115" s="7">
        <v>1.7482823126278433</v>
      </c>
      <c r="Q115" s="7">
        <v>0.7243227582210633</v>
      </c>
      <c r="R115" s="7">
        <v>4.0382</v>
      </c>
      <c r="S115" s="7">
        <v>1.8668558413919276</v>
      </c>
      <c r="T115" s="7">
        <v>0.07992838416778567</v>
      </c>
      <c r="U115" s="7">
        <v>1.83307975730024</v>
      </c>
      <c r="V115" s="7">
        <v>0.7402472425790214</v>
      </c>
      <c r="W115" s="7">
        <v>5.386900000000001</v>
      </c>
      <c r="X115" s="7">
        <v>0.21161781822029416</v>
      </c>
      <c r="Y115" s="7">
        <v>0.15530988982316415</v>
      </c>
      <c r="Z115" s="7">
        <v>6.8898</v>
      </c>
      <c r="AA115" s="7">
        <v>0.4111842105263158</v>
      </c>
    </row>
    <row r="116" spans="1:27">
      <c r="A116" t="s">
        <v>641</v>
      </c>
      <c r="B116" s="7">
        <v>1.8735714018061227</v>
      </c>
      <c r="C116" s="7">
        <v>4.8729000000000005</v>
      </c>
      <c r="D116" s="7">
        <v>5.0105</v>
      </c>
      <c r="E116" s="7">
        <v>8.7243</v>
      </c>
      <c r="F116" s="7">
        <v>1</v>
      </c>
      <c r="G116" s="7">
        <v>1.0663254425250586</v>
      </c>
      <c r="H116" s="7">
        <v>7.9675</v>
      </c>
      <c r="I116" s="7">
        <v>9.2395</v>
      </c>
      <c r="J116" s="7">
        <v>0.8791500000000001</v>
      </c>
      <c r="K116" s="7">
        <v>0.020401085337739967</v>
      </c>
      <c r="L116" s="7">
        <v>0.043570000000000005</v>
      </c>
      <c r="M116" s="7">
        <v>0.00461723150798781</v>
      </c>
      <c r="N116" s="7">
        <v>0.8530239699735562</v>
      </c>
      <c r="O116" s="7">
        <v>0.38777726074143015</v>
      </c>
      <c r="P116" s="7">
        <v>1.7482823126278433</v>
      </c>
      <c r="Q116" s="7">
        <v>0.7243227582210633</v>
      </c>
      <c r="R116" s="7">
        <v>4.0382</v>
      </c>
      <c r="S116" s="7">
        <v>1.8668558413919276</v>
      </c>
      <c r="T116" s="7">
        <v>0.07992838416778567</v>
      </c>
      <c r="U116" s="7">
        <v>1.83307975730024</v>
      </c>
      <c r="V116" s="7">
        <v>0.7402472425790214</v>
      </c>
      <c r="W116" s="7">
        <v>5.386900000000001</v>
      </c>
      <c r="X116" s="7">
        <v>0.21161781822029416</v>
      </c>
      <c r="Y116" s="7">
        <v>0.15530988982316415</v>
      </c>
      <c r="Z116" s="7">
        <v>6.8898</v>
      </c>
      <c r="AA116" s="7">
        <v>0.4111842105263158</v>
      </c>
    </row>
    <row r="117" spans="1:27">
      <c r="A117" t="s">
        <v>191</v>
      </c>
      <c r="B117" s="7">
        <v>1.8735714018061227</v>
      </c>
      <c r="C117" s="7">
        <v>4.8729000000000005</v>
      </c>
      <c r="D117" s="7">
        <v>5.0105</v>
      </c>
      <c r="E117" s="7">
        <v>8.7243</v>
      </c>
      <c r="F117" s="7">
        <v>1</v>
      </c>
      <c r="G117" s="7">
        <v>1.0663254425250586</v>
      </c>
      <c r="H117" s="7">
        <v>7.9675</v>
      </c>
      <c r="I117" s="7">
        <v>9.2395</v>
      </c>
      <c r="J117" s="7">
        <v>0.8791500000000001</v>
      </c>
      <c r="K117" s="7">
        <v>0.020401085337739967</v>
      </c>
      <c r="L117" s="7">
        <v>0.043570000000000005</v>
      </c>
      <c r="M117" s="7">
        <v>0.00461723150798781</v>
      </c>
      <c r="N117" s="7">
        <v>0.8530239699735562</v>
      </c>
      <c r="O117" s="7">
        <v>0.38777726074143015</v>
      </c>
      <c r="P117" s="7">
        <v>1.7482823126278433</v>
      </c>
      <c r="Q117" s="7">
        <v>0.7243227582210633</v>
      </c>
      <c r="R117" s="7">
        <v>4.0382</v>
      </c>
      <c r="S117" s="7">
        <v>1.8668558413919276</v>
      </c>
      <c r="T117" s="7">
        <v>0.07992838416778567</v>
      </c>
      <c r="U117" s="7">
        <v>1.83307975730024</v>
      </c>
      <c r="V117" s="7">
        <v>0.7402472425790214</v>
      </c>
      <c r="W117" s="7">
        <v>5.386900000000001</v>
      </c>
      <c r="X117" s="7">
        <v>0.21161781822029416</v>
      </c>
      <c r="Y117" s="7">
        <v>0.15530988982316415</v>
      </c>
      <c r="Z117" s="7">
        <v>6.8898</v>
      </c>
      <c r="AA117" s="7">
        <v>0.4111842105263158</v>
      </c>
    </row>
    <row r="118" spans="1:27">
      <c r="A118" t="s">
        <v>642</v>
      </c>
      <c r="B118" s="7">
        <v>1.8766655406673425</v>
      </c>
      <c r="C118" s="7">
        <v>4.8326</v>
      </c>
      <c r="D118" s="7">
        <v>5.0275</v>
      </c>
      <c r="E118" s="7">
        <v>8.753400000000001</v>
      </c>
      <c r="F118" s="7">
        <v>1</v>
      </c>
      <c r="G118" s="7">
        <v>1.0667804565820356</v>
      </c>
      <c r="H118" s="7">
        <v>7.9676</v>
      </c>
      <c r="I118" s="7">
        <v>9.1909</v>
      </c>
      <c r="J118" s="7">
        <v>0.88114</v>
      </c>
      <c r="K118" s="7">
        <v>0.02028278255437307</v>
      </c>
      <c r="L118" s="7">
        <v>0.04332</v>
      </c>
      <c r="M118" s="7">
        <v>0.004580432392817882</v>
      </c>
      <c r="N118" s="7">
        <v>0.8550662676357418</v>
      </c>
      <c r="O118" s="7">
        <v>0.3843936190659235</v>
      </c>
      <c r="P118" s="7">
        <v>1.7526640493550196</v>
      </c>
      <c r="Q118" s="7">
        <v>0.7201497911565605</v>
      </c>
      <c r="R118" s="7">
        <v>4.0207999999999995</v>
      </c>
      <c r="S118" s="7">
        <v>1.8652192565236043</v>
      </c>
      <c r="T118" s="7">
        <v>0.08288437629506838</v>
      </c>
      <c r="U118" s="7">
        <v>1.8359066625052785</v>
      </c>
      <c r="V118" s="7">
        <v>0.7380073800738007</v>
      </c>
      <c r="W118" s="7">
        <v>5.3776</v>
      </c>
      <c r="X118" s="7">
        <v>0.2093188763762716</v>
      </c>
      <c r="Y118" s="7">
        <v>0.15555292843943078</v>
      </c>
      <c r="Z118" s="7">
        <v>6.9041</v>
      </c>
      <c r="AA118" s="7">
        <v>0.4038772213247173</v>
      </c>
    </row>
    <row r="119" spans="1:27">
      <c r="A119" t="s">
        <v>196</v>
      </c>
      <c r="B119" s="7">
        <v>1.8752930145335207</v>
      </c>
      <c r="C119" s="7">
        <v>4.8255</v>
      </c>
      <c r="D119" s="7">
        <v>5.0183</v>
      </c>
      <c r="E119" s="7">
        <v>8.7578</v>
      </c>
      <c r="F119" s="7">
        <v>1</v>
      </c>
      <c r="G119" s="7">
        <v>1.0702054794520548</v>
      </c>
      <c r="H119" s="7">
        <v>7.9941</v>
      </c>
      <c r="I119" s="7">
        <v>9.2471</v>
      </c>
      <c r="J119" s="7">
        <v>0.88015</v>
      </c>
      <c r="K119" s="7">
        <v>0.02061485877790994</v>
      </c>
      <c r="L119" s="7">
        <v>0.043476</v>
      </c>
      <c r="M119" s="7">
        <v>0.00461723150798781</v>
      </c>
      <c r="N119" s="7">
        <v>0.8541168431841476</v>
      </c>
      <c r="O119" s="7">
        <v>0.38726667183022223</v>
      </c>
      <c r="P119" s="7">
        <v>1.7529405577856856</v>
      </c>
      <c r="Q119" s="7">
        <v>0.7073136228603764</v>
      </c>
      <c r="R119" s="7">
        <v>4.0301</v>
      </c>
      <c r="S119" s="7">
        <v>1.8772996921228504</v>
      </c>
      <c r="T119" s="7">
        <v>0.08406964329250351</v>
      </c>
      <c r="U119" s="7">
        <v>1.8348287187391057</v>
      </c>
      <c r="V119" s="7">
        <v>0.7381163271331562</v>
      </c>
      <c r="W119" s="7">
        <v>5.4036</v>
      </c>
      <c r="X119" s="7">
        <v>0.212300702715326</v>
      </c>
      <c r="Y119" s="7">
        <v>0.15534656264660832</v>
      </c>
      <c r="Z119" s="7">
        <v>6.894299999999999</v>
      </c>
      <c r="AA119" s="7">
        <v>0.4091820450918614</v>
      </c>
    </row>
    <row r="120" spans="1:27">
      <c r="A120" t="s">
        <v>201</v>
      </c>
      <c r="B120" s="7">
        <v>1.8744142455482664</v>
      </c>
      <c r="C120" s="7">
        <v>4.8187</v>
      </c>
      <c r="D120" s="7">
        <v>5.0045</v>
      </c>
      <c r="E120" s="7">
        <v>8.7418</v>
      </c>
      <c r="F120" s="7">
        <v>1</v>
      </c>
      <c r="G120" s="7">
        <v>1.070663811563169</v>
      </c>
      <c r="H120" s="7">
        <v>8.0008</v>
      </c>
      <c r="I120" s="7">
        <v>9.2426</v>
      </c>
      <c r="J120" s="7">
        <v>0.88092</v>
      </c>
      <c r="K120" s="7">
        <v>0.02048042992518499</v>
      </c>
      <c r="L120" s="7">
        <v>0.043394</v>
      </c>
      <c r="M120" s="7">
        <v>0.004605535854096624</v>
      </c>
      <c r="N120" s="7">
        <v>0.8549200649739249</v>
      </c>
      <c r="O120" s="7">
        <v>0.38842493688094776</v>
      </c>
      <c r="P120" s="7">
        <v>1.7438920182062323</v>
      </c>
      <c r="Q120" s="7">
        <v>0.710277718587968</v>
      </c>
      <c r="R120" s="7">
        <v>4.0192000000000005</v>
      </c>
      <c r="S120" s="7">
        <v>1.873711823121604</v>
      </c>
      <c r="T120" s="7">
        <v>0.08557394444539528</v>
      </c>
      <c r="U120" s="7">
        <v>1.834189288334556</v>
      </c>
      <c r="V120" s="7">
        <v>0.7400281210686006</v>
      </c>
      <c r="W120" s="7">
        <v>5.3908000000000005</v>
      </c>
      <c r="X120" s="7">
        <v>0.2120800814387513</v>
      </c>
      <c r="Y120" s="7">
        <v>0.15529373032622554</v>
      </c>
      <c r="Z120" s="7">
        <v>6.8911</v>
      </c>
      <c r="AA120" s="7">
        <v>0.4072490327835471</v>
      </c>
    </row>
    <row r="121" spans="1:27">
      <c r="A121" t="s">
        <v>207</v>
      </c>
      <c r="B121" s="7">
        <v>1.880300095895305</v>
      </c>
      <c r="C121" s="7">
        <v>4.7958</v>
      </c>
      <c r="D121" s="7">
        <v>5.0009</v>
      </c>
      <c r="E121" s="7">
        <v>8.7262</v>
      </c>
      <c r="F121" s="7">
        <v>1</v>
      </c>
      <c r="G121" s="7">
        <v>1.068604402650139</v>
      </c>
      <c r="H121" s="7">
        <v>7.9798</v>
      </c>
      <c r="I121" s="7">
        <v>9.2285</v>
      </c>
      <c r="J121" s="7">
        <v>0.88357</v>
      </c>
      <c r="K121" s="7">
        <v>0.020614731286977675</v>
      </c>
      <c r="L121" s="7">
        <v>0.043337</v>
      </c>
      <c r="M121" s="7">
        <v>0.004589261128958238</v>
      </c>
      <c r="N121" s="7">
        <v>0.8574123295892996</v>
      </c>
      <c r="O121" s="7">
        <v>0.3882138281765597</v>
      </c>
      <c r="P121" s="7">
        <v>1.7418264792461375</v>
      </c>
      <c r="Q121" s="7">
        <v>0.7130124777183601</v>
      </c>
      <c r="R121" s="7">
        <v>4.010400000000001</v>
      </c>
      <c r="S121" s="7">
        <v>1.8673787604339789</v>
      </c>
      <c r="T121" s="7">
        <v>0.08526094111026798</v>
      </c>
      <c r="U121" s="7">
        <v>1.8408070097930933</v>
      </c>
      <c r="V121" s="7">
        <v>0.7383343177790904</v>
      </c>
      <c r="W121" s="7">
        <v>5.3876</v>
      </c>
      <c r="X121" s="7">
        <v>0.21089482674989984</v>
      </c>
      <c r="Y121" s="7">
        <v>0.15568709385129392</v>
      </c>
      <c r="Z121" s="7">
        <v>6.9056</v>
      </c>
      <c r="AA121" s="7">
        <v>0.40661976985321024</v>
      </c>
    </row>
    <row r="122" spans="1:27">
      <c r="A122" t="s">
        <v>643</v>
      </c>
      <c r="B122" s="7">
        <v>1.8810428501561265</v>
      </c>
      <c r="C122" s="7">
        <v>4.7607</v>
      </c>
      <c r="D122" s="7">
        <v>4.9877</v>
      </c>
      <c r="E122" s="7">
        <v>8.6953</v>
      </c>
      <c r="F122" s="7">
        <v>1</v>
      </c>
      <c r="G122" s="7">
        <v>1.0665529010238908</v>
      </c>
      <c r="H122" s="7">
        <v>7.968500000000001</v>
      </c>
      <c r="I122" s="7">
        <v>9.213</v>
      </c>
      <c r="J122" s="7">
        <v>0.88361</v>
      </c>
      <c r="K122" s="7">
        <v>0.020552365371730632</v>
      </c>
      <c r="L122" s="7">
        <v>0.043271</v>
      </c>
      <c r="M122" s="7">
        <v>0.004577706569008927</v>
      </c>
      <c r="N122" s="7">
        <v>0.8574858514834505</v>
      </c>
      <c r="O122" s="7">
        <v>0.3855644663787785</v>
      </c>
      <c r="P122" s="7">
        <v>1.728339584161496</v>
      </c>
      <c r="Q122" s="7">
        <v>0.7125552230297848</v>
      </c>
      <c r="R122" s="7">
        <v>3.981</v>
      </c>
      <c r="S122" s="7">
        <v>1.8637939389421103</v>
      </c>
      <c r="T122" s="7">
        <v>0.08490838385382173</v>
      </c>
      <c r="U122" s="7">
        <v>1.8414849734826164</v>
      </c>
      <c r="V122" s="7">
        <v>0.7330840847445202</v>
      </c>
      <c r="W122" s="7">
        <v>5.374199999999999</v>
      </c>
      <c r="X122" s="7">
        <v>0.2096392109180101</v>
      </c>
      <c r="Y122" s="7">
        <v>0.15539097924287298</v>
      </c>
      <c r="Z122" s="7">
        <v>6.9140999999999995</v>
      </c>
      <c r="AA122" s="7">
        <v>0.4046617028164454</v>
      </c>
    </row>
    <row r="123" spans="1:27">
      <c r="A123" t="s">
        <v>644</v>
      </c>
      <c r="B123" s="7">
        <v>1.8810428501561265</v>
      </c>
      <c r="C123" s="7">
        <v>4.7607</v>
      </c>
      <c r="D123" s="7">
        <v>4.9877</v>
      </c>
      <c r="E123" s="7">
        <v>8.6953</v>
      </c>
      <c r="F123" s="7">
        <v>1</v>
      </c>
      <c r="G123" s="7">
        <v>1.0665529010238908</v>
      </c>
      <c r="H123" s="7">
        <v>7.968500000000001</v>
      </c>
      <c r="I123" s="7">
        <v>9.213</v>
      </c>
      <c r="J123" s="7">
        <v>0.88361</v>
      </c>
      <c r="K123" s="7">
        <v>0.020552365371730632</v>
      </c>
      <c r="L123" s="7">
        <v>0.043271</v>
      </c>
      <c r="M123" s="7">
        <v>0.004577706569008927</v>
      </c>
      <c r="N123" s="7">
        <v>0.8574858514834505</v>
      </c>
      <c r="O123" s="7">
        <v>0.3855644663787785</v>
      </c>
      <c r="P123" s="7">
        <v>1.728339584161496</v>
      </c>
      <c r="Q123" s="7">
        <v>0.7125552230297848</v>
      </c>
      <c r="R123" s="7">
        <v>3.981</v>
      </c>
      <c r="S123" s="7">
        <v>1.8637939389421103</v>
      </c>
      <c r="T123" s="7">
        <v>0.08490838385382173</v>
      </c>
      <c r="U123" s="7">
        <v>1.8414849734826164</v>
      </c>
      <c r="V123" s="7">
        <v>0.7330840847445202</v>
      </c>
      <c r="W123" s="7">
        <v>5.374199999999999</v>
      </c>
      <c r="X123" s="7">
        <v>0.2096392109180101</v>
      </c>
      <c r="Y123" s="7">
        <v>0.15539097924287298</v>
      </c>
      <c r="Z123" s="7">
        <v>6.9140999999999995</v>
      </c>
      <c r="AA123" s="7">
        <v>0.4046617028164454</v>
      </c>
    </row>
    <row r="124" spans="1:27">
      <c r="A124" t="s">
        <v>645</v>
      </c>
      <c r="B124" s="7">
        <v>1.8810428501561265</v>
      </c>
      <c r="C124" s="7">
        <v>4.7607</v>
      </c>
      <c r="D124" s="7">
        <v>4.9877</v>
      </c>
      <c r="E124" s="7">
        <v>8.6953</v>
      </c>
      <c r="F124" s="7">
        <v>1</v>
      </c>
      <c r="G124" s="7">
        <v>1.0665529010238908</v>
      </c>
      <c r="H124" s="7">
        <v>7.968500000000001</v>
      </c>
      <c r="I124" s="7">
        <v>9.213</v>
      </c>
      <c r="J124" s="7">
        <v>0.88361</v>
      </c>
      <c r="K124" s="7">
        <v>0.020552365371730632</v>
      </c>
      <c r="L124" s="7">
        <v>0.043271</v>
      </c>
      <c r="M124" s="7">
        <v>0.004577706569008927</v>
      </c>
      <c r="N124" s="7">
        <v>0.8574858514834505</v>
      </c>
      <c r="O124" s="7">
        <v>0.3855644663787785</v>
      </c>
      <c r="P124" s="7">
        <v>1.728339584161496</v>
      </c>
      <c r="Q124" s="7">
        <v>0.7125552230297848</v>
      </c>
      <c r="R124" s="7">
        <v>3.981</v>
      </c>
      <c r="S124" s="7">
        <v>1.8637939389421103</v>
      </c>
      <c r="T124" s="7">
        <v>0.08490838385382173</v>
      </c>
      <c r="U124" s="7">
        <v>1.8414849734826164</v>
      </c>
      <c r="V124" s="7">
        <v>0.7330840847445202</v>
      </c>
      <c r="W124" s="7">
        <v>5.374199999999999</v>
      </c>
      <c r="X124" s="7">
        <v>0.2096392109180101</v>
      </c>
      <c r="Y124" s="7">
        <v>0.15539097924287298</v>
      </c>
      <c r="Z124" s="7">
        <v>6.9140999999999995</v>
      </c>
      <c r="AA124" s="7">
        <v>0.4046617028164454</v>
      </c>
    </row>
    <row r="125" spans="1:27">
      <c r="A125" t="s">
        <v>646</v>
      </c>
      <c r="B125" s="7">
        <v>1.8839487565938209</v>
      </c>
      <c r="C125" s="7">
        <v>4.7419</v>
      </c>
      <c r="D125" s="7">
        <v>4.9795</v>
      </c>
      <c r="E125" s="7">
        <v>8.6526</v>
      </c>
      <c r="F125" s="7">
        <v>1</v>
      </c>
      <c r="G125" s="7">
        <v>1.0645092612305729</v>
      </c>
      <c r="H125" s="7">
        <v>7.9551</v>
      </c>
      <c r="I125" s="7">
        <v>9.1666</v>
      </c>
      <c r="J125" s="7">
        <v>0.88384</v>
      </c>
      <c r="K125" s="7">
        <v>0.020424377720271808</v>
      </c>
      <c r="L125" s="7">
        <v>0.043171</v>
      </c>
      <c r="M125" s="7">
        <v>0.004578335317278638</v>
      </c>
      <c r="N125" s="7">
        <v>0.858074480864939</v>
      </c>
      <c r="O125" s="7">
        <v>0.3814609956131986</v>
      </c>
      <c r="P125" s="7">
        <v>1.724821912137572</v>
      </c>
      <c r="Q125" s="7">
        <v>0.7100759781296598</v>
      </c>
      <c r="R125" s="7">
        <v>3.9672</v>
      </c>
      <c r="S125" s="7">
        <v>1.85649308456326</v>
      </c>
      <c r="T125" s="7">
        <v>0.0849033375501991</v>
      </c>
      <c r="U125" s="7">
        <v>1.8440657962676108</v>
      </c>
      <c r="V125" s="7">
        <v>0.7303534910896875</v>
      </c>
      <c r="W125" s="7">
        <v>5.3655</v>
      </c>
      <c r="X125" s="7">
        <v>0.2100354959988238</v>
      </c>
      <c r="Y125" s="7">
        <v>0.15567497555902882</v>
      </c>
      <c r="Z125" s="7">
        <v>6.9223</v>
      </c>
      <c r="AA125" s="7">
        <v>0.4033396523212197</v>
      </c>
    </row>
    <row r="126" spans="1:27">
      <c r="A126" t="s">
        <v>380</v>
      </c>
      <c r="B126" s="7">
        <v>1.8840552404996516</v>
      </c>
      <c r="C126" s="7">
        <v>4.7382</v>
      </c>
      <c r="D126" s="7">
        <v>4.9684</v>
      </c>
      <c r="E126" s="7">
        <v>8.6524</v>
      </c>
      <c r="F126" s="7">
        <v>1</v>
      </c>
      <c r="G126" s="7">
        <v>1.0612331529236974</v>
      </c>
      <c r="H126" s="7">
        <v>7.9302</v>
      </c>
      <c r="I126" s="7">
        <v>9.1169</v>
      </c>
      <c r="J126" s="7">
        <v>0.88295</v>
      </c>
      <c r="K126" s="7">
        <v>0.02041337075784639</v>
      </c>
      <c r="L126" s="7">
        <v>0.043296</v>
      </c>
      <c r="M126" s="7">
        <v>0.0045466945530599255</v>
      </c>
      <c r="N126" s="7">
        <v>0.8567511994516792</v>
      </c>
      <c r="O126" s="7">
        <v>0.3814318953350879</v>
      </c>
      <c r="P126" s="7">
        <v>1.715648429323863</v>
      </c>
      <c r="Q126" s="7">
        <v>0.7106815436003127</v>
      </c>
      <c r="R126" s="7">
        <v>3.9558</v>
      </c>
      <c r="S126" s="7">
        <v>1.8479164741753673</v>
      </c>
      <c r="T126" s="7">
        <v>0.08510421010527391</v>
      </c>
      <c r="U126" s="7">
        <v>1.8440998026813211</v>
      </c>
      <c r="V126" s="7">
        <v>0.7242702976750924</v>
      </c>
      <c r="W126" s="7">
        <v>5.3575</v>
      </c>
      <c r="X126" s="7">
        <v>0.21069487168682313</v>
      </c>
      <c r="Y126" s="7">
        <v>0.1555962526198519</v>
      </c>
      <c r="Z126" s="7">
        <v>6.9194</v>
      </c>
      <c r="AA126" s="7">
        <v>0.4022849786788961</v>
      </c>
    </row>
    <row r="127" spans="1:27">
      <c r="A127" t="s">
        <v>647</v>
      </c>
      <c r="B127" s="7">
        <v>1.877440672874737</v>
      </c>
      <c r="C127" s="7">
        <v>4.7649</v>
      </c>
      <c r="D127" s="7">
        <v>4.9582</v>
      </c>
      <c r="E127" s="7">
        <v>8.639</v>
      </c>
      <c r="F127" s="7">
        <v>1</v>
      </c>
      <c r="G127" s="7">
        <v>1.0672358591248663</v>
      </c>
      <c r="H127" s="7">
        <v>7.980599999999999</v>
      </c>
      <c r="I127" s="7">
        <v>9.133</v>
      </c>
      <c r="J127" s="7">
        <v>0.8806499999999999</v>
      </c>
      <c r="K127" s="7">
        <v>0.02075485404148895</v>
      </c>
      <c r="L127" s="7">
        <v>0.04346</v>
      </c>
      <c r="M127" s="7">
        <v>0.0045764495904077615</v>
      </c>
      <c r="N127" s="7">
        <v>0.8549931600547196</v>
      </c>
      <c r="O127" s="7">
        <v>0.385297064036372</v>
      </c>
      <c r="P127" s="7">
        <v>1.706979840568083</v>
      </c>
      <c r="Q127" s="7">
        <v>0.7123014459719353</v>
      </c>
      <c r="R127" s="7">
        <v>3.9624</v>
      </c>
      <c r="S127" s="7">
        <v>1.860949828792616</v>
      </c>
      <c r="T127" s="7">
        <v>0.0847860001356576</v>
      </c>
      <c r="U127" s="7">
        <v>1.8373571454819384</v>
      </c>
      <c r="V127" s="7">
        <v>0.7290755322251385</v>
      </c>
      <c r="W127" s="7">
        <v>5.3726</v>
      </c>
      <c r="X127" s="7">
        <v>0.21178812715759152</v>
      </c>
      <c r="Y127" s="7">
        <v>0.1551356894307606</v>
      </c>
      <c r="Z127" s="7">
        <v>6.9025</v>
      </c>
      <c r="AA127" s="7">
        <v>0.40841331427404537</v>
      </c>
    </row>
    <row r="128" spans="1:27">
      <c r="A128" t="s">
        <v>648</v>
      </c>
      <c r="B128" s="7">
        <v>1.8745899334520577</v>
      </c>
      <c r="C128" s="7">
        <v>4.7653</v>
      </c>
      <c r="D128" s="7">
        <v>4.9592</v>
      </c>
      <c r="E128" s="7">
        <v>8.6724</v>
      </c>
      <c r="F128" s="7">
        <v>1</v>
      </c>
      <c r="G128" s="7">
        <v>1.0673497705197994</v>
      </c>
      <c r="H128" s="7">
        <v>7.98</v>
      </c>
      <c r="I128" s="7">
        <v>9.1584</v>
      </c>
      <c r="J128" s="7">
        <v>0.8787600000000001</v>
      </c>
      <c r="K128" s="7">
        <v>0.020834201425059377</v>
      </c>
      <c r="L128" s="7">
        <v>0.04338</v>
      </c>
      <c r="M128" s="7">
        <v>0.004551661356395084</v>
      </c>
      <c r="N128" s="7">
        <v>0.8531695247845748</v>
      </c>
      <c r="O128" s="7">
        <v>0.3866826495495147</v>
      </c>
      <c r="P128" s="7">
        <v>1.712094233666621</v>
      </c>
      <c r="Q128" s="7">
        <v>0.7082654578936185</v>
      </c>
      <c r="R128" s="7">
        <v>3.9563</v>
      </c>
      <c r="S128" s="7">
        <v>1.8641413764819923</v>
      </c>
      <c r="T128" s="7">
        <v>0.08559518612673224</v>
      </c>
      <c r="U128" s="7">
        <v>1.834222931455089</v>
      </c>
      <c r="V128" s="7">
        <v>0.7313683902581731</v>
      </c>
      <c r="W128" s="7">
        <v>5.367000000000001</v>
      </c>
      <c r="X128" s="7">
        <v>0.2110506099362627</v>
      </c>
      <c r="Y128" s="7">
        <v>0.1547848645168081</v>
      </c>
      <c r="Z128" s="7">
        <v>6.888</v>
      </c>
      <c r="AA128" s="7">
        <v>0.4093830597289884</v>
      </c>
    </row>
    <row r="129" spans="1:27">
      <c r="A129" t="s">
        <v>649</v>
      </c>
      <c r="B129" s="7">
        <v>1.875082034839024</v>
      </c>
      <c r="C129" s="7">
        <v>4.7619</v>
      </c>
      <c r="D129" s="7">
        <v>4.9497</v>
      </c>
      <c r="E129" s="7">
        <v>8.6276</v>
      </c>
      <c r="F129" s="7">
        <v>1</v>
      </c>
      <c r="G129" s="7">
        <v>1.0639429726566656</v>
      </c>
      <c r="H129" s="7">
        <v>7.9518</v>
      </c>
      <c r="I129" s="7">
        <v>9.1153</v>
      </c>
      <c r="J129" s="7">
        <v>0.87945</v>
      </c>
      <c r="K129" s="7">
        <v>0.0206914674595637</v>
      </c>
      <c r="L129" s="7">
        <v>0.043187</v>
      </c>
      <c r="M129" s="7">
        <v>0.004564334291843534</v>
      </c>
      <c r="N129" s="7">
        <v>0.8538251366120219</v>
      </c>
      <c r="O129" s="7">
        <v>0.3857578212398256</v>
      </c>
      <c r="P129" s="7">
        <v>1.7063099341364365</v>
      </c>
      <c r="Q129" s="7">
        <v>0.7081651441116068</v>
      </c>
      <c r="R129" s="7">
        <v>3.9397</v>
      </c>
      <c r="S129" s="7">
        <v>1.8585633305454885</v>
      </c>
      <c r="T129" s="7">
        <v>0.08566631257924134</v>
      </c>
      <c r="U129" s="7">
        <v>1.8346267451886915</v>
      </c>
      <c r="V129" s="7">
        <v>0.7309407207075506</v>
      </c>
      <c r="W129" s="7">
        <v>5.3603</v>
      </c>
      <c r="X129" s="7">
        <v>0.21120216271014616</v>
      </c>
      <c r="Y129" s="7">
        <v>0.15455496670113242</v>
      </c>
      <c r="Z129" s="7">
        <v>6.8929</v>
      </c>
      <c r="AA129" s="7">
        <v>0.40648754115686353</v>
      </c>
    </row>
    <row r="130" spans="1:27">
      <c r="A130" t="s">
        <v>650</v>
      </c>
      <c r="B130" s="7">
        <v>1.875082034839024</v>
      </c>
      <c r="C130" s="7">
        <v>4.7619</v>
      </c>
      <c r="D130" s="7">
        <v>4.9497</v>
      </c>
      <c r="E130" s="7">
        <v>8.6276</v>
      </c>
      <c r="F130" s="7">
        <v>1</v>
      </c>
      <c r="G130" s="7">
        <v>1.0639429726566656</v>
      </c>
      <c r="H130" s="7">
        <v>7.9518</v>
      </c>
      <c r="I130" s="7">
        <v>9.1153</v>
      </c>
      <c r="J130" s="7">
        <v>0.87945</v>
      </c>
      <c r="K130" s="7">
        <v>0.0206914674595637</v>
      </c>
      <c r="L130" s="7">
        <v>0.043187</v>
      </c>
      <c r="M130" s="7">
        <v>0.004564334291843534</v>
      </c>
      <c r="N130" s="7">
        <v>0.8538251366120219</v>
      </c>
      <c r="O130" s="7">
        <v>0.3857578212398256</v>
      </c>
      <c r="P130" s="7">
        <v>1.7063099341364365</v>
      </c>
      <c r="Q130" s="7">
        <v>0.7081651441116068</v>
      </c>
      <c r="R130" s="7">
        <v>3.9397</v>
      </c>
      <c r="S130" s="7">
        <v>1.8585633305454885</v>
      </c>
      <c r="T130" s="7">
        <v>0.08566631257924134</v>
      </c>
      <c r="U130" s="7">
        <v>1.8346267451886915</v>
      </c>
      <c r="V130" s="7">
        <v>0.7309407207075506</v>
      </c>
      <c r="W130" s="7">
        <v>5.3603</v>
      </c>
      <c r="X130" s="7">
        <v>0.21120216271014616</v>
      </c>
      <c r="Y130" s="7">
        <v>0.15455496670113242</v>
      </c>
      <c r="Z130" s="7">
        <v>6.8929</v>
      </c>
      <c r="AA130" s="7">
        <v>0.40648754115686353</v>
      </c>
    </row>
    <row r="131" spans="1:27">
      <c r="A131" t="s">
        <v>651</v>
      </c>
      <c r="B131" s="7">
        <v>1.875082034839024</v>
      </c>
      <c r="C131" s="7">
        <v>4.7619</v>
      </c>
      <c r="D131" s="7">
        <v>4.9497</v>
      </c>
      <c r="E131" s="7">
        <v>8.6276</v>
      </c>
      <c r="F131" s="7">
        <v>1</v>
      </c>
      <c r="G131" s="7">
        <v>1.0639429726566656</v>
      </c>
      <c r="H131" s="7">
        <v>7.9518</v>
      </c>
      <c r="I131" s="7">
        <v>9.1153</v>
      </c>
      <c r="J131" s="7">
        <v>0.87945</v>
      </c>
      <c r="K131" s="7">
        <v>0.0206914674595637</v>
      </c>
      <c r="L131" s="7">
        <v>0.043187</v>
      </c>
      <c r="M131" s="7">
        <v>0.004564334291843534</v>
      </c>
      <c r="N131" s="7">
        <v>0.8538251366120219</v>
      </c>
      <c r="O131" s="7">
        <v>0.3857578212398256</v>
      </c>
      <c r="P131" s="7">
        <v>1.7063099341364365</v>
      </c>
      <c r="Q131" s="7">
        <v>0.7081651441116068</v>
      </c>
      <c r="R131" s="7">
        <v>3.9397</v>
      </c>
      <c r="S131" s="7">
        <v>1.8585633305454885</v>
      </c>
      <c r="T131" s="7">
        <v>0.08566631257924134</v>
      </c>
      <c r="U131" s="7">
        <v>1.8346267451886915</v>
      </c>
      <c r="V131" s="7">
        <v>0.7309407207075506</v>
      </c>
      <c r="W131" s="7">
        <v>5.3603</v>
      </c>
      <c r="X131" s="7">
        <v>0.21120216271014616</v>
      </c>
      <c r="Y131" s="7">
        <v>0.15455496670113242</v>
      </c>
      <c r="Z131" s="7">
        <v>6.8929</v>
      </c>
      <c r="AA131" s="7">
        <v>0.40648754115686353</v>
      </c>
    </row>
    <row r="132" spans="1:27">
      <c r="A132" t="s">
        <v>652</v>
      </c>
      <c r="B132" s="7">
        <v>1.875082034839024</v>
      </c>
      <c r="C132" s="7">
        <v>4.7619</v>
      </c>
      <c r="D132" s="7">
        <v>4.9497</v>
      </c>
      <c r="E132" s="7">
        <v>8.6276</v>
      </c>
      <c r="F132" s="7">
        <v>1</v>
      </c>
      <c r="G132" s="7">
        <v>1.0639429726566656</v>
      </c>
      <c r="H132" s="7">
        <v>7.9518</v>
      </c>
      <c r="I132" s="7">
        <v>9.1153</v>
      </c>
      <c r="J132" s="7">
        <v>0.87945</v>
      </c>
      <c r="K132" s="7">
        <v>0.0206914674595637</v>
      </c>
      <c r="L132" s="7">
        <v>0.043187</v>
      </c>
      <c r="M132" s="7">
        <v>0.004564334291843534</v>
      </c>
      <c r="N132" s="7">
        <v>0.8538251366120219</v>
      </c>
      <c r="O132" s="7">
        <v>0.3857578212398256</v>
      </c>
      <c r="P132" s="7">
        <v>1.7063099341364365</v>
      </c>
      <c r="Q132" s="7">
        <v>0.7081651441116068</v>
      </c>
      <c r="R132" s="7">
        <v>3.9397</v>
      </c>
      <c r="S132" s="7">
        <v>1.8585633305454885</v>
      </c>
      <c r="T132" s="7">
        <v>0.08566631257924134</v>
      </c>
      <c r="U132" s="7">
        <v>1.8346267451886915</v>
      </c>
      <c r="V132" s="7">
        <v>0.7309407207075506</v>
      </c>
      <c r="W132" s="7">
        <v>5.3603</v>
      </c>
      <c r="X132" s="7">
        <v>0.21120216271014616</v>
      </c>
      <c r="Y132" s="7">
        <v>0.15455496670113242</v>
      </c>
      <c r="Z132" s="7">
        <v>6.8929</v>
      </c>
      <c r="AA132" s="7">
        <v>0.40648754115686353</v>
      </c>
    </row>
    <row r="133" spans="1:27">
      <c r="A133" t="s">
        <v>653</v>
      </c>
      <c r="B133" s="7">
        <v>1.873606505161786</v>
      </c>
      <c r="C133" s="7">
        <v>4.7584</v>
      </c>
      <c r="D133" s="7">
        <v>4.9454</v>
      </c>
      <c r="E133" s="7">
        <v>8.6204</v>
      </c>
      <c r="F133" s="7">
        <v>1</v>
      </c>
      <c r="G133" s="7">
        <v>1.0625863351397302</v>
      </c>
      <c r="H133" s="7">
        <v>7.9398</v>
      </c>
      <c r="I133" s="7">
        <v>9.1034</v>
      </c>
      <c r="J133" s="7">
        <v>0.87858</v>
      </c>
      <c r="K133" s="7">
        <v>0.020809748951188655</v>
      </c>
      <c r="L133" s="7">
        <v>0.043119</v>
      </c>
      <c r="M133" s="7">
        <v>0.004562876437306078</v>
      </c>
      <c r="N133" s="7">
        <v>0.8525876033762468</v>
      </c>
      <c r="O133" s="7">
        <v>0.3875968992248062</v>
      </c>
      <c r="P133" s="7">
        <v>1.7090511348099535</v>
      </c>
      <c r="Q133" s="7">
        <v>0.7087172218284905</v>
      </c>
      <c r="R133" s="7">
        <v>3.9287</v>
      </c>
      <c r="S133" s="7">
        <v>1.8624054829217416</v>
      </c>
      <c r="T133" s="7">
        <v>0.087070091423596</v>
      </c>
      <c r="U133" s="7">
        <v>1.832878168588134</v>
      </c>
      <c r="V133" s="7">
        <v>0.7279609812914027</v>
      </c>
      <c r="W133" s="7">
        <v>5.355499999999999</v>
      </c>
      <c r="X133" s="7">
        <v>0.21126016689553184</v>
      </c>
      <c r="Y133" s="7">
        <v>0.15433718353160517</v>
      </c>
      <c r="Z133" s="7">
        <v>6.8854</v>
      </c>
      <c r="AA133" s="7">
        <v>0.4081132922499286</v>
      </c>
    </row>
    <row r="134" spans="1:27">
      <c r="A134" t="s">
        <v>654</v>
      </c>
      <c r="B134" s="7">
        <v>1.865636835133673</v>
      </c>
      <c r="C134" s="7">
        <v>4.8349</v>
      </c>
      <c r="D134" s="7">
        <v>4.9456</v>
      </c>
      <c r="E134" s="7">
        <v>8.6551</v>
      </c>
      <c r="F134" s="7">
        <v>1</v>
      </c>
      <c r="G134" s="7">
        <v>1.0702054794520548</v>
      </c>
      <c r="H134" s="7">
        <v>7.999</v>
      </c>
      <c r="I134" s="7">
        <v>9.1704</v>
      </c>
      <c r="J134" s="7">
        <v>0.87652</v>
      </c>
      <c r="K134" s="7">
        <v>0.021248926929190077</v>
      </c>
      <c r="L134" s="7">
        <v>0.043169000000000006</v>
      </c>
      <c r="M134" s="7">
        <v>0.004604899613188432</v>
      </c>
      <c r="N134" s="7">
        <v>0.8506294658046955</v>
      </c>
      <c r="O134" s="7">
        <v>0.3910680067263697</v>
      </c>
      <c r="P134" s="7">
        <v>1.708934308565179</v>
      </c>
      <c r="Q134" s="7">
        <v>0.7135212272565109</v>
      </c>
      <c r="R134" s="7">
        <v>3.9681</v>
      </c>
      <c r="S134" s="7">
        <v>1.8797345814770956</v>
      </c>
      <c r="T134" s="7">
        <v>0.08728288382648162</v>
      </c>
      <c r="U134" s="7">
        <v>1.8249840313897252</v>
      </c>
      <c r="V134" s="7">
        <v>0.733998825601879</v>
      </c>
      <c r="W134" s="7">
        <v>5.367100000000001</v>
      </c>
      <c r="X134" s="7">
        <v>0.21313327223512865</v>
      </c>
      <c r="Y134" s="7">
        <v>0.15381657373582003</v>
      </c>
      <c r="Z134" s="7">
        <v>6.867999999999999</v>
      </c>
      <c r="AA134" s="7">
        <v>0.41517894212405543</v>
      </c>
    </row>
    <row r="135" spans="1:27">
      <c r="A135" t="s">
        <v>655</v>
      </c>
      <c r="B135" s="7">
        <v>1.8637939389421103</v>
      </c>
      <c r="C135" s="7">
        <v>4.8178</v>
      </c>
      <c r="D135" s="7">
        <v>4.9402</v>
      </c>
      <c r="E135" s="7">
        <v>8.6467</v>
      </c>
      <c r="F135" s="7">
        <v>1</v>
      </c>
      <c r="G135" s="7">
        <v>1.0675776662752214</v>
      </c>
      <c r="H135" s="7">
        <v>7.9754</v>
      </c>
      <c r="I135" s="7">
        <v>9.1633</v>
      </c>
      <c r="J135" s="7">
        <v>0.87651</v>
      </c>
      <c r="K135" s="7">
        <v>0.02121282187805597</v>
      </c>
      <c r="L135" s="7">
        <v>0.043158</v>
      </c>
      <c r="M135" s="7">
        <v>0.004621712806766188</v>
      </c>
      <c r="N135" s="7">
        <v>0.8505571149102663</v>
      </c>
      <c r="O135" s="7">
        <v>0.3928346951602765</v>
      </c>
      <c r="P135" s="7">
        <v>1.7224155155189638</v>
      </c>
      <c r="Q135" s="7">
        <v>0.714694110920526</v>
      </c>
      <c r="R135" s="7">
        <v>3.9842</v>
      </c>
      <c r="S135" s="7">
        <v>1.87863986473793</v>
      </c>
      <c r="T135" s="7">
        <v>0.08706175290133292</v>
      </c>
      <c r="U135" s="7">
        <v>1.8241850453309985</v>
      </c>
      <c r="V135" s="7">
        <v>0.7342683016374183</v>
      </c>
      <c r="W135" s="7">
        <v>5.3689</v>
      </c>
      <c r="X135" s="7">
        <v>0.21326508850501175</v>
      </c>
      <c r="Y135" s="7">
        <v>0.15391979854976767</v>
      </c>
      <c r="Z135" s="7">
        <v>6.8649</v>
      </c>
      <c r="AA135" s="7">
        <v>0.4165972337943677</v>
      </c>
    </row>
    <row r="136" spans="1:27">
      <c r="A136" t="s">
        <v>656</v>
      </c>
      <c r="B136" s="7">
        <v>1.8629953238817372</v>
      </c>
      <c r="C136" s="7">
        <v>4.841600000000001</v>
      </c>
      <c r="D136" s="7">
        <v>4.9507</v>
      </c>
      <c r="E136" s="7">
        <v>8.656799999999999</v>
      </c>
      <c r="F136" s="7">
        <v>1</v>
      </c>
      <c r="G136" s="7">
        <v>1.0707784559374665</v>
      </c>
      <c r="H136" s="7">
        <v>8.003</v>
      </c>
      <c r="I136" s="7">
        <v>9.1912</v>
      </c>
      <c r="J136" s="7">
        <v>0.87641</v>
      </c>
      <c r="K136" s="7">
        <v>0.021262028992902735</v>
      </c>
      <c r="L136" s="7">
        <v>0.043056</v>
      </c>
      <c r="M136" s="7">
        <v>0.004633490872022982</v>
      </c>
      <c r="N136" s="7">
        <v>0.8504847763225039</v>
      </c>
      <c r="O136" s="7">
        <v>0.39441508243275225</v>
      </c>
      <c r="P136" s="7">
        <v>1.7216445148405757</v>
      </c>
      <c r="Q136" s="7">
        <v>0.7202016564638098</v>
      </c>
      <c r="R136" s="7">
        <v>4.0039</v>
      </c>
      <c r="S136" s="7">
        <v>1.885902876001886</v>
      </c>
      <c r="T136" s="7">
        <v>0.08806848205164336</v>
      </c>
      <c r="U136" s="7">
        <v>1.823486506199854</v>
      </c>
      <c r="V136" s="7">
        <v>0.7367567965814485</v>
      </c>
      <c r="W136" s="7">
        <v>5.3773</v>
      </c>
      <c r="X136" s="7">
        <v>0.21321052407146815</v>
      </c>
      <c r="Y136" s="7">
        <v>0.15335071308081585</v>
      </c>
      <c r="Z136" s="7">
        <v>6.865399999999999</v>
      </c>
      <c r="AA136" s="7">
        <v>0.41785057663379577</v>
      </c>
    </row>
    <row r="137" spans="1:27">
      <c r="A137" t="s">
        <v>657</v>
      </c>
      <c r="B137" s="7">
        <v>1.8629953238817372</v>
      </c>
      <c r="C137" s="7">
        <v>4.841600000000001</v>
      </c>
      <c r="D137" s="7">
        <v>4.9507</v>
      </c>
      <c r="E137" s="7">
        <v>8.656799999999999</v>
      </c>
      <c r="F137" s="7">
        <v>1</v>
      </c>
      <c r="G137" s="7">
        <v>1.0707784559374665</v>
      </c>
      <c r="H137" s="7">
        <v>8.003</v>
      </c>
      <c r="I137" s="7">
        <v>9.1912</v>
      </c>
      <c r="J137" s="7">
        <v>0.87641</v>
      </c>
      <c r="K137" s="7">
        <v>0.021262028992902735</v>
      </c>
      <c r="L137" s="7">
        <v>0.043056</v>
      </c>
      <c r="M137" s="7">
        <v>0.004633490872022982</v>
      </c>
      <c r="N137" s="7">
        <v>0.8504847763225039</v>
      </c>
      <c r="O137" s="7">
        <v>0.39441508243275225</v>
      </c>
      <c r="P137" s="7">
        <v>1.7216445148405757</v>
      </c>
      <c r="Q137" s="7">
        <v>0.7202016564638098</v>
      </c>
      <c r="R137" s="7">
        <v>4.0039</v>
      </c>
      <c r="S137" s="7">
        <v>1.885902876001886</v>
      </c>
      <c r="T137" s="7">
        <v>0.08806848205164336</v>
      </c>
      <c r="U137" s="7">
        <v>1.823486506199854</v>
      </c>
      <c r="V137" s="7">
        <v>0.7367567965814485</v>
      </c>
      <c r="W137" s="7">
        <v>5.3773</v>
      </c>
      <c r="X137" s="7">
        <v>0.21321052407146815</v>
      </c>
      <c r="Y137" s="7">
        <v>0.15335071308081585</v>
      </c>
      <c r="Z137" s="7">
        <v>6.865399999999999</v>
      </c>
      <c r="AA137" s="7">
        <v>0.41785057663379577</v>
      </c>
    </row>
    <row r="138" spans="1:27">
      <c r="A138" t="s">
        <v>214</v>
      </c>
      <c r="B138" s="7">
        <v>1.8629953238817372</v>
      </c>
      <c r="C138" s="7">
        <v>4.841600000000001</v>
      </c>
      <c r="D138" s="7">
        <v>4.9507</v>
      </c>
      <c r="E138" s="7">
        <v>8.656799999999999</v>
      </c>
      <c r="F138" s="7">
        <v>1</v>
      </c>
      <c r="G138" s="7">
        <v>1.0707784559374665</v>
      </c>
      <c r="H138" s="7">
        <v>8.003</v>
      </c>
      <c r="I138" s="7">
        <v>9.1912</v>
      </c>
      <c r="J138" s="7">
        <v>0.87641</v>
      </c>
      <c r="K138" s="7">
        <v>0.021262028992902735</v>
      </c>
      <c r="L138" s="7">
        <v>0.043056</v>
      </c>
      <c r="M138" s="7">
        <v>0.004633490872022982</v>
      </c>
      <c r="N138" s="7">
        <v>0.8504847763225039</v>
      </c>
      <c r="O138" s="7">
        <v>0.39441508243275225</v>
      </c>
      <c r="P138" s="7">
        <v>1.7216445148405757</v>
      </c>
      <c r="Q138" s="7">
        <v>0.7202016564638098</v>
      </c>
      <c r="R138" s="7">
        <v>4.0039</v>
      </c>
      <c r="S138" s="7">
        <v>1.885902876001886</v>
      </c>
      <c r="T138" s="7">
        <v>0.08806848205164336</v>
      </c>
      <c r="U138" s="7">
        <v>1.823486506199854</v>
      </c>
      <c r="V138" s="7">
        <v>0.7367567965814485</v>
      </c>
      <c r="W138" s="7">
        <v>5.3773</v>
      </c>
      <c r="X138" s="7">
        <v>0.21321052407146815</v>
      </c>
      <c r="Y138" s="7">
        <v>0.15335071308081585</v>
      </c>
      <c r="Z138" s="7">
        <v>6.865399999999999</v>
      </c>
      <c r="AA138" s="7">
        <v>0.41785057663379577</v>
      </c>
    </row>
    <row r="139" spans="1:27">
      <c r="A139" t="s">
        <v>658</v>
      </c>
      <c r="B139" s="7">
        <v>1.8653236336504384</v>
      </c>
      <c r="C139" s="7">
        <v>4.8105</v>
      </c>
      <c r="D139" s="7">
        <v>4.9384</v>
      </c>
      <c r="E139" s="7">
        <v>8.6464</v>
      </c>
      <c r="F139" s="7">
        <v>1</v>
      </c>
      <c r="G139" s="7">
        <v>1.0707784559374665</v>
      </c>
      <c r="H139" s="7">
        <v>8.0014</v>
      </c>
      <c r="I139" s="7">
        <v>9.1764</v>
      </c>
      <c r="J139" s="7">
        <v>0.87646</v>
      </c>
      <c r="K139" s="7">
        <v>0.021722555180720797</v>
      </c>
      <c r="L139" s="7">
        <v>0.042939</v>
      </c>
      <c r="M139" s="7">
        <v>0.004602356406480118</v>
      </c>
      <c r="N139" s="7">
        <v>0.8504847763225039</v>
      </c>
      <c r="O139" s="7">
        <v>0.3931281204544561</v>
      </c>
      <c r="P139" s="7">
        <v>1.7265193370165746</v>
      </c>
      <c r="Q139" s="7">
        <v>0.7182876023559833</v>
      </c>
      <c r="R139" s="7">
        <v>3.9774</v>
      </c>
      <c r="S139" s="7">
        <v>1.879840589518009</v>
      </c>
      <c r="T139" s="7">
        <v>0.08881862348897317</v>
      </c>
      <c r="U139" s="7">
        <v>1.8256503879507076</v>
      </c>
      <c r="V139" s="7">
        <v>0.7334066740007334</v>
      </c>
      <c r="W139" s="7">
        <v>5.3609</v>
      </c>
      <c r="X139" s="7">
        <v>0.21146566854871113</v>
      </c>
      <c r="Y139" s="7">
        <v>0.15334459904987688</v>
      </c>
      <c r="Z139" s="7">
        <v>6.8657</v>
      </c>
      <c r="AA139" s="7">
        <v>0.412847824291966</v>
      </c>
    </row>
    <row r="140" spans="1:27">
      <c r="A140" t="s">
        <v>659</v>
      </c>
      <c r="B140" s="7">
        <v>1.860949828792616</v>
      </c>
      <c r="C140" s="7">
        <v>4.8501</v>
      </c>
      <c r="D140" s="7">
        <v>4.9572</v>
      </c>
      <c r="E140" s="7">
        <v>8.7284</v>
      </c>
      <c r="F140" s="7">
        <v>1</v>
      </c>
      <c r="G140" s="7">
        <v>1.0763104079216446</v>
      </c>
      <c r="H140" s="7">
        <v>8.0456</v>
      </c>
      <c r="I140" s="7">
        <v>9.238</v>
      </c>
      <c r="J140" s="7">
        <v>0.87579</v>
      </c>
      <c r="K140" s="7">
        <v>0.02217466987460224</v>
      </c>
      <c r="L140" s="7">
        <v>0.042969999999999994</v>
      </c>
      <c r="M140" s="7">
        <v>0.004618937644341801</v>
      </c>
      <c r="N140" s="7">
        <v>0.8498342823149486</v>
      </c>
      <c r="O140" s="7">
        <v>0.39583580730712903</v>
      </c>
      <c r="P140" s="7">
        <v>1.724554202738592</v>
      </c>
      <c r="Q140" s="7">
        <v>0.7236937328122738</v>
      </c>
      <c r="R140" s="7">
        <v>4.0095</v>
      </c>
      <c r="S140" s="7">
        <v>1.8961299986727091</v>
      </c>
      <c r="T140" s="7">
        <v>0.08968448996430557</v>
      </c>
      <c r="U140" s="7">
        <v>1.821294576184752</v>
      </c>
      <c r="V140" s="7">
        <v>0.7442691277165823</v>
      </c>
      <c r="W140" s="7">
        <v>5.375</v>
      </c>
      <c r="X140" s="7">
        <v>0.2132787339774351</v>
      </c>
      <c r="Y140" s="7">
        <v>0.1529924559419975</v>
      </c>
      <c r="Z140" s="7">
        <v>6.859299999999999</v>
      </c>
      <c r="AA140" s="7">
        <v>0.4173971116119876</v>
      </c>
    </row>
    <row r="141" spans="1:27">
      <c r="A141" t="s">
        <v>660</v>
      </c>
      <c r="B141" s="7">
        <v>1.8592890078833857</v>
      </c>
      <c r="C141" s="7">
        <v>4.8693</v>
      </c>
      <c r="D141" s="7">
        <v>4.9603</v>
      </c>
      <c r="E141" s="7">
        <v>8.752</v>
      </c>
      <c r="F141" s="7">
        <v>1</v>
      </c>
      <c r="G141" s="7">
        <v>1.078515962036238</v>
      </c>
      <c r="H141" s="7">
        <v>8.059800000000001</v>
      </c>
      <c r="I141" s="7">
        <v>9.2729</v>
      </c>
      <c r="J141" s="7">
        <v>0.8754000000000001</v>
      </c>
      <c r="K141" s="7">
        <v>0.022187215726298504</v>
      </c>
      <c r="L141" s="7">
        <v>0.043031</v>
      </c>
      <c r="M141" s="7">
        <v>0.004634349800722959</v>
      </c>
      <c r="N141" s="7">
        <v>0.8499065102838688</v>
      </c>
      <c r="O141" s="7">
        <v>0.396463545177021</v>
      </c>
      <c r="P141" s="7">
        <v>1.7317216776919613</v>
      </c>
      <c r="Q141" s="7">
        <v>0.7230657989877078</v>
      </c>
      <c r="R141" s="7">
        <v>4.0309</v>
      </c>
      <c r="S141" s="7">
        <v>1.9035653779529056</v>
      </c>
      <c r="T141" s="7">
        <v>0.0902910079185214</v>
      </c>
      <c r="U141" s="7">
        <v>1.8197699810743924</v>
      </c>
      <c r="V141" s="7">
        <v>0.7438262421898245</v>
      </c>
      <c r="W141" s="7">
        <v>5.3763</v>
      </c>
      <c r="X141" s="7">
        <v>0.21330603016147268</v>
      </c>
      <c r="Y141" s="7">
        <v>0.1527557130636686</v>
      </c>
      <c r="Z141" s="7">
        <v>6.8582</v>
      </c>
      <c r="AA141" s="7">
        <v>0.41842754926984393</v>
      </c>
    </row>
    <row r="142" spans="1:27">
      <c r="A142" t="s">
        <v>661</v>
      </c>
      <c r="B142" s="7">
        <v>1.8612269207861825</v>
      </c>
      <c r="C142" s="7">
        <v>4.904100000000001</v>
      </c>
      <c r="D142" s="7">
        <v>4.9773000000000005</v>
      </c>
      <c r="E142" s="7">
        <v>8.7553</v>
      </c>
      <c r="F142" s="7">
        <v>1</v>
      </c>
      <c r="G142" s="7">
        <v>1.080263584314573</v>
      </c>
      <c r="H142" s="7">
        <v>8.0724</v>
      </c>
      <c r="I142" s="7">
        <v>9.2799</v>
      </c>
      <c r="J142" s="7">
        <v>0.87629</v>
      </c>
      <c r="K142" s="7">
        <v>0.022232350292911218</v>
      </c>
      <c r="L142" s="7">
        <v>0.043047</v>
      </c>
      <c r="M142" s="7">
        <v>0.004627915586819697</v>
      </c>
      <c r="N142" s="7">
        <v>0.8503401360544218</v>
      </c>
      <c r="O142" s="7">
        <v>0.3967939052456154</v>
      </c>
      <c r="P142" s="7">
        <v>1.731092146034933</v>
      </c>
      <c r="Q142" s="7">
        <v>0.72811999417504</v>
      </c>
      <c r="R142" s="7">
        <v>4.0431</v>
      </c>
      <c r="S142" s="7">
        <v>1.9085426368425071</v>
      </c>
      <c r="T142" s="7">
        <v>0.09029589966319627</v>
      </c>
      <c r="U142" s="7">
        <v>1.8222570475791315</v>
      </c>
      <c r="V142" s="7">
        <v>0.7461016190405133</v>
      </c>
      <c r="W142" s="7">
        <v>5.380800000000001</v>
      </c>
      <c r="X142" s="7">
        <v>0.21313327223512865</v>
      </c>
      <c r="Y142" s="7">
        <v>0.15291642200039146</v>
      </c>
      <c r="Z142" s="7">
        <v>6.861599999999999</v>
      </c>
      <c r="AA142" s="7">
        <v>0.4178331174528893</v>
      </c>
    </row>
    <row r="143" spans="1:27">
      <c r="A143" t="s">
        <v>222</v>
      </c>
      <c r="B143" s="7">
        <v>1.8620240201098597</v>
      </c>
      <c r="C143" s="7">
        <v>4.9005</v>
      </c>
      <c r="D143" s="7">
        <v>4.9923</v>
      </c>
      <c r="E143" s="7">
        <v>8.7415</v>
      </c>
      <c r="F143" s="7">
        <v>1</v>
      </c>
      <c r="G143" s="7">
        <v>1.0787486515641855</v>
      </c>
      <c r="H143" s="7">
        <v>8.0618</v>
      </c>
      <c r="I143" s="7">
        <v>9.2573</v>
      </c>
      <c r="J143" s="7">
        <v>0.87697</v>
      </c>
      <c r="K143" s="7">
        <v>0.02211469565755836</v>
      </c>
      <c r="L143" s="7">
        <v>0.043011999999999995</v>
      </c>
      <c r="M143" s="7">
        <v>0.004617657923900997</v>
      </c>
      <c r="N143" s="7">
        <v>0.851063829787234</v>
      </c>
      <c r="O143" s="7">
        <v>0.3972352427107333</v>
      </c>
      <c r="P143" s="7">
        <v>1.7307026652821045</v>
      </c>
      <c r="Q143" s="7">
        <v>0.7307270734380709</v>
      </c>
      <c r="R143" s="7">
        <v>4.03</v>
      </c>
      <c r="S143" s="7">
        <v>1.9032030908018196</v>
      </c>
      <c r="T143" s="7">
        <v>0.08950067573010177</v>
      </c>
      <c r="U143" s="7">
        <v>1.8231540565177755</v>
      </c>
      <c r="V143" s="7">
        <v>0.7442691277165823</v>
      </c>
      <c r="W143" s="7">
        <v>5.3751</v>
      </c>
      <c r="X143" s="7">
        <v>0.21336974843706655</v>
      </c>
      <c r="Y143" s="7">
        <v>0.15259254737998595</v>
      </c>
      <c r="Z143" s="7">
        <v>6.8622000000000005</v>
      </c>
      <c r="AA143" s="7">
        <v>0.4174668113884946</v>
      </c>
    </row>
    <row r="144" spans="1:27">
      <c r="A144" t="s">
        <v>662</v>
      </c>
      <c r="B144" s="7">
        <v>1.8620240201098597</v>
      </c>
      <c r="C144" s="7">
        <v>4.9005</v>
      </c>
      <c r="D144" s="7">
        <v>4.9923</v>
      </c>
      <c r="E144" s="7">
        <v>8.7415</v>
      </c>
      <c r="F144" s="7">
        <v>1</v>
      </c>
      <c r="G144" s="7">
        <v>1.0787486515641855</v>
      </c>
      <c r="H144" s="7">
        <v>8.0618</v>
      </c>
      <c r="I144" s="7">
        <v>9.2573</v>
      </c>
      <c r="J144" s="7">
        <v>0.87697</v>
      </c>
      <c r="K144" s="7">
        <v>0.02211469565755836</v>
      </c>
      <c r="L144" s="7">
        <v>0.043011999999999995</v>
      </c>
      <c r="M144" s="7">
        <v>0.004617657923900997</v>
      </c>
      <c r="N144" s="7">
        <v>0.851063829787234</v>
      </c>
      <c r="O144" s="7">
        <v>0.3972352427107333</v>
      </c>
      <c r="P144" s="7">
        <v>1.7307026652821045</v>
      </c>
      <c r="Q144" s="7">
        <v>0.7307270734380709</v>
      </c>
      <c r="R144" s="7">
        <v>4.03</v>
      </c>
      <c r="S144" s="7">
        <v>1.9032030908018196</v>
      </c>
      <c r="T144" s="7">
        <v>0.08950067573010177</v>
      </c>
      <c r="U144" s="7">
        <v>1.8231540565177755</v>
      </c>
      <c r="V144" s="7">
        <v>0.7442691277165823</v>
      </c>
      <c r="W144" s="7">
        <v>5.3751</v>
      </c>
      <c r="X144" s="7">
        <v>0.21336974843706655</v>
      </c>
      <c r="Y144" s="7">
        <v>0.15259254737998595</v>
      </c>
      <c r="Z144" s="7">
        <v>6.8622000000000005</v>
      </c>
      <c r="AA144" s="7">
        <v>0.4174668113884946</v>
      </c>
    </row>
    <row r="145" spans="1:27">
      <c r="A145" t="s">
        <v>663</v>
      </c>
      <c r="B145" s="7">
        <v>1.8620240201098597</v>
      </c>
      <c r="C145" s="7">
        <v>4.9005</v>
      </c>
      <c r="D145" s="7">
        <v>4.9923</v>
      </c>
      <c r="E145" s="7">
        <v>8.7415</v>
      </c>
      <c r="F145" s="7">
        <v>1</v>
      </c>
      <c r="G145" s="7">
        <v>1.0787486515641855</v>
      </c>
      <c r="H145" s="7">
        <v>8.0618</v>
      </c>
      <c r="I145" s="7">
        <v>9.2573</v>
      </c>
      <c r="J145" s="7">
        <v>0.87697</v>
      </c>
      <c r="K145" s="7">
        <v>0.02211469565755836</v>
      </c>
      <c r="L145" s="7">
        <v>0.043011999999999995</v>
      </c>
      <c r="M145" s="7">
        <v>0.004617657923900997</v>
      </c>
      <c r="N145" s="7">
        <v>0.851063829787234</v>
      </c>
      <c r="O145" s="7">
        <v>0.3972352427107333</v>
      </c>
      <c r="P145" s="7">
        <v>1.7307026652821045</v>
      </c>
      <c r="Q145" s="7">
        <v>0.7307270734380709</v>
      </c>
      <c r="R145" s="7">
        <v>4.03</v>
      </c>
      <c r="S145" s="7">
        <v>1.9032030908018196</v>
      </c>
      <c r="T145" s="7">
        <v>0.08950067573010177</v>
      </c>
      <c r="U145" s="7">
        <v>1.8231540565177755</v>
      </c>
      <c r="V145" s="7">
        <v>0.7442691277165823</v>
      </c>
      <c r="W145" s="7">
        <v>5.3751</v>
      </c>
      <c r="X145" s="7">
        <v>0.21336974843706655</v>
      </c>
      <c r="Y145" s="7">
        <v>0.15259254737998595</v>
      </c>
      <c r="Z145" s="7">
        <v>6.8622000000000005</v>
      </c>
      <c r="AA145" s="7">
        <v>0.4174668113884946</v>
      </c>
    </row>
    <row r="146" spans="1:27">
      <c r="A146" t="s">
        <v>664</v>
      </c>
      <c r="B146" s="7">
        <v>1.8629606170125568</v>
      </c>
      <c r="C146" s="7">
        <v>4.8891</v>
      </c>
      <c r="D146" s="7">
        <v>4.9931</v>
      </c>
      <c r="E146" s="7">
        <v>8.744</v>
      </c>
      <c r="F146" s="7">
        <v>1</v>
      </c>
      <c r="G146" s="7">
        <v>1.0759629868732516</v>
      </c>
      <c r="H146" s="7">
        <v>8.0402</v>
      </c>
      <c r="I146" s="7">
        <v>9.2332</v>
      </c>
      <c r="J146" s="7">
        <v>0.87663</v>
      </c>
      <c r="K146" s="7">
        <v>0.02221723568710134</v>
      </c>
      <c r="L146" s="7">
        <v>0.043049</v>
      </c>
      <c r="M146" s="7">
        <v>0.004655060050274649</v>
      </c>
      <c r="N146" s="7">
        <v>0.8507018290089324</v>
      </c>
      <c r="O146" s="7">
        <v>0.394570707070707</v>
      </c>
      <c r="P146" s="7">
        <v>1.733613022901028</v>
      </c>
      <c r="Q146" s="7">
        <v>0.7293946024799417</v>
      </c>
      <c r="R146" s="7">
        <v>4.0172</v>
      </c>
      <c r="S146" s="7">
        <v>1.9027323236167135</v>
      </c>
      <c r="T146" s="7">
        <v>0.08978433802007578</v>
      </c>
      <c r="U146" s="7">
        <v>1.8241850453309985</v>
      </c>
      <c r="V146" s="7">
        <v>0.7449344457687723</v>
      </c>
      <c r="W146" s="7">
        <v>5.3767</v>
      </c>
      <c r="X146" s="7">
        <v>0.21331058020477817</v>
      </c>
      <c r="Y146" s="7">
        <v>0.15265520836672666</v>
      </c>
      <c r="Z146" s="7">
        <v>6.8648</v>
      </c>
      <c r="AA146" s="7">
        <v>0.4169620147604553</v>
      </c>
    </row>
    <row r="147" spans="1:27">
      <c r="A147" t="s">
        <v>665</v>
      </c>
      <c r="B147" s="7">
        <v>1.8603612821609956</v>
      </c>
      <c r="C147" s="7">
        <v>4.9038</v>
      </c>
      <c r="D147" s="7">
        <v>5.0084</v>
      </c>
      <c r="E147" s="7">
        <v>8.7847</v>
      </c>
      <c r="F147" s="7">
        <v>1</v>
      </c>
      <c r="G147" s="7">
        <v>1.0780508840017249</v>
      </c>
      <c r="H147" s="7">
        <v>8.0565</v>
      </c>
      <c r="I147" s="7">
        <v>9.2489</v>
      </c>
      <c r="J147" s="7">
        <v>0.87588</v>
      </c>
      <c r="K147" s="7">
        <v>0.022293164024183625</v>
      </c>
      <c r="L147" s="7">
        <v>0.043065</v>
      </c>
      <c r="M147" s="7">
        <v>0.004642956634785031</v>
      </c>
      <c r="N147" s="7">
        <v>0.8499787505312367</v>
      </c>
      <c r="O147" s="7">
        <v>0.39566352773601327</v>
      </c>
      <c r="P147" s="7">
        <v>1.7321416198988429</v>
      </c>
      <c r="Q147" s="7">
        <v>0.7338910905621606</v>
      </c>
      <c r="R147" s="7">
        <v>4.0367</v>
      </c>
      <c r="S147" s="7">
        <v>1.9067594622938315</v>
      </c>
      <c r="T147" s="7">
        <v>0.09096366911055724</v>
      </c>
      <c r="U147" s="7">
        <v>1.8216263480034975</v>
      </c>
      <c r="V147" s="7">
        <v>0.7490075649764063</v>
      </c>
      <c r="W147" s="7">
        <v>5.3844</v>
      </c>
      <c r="X147" s="7">
        <v>0.21316961906589071</v>
      </c>
      <c r="Y147" s="7">
        <v>0.1523869898083581</v>
      </c>
      <c r="Z147" s="7">
        <v>6.859400000000001</v>
      </c>
      <c r="AA147" s="7">
        <v>0.4182700351346829</v>
      </c>
    </row>
    <row r="148" spans="1:27">
      <c r="A148" t="s">
        <v>230</v>
      </c>
      <c r="B148" s="7">
        <v>1.862370798025887</v>
      </c>
      <c r="C148" s="7">
        <v>4.8966</v>
      </c>
      <c r="D148" s="7">
        <v>5.0081999999999995</v>
      </c>
      <c r="E148" s="7">
        <v>8.7689</v>
      </c>
      <c r="F148" s="7">
        <v>1</v>
      </c>
      <c r="G148" s="7">
        <v>1.075268817204301</v>
      </c>
      <c r="H148" s="7">
        <v>8.036200000000001</v>
      </c>
      <c r="I148" s="7">
        <v>9.2446</v>
      </c>
      <c r="J148" s="7">
        <v>0.8764</v>
      </c>
      <c r="K148" s="7">
        <v>0.022105211966877553</v>
      </c>
      <c r="L148" s="7">
        <v>0.042976</v>
      </c>
      <c r="M148" s="7">
        <v>0.004616592031762153</v>
      </c>
      <c r="N148" s="7">
        <v>0.8504847763225039</v>
      </c>
      <c r="O148" s="7">
        <v>0.3954444795950649</v>
      </c>
      <c r="P148" s="7">
        <v>1.732892023498016</v>
      </c>
      <c r="Q148" s="7">
        <v>0.7325470661490001</v>
      </c>
      <c r="R148" s="7">
        <v>4.0360000000000005</v>
      </c>
      <c r="S148" s="7">
        <v>1.897065240073606</v>
      </c>
      <c r="T148" s="7">
        <v>0.09096449655699382</v>
      </c>
      <c r="U148" s="7">
        <v>1.823985408116735</v>
      </c>
      <c r="V148" s="7">
        <v>0.7449344457687723</v>
      </c>
      <c r="W148" s="7">
        <v>5.3738</v>
      </c>
      <c r="X148" s="7">
        <v>0.212300702715326</v>
      </c>
      <c r="Y148" s="7">
        <v>0.15236005728738153</v>
      </c>
      <c r="Z148" s="7">
        <v>6.8635</v>
      </c>
      <c r="AA148" s="7">
        <v>0.4155930512841825</v>
      </c>
    </row>
    <row r="149" spans="1:27">
      <c r="A149" t="s">
        <v>666</v>
      </c>
      <c r="B149" s="7">
        <v>1.8637244669748023</v>
      </c>
      <c r="C149" s="7">
        <v>4.9032</v>
      </c>
      <c r="D149" s="7">
        <v>5.0079</v>
      </c>
      <c r="E149" s="7">
        <v>8.7308</v>
      </c>
      <c r="F149" s="7">
        <v>1</v>
      </c>
      <c r="G149" s="7">
        <v>1.07284626113078</v>
      </c>
      <c r="H149" s="7">
        <v>8.0178</v>
      </c>
      <c r="I149" s="7">
        <v>9.2467</v>
      </c>
      <c r="J149" s="7">
        <v>0.8764799999999999</v>
      </c>
      <c r="K149" s="7">
        <v>0.02199658612983265</v>
      </c>
      <c r="L149" s="7">
        <v>0.042988</v>
      </c>
      <c r="M149" s="7">
        <v>0.0046219264189314106</v>
      </c>
      <c r="N149" s="7">
        <v>0.8505571149102663</v>
      </c>
      <c r="O149" s="7">
        <v>0.3953194180898166</v>
      </c>
      <c r="P149" s="7">
        <v>1.7332524482190832</v>
      </c>
      <c r="Q149" s="7">
        <v>0.7359434795407713</v>
      </c>
      <c r="R149" s="7">
        <v>4.0441</v>
      </c>
      <c r="S149" s="7">
        <v>1.8909310944709177</v>
      </c>
      <c r="T149" s="7">
        <v>0.09094629621208676</v>
      </c>
      <c r="U149" s="7">
        <v>1.8250839538618775</v>
      </c>
      <c r="V149" s="7">
        <v>0.743383883437407</v>
      </c>
      <c r="W149" s="7">
        <v>5.367999999999999</v>
      </c>
      <c r="X149" s="7">
        <v>0.21198566976872363</v>
      </c>
      <c r="Y149" s="7">
        <v>0.15245552491199504</v>
      </c>
      <c r="Z149" s="7">
        <v>6.865</v>
      </c>
      <c r="AA149" s="7">
        <v>0.4158522892668524</v>
      </c>
    </row>
    <row r="150" spans="1:27">
      <c r="A150" t="s">
        <v>236</v>
      </c>
      <c r="B150" s="7">
        <v>1.8656020297750084</v>
      </c>
      <c r="C150" s="7">
        <v>4.8884</v>
      </c>
      <c r="D150" s="7">
        <v>5.0028</v>
      </c>
      <c r="E150" s="7">
        <v>8.7201</v>
      </c>
      <c r="F150" s="7">
        <v>1</v>
      </c>
      <c r="G150" s="7">
        <v>1.0715816545220749</v>
      </c>
      <c r="H150" s="7">
        <v>8.0079</v>
      </c>
      <c r="I150" s="7">
        <v>9.2304</v>
      </c>
      <c r="J150" s="7">
        <v>0.87666</v>
      </c>
      <c r="K150" s="7">
        <v>0.02185768461546868</v>
      </c>
      <c r="L150" s="7">
        <v>0.042944</v>
      </c>
      <c r="M150" s="7">
        <v>0.004618937644341801</v>
      </c>
      <c r="N150" s="7">
        <v>0.8507742045261187</v>
      </c>
      <c r="O150" s="7">
        <v>0.3938558487593541</v>
      </c>
      <c r="P150" s="7">
        <v>1.7289970088351747</v>
      </c>
      <c r="Q150" s="7">
        <v>0.7345919341805627</v>
      </c>
      <c r="R150" s="7">
        <v>4.0126</v>
      </c>
      <c r="S150" s="7">
        <v>1.8887168058021384</v>
      </c>
      <c r="T150" s="7">
        <v>0.09031220930757627</v>
      </c>
      <c r="U150" s="7">
        <v>1.8268844312908763</v>
      </c>
      <c r="V150" s="7">
        <v>0.7402472425790214</v>
      </c>
      <c r="W150" s="7">
        <v>5.3637</v>
      </c>
      <c r="X150" s="7">
        <v>0.21081035500463785</v>
      </c>
      <c r="Y150" s="7">
        <v>0.15242345675060626</v>
      </c>
      <c r="Z150" s="7">
        <v>6.8674</v>
      </c>
      <c r="AA150" s="7">
        <v>0.4122351389232418</v>
      </c>
    </row>
    <row r="151" spans="1:27">
      <c r="A151" t="s">
        <v>241</v>
      </c>
      <c r="B151" s="7">
        <v>1.8656020297750084</v>
      </c>
      <c r="C151" s="7">
        <v>4.8884</v>
      </c>
      <c r="D151" s="7">
        <v>5.0028</v>
      </c>
      <c r="E151" s="7">
        <v>8.7201</v>
      </c>
      <c r="F151" s="7">
        <v>1</v>
      </c>
      <c r="G151" s="7">
        <v>1.0715816545220749</v>
      </c>
      <c r="H151" s="7">
        <v>8.0079</v>
      </c>
      <c r="I151" s="7">
        <v>9.2304</v>
      </c>
      <c r="J151" s="7">
        <v>0.87666</v>
      </c>
      <c r="K151" s="7">
        <v>0.02185768461546868</v>
      </c>
      <c r="L151" s="7">
        <v>0.042944</v>
      </c>
      <c r="M151" s="7">
        <v>0.004618937644341801</v>
      </c>
      <c r="N151" s="7">
        <v>0.8507742045261187</v>
      </c>
      <c r="O151" s="7">
        <v>0.3938558487593541</v>
      </c>
      <c r="P151" s="7">
        <v>1.7289970088351747</v>
      </c>
      <c r="Q151" s="7">
        <v>0.7345919341805627</v>
      </c>
      <c r="R151" s="7">
        <v>4.0126</v>
      </c>
      <c r="S151" s="7">
        <v>1.8887168058021384</v>
      </c>
      <c r="T151" s="7">
        <v>0.09031220930757627</v>
      </c>
      <c r="U151" s="7">
        <v>1.8268844312908763</v>
      </c>
      <c r="V151" s="7">
        <v>0.7402472425790214</v>
      </c>
      <c r="W151" s="7">
        <v>5.3637</v>
      </c>
      <c r="X151" s="7">
        <v>0.21081035500463785</v>
      </c>
      <c r="Y151" s="7">
        <v>0.15242345675060626</v>
      </c>
      <c r="Z151" s="7">
        <v>6.8674</v>
      </c>
      <c r="AA151" s="7">
        <v>0.4122351389232418</v>
      </c>
    </row>
    <row r="152" spans="1:27">
      <c r="A152" t="s">
        <v>251</v>
      </c>
      <c r="B152" s="7">
        <v>1.8656020297750084</v>
      </c>
      <c r="C152" s="7">
        <v>4.8884</v>
      </c>
      <c r="D152" s="7">
        <v>5.0028</v>
      </c>
      <c r="E152" s="7">
        <v>8.7201</v>
      </c>
      <c r="F152" s="7">
        <v>1</v>
      </c>
      <c r="G152" s="7">
        <v>1.0715816545220749</v>
      </c>
      <c r="H152" s="7">
        <v>8.0079</v>
      </c>
      <c r="I152" s="7">
        <v>9.2304</v>
      </c>
      <c r="J152" s="7">
        <v>0.87666</v>
      </c>
      <c r="K152" s="7">
        <v>0.02185768461546868</v>
      </c>
      <c r="L152" s="7">
        <v>0.042944</v>
      </c>
      <c r="M152" s="7">
        <v>0.004618937644341801</v>
      </c>
      <c r="N152" s="7">
        <v>0.8507742045261187</v>
      </c>
      <c r="O152" s="7">
        <v>0.3938558487593541</v>
      </c>
      <c r="P152" s="7">
        <v>1.7289970088351747</v>
      </c>
      <c r="Q152" s="7">
        <v>0.7345919341805627</v>
      </c>
      <c r="R152" s="7">
        <v>4.0126</v>
      </c>
      <c r="S152" s="7">
        <v>1.8887168058021384</v>
      </c>
      <c r="T152" s="7">
        <v>0.09031220930757627</v>
      </c>
      <c r="U152" s="7">
        <v>1.8268844312908763</v>
      </c>
      <c r="V152" s="7">
        <v>0.7402472425790214</v>
      </c>
      <c r="W152" s="7">
        <v>5.3637</v>
      </c>
      <c r="X152" s="7">
        <v>0.21081035500463785</v>
      </c>
      <c r="Y152" s="7">
        <v>0.15242345675060626</v>
      </c>
      <c r="Z152" s="7">
        <v>6.8674</v>
      </c>
      <c r="AA152" s="7">
        <v>0.4122351389232418</v>
      </c>
    </row>
    <row r="153" spans="1:27">
      <c r="A153" t="s">
        <v>667</v>
      </c>
      <c r="B153" s="7">
        <v>1.8632730253964112</v>
      </c>
      <c r="C153" s="7">
        <v>4.890899999999999</v>
      </c>
      <c r="D153" s="7">
        <v>5.0036000000000005</v>
      </c>
      <c r="E153" s="7">
        <v>8.7096</v>
      </c>
      <c r="F153" s="7">
        <v>1</v>
      </c>
      <c r="G153" s="7">
        <v>1.0726161106939829</v>
      </c>
      <c r="H153" s="7">
        <v>8.0173</v>
      </c>
      <c r="I153" s="7">
        <v>9.2526</v>
      </c>
      <c r="J153" s="7">
        <v>0.87536</v>
      </c>
      <c r="K153" s="7">
        <v>0.02198188692517366</v>
      </c>
      <c r="L153" s="7">
        <v>0.042952</v>
      </c>
      <c r="M153" s="7">
        <v>0.004634349800722959</v>
      </c>
      <c r="N153" s="7">
        <v>0.8491847826086956</v>
      </c>
      <c r="O153" s="7">
        <v>0.3937317899047169</v>
      </c>
      <c r="P153" s="7">
        <v>1.729266099467386</v>
      </c>
      <c r="Q153" s="7">
        <v>0.7341604874825637</v>
      </c>
      <c r="R153" s="7">
        <v>4.0192000000000005</v>
      </c>
      <c r="S153" s="7">
        <v>1.8912529550827424</v>
      </c>
      <c r="T153" s="7">
        <v>0.090802604218689</v>
      </c>
      <c r="U153" s="7">
        <v>1.8246177425829289</v>
      </c>
      <c r="V153" s="7">
        <v>0.7405761682589054</v>
      </c>
      <c r="W153" s="7">
        <v>5.3639</v>
      </c>
      <c r="X153" s="7">
        <v>0.21098381754119455</v>
      </c>
      <c r="Y153" s="7">
        <v>0.15212410893303194</v>
      </c>
      <c r="Z153" s="7">
        <v>6.8579</v>
      </c>
      <c r="AA153" s="7">
        <v>0.41315485043794414</v>
      </c>
    </row>
    <row r="154" spans="1:27">
      <c r="A154" t="s">
        <v>668</v>
      </c>
      <c r="B154" s="7">
        <v>1.8625789267820223</v>
      </c>
      <c r="C154" s="7">
        <v>4.9177</v>
      </c>
      <c r="D154" s="7">
        <v>5.0215</v>
      </c>
      <c r="E154" s="7">
        <v>8.7147</v>
      </c>
      <c r="F154" s="7">
        <v>1</v>
      </c>
      <c r="G154" s="7">
        <v>1.07342206955775</v>
      </c>
      <c r="H154" s="7">
        <v>8.0207</v>
      </c>
      <c r="I154" s="7">
        <v>9.2611</v>
      </c>
      <c r="J154" s="7">
        <v>0.8751399999999999</v>
      </c>
      <c r="K154" s="7">
        <v>0.022039393211426103</v>
      </c>
      <c r="L154" s="7">
        <v>0.042954</v>
      </c>
      <c r="M154" s="7">
        <v>0.00463628355510223</v>
      </c>
      <c r="N154" s="7">
        <v>0.8492569002123143</v>
      </c>
      <c r="O154" s="7">
        <v>0.39405761122276073</v>
      </c>
      <c r="P154" s="7">
        <v>1.7338234274221511</v>
      </c>
      <c r="Q154" s="7">
        <v>0.7368110816386678</v>
      </c>
      <c r="R154" s="7">
        <v>4.0438</v>
      </c>
      <c r="S154" s="7">
        <v>1.8908953389429897</v>
      </c>
      <c r="T154" s="7">
        <v>0.0911917854439672</v>
      </c>
      <c r="U154" s="7">
        <v>1.823885605894798</v>
      </c>
      <c r="V154" s="7">
        <v>0.7421150278293135</v>
      </c>
      <c r="W154" s="7">
        <v>5.372000000000001</v>
      </c>
      <c r="X154" s="7">
        <v>0.21121554546414617</v>
      </c>
      <c r="Y154" s="7">
        <v>0.1519692171153811</v>
      </c>
      <c r="Z154" s="7">
        <v>6.8589</v>
      </c>
      <c r="AA154" s="7">
        <v>0.4139929621196439</v>
      </c>
    </row>
    <row r="155" spans="1:27">
      <c r="A155" t="s">
        <v>669</v>
      </c>
      <c r="B155" s="7">
        <v>1.8641066268990585</v>
      </c>
      <c r="C155" s="7">
        <v>4.9191</v>
      </c>
      <c r="D155" s="7">
        <v>5.0038</v>
      </c>
      <c r="E155" s="7">
        <v>8.6806</v>
      </c>
      <c r="F155" s="7">
        <v>1</v>
      </c>
      <c r="G155" s="7">
        <v>1.07342206955775</v>
      </c>
      <c r="H155" s="7">
        <v>8.0226</v>
      </c>
      <c r="I155" s="7">
        <v>9.2603</v>
      </c>
      <c r="J155" s="7">
        <v>0.87563</v>
      </c>
      <c r="K155" s="7">
        <v>0.022076370997829897</v>
      </c>
      <c r="L155" s="7">
        <v>0.042944</v>
      </c>
      <c r="M155" s="7">
        <v>0.0046433878157503715</v>
      </c>
      <c r="N155" s="7">
        <v>0.849689863199932</v>
      </c>
      <c r="O155" s="7">
        <v>0.3941818755173637</v>
      </c>
      <c r="P155" s="7">
        <v>1.734124093920161</v>
      </c>
      <c r="Q155" s="7">
        <v>0.7344300822561692</v>
      </c>
      <c r="R155" s="7">
        <v>4.0312</v>
      </c>
      <c r="S155" s="7">
        <v>1.889573334341106</v>
      </c>
      <c r="T155" s="7">
        <v>0.0909446419964168</v>
      </c>
      <c r="U155" s="7">
        <v>1.8253837869412044</v>
      </c>
      <c r="V155" s="7">
        <v>0.7390983000739098</v>
      </c>
      <c r="W155" s="7">
        <v>5.3660000000000005</v>
      </c>
      <c r="X155" s="7">
        <v>0.21041999831664</v>
      </c>
      <c r="Y155" s="7">
        <v>0.1519752219598117</v>
      </c>
      <c r="Z155" s="7">
        <v>6.8608</v>
      </c>
      <c r="AA155" s="7">
        <v>0.4142502071251036</v>
      </c>
    </row>
    <row r="156" spans="1:27">
      <c r="A156" t="s">
        <v>381</v>
      </c>
      <c r="B156" s="7">
        <v>1.8656020297750084</v>
      </c>
      <c r="C156" s="7">
        <v>4.8824000000000005</v>
      </c>
      <c r="D156" s="7">
        <v>5.008500000000001</v>
      </c>
      <c r="E156" s="7">
        <v>8.6659</v>
      </c>
      <c r="F156" s="7">
        <v>1</v>
      </c>
      <c r="G156" s="7">
        <v>1.0714668381013608</v>
      </c>
      <c r="H156" s="7">
        <v>8.005700000000001</v>
      </c>
      <c r="I156" s="7">
        <v>9.2416</v>
      </c>
      <c r="J156" s="7">
        <v>0.87581</v>
      </c>
      <c r="K156" s="7">
        <v>0.02191905730518342</v>
      </c>
      <c r="L156" s="7">
        <v>0.042812</v>
      </c>
      <c r="M156" s="7">
        <v>0.004606384448846101</v>
      </c>
      <c r="N156" s="7">
        <v>0.8499065102838688</v>
      </c>
      <c r="O156" s="7">
        <v>0.3910833007430583</v>
      </c>
      <c r="P156" s="7">
        <v>1.7326518236160442</v>
      </c>
      <c r="Q156" s="7">
        <v>0.7348078477478139</v>
      </c>
      <c r="R156" s="7">
        <v>4</v>
      </c>
      <c r="S156" s="7">
        <v>1.8801940360245175</v>
      </c>
      <c r="T156" s="7">
        <v>0.09143525926467765</v>
      </c>
      <c r="U156" s="7">
        <v>1.8269178069678644</v>
      </c>
      <c r="V156" s="7">
        <v>0.7359976448075366</v>
      </c>
      <c r="W156" s="7">
        <v>5.3518</v>
      </c>
      <c r="X156" s="7">
        <v>0.20891219420477572</v>
      </c>
      <c r="Y156" s="7">
        <v>0.15173355587588197</v>
      </c>
      <c r="Z156" s="7">
        <v>6.8628</v>
      </c>
      <c r="AA156" s="7">
        <v>0.4073817574449016</v>
      </c>
    </row>
    <row r="157" spans="1:27">
      <c r="A157" t="s">
        <v>670</v>
      </c>
      <c r="B157" s="7">
        <v>1.8656020297750084</v>
      </c>
      <c r="C157" s="7">
        <v>4.8824000000000005</v>
      </c>
      <c r="D157" s="7">
        <v>5.008500000000001</v>
      </c>
      <c r="E157" s="7">
        <v>8.6659</v>
      </c>
      <c r="F157" s="7">
        <v>1</v>
      </c>
      <c r="G157" s="7">
        <v>1.0714668381013608</v>
      </c>
      <c r="H157" s="7">
        <v>8.005700000000001</v>
      </c>
      <c r="I157" s="7">
        <v>9.2416</v>
      </c>
      <c r="J157" s="7">
        <v>0.87581</v>
      </c>
      <c r="K157" s="7">
        <v>0.02191905730518342</v>
      </c>
      <c r="L157" s="7">
        <v>0.042812</v>
      </c>
      <c r="M157" s="7">
        <v>0.004606384448846101</v>
      </c>
      <c r="N157" s="7">
        <v>0.8499065102838688</v>
      </c>
      <c r="O157" s="7">
        <v>0.3910833007430583</v>
      </c>
      <c r="P157" s="7">
        <v>1.7326518236160442</v>
      </c>
      <c r="Q157" s="7">
        <v>0.7348078477478139</v>
      </c>
      <c r="R157" s="7">
        <v>4</v>
      </c>
      <c r="S157" s="7">
        <v>1.8801940360245175</v>
      </c>
      <c r="T157" s="7">
        <v>0.09143525926467765</v>
      </c>
      <c r="U157" s="7">
        <v>1.8269178069678644</v>
      </c>
      <c r="V157" s="7">
        <v>0.7359976448075366</v>
      </c>
      <c r="W157" s="7">
        <v>5.3518</v>
      </c>
      <c r="X157" s="7">
        <v>0.20891219420477572</v>
      </c>
      <c r="Y157" s="7">
        <v>0.15173355587588197</v>
      </c>
      <c r="Z157" s="7">
        <v>6.8628</v>
      </c>
      <c r="AA157" s="7">
        <v>0.4073817574449016</v>
      </c>
    </row>
    <row r="158" spans="1:27">
      <c r="A158" t="s">
        <v>671</v>
      </c>
      <c r="B158" s="7">
        <v>1.8656020297750084</v>
      </c>
      <c r="C158" s="7">
        <v>4.8824000000000005</v>
      </c>
      <c r="D158" s="7">
        <v>5.008500000000001</v>
      </c>
      <c r="E158" s="7">
        <v>8.6659</v>
      </c>
      <c r="F158" s="7">
        <v>1</v>
      </c>
      <c r="G158" s="7">
        <v>1.0714668381013608</v>
      </c>
      <c r="H158" s="7">
        <v>8.005700000000001</v>
      </c>
      <c r="I158" s="7">
        <v>9.2416</v>
      </c>
      <c r="J158" s="7">
        <v>0.87581</v>
      </c>
      <c r="K158" s="7">
        <v>0.02191905730518342</v>
      </c>
      <c r="L158" s="7">
        <v>0.042812</v>
      </c>
      <c r="M158" s="7">
        <v>0.004606384448846101</v>
      </c>
      <c r="N158" s="7">
        <v>0.8499065102838688</v>
      </c>
      <c r="O158" s="7">
        <v>0.3910833007430583</v>
      </c>
      <c r="P158" s="7">
        <v>1.7326518236160442</v>
      </c>
      <c r="Q158" s="7">
        <v>0.7348078477478139</v>
      </c>
      <c r="R158" s="7">
        <v>4</v>
      </c>
      <c r="S158" s="7">
        <v>1.8801940360245175</v>
      </c>
      <c r="T158" s="7">
        <v>0.09143525926467765</v>
      </c>
      <c r="U158" s="7">
        <v>1.8269178069678644</v>
      </c>
      <c r="V158" s="7">
        <v>0.7359976448075366</v>
      </c>
      <c r="W158" s="7">
        <v>5.3518</v>
      </c>
      <c r="X158" s="7">
        <v>0.20891219420477572</v>
      </c>
      <c r="Y158" s="7">
        <v>0.15173355587588197</v>
      </c>
      <c r="Z158" s="7">
        <v>6.8628</v>
      </c>
      <c r="AA158" s="7">
        <v>0.4073817574449016</v>
      </c>
    </row>
    <row r="159" spans="1:27">
      <c r="A159" t="s">
        <v>672</v>
      </c>
      <c r="B159" s="7">
        <v>1.8656020297750084</v>
      </c>
      <c r="C159" s="7">
        <v>4.8824000000000005</v>
      </c>
      <c r="D159" s="7">
        <v>5.008500000000001</v>
      </c>
      <c r="E159" s="7">
        <v>8.6659</v>
      </c>
      <c r="F159" s="7">
        <v>1</v>
      </c>
      <c r="G159" s="7">
        <v>1.0714668381013608</v>
      </c>
      <c r="H159" s="7">
        <v>8.005700000000001</v>
      </c>
      <c r="I159" s="7">
        <v>9.2416</v>
      </c>
      <c r="J159" s="7">
        <v>0.87581</v>
      </c>
      <c r="K159" s="7">
        <v>0.02191905730518342</v>
      </c>
      <c r="L159" s="7">
        <v>0.042812</v>
      </c>
      <c r="M159" s="7">
        <v>0.004606384448846101</v>
      </c>
      <c r="N159" s="7">
        <v>0.8499065102838688</v>
      </c>
      <c r="O159" s="7">
        <v>0.3910833007430583</v>
      </c>
      <c r="P159" s="7">
        <v>1.7326518236160442</v>
      </c>
      <c r="Q159" s="7">
        <v>0.7348078477478139</v>
      </c>
      <c r="R159" s="7">
        <v>4</v>
      </c>
      <c r="S159" s="7">
        <v>1.8801940360245175</v>
      </c>
      <c r="T159" s="7">
        <v>0.09143525926467765</v>
      </c>
      <c r="U159" s="7">
        <v>1.8269178069678644</v>
      </c>
      <c r="V159" s="7">
        <v>0.7359976448075366</v>
      </c>
      <c r="W159" s="7">
        <v>5.3518</v>
      </c>
      <c r="X159" s="7">
        <v>0.20891219420477572</v>
      </c>
      <c r="Y159" s="7">
        <v>0.15173355587588197</v>
      </c>
      <c r="Z159" s="7">
        <v>6.8628</v>
      </c>
      <c r="AA159" s="7">
        <v>0.4073817574449016</v>
      </c>
    </row>
    <row r="160" spans="1:27">
      <c r="A160" t="s">
        <v>673</v>
      </c>
      <c r="B160" s="7">
        <v>1.8656020297750084</v>
      </c>
      <c r="C160" s="7">
        <v>4.8824000000000005</v>
      </c>
      <c r="D160" s="7">
        <v>5.008500000000001</v>
      </c>
      <c r="E160" s="7">
        <v>8.6659</v>
      </c>
      <c r="F160" s="7">
        <v>1</v>
      </c>
      <c r="G160" s="7">
        <v>1.0714668381013608</v>
      </c>
      <c r="H160" s="7">
        <v>8.005700000000001</v>
      </c>
      <c r="I160" s="7">
        <v>9.2416</v>
      </c>
      <c r="J160" s="7">
        <v>0.87581</v>
      </c>
      <c r="K160" s="7">
        <v>0.02191905730518342</v>
      </c>
      <c r="L160" s="7">
        <v>0.042812</v>
      </c>
      <c r="M160" s="7">
        <v>0.004606384448846101</v>
      </c>
      <c r="N160" s="7">
        <v>0.8499065102838688</v>
      </c>
      <c r="O160" s="7">
        <v>0.3910833007430583</v>
      </c>
      <c r="P160" s="7">
        <v>1.7326518236160442</v>
      </c>
      <c r="Q160" s="7">
        <v>0.7348078477478139</v>
      </c>
      <c r="R160" s="7">
        <v>4</v>
      </c>
      <c r="S160" s="7">
        <v>1.8801940360245175</v>
      </c>
      <c r="T160" s="7">
        <v>0.09143525926467765</v>
      </c>
      <c r="U160" s="7">
        <v>1.8269178069678644</v>
      </c>
      <c r="V160" s="7">
        <v>0.7359976448075366</v>
      </c>
      <c r="W160" s="7">
        <v>5.3518</v>
      </c>
      <c r="X160" s="7">
        <v>0.20891219420477572</v>
      </c>
      <c r="Y160" s="7">
        <v>0.15173355587588197</v>
      </c>
      <c r="Z160" s="7">
        <v>6.8628</v>
      </c>
      <c r="AA160" s="7">
        <v>0.4073817574449016</v>
      </c>
    </row>
    <row r="161" spans="1:27">
      <c r="A161" t="s">
        <v>674</v>
      </c>
      <c r="B161" s="7">
        <v>1.8656020297750084</v>
      </c>
      <c r="C161" s="7">
        <v>4.8824000000000005</v>
      </c>
      <c r="D161" s="7">
        <v>5.008500000000001</v>
      </c>
      <c r="E161" s="7">
        <v>8.6659</v>
      </c>
      <c r="F161" s="7">
        <v>1</v>
      </c>
      <c r="G161" s="7">
        <v>1.0714668381013608</v>
      </c>
      <c r="H161" s="7">
        <v>8.005700000000001</v>
      </c>
      <c r="I161" s="7">
        <v>9.2416</v>
      </c>
      <c r="J161" s="7">
        <v>0.87581</v>
      </c>
      <c r="K161" s="7">
        <v>0.02191905730518342</v>
      </c>
      <c r="L161" s="7">
        <v>0.042812</v>
      </c>
      <c r="M161" s="7">
        <v>0.004606384448846101</v>
      </c>
      <c r="N161" s="7">
        <v>0.8499065102838688</v>
      </c>
      <c r="O161" s="7">
        <v>0.3910833007430583</v>
      </c>
      <c r="P161" s="7">
        <v>1.7326518236160442</v>
      </c>
      <c r="Q161" s="7">
        <v>0.7348078477478139</v>
      </c>
      <c r="R161" s="7">
        <v>4</v>
      </c>
      <c r="S161" s="7">
        <v>1.8801940360245175</v>
      </c>
      <c r="T161" s="7">
        <v>0.09143525926467765</v>
      </c>
      <c r="U161" s="7">
        <v>1.8269178069678644</v>
      </c>
      <c r="V161" s="7">
        <v>0.7359976448075366</v>
      </c>
      <c r="W161" s="7">
        <v>5.3518</v>
      </c>
      <c r="X161" s="7">
        <v>0.20891219420477572</v>
      </c>
      <c r="Y161" s="7">
        <v>0.15173355587588197</v>
      </c>
      <c r="Z161" s="7">
        <v>6.8628</v>
      </c>
      <c r="AA161" s="7">
        <v>0.4073817574449016</v>
      </c>
    </row>
    <row r="162" spans="1:27">
      <c r="A162" t="s">
        <v>675</v>
      </c>
      <c r="B162" s="7">
        <v>1.8602228546979929</v>
      </c>
      <c r="C162" s="7">
        <v>4.9245</v>
      </c>
      <c r="D162" s="7">
        <v>5.0224</v>
      </c>
      <c r="E162" s="7">
        <v>8.747300000000001</v>
      </c>
      <c r="F162" s="7">
        <v>1</v>
      </c>
      <c r="G162" s="7">
        <v>1.0719262514738983</v>
      </c>
      <c r="H162" s="7">
        <v>8.009400000000001</v>
      </c>
      <c r="I162" s="7">
        <v>9.2712</v>
      </c>
      <c r="J162" s="7">
        <v>0.87504</v>
      </c>
      <c r="K162" s="7">
        <v>0.022195291934674816</v>
      </c>
      <c r="L162" s="7">
        <v>0.043338</v>
      </c>
      <c r="M162" s="7">
        <v>0.004654843364520784</v>
      </c>
      <c r="N162" s="7">
        <v>0.8491847826086956</v>
      </c>
      <c r="O162" s="7">
        <v>0.39471087428458657</v>
      </c>
      <c r="P162" s="7">
        <v>1.728429203539823</v>
      </c>
      <c r="Q162" s="7">
        <v>0.7390983000739098</v>
      </c>
      <c r="R162" s="7">
        <v>4.0362</v>
      </c>
      <c r="S162" s="7">
        <v>1.8887168058021384</v>
      </c>
      <c r="T162" s="7">
        <v>0.09041346075603736</v>
      </c>
      <c r="U162" s="7">
        <v>1.8207971449900768</v>
      </c>
      <c r="V162" s="7">
        <v>0.7396449704142013</v>
      </c>
      <c r="W162" s="7">
        <v>5.3677</v>
      </c>
      <c r="X162" s="7">
        <v>0.21039343572480537</v>
      </c>
      <c r="Y162" s="7">
        <v>0.15112428914912493</v>
      </c>
      <c r="Z162" s="7">
        <v>6.8562</v>
      </c>
      <c r="AA162" s="7">
        <v>0.4123201253453181</v>
      </c>
    </row>
    <row r="163" spans="1:27">
      <c r="A163" t="s">
        <v>676</v>
      </c>
      <c r="B163" s="7">
        <v>1.8585287886109356</v>
      </c>
      <c r="C163" s="7">
        <v>4.9401</v>
      </c>
      <c r="D163" s="7">
        <v>5.007</v>
      </c>
      <c r="E163" s="7">
        <v>8.7721</v>
      </c>
      <c r="F163" s="7">
        <v>1</v>
      </c>
      <c r="G163" s="7">
        <v>1.073767851390529</v>
      </c>
      <c r="H163" s="7">
        <v>8.0251</v>
      </c>
      <c r="I163" s="7">
        <v>9.2826</v>
      </c>
      <c r="J163" s="7">
        <v>0.8741500000000001</v>
      </c>
      <c r="K163" s="7">
        <v>0.022406001223367663</v>
      </c>
      <c r="L163" s="7">
        <v>0.043661000000000005</v>
      </c>
      <c r="M163" s="7">
        <v>0.004708541293907148</v>
      </c>
      <c r="N163" s="7">
        <v>0.8483203257550052</v>
      </c>
      <c r="O163" s="7">
        <v>0.396432111000991</v>
      </c>
      <c r="P163" s="7">
        <v>1.7429801474561206</v>
      </c>
      <c r="Q163" s="7">
        <v>0.734322220590395</v>
      </c>
      <c r="R163" s="7">
        <v>4.063</v>
      </c>
      <c r="S163" s="7">
        <v>1.898289641033429</v>
      </c>
      <c r="T163" s="7">
        <v>0.09106804604400408</v>
      </c>
      <c r="U163" s="7">
        <v>1.81967063961423</v>
      </c>
      <c r="V163" s="7">
        <v>0.7391529307413705</v>
      </c>
      <c r="W163" s="7">
        <v>5.388400000000001</v>
      </c>
      <c r="X163" s="7">
        <v>0.21153724113130115</v>
      </c>
      <c r="Y163" s="7">
        <v>0.15102295397877524</v>
      </c>
      <c r="Z163" s="7">
        <v>6.8487</v>
      </c>
      <c r="AA163" s="7">
        <v>0.4166666666666667</v>
      </c>
    </row>
    <row r="164" spans="1:27">
      <c r="A164" t="s">
        <v>677</v>
      </c>
      <c r="B164" s="7">
        <v>1.859565605474561</v>
      </c>
      <c r="C164" s="7">
        <v>4.9232</v>
      </c>
      <c r="D164" s="7">
        <v>4.9985</v>
      </c>
      <c r="E164" s="7">
        <v>8.7569</v>
      </c>
      <c r="F164" s="7">
        <v>1</v>
      </c>
      <c r="G164" s="7">
        <v>1.072271070126528</v>
      </c>
      <c r="H164" s="7">
        <v>8.0139</v>
      </c>
      <c r="I164" s="7">
        <v>9.2599</v>
      </c>
      <c r="J164" s="7">
        <v>0.8746299999999999</v>
      </c>
      <c r="K164" s="7">
        <v>0.02249359494883832</v>
      </c>
      <c r="L164" s="7">
        <v>0.043559</v>
      </c>
      <c r="M164" s="7">
        <v>0.004675737597606022</v>
      </c>
      <c r="N164" s="7">
        <v>0.8487523340689187</v>
      </c>
      <c r="O164" s="7">
        <v>0.39556962025316456</v>
      </c>
      <c r="P164" s="7">
        <v>1.748710326134476</v>
      </c>
      <c r="Q164" s="7">
        <v>0.7338372349012988</v>
      </c>
      <c r="R164" s="7">
        <v>4.0561</v>
      </c>
      <c r="S164" s="7">
        <v>1.895662723688201</v>
      </c>
      <c r="T164" s="7">
        <v>0.09131586156515388</v>
      </c>
      <c r="U164" s="7">
        <v>1.8209629251948432</v>
      </c>
      <c r="V164" s="7">
        <v>0.7361059992638941</v>
      </c>
      <c r="W164" s="7">
        <v>5.3839</v>
      </c>
      <c r="X164" s="7">
        <v>0.21138967572823744</v>
      </c>
      <c r="Y164" s="7">
        <v>0.15087530307076505</v>
      </c>
      <c r="Z164" s="7">
        <v>6.8502</v>
      </c>
      <c r="AA164" s="7">
        <v>0.41500664010624166</v>
      </c>
    </row>
    <row r="165" spans="1:27">
      <c r="A165" t="s">
        <v>678</v>
      </c>
      <c r="B165" s="7">
        <v>1.859565605474561</v>
      </c>
      <c r="C165" s="7">
        <v>4.9232</v>
      </c>
      <c r="D165" s="7">
        <v>4.9985</v>
      </c>
      <c r="E165" s="7">
        <v>8.7569</v>
      </c>
      <c r="F165" s="7">
        <v>1</v>
      </c>
      <c r="G165" s="7">
        <v>1.072271070126528</v>
      </c>
      <c r="H165" s="7">
        <v>8.0139</v>
      </c>
      <c r="I165" s="7">
        <v>9.2599</v>
      </c>
      <c r="J165" s="7">
        <v>0.8746299999999999</v>
      </c>
      <c r="K165" s="7">
        <v>0.02249359494883832</v>
      </c>
      <c r="L165" s="7">
        <v>0.043559</v>
      </c>
      <c r="M165" s="7">
        <v>0.004675737597606022</v>
      </c>
      <c r="N165" s="7">
        <v>0.8487523340689187</v>
      </c>
      <c r="O165" s="7">
        <v>0.39556962025316456</v>
      </c>
      <c r="P165" s="7">
        <v>1.748710326134476</v>
      </c>
      <c r="Q165" s="7">
        <v>0.7338372349012988</v>
      </c>
      <c r="R165" s="7">
        <v>4.0561</v>
      </c>
      <c r="S165" s="7">
        <v>1.895662723688201</v>
      </c>
      <c r="T165" s="7">
        <v>0.09131586156515388</v>
      </c>
      <c r="U165" s="7">
        <v>1.8209629251948432</v>
      </c>
      <c r="V165" s="7">
        <v>0.7361059992638941</v>
      </c>
      <c r="W165" s="7">
        <v>5.3839</v>
      </c>
      <c r="X165" s="7">
        <v>0.21138967572823744</v>
      </c>
      <c r="Y165" s="7">
        <v>0.15087530307076505</v>
      </c>
      <c r="Z165" s="7">
        <v>6.8502</v>
      </c>
      <c r="AA165" s="7">
        <v>0.41500664010624166</v>
      </c>
    </row>
    <row r="166" spans="1:27">
      <c r="A166" t="s">
        <v>679</v>
      </c>
      <c r="B166" s="7">
        <v>1.859565605474561</v>
      </c>
      <c r="C166" s="7">
        <v>4.9232</v>
      </c>
      <c r="D166" s="7">
        <v>4.9985</v>
      </c>
      <c r="E166" s="7">
        <v>8.7569</v>
      </c>
      <c r="F166" s="7">
        <v>1</v>
      </c>
      <c r="G166" s="7">
        <v>1.072271070126528</v>
      </c>
      <c r="H166" s="7">
        <v>8.0139</v>
      </c>
      <c r="I166" s="7">
        <v>9.2599</v>
      </c>
      <c r="J166" s="7">
        <v>0.8746299999999999</v>
      </c>
      <c r="K166" s="7">
        <v>0.02249359494883832</v>
      </c>
      <c r="L166" s="7">
        <v>0.043559</v>
      </c>
      <c r="M166" s="7">
        <v>0.004675737597606022</v>
      </c>
      <c r="N166" s="7">
        <v>0.8487523340689187</v>
      </c>
      <c r="O166" s="7">
        <v>0.39556962025316456</v>
      </c>
      <c r="P166" s="7">
        <v>1.748710326134476</v>
      </c>
      <c r="Q166" s="7">
        <v>0.7338372349012988</v>
      </c>
      <c r="R166" s="7">
        <v>4.0561</v>
      </c>
      <c r="S166" s="7">
        <v>1.895662723688201</v>
      </c>
      <c r="T166" s="7">
        <v>0.09131586156515388</v>
      </c>
      <c r="U166" s="7">
        <v>1.8209629251948432</v>
      </c>
      <c r="V166" s="7">
        <v>0.7361059992638941</v>
      </c>
      <c r="W166" s="7">
        <v>5.3839</v>
      </c>
      <c r="X166" s="7">
        <v>0.21138967572823744</v>
      </c>
      <c r="Y166" s="7">
        <v>0.15087530307076505</v>
      </c>
      <c r="Z166" s="7">
        <v>6.8502</v>
      </c>
      <c r="AA166" s="7">
        <v>0.41500664010624166</v>
      </c>
    </row>
    <row r="167" spans="1:27">
      <c r="A167" t="s">
        <v>680</v>
      </c>
      <c r="B167" s="7">
        <v>1.8567343755802297</v>
      </c>
      <c r="C167" s="7">
        <v>4.937</v>
      </c>
      <c r="D167" s="7">
        <v>4.9843</v>
      </c>
      <c r="E167" s="7">
        <v>8.777899999999999</v>
      </c>
      <c r="F167" s="7">
        <v>1</v>
      </c>
      <c r="G167" s="7">
        <v>1.074575542660649</v>
      </c>
      <c r="H167" s="7">
        <v>8.025599999999999</v>
      </c>
      <c r="I167" s="7">
        <v>9.277</v>
      </c>
      <c r="J167" s="7">
        <v>0.87468</v>
      </c>
      <c r="K167" s="7">
        <v>0.02264964621252616</v>
      </c>
      <c r="L167" s="7">
        <v>0.043533</v>
      </c>
      <c r="M167" s="7">
        <v>0.004653110604439068</v>
      </c>
      <c r="N167" s="7">
        <v>0.8488243782361429</v>
      </c>
      <c r="O167" s="7">
        <v>0.3971563604591128</v>
      </c>
      <c r="P167" s="7">
        <v>1.7422209833095228</v>
      </c>
      <c r="Q167" s="7">
        <v>0.7403020432336392</v>
      </c>
      <c r="R167" s="7">
        <v>4.0593</v>
      </c>
      <c r="S167" s="7">
        <v>1.8968493332574592</v>
      </c>
      <c r="T167" s="7">
        <v>0.09162879343204808</v>
      </c>
      <c r="U167" s="7">
        <v>1.8179504426709328</v>
      </c>
      <c r="V167" s="7">
        <v>0.7384433613941811</v>
      </c>
      <c r="W167" s="7">
        <v>5.3815</v>
      </c>
      <c r="X167" s="7">
        <v>0.21110407430863415</v>
      </c>
      <c r="Y167" s="7">
        <v>0.15050970110278458</v>
      </c>
      <c r="Z167" s="7">
        <v>6.846699999999999</v>
      </c>
      <c r="AA167" s="7">
        <v>0.4155067104333735</v>
      </c>
    </row>
    <row r="168" spans="1:27">
      <c r="A168" t="s">
        <v>259</v>
      </c>
      <c r="B168" s="7">
        <v>1.856114039646596</v>
      </c>
      <c r="C168" s="7">
        <v>4.9413</v>
      </c>
      <c r="D168" s="7">
        <v>4.9838</v>
      </c>
      <c r="E168" s="7">
        <v>8.7705</v>
      </c>
      <c r="F168" s="7">
        <v>1</v>
      </c>
      <c r="G168" s="7">
        <v>1.0753844499408538</v>
      </c>
      <c r="H168" s="7">
        <v>8.0329</v>
      </c>
      <c r="I168" s="7">
        <v>9.2806</v>
      </c>
      <c r="J168" s="7">
        <v>0.87393</v>
      </c>
      <c r="K168" s="7">
        <v>0.022614201718679332</v>
      </c>
      <c r="L168" s="7">
        <v>0.043434999999999994</v>
      </c>
      <c r="M168" s="7">
        <v>0.004608294930875576</v>
      </c>
      <c r="N168" s="7">
        <v>0.8480325644504749</v>
      </c>
      <c r="O168" s="7">
        <v>0.397377309755613</v>
      </c>
      <c r="P168" s="7">
        <v>1.7402199638034248</v>
      </c>
      <c r="Q168" s="7">
        <v>0.7422251911229868</v>
      </c>
      <c r="R168" s="7">
        <v>4.0674</v>
      </c>
      <c r="S168" s="7">
        <v>1.8980374292981057</v>
      </c>
      <c r="T168" s="7">
        <v>0.09221774453840408</v>
      </c>
      <c r="U168" s="7">
        <v>1.8169925139908425</v>
      </c>
      <c r="V168" s="7">
        <v>0.7392622163081244</v>
      </c>
      <c r="W168" s="7">
        <v>5.3761</v>
      </c>
      <c r="X168" s="7">
        <v>0.21078813684365844</v>
      </c>
      <c r="Y168" s="7">
        <v>0.15038792565422507</v>
      </c>
      <c r="Z168" s="7">
        <v>6.8426</v>
      </c>
      <c r="AA168" s="7">
        <v>0.41517894212405543</v>
      </c>
    </row>
    <row r="169" spans="1:27">
      <c r="A169" t="s">
        <v>681</v>
      </c>
      <c r="B169" s="7">
        <v>1.8557351494794665</v>
      </c>
      <c r="C169" s="7">
        <v>4.9366</v>
      </c>
      <c r="D169" s="7">
        <v>4.9773000000000005</v>
      </c>
      <c r="E169" s="7">
        <v>8.743500000000001</v>
      </c>
      <c r="F169" s="7">
        <v>1</v>
      </c>
      <c r="G169" s="7">
        <v>1.0712372790573113</v>
      </c>
      <c r="H169" s="7">
        <v>8.0039</v>
      </c>
      <c r="I169" s="7">
        <v>9.2335</v>
      </c>
      <c r="J169" s="7">
        <v>0.87408</v>
      </c>
      <c r="K169" s="7">
        <v>0.022406001223367663</v>
      </c>
      <c r="L169" s="7">
        <v>0.043327</v>
      </c>
      <c r="M169" s="7">
        <v>0.00456141951375268</v>
      </c>
      <c r="N169" s="7">
        <v>0.8482483671218933</v>
      </c>
      <c r="O169" s="7">
        <v>0.3965736040609137</v>
      </c>
      <c r="P169" s="7">
        <v>1.7355386244120865</v>
      </c>
      <c r="Q169" s="7">
        <v>0.7420048972323217</v>
      </c>
      <c r="R169" s="7">
        <v>4.0594</v>
      </c>
      <c r="S169" s="7">
        <v>1.8843392564397292</v>
      </c>
      <c r="T169" s="7">
        <v>0.09203780913199142</v>
      </c>
      <c r="U169" s="7">
        <v>1.816497429656137</v>
      </c>
      <c r="V169" s="7">
        <v>0.7335680751173709</v>
      </c>
      <c r="W169" s="7">
        <v>5.3635</v>
      </c>
      <c r="X169" s="7">
        <v>0.21026072329688816</v>
      </c>
      <c r="Y169" s="7">
        <v>0.1502293250647113</v>
      </c>
      <c r="Z169" s="7">
        <v>6.8431</v>
      </c>
      <c r="AA169" s="7">
        <v>0.4132743728561392</v>
      </c>
    </row>
    <row r="170" spans="1:27">
      <c r="A170" t="s">
        <v>682</v>
      </c>
      <c r="B170" s="7">
        <v>1.854805801832548</v>
      </c>
      <c r="C170" s="7">
        <v>4.9458</v>
      </c>
      <c r="D170" s="7">
        <v>4.971</v>
      </c>
      <c r="E170" s="7">
        <v>8.7265</v>
      </c>
      <c r="F170" s="7">
        <v>1</v>
      </c>
      <c r="G170" s="7">
        <v>1.0687186063909373</v>
      </c>
      <c r="H170" s="7">
        <v>7.986000000000001</v>
      </c>
      <c r="I170" s="7">
        <v>9.2221</v>
      </c>
      <c r="J170" s="7">
        <v>0.87363</v>
      </c>
      <c r="K170" s="7">
        <v>0.02233035074281912</v>
      </c>
      <c r="L170" s="7">
        <v>0.04325999999999999</v>
      </c>
      <c r="M170" s="7">
        <v>0.004567670031516923</v>
      </c>
      <c r="N170" s="7">
        <v>0.847673137238281</v>
      </c>
      <c r="O170" s="7">
        <v>0.3977408320738207</v>
      </c>
      <c r="P170" s="7">
        <v>1.7369554644618912</v>
      </c>
      <c r="Q170" s="7">
        <v>0.7430524595036408</v>
      </c>
      <c r="R170" s="7">
        <v>4.0442</v>
      </c>
      <c r="S170" s="7">
        <v>1.8833810456531568</v>
      </c>
      <c r="T170" s="7">
        <v>0.09204712812960236</v>
      </c>
      <c r="U170" s="7">
        <v>1.815771793800955</v>
      </c>
      <c r="V170" s="7">
        <v>0.7308338814587444</v>
      </c>
      <c r="W170" s="7">
        <v>5.3585</v>
      </c>
      <c r="X170" s="7">
        <v>0.21043328212790136</v>
      </c>
      <c r="Y170" s="7">
        <v>0.15007240993779497</v>
      </c>
      <c r="Z170" s="7">
        <v>6.8401</v>
      </c>
      <c r="AA170" s="7">
        <v>0.4159733777038269</v>
      </c>
    </row>
    <row r="171" spans="1:27">
      <c r="A171" t="s">
        <v>683</v>
      </c>
      <c r="B171" s="7">
        <v>1.856045139017781</v>
      </c>
      <c r="C171" s="7">
        <v>4.9244</v>
      </c>
      <c r="D171" s="7">
        <v>4.9687</v>
      </c>
      <c r="E171" s="7">
        <v>8.7042</v>
      </c>
      <c r="F171" s="7">
        <v>1</v>
      </c>
      <c r="G171" s="7">
        <v>1.064282673478076</v>
      </c>
      <c r="H171" s="7">
        <v>7.9534</v>
      </c>
      <c r="I171" s="7">
        <v>9.1349</v>
      </c>
      <c r="J171" s="7">
        <v>0.87343</v>
      </c>
      <c r="K171" s="7">
        <v>0.02226021298571785</v>
      </c>
      <c r="L171" s="7">
        <v>0.043126</v>
      </c>
      <c r="M171" s="7">
        <v>0.004553526706434133</v>
      </c>
      <c r="N171" s="7">
        <v>0.8476012883539583</v>
      </c>
      <c r="O171" s="7">
        <v>0.3965421524308034</v>
      </c>
      <c r="P171" s="7">
        <v>1.7358398861289035</v>
      </c>
      <c r="Q171" s="7">
        <v>0.7346998751010212</v>
      </c>
      <c r="R171" s="7">
        <v>4.0275</v>
      </c>
      <c r="S171" s="7">
        <v>1.877158732542424</v>
      </c>
      <c r="T171" s="7">
        <v>0.09274975189441367</v>
      </c>
      <c r="U171" s="7">
        <v>1.8167614410551751</v>
      </c>
      <c r="V171" s="7">
        <v>0.7257947452460444</v>
      </c>
      <c r="W171" s="7">
        <v>5.344600000000001</v>
      </c>
      <c r="X171" s="7">
        <v>0.20998257144656993</v>
      </c>
      <c r="Y171" s="7">
        <v>0.14987807418664917</v>
      </c>
      <c r="Z171" s="7">
        <v>6.8415</v>
      </c>
      <c r="AA171" s="7">
        <v>0.413890153553247</v>
      </c>
    </row>
    <row r="172" spans="1:27">
      <c r="A172" t="s">
        <v>684</v>
      </c>
      <c r="B172" s="7">
        <v>1.856045139017781</v>
      </c>
      <c r="C172" s="7">
        <v>4.9244</v>
      </c>
      <c r="D172" s="7">
        <v>4.9687</v>
      </c>
      <c r="E172" s="7">
        <v>8.7042</v>
      </c>
      <c r="F172" s="7">
        <v>1</v>
      </c>
      <c r="G172" s="7">
        <v>1.064282673478076</v>
      </c>
      <c r="H172" s="7">
        <v>7.9534</v>
      </c>
      <c r="I172" s="7">
        <v>9.1349</v>
      </c>
      <c r="J172" s="7">
        <v>0.87343</v>
      </c>
      <c r="K172" s="7">
        <v>0.02226021298571785</v>
      </c>
      <c r="L172" s="7">
        <v>0.043126</v>
      </c>
      <c r="M172" s="7">
        <v>0.004553526706434133</v>
      </c>
      <c r="N172" s="7">
        <v>0.8476012883539583</v>
      </c>
      <c r="O172" s="7">
        <v>0.3965421524308034</v>
      </c>
      <c r="P172" s="7">
        <v>1.7358398861289035</v>
      </c>
      <c r="Q172" s="7">
        <v>0.7346998751010212</v>
      </c>
      <c r="R172" s="7">
        <v>4.0275</v>
      </c>
      <c r="S172" s="7">
        <v>1.877158732542424</v>
      </c>
      <c r="T172" s="7">
        <v>0.09274975189441367</v>
      </c>
      <c r="U172" s="7">
        <v>1.8167614410551751</v>
      </c>
      <c r="V172" s="7">
        <v>0.7257947452460444</v>
      </c>
      <c r="W172" s="7">
        <v>5.344600000000001</v>
      </c>
      <c r="X172" s="7">
        <v>0.20998257144656993</v>
      </c>
      <c r="Y172" s="7">
        <v>0.14987807418664917</v>
      </c>
      <c r="Z172" s="7">
        <v>6.8415</v>
      </c>
      <c r="AA172" s="7">
        <v>0.413890153553247</v>
      </c>
    </row>
    <row r="173" spans="1:27">
      <c r="A173" t="s">
        <v>685</v>
      </c>
      <c r="B173" s="7">
        <v>1.856045139017781</v>
      </c>
      <c r="C173" s="7">
        <v>4.9244</v>
      </c>
      <c r="D173" s="7">
        <v>4.9687</v>
      </c>
      <c r="E173" s="7">
        <v>8.7042</v>
      </c>
      <c r="F173" s="7">
        <v>1</v>
      </c>
      <c r="G173" s="7">
        <v>1.064282673478076</v>
      </c>
      <c r="H173" s="7">
        <v>7.9534</v>
      </c>
      <c r="I173" s="7">
        <v>9.1349</v>
      </c>
      <c r="J173" s="7">
        <v>0.87343</v>
      </c>
      <c r="K173" s="7">
        <v>0.02226021298571785</v>
      </c>
      <c r="L173" s="7">
        <v>0.043126</v>
      </c>
      <c r="M173" s="7">
        <v>0.004553526706434133</v>
      </c>
      <c r="N173" s="7">
        <v>0.8476012883539583</v>
      </c>
      <c r="O173" s="7">
        <v>0.3965421524308034</v>
      </c>
      <c r="P173" s="7">
        <v>1.7358398861289035</v>
      </c>
      <c r="Q173" s="7">
        <v>0.7346998751010212</v>
      </c>
      <c r="R173" s="7">
        <v>4.0275</v>
      </c>
      <c r="S173" s="7">
        <v>1.877158732542424</v>
      </c>
      <c r="T173" s="7">
        <v>0.09274975189441367</v>
      </c>
      <c r="U173" s="7">
        <v>1.8167614410551751</v>
      </c>
      <c r="V173" s="7">
        <v>0.7257947452460444</v>
      </c>
      <c r="W173" s="7">
        <v>5.344600000000001</v>
      </c>
      <c r="X173" s="7">
        <v>0.20998257144656993</v>
      </c>
      <c r="Y173" s="7">
        <v>0.14987807418664917</v>
      </c>
      <c r="Z173" s="7">
        <v>6.8415</v>
      </c>
      <c r="AA173" s="7">
        <v>0.413890153553247</v>
      </c>
    </row>
    <row r="174" spans="1:27">
      <c r="A174" t="s">
        <v>686</v>
      </c>
      <c r="B174" s="7">
        <v>1.8579072532699168</v>
      </c>
      <c r="C174" s="7">
        <v>4.8721</v>
      </c>
      <c r="D174" s="7">
        <v>4.9608</v>
      </c>
      <c r="E174" s="7">
        <v>8.677200000000001</v>
      </c>
      <c r="F174" s="7">
        <v>1</v>
      </c>
      <c r="G174" s="7">
        <v>1.0610079575596818</v>
      </c>
      <c r="H174" s="7">
        <v>7.929500000000001</v>
      </c>
      <c r="I174" s="7">
        <v>9.0891</v>
      </c>
      <c r="J174" s="7">
        <v>0.87408</v>
      </c>
      <c r="K174" s="7">
        <v>0.02196103234420843</v>
      </c>
      <c r="L174" s="7">
        <v>0.04303</v>
      </c>
      <c r="M174" s="7">
        <v>0.0045466945530599255</v>
      </c>
      <c r="N174" s="7">
        <v>0.8482483671218933</v>
      </c>
      <c r="O174" s="7">
        <v>0.39394894421682947</v>
      </c>
      <c r="P174" s="7">
        <v>1.7232465965879715</v>
      </c>
      <c r="Q174" s="7">
        <v>0.7323324789454412</v>
      </c>
      <c r="R174" s="7">
        <v>3.9825</v>
      </c>
      <c r="S174" s="7">
        <v>1.8681113394358304</v>
      </c>
      <c r="T174" s="7">
        <v>0.09345095693779903</v>
      </c>
      <c r="U174" s="7">
        <v>1.8183471224656789</v>
      </c>
      <c r="V174" s="7">
        <v>0.7226477814713109</v>
      </c>
      <c r="W174" s="7">
        <v>5.329199999999999</v>
      </c>
      <c r="X174" s="7">
        <v>0.20842017507294705</v>
      </c>
      <c r="Y174" s="7">
        <v>0.14987650176254766</v>
      </c>
      <c r="Z174" s="7">
        <v>6.843500000000001</v>
      </c>
      <c r="AA174" s="7">
        <v>0.40863027133050017</v>
      </c>
    </row>
    <row r="175" spans="1:27">
      <c r="A175" t="s">
        <v>687</v>
      </c>
      <c r="B175" s="7">
        <v>1.854874610476332</v>
      </c>
      <c r="C175" s="7">
        <v>4.8864</v>
      </c>
      <c r="D175" s="7">
        <v>4.959</v>
      </c>
      <c r="E175" s="7">
        <v>8.693999999999999</v>
      </c>
      <c r="F175" s="7">
        <v>1</v>
      </c>
      <c r="G175" s="7">
        <v>1.06315118009781</v>
      </c>
      <c r="H175" s="7">
        <v>7.9437</v>
      </c>
      <c r="I175" s="7">
        <v>9.1562</v>
      </c>
      <c r="J175" s="7">
        <v>0.87318</v>
      </c>
      <c r="K175" s="7">
        <v>0.022073154849803215</v>
      </c>
      <c r="L175" s="7">
        <v>0.042979</v>
      </c>
      <c r="M175" s="7">
        <v>0.00455622380171314</v>
      </c>
      <c r="N175" s="7">
        <v>0.8473140145738011</v>
      </c>
      <c r="O175" s="7">
        <v>0.3953037909633554</v>
      </c>
      <c r="P175" s="7">
        <v>1.7172983462416924</v>
      </c>
      <c r="Q175" s="7">
        <v>0.7357268981753974</v>
      </c>
      <c r="R175" s="7">
        <v>4.0020999999999995</v>
      </c>
      <c r="S175" s="7">
        <v>1.875574394658364</v>
      </c>
      <c r="T175" s="7">
        <v>0.09373125374925012</v>
      </c>
      <c r="U175" s="7">
        <v>1.8153762367250612</v>
      </c>
      <c r="V175" s="7">
        <v>0.7265329845975008</v>
      </c>
      <c r="W175" s="7">
        <v>5.333200000000001</v>
      </c>
      <c r="X175" s="7">
        <v>0.20913501756734143</v>
      </c>
      <c r="Y175" s="7">
        <v>0.14959534459287627</v>
      </c>
      <c r="Z175" s="7">
        <v>6.8375</v>
      </c>
      <c r="AA175" s="7">
        <v>0.41148876635667847</v>
      </c>
    </row>
    <row r="176" spans="1:27">
      <c r="A176" t="s">
        <v>688</v>
      </c>
      <c r="B176" s="7">
        <v>1.857113673927981</v>
      </c>
      <c r="C176" s="7">
        <v>4.8498</v>
      </c>
      <c r="D176" s="7">
        <v>4.9629</v>
      </c>
      <c r="E176" s="7">
        <v>8.656</v>
      </c>
      <c r="F176" s="7">
        <v>1</v>
      </c>
      <c r="G176" s="7">
        <v>1.060108131029365</v>
      </c>
      <c r="H176" s="7">
        <v>7.9207</v>
      </c>
      <c r="I176" s="7">
        <v>9.1442</v>
      </c>
      <c r="J176" s="7">
        <v>0.87306</v>
      </c>
      <c r="K176" s="7">
        <v>0.021923574419573367</v>
      </c>
      <c r="L176" s="7">
        <v>0.042961</v>
      </c>
      <c r="M176" s="7">
        <v>0.004515895953757226</v>
      </c>
      <c r="N176" s="7">
        <v>0.8472422265525714</v>
      </c>
      <c r="O176" s="7">
        <v>0.3925725277745063</v>
      </c>
      <c r="P176" s="7">
        <v>1.7166497862771015</v>
      </c>
      <c r="Q176" s="7">
        <v>0.7357810315650063</v>
      </c>
      <c r="R176" s="7">
        <v>3.9812</v>
      </c>
      <c r="S176" s="7">
        <v>1.8654976214905328</v>
      </c>
      <c r="T176" s="7">
        <v>0.09573958831977022</v>
      </c>
      <c r="U176" s="7">
        <v>1.817851299763679</v>
      </c>
      <c r="V176" s="7">
        <v>0.7258474268708717</v>
      </c>
      <c r="W176" s="7">
        <v>5.3263</v>
      </c>
      <c r="X176" s="7">
        <v>0.2085027418110548</v>
      </c>
      <c r="Y176" s="7">
        <v>0.14970396041827286</v>
      </c>
      <c r="Z176" s="7">
        <v>6.839700000000001</v>
      </c>
      <c r="AA176" s="7">
        <v>0.4087638979725311</v>
      </c>
    </row>
    <row r="177" spans="1:27">
      <c r="A177" t="s">
        <v>689</v>
      </c>
      <c r="B177" s="7">
        <v>1.8546338025556857</v>
      </c>
      <c r="C177" s="7">
        <v>4.8712</v>
      </c>
      <c r="D177" s="7">
        <v>4.9544999999999995</v>
      </c>
      <c r="E177" s="7">
        <v>8.6608</v>
      </c>
      <c r="F177" s="7">
        <v>1</v>
      </c>
      <c r="G177" s="7">
        <v>1.0599957600169598</v>
      </c>
      <c r="H177" s="7">
        <v>7.9236</v>
      </c>
      <c r="I177" s="7">
        <v>9.1554</v>
      </c>
      <c r="J177" s="7">
        <v>0.87267</v>
      </c>
      <c r="K177" s="7">
        <v>0.02205319672113071</v>
      </c>
      <c r="L177" s="7">
        <v>0.042957</v>
      </c>
      <c r="M177" s="7">
        <v>0.004547108039287013</v>
      </c>
      <c r="N177" s="7">
        <v>0.846811753747142</v>
      </c>
      <c r="O177" s="7">
        <v>0.39408866995073893</v>
      </c>
      <c r="P177" s="7">
        <v>1.7204301075268815</v>
      </c>
      <c r="Q177" s="7">
        <v>0.7355645457888931</v>
      </c>
      <c r="R177" s="7">
        <v>3.9963</v>
      </c>
      <c r="S177" s="7">
        <v>1.868146238487549</v>
      </c>
      <c r="T177" s="7">
        <v>0.0954225788906171</v>
      </c>
      <c r="U177" s="7">
        <v>1.8153432814145156</v>
      </c>
      <c r="V177" s="7">
        <v>0.7291286912139993</v>
      </c>
      <c r="W177" s="7">
        <v>5.3361</v>
      </c>
      <c r="X177" s="7">
        <v>0.20889910173386256</v>
      </c>
      <c r="Y177" s="7">
        <v>0.1494931434969735</v>
      </c>
      <c r="Z177" s="7">
        <v>6.8349</v>
      </c>
      <c r="AA177" s="7">
        <v>0.4141472707694856</v>
      </c>
    </row>
    <row r="178" spans="1:27">
      <c r="A178" t="s">
        <v>265</v>
      </c>
      <c r="B178" s="7">
        <v>1.8554941180836455</v>
      </c>
      <c r="C178" s="7">
        <v>4.8735</v>
      </c>
      <c r="D178" s="7">
        <v>4.9468</v>
      </c>
      <c r="E178" s="7">
        <v>8.6709</v>
      </c>
      <c r="F178" s="7">
        <v>1</v>
      </c>
      <c r="G178" s="7">
        <v>1.0598834128245893</v>
      </c>
      <c r="H178" s="7">
        <v>7.9193</v>
      </c>
      <c r="I178" s="7">
        <v>9.1571</v>
      </c>
      <c r="J178" s="7">
        <v>0.87261</v>
      </c>
      <c r="K178" s="7">
        <v>0.022084317925840855</v>
      </c>
      <c r="L178" s="7">
        <v>0.042933000000000006</v>
      </c>
      <c r="M178" s="7">
        <v>0.004518548642176133</v>
      </c>
      <c r="N178" s="7">
        <v>0.8467400508044031</v>
      </c>
      <c r="O178" s="7">
        <v>0.39464856545246463</v>
      </c>
      <c r="P178" s="7">
        <v>1.7241973861167628</v>
      </c>
      <c r="Q178" s="7">
        <v>0.7378984651711924</v>
      </c>
      <c r="R178" s="7">
        <v>4.0057</v>
      </c>
      <c r="S178" s="7">
        <v>1.8694384206984225</v>
      </c>
      <c r="T178" s="7">
        <v>0.09572584119082946</v>
      </c>
      <c r="U178" s="7">
        <v>1.8159696369876697</v>
      </c>
      <c r="V178" s="7">
        <v>0.7297139521307647</v>
      </c>
      <c r="W178" s="7">
        <v>5.3355</v>
      </c>
      <c r="X178" s="7">
        <v>0.2087595507494468</v>
      </c>
      <c r="Y178" s="7">
        <v>0.1492677669691329</v>
      </c>
      <c r="Z178" s="7">
        <v>6.8373</v>
      </c>
      <c r="AA178" s="7">
        <v>0.4146624647536905</v>
      </c>
    </row>
    <row r="179" spans="1:27">
      <c r="A179" t="s">
        <v>690</v>
      </c>
      <c r="B179" s="7">
        <v>1.8554941180836455</v>
      </c>
      <c r="C179" s="7">
        <v>4.8735</v>
      </c>
      <c r="D179" s="7">
        <v>4.9468</v>
      </c>
      <c r="E179" s="7">
        <v>8.6709</v>
      </c>
      <c r="F179" s="7">
        <v>1</v>
      </c>
      <c r="G179" s="7">
        <v>1.0598834128245893</v>
      </c>
      <c r="H179" s="7">
        <v>7.9193</v>
      </c>
      <c r="I179" s="7">
        <v>9.1571</v>
      </c>
      <c r="J179" s="7">
        <v>0.87261</v>
      </c>
      <c r="K179" s="7">
        <v>0.022084317925840855</v>
      </c>
      <c r="L179" s="7">
        <v>0.042933000000000006</v>
      </c>
      <c r="M179" s="7">
        <v>0.004518548642176133</v>
      </c>
      <c r="N179" s="7">
        <v>0.8467400508044031</v>
      </c>
      <c r="O179" s="7">
        <v>0.39464856545246463</v>
      </c>
      <c r="P179" s="7">
        <v>1.7241973861167628</v>
      </c>
      <c r="Q179" s="7">
        <v>0.7378984651711924</v>
      </c>
      <c r="R179" s="7">
        <v>4.0057</v>
      </c>
      <c r="S179" s="7">
        <v>1.8694384206984225</v>
      </c>
      <c r="T179" s="7">
        <v>0.09572584119082946</v>
      </c>
      <c r="U179" s="7">
        <v>1.8159696369876697</v>
      </c>
      <c r="V179" s="7">
        <v>0.7297139521307647</v>
      </c>
      <c r="W179" s="7">
        <v>5.3355</v>
      </c>
      <c r="X179" s="7">
        <v>0.2087595507494468</v>
      </c>
      <c r="Y179" s="7">
        <v>0.1492677669691329</v>
      </c>
      <c r="Z179" s="7">
        <v>6.8373</v>
      </c>
      <c r="AA179" s="7">
        <v>0.4146624647536905</v>
      </c>
    </row>
    <row r="180" spans="1:27">
      <c r="A180" t="s">
        <v>691</v>
      </c>
      <c r="B180" s="7">
        <v>1.8554941180836455</v>
      </c>
      <c r="C180" s="7">
        <v>4.8735</v>
      </c>
      <c r="D180" s="7">
        <v>4.9468</v>
      </c>
      <c r="E180" s="7">
        <v>8.6709</v>
      </c>
      <c r="F180" s="7">
        <v>1</v>
      </c>
      <c r="G180" s="7">
        <v>1.0598834128245893</v>
      </c>
      <c r="H180" s="7">
        <v>7.9193</v>
      </c>
      <c r="I180" s="7">
        <v>9.1571</v>
      </c>
      <c r="J180" s="7">
        <v>0.87261</v>
      </c>
      <c r="K180" s="7">
        <v>0.022084317925840855</v>
      </c>
      <c r="L180" s="7">
        <v>0.042933000000000006</v>
      </c>
      <c r="M180" s="7">
        <v>0.004518548642176133</v>
      </c>
      <c r="N180" s="7">
        <v>0.8467400508044031</v>
      </c>
      <c r="O180" s="7">
        <v>0.39464856545246463</v>
      </c>
      <c r="P180" s="7">
        <v>1.7241973861167628</v>
      </c>
      <c r="Q180" s="7">
        <v>0.7378984651711924</v>
      </c>
      <c r="R180" s="7">
        <v>4.0057</v>
      </c>
      <c r="S180" s="7">
        <v>1.8694384206984225</v>
      </c>
      <c r="T180" s="7">
        <v>0.09572584119082946</v>
      </c>
      <c r="U180" s="7">
        <v>1.8159696369876697</v>
      </c>
      <c r="V180" s="7">
        <v>0.7297139521307647</v>
      </c>
      <c r="W180" s="7">
        <v>5.3355</v>
      </c>
      <c r="X180" s="7">
        <v>0.2087595507494468</v>
      </c>
      <c r="Y180" s="7">
        <v>0.1492677669691329</v>
      </c>
      <c r="Z180" s="7">
        <v>6.8373</v>
      </c>
      <c r="AA180" s="7">
        <v>0.4146624647536905</v>
      </c>
    </row>
    <row r="181" spans="1:27">
      <c r="A181" t="s">
        <v>271</v>
      </c>
      <c r="B181" s="7">
        <v>1.8533276497952071</v>
      </c>
      <c r="C181" s="7">
        <v>4.875</v>
      </c>
      <c r="D181" s="7">
        <v>4.9322</v>
      </c>
      <c r="E181" s="7">
        <v>8.7125</v>
      </c>
      <c r="F181" s="7">
        <v>1</v>
      </c>
      <c r="G181" s="7">
        <v>1.0611205432937183</v>
      </c>
      <c r="H181" s="7">
        <v>7.9297</v>
      </c>
      <c r="I181" s="7">
        <v>9.1828</v>
      </c>
      <c r="J181" s="7">
        <v>0.87208</v>
      </c>
      <c r="K181" s="7">
        <v>0.022183327454751555</v>
      </c>
      <c r="L181" s="7">
        <v>0.042905</v>
      </c>
      <c r="M181" s="7">
        <v>0.0044919593926870905</v>
      </c>
      <c r="N181" s="7">
        <v>0.8462384700008462</v>
      </c>
      <c r="O181" s="7">
        <v>0.3952725404166173</v>
      </c>
      <c r="P181" s="7">
        <v>1.7243163085836466</v>
      </c>
      <c r="Q181" s="7">
        <v>0.7351319561861354</v>
      </c>
      <c r="R181" s="7">
        <v>4.0006</v>
      </c>
      <c r="S181" s="7">
        <v>1.8733608092918697</v>
      </c>
      <c r="T181" s="7">
        <v>0.09513480602013052</v>
      </c>
      <c r="U181" s="7">
        <v>1.813993143105919</v>
      </c>
      <c r="V181" s="7">
        <v>0.7313149041977475</v>
      </c>
      <c r="W181" s="7">
        <v>5.3348</v>
      </c>
      <c r="X181" s="7">
        <v>0.20920064433798455</v>
      </c>
      <c r="Y181" s="7">
        <v>0.1490184156958117</v>
      </c>
      <c r="Z181" s="7">
        <v>6.831799999999999</v>
      </c>
      <c r="AA181" s="7">
        <v>0.4168403501458941</v>
      </c>
    </row>
    <row r="182" spans="1:27">
      <c r="A182" t="s">
        <v>280</v>
      </c>
      <c r="B182" s="7">
        <v>1.8523320860963952</v>
      </c>
      <c r="C182" s="7">
        <v>4.8811</v>
      </c>
      <c r="D182" s="7">
        <v>4.9288</v>
      </c>
      <c r="E182" s="7">
        <v>8.6984</v>
      </c>
      <c r="F182" s="7">
        <v>1</v>
      </c>
      <c r="G182" s="7">
        <v>1.0604453870625663</v>
      </c>
      <c r="H182" s="7">
        <v>7.9233</v>
      </c>
      <c r="I182" s="7">
        <v>9.1891</v>
      </c>
      <c r="J182" s="7">
        <v>0.87155</v>
      </c>
      <c r="K182" s="7">
        <v>0.022232597434358257</v>
      </c>
      <c r="L182" s="7">
        <v>0.042878999999999994</v>
      </c>
      <c r="M182" s="7">
        <v>0.0044913541432741975</v>
      </c>
      <c r="N182" s="7">
        <v>0.845522955948254</v>
      </c>
      <c r="O182" s="7">
        <v>0.39449287940352673</v>
      </c>
      <c r="P182" s="7">
        <v>1.7238110013618106</v>
      </c>
      <c r="Q182" s="7">
        <v>0.736865374696043</v>
      </c>
      <c r="R182" s="7">
        <v>3.9911</v>
      </c>
      <c r="S182" s="7">
        <v>1.874871102611695</v>
      </c>
      <c r="T182" s="7">
        <v>0.0949839002289112</v>
      </c>
      <c r="U182" s="7">
        <v>1.81310512383508</v>
      </c>
      <c r="V182" s="7">
        <v>0.7322252324815114</v>
      </c>
      <c r="W182" s="7">
        <v>5.3317</v>
      </c>
      <c r="X182" s="7">
        <v>0.20912627044209292</v>
      </c>
      <c r="Y182" s="7">
        <v>0.14832899965439342</v>
      </c>
      <c r="Z182" s="7">
        <v>6.8288</v>
      </c>
      <c r="AA182" s="7">
        <v>0.4177109440267335</v>
      </c>
    </row>
    <row r="183" spans="1:27">
      <c r="A183" t="s">
        <v>692</v>
      </c>
      <c r="B183" s="7">
        <v>1.8531902670447176</v>
      </c>
      <c r="C183" s="7">
        <v>4.8825</v>
      </c>
      <c r="D183" s="7">
        <v>4.9293000000000005</v>
      </c>
      <c r="E183" s="7">
        <v>8.6768</v>
      </c>
      <c r="F183" s="7">
        <v>1</v>
      </c>
      <c r="G183" s="7">
        <v>1.060332944544587</v>
      </c>
      <c r="H183" s="7">
        <v>7.9234</v>
      </c>
      <c r="I183" s="7">
        <v>9.1614</v>
      </c>
      <c r="J183" s="7">
        <v>0.87151</v>
      </c>
      <c r="K183" s="7">
        <v>0.02228834431034291</v>
      </c>
      <c r="L183" s="7">
        <v>0.042804</v>
      </c>
      <c r="M183" s="7">
        <v>0.004510803374080924</v>
      </c>
      <c r="N183" s="7">
        <v>0.8457374830852504</v>
      </c>
      <c r="O183" s="7">
        <v>0.39421295383766314</v>
      </c>
      <c r="P183" s="7">
        <v>1.7150011147507247</v>
      </c>
      <c r="Q183" s="7">
        <v>0.7345379756133393</v>
      </c>
      <c r="R183" s="7">
        <v>3.9768</v>
      </c>
      <c r="S183" s="7">
        <v>1.872729315704708</v>
      </c>
      <c r="T183" s="7">
        <v>0.09452868000151245</v>
      </c>
      <c r="U183" s="7">
        <v>1.8138286294710877</v>
      </c>
      <c r="V183" s="7">
        <v>0.7323861139592793</v>
      </c>
      <c r="W183" s="7">
        <v>5.3315</v>
      </c>
      <c r="X183" s="7">
        <v>0.20823789096664028</v>
      </c>
      <c r="Y183" s="7">
        <v>0.14839569415053852</v>
      </c>
      <c r="Z183" s="7">
        <v>6.8290999999999995</v>
      </c>
      <c r="AA183" s="7">
        <v>0.41626774341256295</v>
      </c>
    </row>
    <row r="184" spans="1:27">
      <c r="A184" t="s">
        <v>693</v>
      </c>
      <c r="B184" s="7">
        <v>1.8526409396594847</v>
      </c>
      <c r="C184" s="7">
        <v>4.8584</v>
      </c>
      <c r="D184" s="7">
        <v>4.916</v>
      </c>
      <c r="E184" s="7">
        <v>8.6489</v>
      </c>
      <c r="F184" s="7">
        <v>1</v>
      </c>
      <c r="G184" s="7">
        <v>1.058761249338274</v>
      </c>
      <c r="H184" s="7">
        <v>7.912100000000001</v>
      </c>
      <c r="I184" s="7">
        <v>9.1377</v>
      </c>
      <c r="J184" s="7">
        <v>0.87115</v>
      </c>
      <c r="K184" s="7">
        <v>0.022334789561612754</v>
      </c>
      <c r="L184" s="7">
        <v>0.042732</v>
      </c>
      <c r="M184" s="7">
        <v>0.004521204448865178</v>
      </c>
      <c r="N184" s="7">
        <v>0.8453799983092399</v>
      </c>
      <c r="O184" s="7">
        <v>0.3923414940364093</v>
      </c>
      <c r="P184" s="7">
        <v>1.716414067729699</v>
      </c>
      <c r="Q184" s="7">
        <v>0.7333528894103842</v>
      </c>
      <c r="R184" s="7">
        <v>4.0139</v>
      </c>
      <c r="S184" s="7">
        <v>1.8706274084327883</v>
      </c>
      <c r="T184" s="7">
        <v>0.0956516748608268</v>
      </c>
      <c r="U184" s="7">
        <v>1.8133352675576189</v>
      </c>
      <c r="V184" s="7">
        <v>0.7316894709885126</v>
      </c>
      <c r="W184" s="7">
        <v>5.3290999999999995</v>
      </c>
      <c r="X184" s="7">
        <v>0.20819887156211617</v>
      </c>
      <c r="Y184" s="7">
        <v>0.14836751226257489</v>
      </c>
      <c r="Z184" s="7">
        <v>6.824</v>
      </c>
      <c r="AA184" s="7">
        <v>0.4160772239327619</v>
      </c>
    </row>
    <row r="185" spans="1:27">
      <c r="A185" t="s">
        <v>694</v>
      </c>
      <c r="B185" s="7">
        <v>1.8486680346810125</v>
      </c>
      <c r="C185" s="7">
        <v>4.8641000000000005</v>
      </c>
      <c r="D185" s="7">
        <v>4.9257</v>
      </c>
      <c r="E185" s="7">
        <v>8.6715</v>
      </c>
      <c r="F185" s="7">
        <v>1</v>
      </c>
      <c r="G185" s="7">
        <v>1.058985491898761</v>
      </c>
      <c r="H185" s="7">
        <v>7.916</v>
      </c>
      <c r="I185" s="7">
        <v>9.1335</v>
      </c>
      <c r="J185" s="7">
        <v>0.87029</v>
      </c>
      <c r="K185" s="7">
        <v>0.022355610699395283</v>
      </c>
      <c r="L185" s="7">
        <v>0.042718</v>
      </c>
      <c r="M185" s="7">
        <v>0.004533091568449683</v>
      </c>
      <c r="N185" s="7">
        <v>0.8445232666159953</v>
      </c>
      <c r="O185" s="7">
        <v>0.3931281204544561</v>
      </c>
      <c r="P185" s="7">
        <v>1.7115667682196285</v>
      </c>
      <c r="Q185" s="7">
        <v>0.7338910905621606</v>
      </c>
      <c r="R185" s="7">
        <v>4.0354</v>
      </c>
      <c r="S185" s="7">
        <v>1.8751523561289352</v>
      </c>
      <c r="T185" s="7">
        <v>0.09550642280693378</v>
      </c>
      <c r="U185" s="7">
        <v>1.8092343320306847</v>
      </c>
      <c r="V185" s="7">
        <v>0.7337295472888694</v>
      </c>
      <c r="W185" s="7">
        <v>5.327100000000001</v>
      </c>
      <c r="X185" s="7">
        <v>0.20825523761922612</v>
      </c>
      <c r="Y185" s="7">
        <v>0.148057997278694</v>
      </c>
      <c r="Z185" s="7">
        <v>6.8176</v>
      </c>
      <c r="AA185" s="7">
        <v>0.41890080428954424</v>
      </c>
    </row>
    <row r="186" spans="1:27">
      <c r="A186" t="s">
        <v>695</v>
      </c>
      <c r="B186" s="7">
        <v>1.8486680346810125</v>
      </c>
      <c r="C186" s="7">
        <v>4.8641000000000005</v>
      </c>
      <c r="D186" s="7">
        <v>4.9257</v>
      </c>
      <c r="E186" s="7">
        <v>8.6715</v>
      </c>
      <c r="F186" s="7">
        <v>1</v>
      </c>
      <c r="G186" s="7">
        <v>1.058985491898761</v>
      </c>
      <c r="H186" s="7">
        <v>7.916</v>
      </c>
      <c r="I186" s="7">
        <v>9.1335</v>
      </c>
      <c r="J186" s="7">
        <v>0.87029</v>
      </c>
      <c r="K186" s="7">
        <v>0.022355610699395283</v>
      </c>
      <c r="L186" s="7">
        <v>0.042718</v>
      </c>
      <c r="M186" s="7">
        <v>0.004533091568449683</v>
      </c>
      <c r="N186" s="7">
        <v>0.8445232666159953</v>
      </c>
      <c r="O186" s="7">
        <v>0.3931281204544561</v>
      </c>
      <c r="P186" s="7">
        <v>1.7115667682196285</v>
      </c>
      <c r="Q186" s="7">
        <v>0.7338910905621606</v>
      </c>
      <c r="R186" s="7">
        <v>4.0354</v>
      </c>
      <c r="S186" s="7">
        <v>1.8751523561289352</v>
      </c>
      <c r="T186" s="7">
        <v>0.09550642280693378</v>
      </c>
      <c r="U186" s="7">
        <v>1.8092343320306847</v>
      </c>
      <c r="V186" s="7">
        <v>0.7337295472888694</v>
      </c>
      <c r="W186" s="7">
        <v>5.327100000000001</v>
      </c>
      <c r="X186" s="7">
        <v>0.20825523761922612</v>
      </c>
      <c r="Y186" s="7">
        <v>0.148057997278694</v>
      </c>
      <c r="Z186" s="7">
        <v>6.8176</v>
      </c>
      <c r="AA186" s="7">
        <v>0.41890080428954424</v>
      </c>
    </row>
    <row r="187" spans="1:27">
      <c r="A187" t="s">
        <v>382</v>
      </c>
      <c r="B187" s="7">
        <v>1.8486680346810125</v>
      </c>
      <c r="C187" s="7">
        <v>4.8641000000000005</v>
      </c>
      <c r="D187" s="7">
        <v>4.9257</v>
      </c>
      <c r="E187" s="7">
        <v>8.6715</v>
      </c>
      <c r="F187" s="7">
        <v>1</v>
      </c>
      <c r="G187" s="7">
        <v>1.058985491898761</v>
      </c>
      <c r="H187" s="7">
        <v>7.916</v>
      </c>
      <c r="I187" s="7">
        <v>9.1335</v>
      </c>
      <c r="J187" s="7">
        <v>0.87029</v>
      </c>
      <c r="K187" s="7">
        <v>0.022355610699395283</v>
      </c>
      <c r="L187" s="7">
        <v>0.042718</v>
      </c>
      <c r="M187" s="7">
        <v>0.004533091568449683</v>
      </c>
      <c r="N187" s="7">
        <v>0.8445232666159953</v>
      </c>
      <c r="O187" s="7">
        <v>0.3931281204544561</v>
      </c>
      <c r="P187" s="7">
        <v>1.7115667682196285</v>
      </c>
      <c r="Q187" s="7">
        <v>0.7338910905621606</v>
      </c>
      <c r="R187" s="7">
        <v>4.0354</v>
      </c>
      <c r="S187" s="7">
        <v>1.8751523561289352</v>
      </c>
      <c r="T187" s="7">
        <v>0.09550642280693378</v>
      </c>
      <c r="U187" s="7">
        <v>1.8092343320306847</v>
      </c>
      <c r="V187" s="7">
        <v>0.7337295472888694</v>
      </c>
      <c r="W187" s="7">
        <v>5.327100000000001</v>
      </c>
      <c r="X187" s="7">
        <v>0.20825523761922612</v>
      </c>
      <c r="Y187" s="7">
        <v>0.148057997278694</v>
      </c>
      <c r="Z187" s="7">
        <v>6.8176</v>
      </c>
      <c r="AA187" s="7">
        <v>0.41890080428954424</v>
      </c>
    </row>
    <row r="188" spans="1:27">
      <c r="A188" t="s">
        <v>696</v>
      </c>
      <c r="B188" s="7">
        <v>1.8475750577367205</v>
      </c>
      <c r="C188" s="7">
        <v>4.8759</v>
      </c>
      <c r="D188" s="7">
        <v>4.9188</v>
      </c>
      <c r="E188" s="7">
        <v>8.6922</v>
      </c>
      <c r="F188" s="7">
        <v>1</v>
      </c>
      <c r="G188" s="7">
        <v>1.0586491636671609</v>
      </c>
      <c r="H188" s="7">
        <v>7.9122</v>
      </c>
      <c r="I188" s="7">
        <v>9.1339</v>
      </c>
      <c r="J188" s="7">
        <v>0.8698600000000001</v>
      </c>
      <c r="K188" s="7">
        <v>0.02238313207167079</v>
      </c>
      <c r="L188" s="7">
        <v>0.042656</v>
      </c>
      <c r="M188" s="7">
        <v>0.004496200710399712</v>
      </c>
      <c r="N188" s="7">
        <v>0.844095551616443</v>
      </c>
      <c r="O188" s="7">
        <v>0.3921261077562544</v>
      </c>
      <c r="P188" s="7">
        <v>1.7150011147507247</v>
      </c>
      <c r="Q188" s="7">
        <v>0.733998825601879</v>
      </c>
      <c r="R188" s="7">
        <v>4.0588999999999995</v>
      </c>
      <c r="S188" s="7">
        <v>1.8726241081627684</v>
      </c>
      <c r="T188" s="7">
        <v>0.09533979101517807</v>
      </c>
      <c r="U188" s="7">
        <v>1.8083182640144664</v>
      </c>
      <c r="V188" s="7">
        <v>0.7339449541284404</v>
      </c>
      <c r="W188" s="7">
        <v>5.3197</v>
      </c>
      <c r="X188" s="7">
        <v>0.2082856012163879</v>
      </c>
      <c r="Y188" s="7">
        <v>0.14796007445350948</v>
      </c>
      <c r="Z188" s="7">
        <v>6.8167</v>
      </c>
      <c r="AA188" s="7">
        <v>0.4182700351346829</v>
      </c>
    </row>
    <row r="189" spans="1:27">
      <c r="A189" t="s">
        <v>697</v>
      </c>
      <c r="B189" s="7">
        <v>1.8495912403358856</v>
      </c>
      <c r="C189" s="7">
        <v>4.8681</v>
      </c>
      <c r="D189" s="7">
        <v>4.9081</v>
      </c>
      <c r="E189" s="7">
        <v>8.6485</v>
      </c>
      <c r="F189" s="7">
        <v>1</v>
      </c>
      <c r="G189" s="7">
        <v>1.058201058201058</v>
      </c>
      <c r="H189" s="7">
        <v>7.9068</v>
      </c>
      <c r="I189" s="7">
        <v>9.1472</v>
      </c>
      <c r="J189" s="7">
        <v>0.8699800000000001</v>
      </c>
      <c r="K189" s="7">
        <v>0.022261749194681223</v>
      </c>
      <c r="L189" s="7">
        <v>0.042621</v>
      </c>
      <c r="M189" s="7">
        <v>0.004484506031660613</v>
      </c>
      <c r="N189" s="7">
        <v>0.8442380751371886</v>
      </c>
      <c r="O189" s="7">
        <v>0.392156862745098</v>
      </c>
      <c r="P189" s="7">
        <v>1.7162078670968628</v>
      </c>
      <c r="Q189" s="7">
        <v>0.7323324789454412</v>
      </c>
      <c r="R189" s="7">
        <v>4.0327</v>
      </c>
      <c r="S189" s="7">
        <v>1.869333582577811</v>
      </c>
      <c r="T189" s="7">
        <v>0.09401677259223044</v>
      </c>
      <c r="U189" s="7">
        <v>1.8101840957225348</v>
      </c>
      <c r="V189" s="7">
        <v>0.7297672042618405</v>
      </c>
      <c r="W189" s="7">
        <v>5.3167</v>
      </c>
      <c r="X189" s="7">
        <v>0.20805592543275633</v>
      </c>
      <c r="Y189" s="7">
        <v>0.14805624360582098</v>
      </c>
      <c r="Z189" s="7">
        <v>6.8187</v>
      </c>
      <c r="AA189" s="7">
        <v>0.4169967891247237</v>
      </c>
    </row>
    <row r="190" spans="1:27">
      <c r="A190" t="s">
        <v>698</v>
      </c>
      <c r="B190" s="7">
        <v>1.8490782345001016</v>
      </c>
      <c r="C190" s="7">
        <v>4.875</v>
      </c>
      <c r="D190" s="7">
        <v>4.906499999999999</v>
      </c>
      <c r="E190" s="7">
        <v>8.6301</v>
      </c>
      <c r="F190" s="7">
        <v>1</v>
      </c>
      <c r="G190" s="7">
        <v>1.0570824524312896</v>
      </c>
      <c r="H190" s="7">
        <v>7.899</v>
      </c>
      <c r="I190" s="7">
        <v>9.1449</v>
      </c>
      <c r="J190" s="7">
        <v>0.8700100000000001</v>
      </c>
      <c r="K190" s="7">
        <v>0.022290629687998057</v>
      </c>
      <c r="L190" s="7">
        <v>0.042552000000000006</v>
      </c>
      <c r="M190" s="7">
        <v>0.004470872267179326</v>
      </c>
      <c r="N190" s="7">
        <v>0.8442380751371886</v>
      </c>
      <c r="O190" s="7">
        <v>0.3930972129407603</v>
      </c>
      <c r="P190" s="7">
        <v>1.71294472327378</v>
      </c>
      <c r="Q190" s="7">
        <v>0.7311544929443591</v>
      </c>
      <c r="R190" s="7">
        <v>4.025</v>
      </c>
      <c r="S190" s="7">
        <v>1.867727535907062</v>
      </c>
      <c r="T190" s="7">
        <v>0.09260716964707408</v>
      </c>
      <c r="U190" s="7">
        <v>1.8095289796066083</v>
      </c>
      <c r="V190" s="7">
        <v>0.7285443683520327</v>
      </c>
      <c r="W190" s="7">
        <v>5.3064</v>
      </c>
      <c r="X190" s="7">
        <v>0.20750332005312083</v>
      </c>
      <c r="Y190" s="7">
        <v>0.14795963661113248</v>
      </c>
      <c r="Z190" s="7">
        <v>6.8184000000000005</v>
      </c>
      <c r="AA190" s="7">
        <v>0.4181825785137791</v>
      </c>
    </row>
    <row r="191" spans="1:27">
      <c r="A191" t="s">
        <v>699</v>
      </c>
      <c r="B191" s="7">
        <v>1.8504468829222256</v>
      </c>
      <c r="C191" s="7">
        <v>4.847300000000001</v>
      </c>
      <c r="D191" s="7">
        <v>4.8918</v>
      </c>
      <c r="E191" s="7">
        <v>8.598700000000001</v>
      </c>
      <c r="F191" s="7">
        <v>1</v>
      </c>
      <c r="G191" s="7">
        <v>1.056077727320731</v>
      </c>
      <c r="H191" s="7">
        <v>7.892</v>
      </c>
      <c r="I191" s="7">
        <v>9.1298</v>
      </c>
      <c r="J191" s="7">
        <v>0.87033</v>
      </c>
      <c r="K191" s="7">
        <v>0.022202289500093248</v>
      </c>
      <c r="L191" s="7">
        <v>0.042539999999999994</v>
      </c>
      <c r="M191" s="7">
        <v>0.0044458275908060285</v>
      </c>
      <c r="N191" s="7">
        <v>0.8445945945945945</v>
      </c>
      <c r="O191" s="7">
        <v>0.3927267014884342</v>
      </c>
      <c r="P191" s="7">
        <v>1.702736297229648</v>
      </c>
      <c r="Q191" s="7">
        <v>0.7291286912139993</v>
      </c>
      <c r="R191" s="7">
        <v>3.9892</v>
      </c>
      <c r="S191" s="7">
        <v>1.862925911436502</v>
      </c>
      <c r="T191" s="7">
        <v>0.09186701331153024</v>
      </c>
      <c r="U191" s="7">
        <v>1.810347948875774</v>
      </c>
      <c r="V191" s="7">
        <v>0.7236413633403286</v>
      </c>
      <c r="W191" s="7">
        <v>5.2994</v>
      </c>
      <c r="X191" s="7">
        <v>0.20756361824899333</v>
      </c>
      <c r="Y191" s="7">
        <v>0.14799905280606204</v>
      </c>
      <c r="Z191" s="7">
        <v>6.8203</v>
      </c>
      <c r="AA191" s="7">
        <v>0.4161291664932795</v>
      </c>
    </row>
    <row r="192" spans="1:27">
      <c r="A192" t="s">
        <v>700</v>
      </c>
      <c r="B192" s="7">
        <v>1.8491466188354075</v>
      </c>
      <c r="C192" s="7">
        <v>4.8457</v>
      </c>
      <c r="D192" s="7">
        <v>4.8843</v>
      </c>
      <c r="E192" s="7">
        <v>8.6152</v>
      </c>
      <c r="F192" s="7">
        <v>1</v>
      </c>
      <c r="G192" s="7">
        <v>1.0558547143912995</v>
      </c>
      <c r="H192" s="7">
        <v>7.891900000000001</v>
      </c>
      <c r="I192" s="7">
        <v>9.1231</v>
      </c>
      <c r="J192" s="7">
        <v>0.87005</v>
      </c>
      <c r="K192" s="7">
        <v>0.022325166043422447</v>
      </c>
      <c r="L192" s="7">
        <v>0.042510000000000006</v>
      </c>
      <c r="M192" s="7">
        <v>0.0044185224460940265</v>
      </c>
      <c r="N192" s="7">
        <v>0.8443093549476528</v>
      </c>
      <c r="O192" s="7">
        <v>0.3935303608673409</v>
      </c>
      <c r="P192" s="7">
        <v>1.6937669376693767</v>
      </c>
      <c r="Q192" s="7">
        <v>0.7271140841998109</v>
      </c>
      <c r="R192" s="7">
        <v>3.9885</v>
      </c>
      <c r="S192" s="7">
        <v>1.8647670905903853</v>
      </c>
      <c r="T192" s="7">
        <v>0.09233610341643585</v>
      </c>
      <c r="U192" s="7">
        <v>1.8089070583553415</v>
      </c>
      <c r="V192" s="7">
        <v>0.7244277021153289</v>
      </c>
      <c r="W192" s="7">
        <v>5.2916</v>
      </c>
      <c r="X192" s="7">
        <v>0.20761533031599053</v>
      </c>
      <c r="Y192" s="7">
        <v>0.14757729729889274</v>
      </c>
      <c r="Z192" s="7">
        <v>6.8157000000000005</v>
      </c>
      <c r="AA192" s="7">
        <v>0.4167882299003876</v>
      </c>
    </row>
    <row r="193" spans="1:27">
      <c r="A193" t="s">
        <v>701</v>
      </c>
      <c r="B193" s="7">
        <v>1.8491466188354075</v>
      </c>
      <c r="C193" s="7">
        <v>4.8457</v>
      </c>
      <c r="D193" s="7">
        <v>4.8843</v>
      </c>
      <c r="E193" s="7">
        <v>8.6152</v>
      </c>
      <c r="F193" s="7">
        <v>1</v>
      </c>
      <c r="G193" s="7">
        <v>1.0558547143912995</v>
      </c>
      <c r="H193" s="7">
        <v>7.891900000000001</v>
      </c>
      <c r="I193" s="7">
        <v>9.1231</v>
      </c>
      <c r="J193" s="7">
        <v>0.87005</v>
      </c>
      <c r="K193" s="7">
        <v>0.022325166043422447</v>
      </c>
      <c r="L193" s="7">
        <v>0.042510000000000006</v>
      </c>
      <c r="M193" s="7">
        <v>0.0044185224460940265</v>
      </c>
      <c r="N193" s="7">
        <v>0.8443093549476528</v>
      </c>
      <c r="O193" s="7">
        <v>0.3935303608673409</v>
      </c>
      <c r="P193" s="7">
        <v>1.6937669376693767</v>
      </c>
      <c r="Q193" s="7">
        <v>0.7271140841998109</v>
      </c>
      <c r="R193" s="7">
        <v>3.9885</v>
      </c>
      <c r="S193" s="7">
        <v>1.8647670905903853</v>
      </c>
      <c r="T193" s="7">
        <v>0.09233610341643585</v>
      </c>
      <c r="U193" s="7">
        <v>1.8089070583553415</v>
      </c>
      <c r="V193" s="7">
        <v>0.7244277021153289</v>
      </c>
      <c r="W193" s="7">
        <v>5.2916</v>
      </c>
      <c r="X193" s="7">
        <v>0.20761533031599053</v>
      </c>
      <c r="Y193" s="7">
        <v>0.14757729729889274</v>
      </c>
      <c r="Z193" s="7">
        <v>6.8157000000000005</v>
      </c>
      <c r="AA193" s="7">
        <v>0.4167882299003876</v>
      </c>
    </row>
    <row r="194" spans="1:27">
      <c r="A194" t="s">
        <v>702</v>
      </c>
      <c r="B194" s="7">
        <v>1.8491466188354075</v>
      </c>
      <c r="C194" s="7">
        <v>4.8457</v>
      </c>
      <c r="D194" s="7">
        <v>4.8843</v>
      </c>
      <c r="E194" s="7">
        <v>8.6152</v>
      </c>
      <c r="F194" s="7">
        <v>1</v>
      </c>
      <c r="G194" s="7">
        <v>1.0558547143912995</v>
      </c>
      <c r="H194" s="7">
        <v>7.891900000000001</v>
      </c>
      <c r="I194" s="7">
        <v>9.1231</v>
      </c>
      <c r="J194" s="7">
        <v>0.87005</v>
      </c>
      <c r="K194" s="7">
        <v>0.022325166043422447</v>
      </c>
      <c r="L194" s="7">
        <v>0.042510000000000006</v>
      </c>
      <c r="M194" s="7">
        <v>0.0044185224460940265</v>
      </c>
      <c r="N194" s="7">
        <v>0.8443093549476528</v>
      </c>
      <c r="O194" s="7">
        <v>0.3935303608673409</v>
      </c>
      <c r="P194" s="7">
        <v>1.6937669376693767</v>
      </c>
      <c r="Q194" s="7">
        <v>0.7271140841998109</v>
      </c>
      <c r="R194" s="7">
        <v>3.9885</v>
      </c>
      <c r="S194" s="7">
        <v>1.8647670905903853</v>
      </c>
      <c r="T194" s="7">
        <v>0.09233610341643585</v>
      </c>
      <c r="U194" s="7">
        <v>1.8089070583553415</v>
      </c>
      <c r="V194" s="7">
        <v>0.7244277021153289</v>
      </c>
      <c r="W194" s="7">
        <v>5.2916</v>
      </c>
      <c r="X194" s="7">
        <v>0.20761533031599053</v>
      </c>
      <c r="Y194" s="7">
        <v>0.14757729729889274</v>
      </c>
      <c r="Z194" s="7">
        <v>6.8157000000000005</v>
      </c>
      <c r="AA194" s="7">
        <v>0.4167882299003876</v>
      </c>
    </row>
    <row r="195" spans="1:27">
      <c r="A195" t="s">
        <v>703</v>
      </c>
      <c r="B195" s="7">
        <v>1.8531559245394904</v>
      </c>
      <c r="C195" s="7">
        <v>4.7970999999999995</v>
      </c>
      <c r="D195" s="7">
        <v>4.880199999999999</v>
      </c>
      <c r="E195" s="7">
        <v>8.5508</v>
      </c>
      <c r="F195" s="7">
        <v>1</v>
      </c>
      <c r="G195" s="7">
        <v>1.050199537912203</v>
      </c>
      <c r="H195" s="7">
        <v>7.8476</v>
      </c>
      <c r="I195" s="7">
        <v>9.0812</v>
      </c>
      <c r="J195" s="7">
        <v>0.87048</v>
      </c>
      <c r="K195" s="7">
        <v>0.022075298844358108</v>
      </c>
      <c r="L195" s="7">
        <v>0.042495000000000005</v>
      </c>
      <c r="M195" s="7">
        <v>0.004373496610540126</v>
      </c>
      <c r="N195" s="7">
        <v>0.8447372867038352</v>
      </c>
      <c r="O195" s="7">
        <v>0.3900612396146194</v>
      </c>
      <c r="P195" s="7">
        <v>1.6845226062933765</v>
      </c>
      <c r="Q195" s="7">
        <v>0.7198387561186295</v>
      </c>
      <c r="R195" s="7">
        <v>3.9486</v>
      </c>
      <c r="S195" s="7">
        <v>1.8481213846125413</v>
      </c>
      <c r="T195" s="7">
        <v>0.09220754073268111</v>
      </c>
      <c r="U195" s="7">
        <v>1.812776448408382</v>
      </c>
      <c r="V195" s="7">
        <v>0.7189072609633358</v>
      </c>
      <c r="W195" s="7">
        <v>5.275399999999999</v>
      </c>
      <c r="X195" s="7">
        <v>0.2071208135705557</v>
      </c>
      <c r="Y195" s="7">
        <v>0.14775413711583926</v>
      </c>
      <c r="Z195" s="7">
        <v>6.8198</v>
      </c>
      <c r="AA195" s="7">
        <v>0.41099831490690886</v>
      </c>
    </row>
    <row r="196" spans="1:27">
      <c r="A196" t="s">
        <v>704</v>
      </c>
      <c r="B196" s="7">
        <v>1.8505153685301357</v>
      </c>
      <c r="C196" s="7">
        <v>4.7863</v>
      </c>
      <c r="D196" s="7">
        <v>4.8701</v>
      </c>
      <c r="E196" s="7">
        <v>8.5223</v>
      </c>
      <c r="F196" s="7">
        <v>1</v>
      </c>
      <c r="G196" s="7">
        <v>1.0488777008600796</v>
      </c>
      <c r="H196" s="7">
        <v>7.84</v>
      </c>
      <c r="I196" s="7">
        <v>9.067</v>
      </c>
      <c r="J196" s="7">
        <v>0.86957</v>
      </c>
      <c r="K196" s="7">
        <v>0.022046390013867177</v>
      </c>
      <c r="L196" s="7">
        <v>0.042475</v>
      </c>
      <c r="M196" s="7">
        <v>0.004451765124872012</v>
      </c>
      <c r="N196" s="7">
        <v>0.8438106488903889</v>
      </c>
      <c r="O196" s="7">
        <v>0.3898027598035394</v>
      </c>
      <c r="P196" s="7">
        <v>1.670732114812711</v>
      </c>
      <c r="Q196" s="7">
        <v>0.7173601147776183</v>
      </c>
      <c r="R196" s="7">
        <v>3.9453</v>
      </c>
      <c r="S196" s="7">
        <v>1.8500360757034764</v>
      </c>
      <c r="T196" s="7">
        <v>0.09290226681531027</v>
      </c>
      <c r="U196" s="7">
        <v>1.810216863980305</v>
      </c>
      <c r="V196" s="7">
        <v>0.7200979333189313</v>
      </c>
      <c r="W196" s="7">
        <v>5.2785</v>
      </c>
      <c r="X196" s="7">
        <v>0.2066756226103131</v>
      </c>
      <c r="Y196" s="7">
        <v>0.14748131411750132</v>
      </c>
      <c r="Z196" s="7">
        <v>6.8147</v>
      </c>
      <c r="AA196" s="7">
        <v>0.4117768169652049</v>
      </c>
    </row>
    <row r="197" spans="1:27">
      <c r="A197" t="s">
        <v>705</v>
      </c>
      <c r="B197" s="7">
        <v>1.8493860038467227</v>
      </c>
      <c r="C197" s="7">
        <v>4.7685</v>
      </c>
      <c r="D197" s="7">
        <v>4.8669</v>
      </c>
      <c r="E197" s="7">
        <v>8.5059</v>
      </c>
      <c r="F197" s="7">
        <v>1</v>
      </c>
      <c r="G197" s="7">
        <v>1.048767697954903</v>
      </c>
      <c r="H197" s="7">
        <v>7.8392</v>
      </c>
      <c r="I197" s="7">
        <v>9.0847</v>
      </c>
      <c r="J197" s="7">
        <v>0.8693500000000001</v>
      </c>
      <c r="K197" s="7">
        <v>0.022048528811915023</v>
      </c>
      <c r="L197" s="7">
        <v>0.042416</v>
      </c>
      <c r="M197" s="7">
        <v>0.004455533772945999</v>
      </c>
      <c r="N197" s="7">
        <v>0.8435970980259827</v>
      </c>
      <c r="O197" s="7">
        <v>0.3897723729342064</v>
      </c>
      <c r="P197" s="7">
        <v>1.6746491610007703</v>
      </c>
      <c r="Q197" s="7">
        <v>0.7138268256121065</v>
      </c>
      <c r="R197" s="7">
        <v>3.9455</v>
      </c>
      <c r="S197" s="7">
        <v>1.8498307404872456</v>
      </c>
      <c r="T197" s="7">
        <v>0.09428447511832702</v>
      </c>
      <c r="U197" s="7">
        <v>1.8090379536162668</v>
      </c>
      <c r="V197" s="7">
        <v>0.7163323782234957</v>
      </c>
      <c r="W197" s="7">
        <v>5.2796</v>
      </c>
      <c r="X197" s="7">
        <v>0.20620257340811615</v>
      </c>
      <c r="Y197" s="7">
        <v>0.14737220619140112</v>
      </c>
      <c r="Z197" s="7">
        <v>6.813</v>
      </c>
      <c r="AA197" s="7">
        <v>0.4110152075626798</v>
      </c>
    </row>
    <row r="198" spans="1:27">
      <c r="A198" t="s">
        <v>706</v>
      </c>
      <c r="B198" s="7">
        <v>1.8501387604070303</v>
      </c>
      <c r="C198" s="7">
        <v>4.7556</v>
      </c>
      <c r="D198" s="7">
        <v>4.8726</v>
      </c>
      <c r="E198" s="7">
        <v>8.501</v>
      </c>
      <c r="F198" s="7">
        <v>1</v>
      </c>
      <c r="G198" s="7">
        <v>1.0492078480747036</v>
      </c>
      <c r="H198" s="7">
        <v>7.8425</v>
      </c>
      <c r="I198" s="7">
        <v>9.0834</v>
      </c>
      <c r="J198" s="7">
        <v>0.8697499999999999</v>
      </c>
      <c r="K198" s="7">
        <v>0.022003168456257705</v>
      </c>
      <c r="L198" s="7">
        <v>0.042385</v>
      </c>
      <c r="M198" s="7">
        <v>0.0044589111339011014</v>
      </c>
      <c r="N198" s="7">
        <v>0.8440243079000674</v>
      </c>
      <c r="O198" s="7">
        <v>0.390625</v>
      </c>
      <c r="P198" s="7">
        <v>1.6705088369917476</v>
      </c>
      <c r="Q198" s="7">
        <v>0.7176690110521028</v>
      </c>
      <c r="R198" s="7">
        <v>3.9391</v>
      </c>
      <c r="S198" s="7">
        <v>1.845427031815162</v>
      </c>
      <c r="T198" s="7">
        <v>0.0939911460340436</v>
      </c>
      <c r="U198" s="7">
        <v>1.8101185627658611</v>
      </c>
      <c r="V198" s="7">
        <v>0.7140307033202428</v>
      </c>
      <c r="W198" s="7">
        <v>5.2798</v>
      </c>
      <c r="X198" s="7">
        <v>0.20596898107145065</v>
      </c>
      <c r="Y198" s="7">
        <v>0.14731098527479392</v>
      </c>
      <c r="Z198" s="7">
        <v>6.815</v>
      </c>
      <c r="AA198" s="7">
        <v>0.4102059233735335</v>
      </c>
    </row>
    <row r="199" spans="1:27">
      <c r="A199" t="s">
        <v>297</v>
      </c>
      <c r="B199" s="7">
        <v>1.8470972866140856</v>
      </c>
      <c r="C199" s="7">
        <v>4.7806999999999995</v>
      </c>
      <c r="D199" s="7">
        <v>4.8559</v>
      </c>
      <c r="E199" s="7">
        <v>8.5399</v>
      </c>
      <c r="F199" s="7">
        <v>1</v>
      </c>
      <c r="G199" s="7">
        <v>1.0511931041732367</v>
      </c>
      <c r="H199" s="7">
        <v>7.8576</v>
      </c>
      <c r="I199" s="7">
        <v>9.1053</v>
      </c>
      <c r="J199" s="7">
        <v>0.86926</v>
      </c>
      <c r="K199" s="7">
        <v>0.022204162836448577</v>
      </c>
      <c r="L199" s="7">
        <v>0.042419000000000005</v>
      </c>
      <c r="M199" s="7">
        <v>0.004459109961651654</v>
      </c>
      <c r="N199" s="7">
        <v>0.8432414200185513</v>
      </c>
      <c r="O199" s="7">
        <v>0.39415080209688225</v>
      </c>
      <c r="P199" s="7">
        <v>1.6729122055674517</v>
      </c>
      <c r="Q199" s="7">
        <v>0.714694110920526</v>
      </c>
      <c r="R199" s="7">
        <v>3.9546</v>
      </c>
      <c r="S199" s="7">
        <v>1.8510634359439495</v>
      </c>
      <c r="T199" s="7">
        <v>0.09410701850143983</v>
      </c>
      <c r="U199" s="7">
        <v>1.8072071420826257</v>
      </c>
      <c r="V199" s="7">
        <v>0.7183391997701314</v>
      </c>
      <c r="W199" s="7">
        <v>5.2890999999999995</v>
      </c>
      <c r="X199" s="7">
        <v>0.20678674083417772</v>
      </c>
      <c r="Y199" s="7">
        <v>0.14681549843127642</v>
      </c>
      <c r="Z199" s="7">
        <v>6.8109</v>
      </c>
      <c r="AA199" s="7">
        <v>0.417240372178412</v>
      </c>
    </row>
    <row r="200" spans="1:27">
      <c r="A200" t="s">
        <v>305</v>
      </c>
      <c r="B200" s="7">
        <v>1.8470972866140856</v>
      </c>
      <c r="C200" s="7">
        <v>4.7806999999999995</v>
      </c>
      <c r="D200" s="7">
        <v>4.8559</v>
      </c>
      <c r="E200" s="7">
        <v>8.5399</v>
      </c>
      <c r="F200" s="7">
        <v>1</v>
      </c>
      <c r="G200" s="7">
        <v>1.0511931041732367</v>
      </c>
      <c r="H200" s="7">
        <v>7.8576</v>
      </c>
      <c r="I200" s="7">
        <v>9.1053</v>
      </c>
      <c r="J200" s="7">
        <v>0.86926</v>
      </c>
      <c r="K200" s="7">
        <v>0.022204162836448577</v>
      </c>
      <c r="L200" s="7">
        <v>0.042419000000000005</v>
      </c>
      <c r="M200" s="7">
        <v>0.004459109961651654</v>
      </c>
      <c r="N200" s="7">
        <v>0.8432414200185513</v>
      </c>
      <c r="O200" s="7">
        <v>0.39415080209688225</v>
      </c>
      <c r="P200" s="7">
        <v>1.6729122055674517</v>
      </c>
      <c r="Q200" s="7">
        <v>0.714694110920526</v>
      </c>
      <c r="R200" s="7">
        <v>3.9546</v>
      </c>
      <c r="S200" s="7">
        <v>1.8510634359439495</v>
      </c>
      <c r="T200" s="7">
        <v>0.09410701850143983</v>
      </c>
      <c r="U200" s="7">
        <v>1.8072071420826257</v>
      </c>
      <c r="V200" s="7">
        <v>0.7183391997701314</v>
      </c>
      <c r="W200" s="7">
        <v>5.2890999999999995</v>
      </c>
      <c r="X200" s="7">
        <v>0.20678674083417772</v>
      </c>
      <c r="Y200" s="7">
        <v>0.14681549843127642</v>
      </c>
      <c r="Z200" s="7">
        <v>6.8109</v>
      </c>
      <c r="AA200" s="7">
        <v>0.417240372178412</v>
      </c>
    </row>
    <row r="201" spans="1:27">
      <c r="A201" t="s">
        <v>707</v>
      </c>
      <c r="B201" s="7">
        <v>1.8470972866140856</v>
      </c>
      <c r="C201" s="7">
        <v>4.7806999999999995</v>
      </c>
      <c r="D201" s="7">
        <v>4.8559</v>
      </c>
      <c r="E201" s="7">
        <v>8.5399</v>
      </c>
      <c r="F201" s="7">
        <v>1</v>
      </c>
      <c r="G201" s="7">
        <v>1.0511931041732367</v>
      </c>
      <c r="H201" s="7">
        <v>7.8576</v>
      </c>
      <c r="I201" s="7">
        <v>9.1053</v>
      </c>
      <c r="J201" s="7">
        <v>0.86926</v>
      </c>
      <c r="K201" s="7">
        <v>0.022204162836448577</v>
      </c>
      <c r="L201" s="7">
        <v>0.042419000000000005</v>
      </c>
      <c r="M201" s="7">
        <v>0.004459109961651654</v>
      </c>
      <c r="N201" s="7">
        <v>0.8432414200185513</v>
      </c>
      <c r="O201" s="7">
        <v>0.39415080209688225</v>
      </c>
      <c r="P201" s="7">
        <v>1.6729122055674517</v>
      </c>
      <c r="Q201" s="7">
        <v>0.714694110920526</v>
      </c>
      <c r="R201" s="7">
        <v>3.9546</v>
      </c>
      <c r="S201" s="7">
        <v>1.8510634359439495</v>
      </c>
      <c r="T201" s="7">
        <v>0.09410701850143983</v>
      </c>
      <c r="U201" s="7">
        <v>1.8072071420826257</v>
      </c>
      <c r="V201" s="7">
        <v>0.7183391997701314</v>
      </c>
      <c r="W201" s="7">
        <v>5.2890999999999995</v>
      </c>
      <c r="X201" s="7">
        <v>0.20678674083417772</v>
      </c>
      <c r="Y201" s="7">
        <v>0.14681549843127642</v>
      </c>
      <c r="Z201" s="7">
        <v>6.8109</v>
      </c>
      <c r="AA201" s="7">
        <v>0.417240372178412</v>
      </c>
    </row>
    <row r="202" spans="1:27">
      <c r="A202" t="s">
        <v>708</v>
      </c>
      <c r="B202" s="7">
        <v>1.84505249174339</v>
      </c>
      <c r="C202" s="7">
        <v>4.7949</v>
      </c>
      <c r="D202" s="7">
        <v>4.8525</v>
      </c>
      <c r="E202" s="7">
        <v>8.5442</v>
      </c>
      <c r="F202" s="7">
        <v>1</v>
      </c>
      <c r="G202" s="7">
        <v>1.0526315789473684</v>
      </c>
      <c r="H202" s="7">
        <v>7.8686</v>
      </c>
      <c r="I202" s="7">
        <v>9.1191</v>
      </c>
      <c r="J202" s="7">
        <v>0.86897</v>
      </c>
      <c r="K202" s="7">
        <v>0.022425094577836382</v>
      </c>
      <c r="L202" s="7">
        <v>0.042424</v>
      </c>
      <c r="M202" s="7">
        <v>0.0044804874770375015</v>
      </c>
      <c r="N202" s="7">
        <v>0.8432414200185513</v>
      </c>
      <c r="O202" s="7">
        <v>0.3957418180379121</v>
      </c>
      <c r="P202" s="7">
        <v>1.675406704977633</v>
      </c>
      <c r="Q202" s="7">
        <v>0.7133685261806249</v>
      </c>
      <c r="R202" s="7">
        <v>3.9662</v>
      </c>
      <c r="S202" s="7">
        <v>1.8573551263001484</v>
      </c>
      <c r="T202" s="7">
        <v>0.09335934947205286</v>
      </c>
      <c r="U202" s="7">
        <v>1.8058038535854235</v>
      </c>
      <c r="V202" s="7">
        <v>0.7221259387637204</v>
      </c>
      <c r="W202" s="7">
        <v>5.2944</v>
      </c>
      <c r="X202" s="7">
        <v>0.2075980900975711</v>
      </c>
      <c r="Y202" s="7">
        <v>0.1465757701457403</v>
      </c>
      <c r="Z202" s="7">
        <v>6.8088</v>
      </c>
      <c r="AA202" s="7">
        <v>0.41893590280687054</v>
      </c>
    </row>
    <row r="203" spans="1:27">
      <c r="A203" t="s">
        <v>709</v>
      </c>
      <c r="B203" s="7">
        <v>1.846244738202496</v>
      </c>
      <c r="C203" s="7">
        <v>4.7961</v>
      </c>
      <c r="D203" s="7">
        <v>4.8465</v>
      </c>
      <c r="E203" s="7">
        <v>8.5453</v>
      </c>
      <c r="F203" s="7">
        <v>1</v>
      </c>
      <c r="G203" s="7">
        <v>1.0520778537611783</v>
      </c>
      <c r="H203" s="7">
        <v>7.8636</v>
      </c>
      <c r="I203" s="7">
        <v>9.1015</v>
      </c>
      <c r="J203" s="7">
        <v>0.86932</v>
      </c>
      <c r="K203" s="7">
        <v>0.02247115265777558</v>
      </c>
      <c r="L203" s="7">
        <v>0.042394999999999995</v>
      </c>
      <c r="M203" s="7">
        <v>0.004469873055605221</v>
      </c>
      <c r="N203" s="7">
        <v>0.8435970980259827</v>
      </c>
      <c r="O203" s="7">
        <v>0.3947264545669851</v>
      </c>
      <c r="P203" s="7">
        <v>1.677345768056627</v>
      </c>
      <c r="Q203" s="7">
        <v>0.7110858280594468</v>
      </c>
      <c r="R203" s="7">
        <v>3.9522</v>
      </c>
      <c r="S203" s="7">
        <v>1.8521948508983144</v>
      </c>
      <c r="T203" s="7">
        <v>0.09327140112298768</v>
      </c>
      <c r="U203" s="7">
        <v>1.807076511619502</v>
      </c>
      <c r="V203" s="7">
        <v>0.7215007215007215</v>
      </c>
      <c r="W203" s="7">
        <v>5.2901</v>
      </c>
      <c r="X203" s="7">
        <v>0.20808190103624788</v>
      </c>
      <c r="Y203" s="7">
        <v>0.14661015333955937</v>
      </c>
      <c r="Z203" s="7">
        <v>6.8108</v>
      </c>
      <c r="AA203" s="7">
        <v>0.41930479265378</v>
      </c>
    </row>
    <row r="204" spans="1:27">
      <c r="A204" t="s">
        <v>310</v>
      </c>
      <c r="B204" s="7">
        <v>1.845835794447726</v>
      </c>
      <c r="C204" s="7">
        <v>4.7944</v>
      </c>
      <c r="D204" s="7">
        <v>4.845</v>
      </c>
      <c r="E204" s="7">
        <v>8.5616</v>
      </c>
      <c r="F204" s="7">
        <v>1</v>
      </c>
      <c r="G204" s="7">
        <v>1.053962900505902</v>
      </c>
      <c r="H204" s="7">
        <v>7.8776</v>
      </c>
      <c r="I204" s="7">
        <v>9.1099</v>
      </c>
      <c r="J204" s="7">
        <v>0.86945</v>
      </c>
      <c r="K204" s="7">
        <v>0.022576370216349357</v>
      </c>
      <c r="L204" s="7">
        <v>0.042346</v>
      </c>
      <c r="M204" s="7">
        <v>0.004479483963447411</v>
      </c>
      <c r="N204" s="7">
        <v>0.8437394532568343</v>
      </c>
      <c r="O204" s="7">
        <v>0.3949759064697053</v>
      </c>
      <c r="P204" s="7">
        <v>1.6696163221691656</v>
      </c>
      <c r="Q204" s="7">
        <v>0.71571714858288</v>
      </c>
      <c r="R204" s="7">
        <v>3.9557</v>
      </c>
      <c r="S204" s="7">
        <v>1.861434793939168</v>
      </c>
      <c r="T204" s="7">
        <v>0.09319230231582872</v>
      </c>
      <c r="U204" s="7">
        <v>1.80658681552942</v>
      </c>
      <c r="V204" s="7">
        <v>0.7242702976750924</v>
      </c>
      <c r="W204" s="7">
        <v>5.2925</v>
      </c>
      <c r="X204" s="7">
        <v>0.2081641999208976</v>
      </c>
      <c r="Y204" s="7">
        <v>0.14651928779904586</v>
      </c>
      <c r="Z204" s="7">
        <v>6.8096000000000005</v>
      </c>
      <c r="AA204" s="7">
        <v>0.4193927193423922</v>
      </c>
    </row>
    <row r="205" spans="1:27">
      <c r="A205" t="s">
        <v>710</v>
      </c>
      <c r="B205" s="7">
        <v>1.849249204822842</v>
      </c>
      <c r="C205" s="7">
        <v>4.7702</v>
      </c>
      <c r="D205" s="7">
        <v>4.8168</v>
      </c>
      <c r="E205" s="7">
        <v>8.5038</v>
      </c>
      <c r="F205" s="7">
        <v>1</v>
      </c>
      <c r="G205" s="7">
        <v>1.0462439840970914</v>
      </c>
      <c r="H205" s="7">
        <v>7.8174</v>
      </c>
      <c r="I205" s="7">
        <v>9.0392</v>
      </c>
      <c r="J205" s="7">
        <v>0.8694799999999999</v>
      </c>
      <c r="K205" s="7">
        <v>0.02228198746415385</v>
      </c>
      <c r="L205" s="7">
        <v>0.042336</v>
      </c>
      <c r="M205" s="7">
        <v>0.004447013830213012</v>
      </c>
      <c r="N205" s="7">
        <v>0.8438106488903889</v>
      </c>
      <c r="O205" s="7">
        <v>0.3932672644329086</v>
      </c>
      <c r="P205" s="7">
        <v>1.667722891164404</v>
      </c>
      <c r="Q205" s="7">
        <v>0.7065140596297866</v>
      </c>
      <c r="R205" s="7">
        <v>3.9259</v>
      </c>
      <c r="S205" s="7">
        <v>1.8435558505244916</v>
      </c>
      <c r="T205" s="7">
        <v>0.0928962256263528</v>
      </c>
      <c r="U205" s="7">
        <v>1.809758216302302</v>
      </c>
      <c r="V205" s="7">
        <v>0.7144388083160678</v>
      </c>
      <c r="W205" s="7">
        <v>5.2764</v>
      </c>
      <c r="X205" s="7">
        <v>0.20748179347262277</v>
      </c>
      <c r="Y205" s="7">
        <v>0.14634346225216735</v>
      </c>
      <c r="Z205" s="7">
        <v>6.813</v>
      </c>
      <c r="AA205" s="7">
        <v>0.4151961801951422</v>
      </c>
    </row>
    <row r="206" spans="1:27">
      <c r="A206" t="s">
        <v>711</v>
      </c>
      <c r="B206" s="7">
        <v>1.849249204822842</v>
      </c>
      <c r="C206" s="7">
        <v>4.7702</v>
      </c>
      <c r="D206" s="7">
        <v>4.8168</v>
      </c>
      <c r="E206" s="7">
        <v>8.5038</v>
      </c>
      <c r="F206" s="7">
        <v>1</v>
      </c>
      <c r="G206" s="7">
        <v>1.0462439840970914</v>
      </c>
      <c r="H206" s="7">
        <v>7.8174</v>
      </c>
      <c r="I206" s="7">
        <v>9.0392</v>
      </c>
      <c r="J206" s="7">
        <v>0.8694799999999999</v>
      </c>
      <c r="K206" s="7">
        <v>0.02228198746415385</v>
      </c>
      <c r="L206" s="7">
        <v>0.042336</v>
      </c>
      <c r="M206" s="7">
        <v>0.004447013830213012</v>
      </c>
      <c r="N206" s="7">
        <v>0.8438106488903889</v>
      </c>
      <c r="O206" s="7">
        <v>0.3932672644329086</v>
      </c>
      <c r="P206" s="7">
        <v>1.667722891164404</v>
      </c>
      <c r="Q206" s="7">
        <v>0.7065140596297866</v>
      </c>
      <c r="R206" s="7">
        <v>3.9259</v>
      </c>
      <c r="S206" s="7">
        <v>1.8435558505244916</v>
      </c>
      <c r="T206" s="7">
        <v>0.0928962256263528</v>
      </c>
      <c r="U206" s="7">
        <v>1.809758216302302</v>
      </c>
      <c r="V206" s="7">
        <v>0.7144388083160678</v>
      </c>
      <c r="W206" s="7">
        <v>5.2764</v>
      </c>
      <c r="X206" s="7">
        <v>0.20748179347262277</v>
      </c>
      <c r="Y206" s="7">
        <v>0.14634346225216735</v>
      </c>
      <c r="Z206" s="7">
        <v>6.813</v>
      </c>
      <c r="AA206" s="7">
        <v>0.4151961801951422</v>
      </c>
    </row>
    <row r="207" spans="1:27">
      <c r="A207" t="s">
        <v>712</v>
      </c>
      <c r="B207" s="7">
        <v>1.849249204822842</v>
      </c>
      <c r="C207" s="7">
        <v>4.7702</v>
      </c>
      <c r="D207" s="7">
        <v>4.8168</v>
      </c>
      <c r="E207" s="7">
        <v>8.5038</v>
      </c>
      <c r="F207" s="7">
        <v>1</v>
      </c>
      <c r="G207" s="7">
        <v>1.0462439840970914</v>
      </c>
      <c r="H207" s="7">
        <v>7.8174</v>
      </c>
      <c r="I207" s="7">
        <v>9.0392</v>
      </c>
      <c r="J207" s="7">
        <v>0.8694799999999999</v>
      </c>
      <c r="K207" s="7">
        <v>0.02228198746415385</v>
      </c>
      <c r="L207" s="7">
        <v>0.042336</v>
      </c>
      <c r="M207" s="7">
        <v>0.004447013830213012</v>
      </c>
      <c r="N207" s="7">
        <v>0.8438106488903889</v>
      </c>
      <c r="O207" s="7">
        <v>0.3932672644329086</v>
      </c>
      <c r="P207" s="7">
        <v>1.667722891164404</v>
      </c>
      <c r="Q207" s="7">
        <v>0.7065140596297866</v>
      </c>
      <c r="R207" s="7">
        <v>3.9259</v>
      </c>
      <c r="S207" s="7">
        <v>1.8435558505244916</v>
      </c>
      <c r="T207" s="7">
        <v>0.0928962256263528</v>
      </c>
      <c r="U207" s="7">
        <v>1.809758216302302</v>
      </c>
      <c r="V207" s="7">
        <v>0.7144388083160678</v>
      </c>
      <c r="W207" s="7">
        <v>5.2764</v>
      </c>
      <c r="X207" s="7">
        <v>0.20748179347262277</v>
      </c>
      <c r="Y207" s="7">
        <v>0.14634346225216735</v>
      </c>
      <c r="Z207" s="7">
        <v>6.813</v>
      </c>
      <c r="AA207" s="7">
        <v>0.4151961801951422</v>
      </c>
    </row>
    <row r="208" spans="1:27">
      <c r="A208" t="s">
        <v>713</v>
      </c>
      <c r="B208" s="7">
        <v>1.849249204822842</v>
      </c>
      <c r="C208" s="7">
        <v>4.7702</v>
      </c>
      <c r="D208" s="7">
        <v>4.8168</v>
      </c>
      <c r="E208" s="7">
        <v>8.5038</v>
      </c>
      <c r="F208" s="7">
        <v>1</v>
      </c>
      <c r="G208" s="7">
        <v>1.0462439840970914</v>
      </c>
      <c r="H208" s="7">
        <v>7.8174</v>
      </c>
      <c r="I208" s="7">
        <v>9.0392</v>
      </c>
      <c r="J208" s="7">
        <v>0.8694799999999999</v>
      </c>
      <c r="K208" s="7">
        <v>0.02228198746415385</v>
      </c>
      <c r="L208" s="7">
        <v>0.042336</v>
      </c>
      <c r="M208" s="7">
        <v>0.004447013830213012</v>
      </c>
      <c r="N208" s="7">
        <v>0.8438106488903889</v>
      </c>
      <c r="O208" s="7">
        <v>0.3932672644329086</v>
      </c>
      <c r="P208" s="7">
        <v>1.667722891164404</v>
      </c>
      <c r="Q208" s="7">
        <v>0.7065140596297866</v>
      </c>
      <c r="R208" s="7">
        <v>3.9259</v>
      </c>
      <c r="S208" s="7">
        <v>1.8435558505244916</v>
      </c>
      <c r="T208" s="7">
        <v>0.0928962256263528</v>
      </c>
      <c r="U208" s="7">
        <v>1.809758216302302</v>
      </c>
      <c r="V208" s="7">
        <v>0.7144388083160678</v>
      </c>
      <c r="W208" s="7">
        <v>5.2764</v>
      </c>
      <c r="X208" s="7">
        <v>0.20748179347262277</v>
      </c>
      <c r="Y208" s="7">
        <v>0.14634346225216735</v>
      </c>
      <c r="Z208" s="7">
        <v>6.813</v>
      </c>
      <c r="AA208" s="7">
        <v>0.4151961801951422</v>
      </c>
    </row>
    <row r="209" spans="1:27">
      <c r="A209" t="s">
        <v>319</v>
      </c>
      <c r="B209" s="7">
        <v>1.849317601804934</v>
      </c>
      <c r="C209" s="7">
        <v>4.7589999999999995</v>
      </c>
      <c r="D209" s="7">
        <v>4.7915</v>
      </c>
      <c r="E209" s="7">
        <v>8.4161</v>
      </c>
      <c r="F209" s="7">
        <v>1</v>
      </c>
      <c r="G209" s="7">
        <v>1.0419922892570594</v>
      </c>
      <c r="H209" s="7">
        <v>7.7886</v>
      </c>
      <c r="I209" s="7">
        <v>8.9774</v>
      </c>
      <c r="J209" s="7">
        <v>0.8695499999999999</v>
      </c>
      <c r="K209" s="7">
        <v>0.022131238242779683</v>
      </c>
      <c r="L209" s="7">
        <v>0.042158</v>
      </c>
      <c r="M209" s="7">
        <v>0.004430660168365086</v>
      </c>
      <c r="N209" s="7">
        <v>0.8437394532568343</v>
      </c>
      <c r="O209" s="7">
        <v>0.3922645432079394</v>
      </c>
      <c r="P209" s="7">
        <v>1.6441689548017957</v>
      </c>
      <c r="Q209" s="7">
        <v>0.6999860002799944</v>
      </c>
      <c r="R209" s="7">
        <v>3.8958</v>
      </c>
      <c r="S209" s="7">
        <v>1.8310323360310543</v>
      </c>
      <c r="T209" s="7">
        <v>0.0927643784786642</v>
      </c>
      <c r="U209" s="7">
        <v>1.8095617241504107</v>
      </c>
      <c r="V209" s="7">
        <v>0.7083658000991713</v>
      </c>
      <c r="W209" s="7">
        <v>5.2586</v>
      </c>
      <c r="X209" s="7">
        <v>0.20609208194221176</v>
      </c>
      <c r="Y209" s="7">
        <v>0.1463081337080772</v>
      </c>
      <c r="Z209" s="7">
        <v>6.815</v>
      </c>
      <c r="AA209" s="7">
        <v>0.41324021653787346</v>
      </c>
    </row>
    <row r="210" spans="1:27">
      <c r="A210" t="s">
        <v>714</v>
      </c>
      <c r="B210" s="7">
        <v>1.8498307404872456</v>
      </c>
      <c r="C210" s="7">
        <v>4.7541</v>
      </c>
      <c r="D210" s="7">
        <v>4.7989999999999995</v>
      </c>
      <c r="E210" s="7">
        <v>8.4077</v>
      </c>
      <c r="F210" s="7">
        <v>1</v>
      </c>
      <c r="G210" s="7">
        <v>1.0389610389610389</v>
      </c>
      <c r="H210" s="7">
        <v>7.7654</v>
      </c>
      <c r="I210" s="7">
        <v>9.004299999999999</v>
      </c>
      <c r="J210" s="7">
        <v>0.86953</v>
      </c>
      <c r="K210" s="7">
        <v>0.02206847848875059</v>
      </c>
      <c r="L210" s="7">
        <v>0.042121000000000006</v>
      </c>
      <c r="M210" s="7">
        <v>0.004412089124200309</v>
      </c>
      <c r="N210" s="7">
        <v>0.8438106488903889</v>
      </c>
      <c r="O210" s="7">
        <v>0.39192631785224374</v>
      </c>
      <c r="P210" s="7">
        <v>1.640904466541958</v>
      </c>
      <c r="Q210" s="7">
        <v>0.7005253940455342</v>
      </c>
      <c r="R210" s="7">
        <v>3.8806</v>
      </c>
      <c r="S210" s="7">
        <v>1.8196044179995268</v>
      </c>
      <c r="T210" s="7">
        <v>0.09135173157207194</v>
      </c>
      <c r="U210" s="7">
        <v>1.8095617241504107</v>
      </c>
      <c r="V210" s="7">
        <v>0.7062645667066884</v>
      </c>
      <c r="W210" s="7">
        <v>5.2553</v>
      </c>
      <c r="X210" s="7">
        <v>0.20581637063412023</v>
      </c>
      <c r="Y210" s="7">
        <v>0.14628673076951207</v>
      </c>
      <c r="Z210" s="7">
        <v>6.8171</v>
      </c>
      <c r="AA210" s="7">
        <v>0.4146280786134837</v>
      </c>
    </row>
    <row r="211" spans="1:27">
      <c r="A211" t="s">
        <v>325</v>
      </c>
      <c r="B211" s="7">
        <v>1.852229157791402</v>
      </c>
      <c r="C211" s="7">
        <v>4.7046</v>
      </c>
      <c r="D211" s="7">
        <v>4.787</v>
      </c>
      <c r="E211" s="7">
        <v>8.4083</v>
      </c>
      <c r="F211" s="7">
        <v>1</v>
      </c>
      <c r="G211" s="7">
        <v>1.035840066293764</v>
      </c>
      <c r="H211" s="7">
        <v>7.7434</v>
      </c>
      <c r="I211" s="7">
        <v>8.9818</v>
      </c>
      <c r="J211" s="7">
        <v>0.8697499999999999</v>
      </c>
      <c r="K211" s="7">
        <v>0.021810678944624868</v>
      </c>
      <c r="L211" s="7">
        <v>0.042144</v>
      </c>
      <c r="M211" s="7">
        <v>0.004432820603750166</v>
      </c>
      <c r="N211" s="7">
        <v>0.8440243079000674</v>
      </c>
      <c r="O211" s="7">
        <v>0.38792769027853213</v>
      </c>
      <c r="P211" s="7">
        <v>1.643898670085976</v>
      </c>
      <c r="Q211" s="7">
        <v>0.6943962224845497</v>
      </c>
      <c r="R211" s="7">
        <v>3.8542</v>
      </c>
      <c r="S211" s="7">
        <v>1.8101513286510753</v>
      </c>
      <c r="T211" s="7">
        <v>0.0911244760342628</v>
      </c>
      <c r="U211" s="7">
        <v>1.812152293278727</v>
      </c>
      <c r="V211" s="7">
        <v>0.6985679357317499</v>
      </c>
      <c r="W211" s="7">
        <v>5.2477</v>
      </c>
      <c r="X211" s="7">
        <v>0.20423585156138307</v>
      </c>
      <c r="Y211" s="7">
        <v>0.14644311636809354</v>
      </c>
      <c r="Z211" s="7">
        <v>6.819500000000001</v>
      </c>
      <c r="AA211" s="7">
        <v>0.41160732661041366</v>
      </c>
    </row>
    <row r="212" spans="1:27">
      <c r="A212" t="s">
        <v>332</v>
      </c>
      <c r="B212" s="7">
        <v>1.85459940652819</v>
      </c>
      <c r="C212" s="7">
        <v>4.6992</v>
      </c>
      <c r="D212" s="7">
        <v>4.785299999999999</v>
      </c>
      <c r="E212" s="7">
        <v>8.3874</v>
      </c>
      <c r="F212" s="7">
        <v>1</v>
      </c>
      <c r="G212" s="7">
        <v>1.0347682119205297</v>
      </c>
      <c r="H212" s="7">
        <v>7.7349</v>
      </c>
      <c r="I212" s="7">
        <v>8.968200000000001</v>
      </c>
      <c r="J212" s="7">
        <v>0.87012</v>
      </c>
      <c r="K212" s="7">
        <v>0.021750715054757425</v>
      </c>
      <c r="L212" s="7">
        <v>0.042123999999999995</v>
      </c>
      <c r="M212" s="7">
        <v>0.004412089124200309</v>
      </c>
      <c r="N212" s="7">
        <v>0.8443806467955755</v>
      </c>
      <c r="O212" s="7">
        <v>0.3867574257425742</v>
      </c>
      <c r="P212" s="7">
        <v>1.648315421639085</v>
      </c>
      <c r="Q212" s="7">
        <v>0.6912760956726116</v>
      </c>
      <c r="R212" s="7">
        <v>3.845</v>
      </c>
      <c r="S212" s="7">
        <v>1.8053474391146576</v>
      </c>
      <c r="T212" s="7">
        <v>0.09099429465772496</v>
      </c>
      <c r="U212" s="7">
        <v>1.8142893428644</v>
      </c>
      <c r="V212" s="7">
        <v>0.6982265046781175</v>
      </c>
      <c r="W212" s="7">
        <v>5.2507</v>
      </c>
      <c r="X212" s="7">
        <v>0.2036701358479806</v>
      </c>
      <c r="Y212" s="7">
        <v>0.1464860201066711</v>
      </c>
      <c r="Z212" s="7">
        <v>6.8209</v>
      </c>
      <c r="AA212" s="7">
        <v>0.41135335252982314</v>
      </c>
    </row>
    <row r="213" spans="1:27">
      <c r="A213" t="s">
        <v>341</v>
      </c>
      <c r="B213" s="7">
        <v>1.854393057152394</v>
      </c>
      <c r="C213" s="7">
        <v>4.7021</v>
      </c>
      <c r="D213" s="7">
        <v>4.7954</v>
      </c>
      <c r="E213" s="7">
        <v>8.4046</v>
      </c>
      <c r="F213" s="7">
        <v>1</v>
      </c>
      <c r="G213" s="7">
        <v>1.0354110581901017</v>
      </c>
      <c r="H213" s="7">
        <v>7.7405</v>
      </c>
      <c r="I213" s="7">
        <v>8.9832</v>
      </c>
      <c r="J213" s="7">
        <v>0.86942</v>
      </c>
      <c r="K213" s="7">
        <v>0.0218651879968864</v>
      </c>
      <c r="L213" s="7">
        <v>0.042107</v>
      </c>
      <c r="M213" s="7">
        <v>0.004404316229905308</v>
      </c>
      <c r="N213" s="7">
        <v>0.8437394532568343</v>
      </c>
      <c r="O213" s="7">
        <v>0.38934745366765305</v>
      </c>
      <c r="P213" s="7">
        <v>1.6542870849807276</v>
      </c>
      <c r="Q213" s="7">
        <v>0.6903693476009666</v>
      </c>
      <c r="R213" s="7">
        <v>3.8435</v>
      </c>
      <c r="S213" s="7">
        <v>1.808187472877188</v>
      </c>
      <c r="T213" s="7">
        <v>0.09007142664132657</v>
      </c>
      <c r="U213" s="7">
        <v>1.813762832372039</v>
      </c>
      <c r="V213" s="7">
        <v>0.6992029086841001</v>
      </c>
      <c r="W213" s="7">
        <v>5.2526</v>
      </c>
      <c r="X213" s="7">
        <v>0.20388606846494176</v>
      </c>
      <c r="Y213" s="7">
        <v>0.14623303696771173</v>
      </c>
      <c r="Z213" s="7">
        <v>6.816599999999999</v>
      </c>
      <c r="AA213" s="7">
        <v>0.4129842240026431</v>
      </c>
    </row>
    <row r="214" spans="1:27">
      <c r="A214" t="s">
        <v>715</v>
      </c>
      <c r="B214" s="7">
        <v>1.854393057152394</v>
      </c>
      <c r="C214" s="7">
        <v>4.7021</v>
      </c>
      <c r="D214" s="7">
        <v>4.7954</v>
      </c>
      <c r="E214" s="7">
        <v>8.4046</v>
      </c>
      <c r="F214" s="7">
        <v>1</v>
      </c>
      <c r="G214" s="7">
        <v>1.0354110581901017</v>
      </c>
      <c r="H214" s="7">
        <v>7.7405</v>
      </c>
      <c r="I214" s="7">
        <v>8.9832</v>
      </c>
      <c r="J214" s="7">
        <v>0.86942</v>
      </c>
      <c r="K214" s="7">
        <v>0.0218651879968864</v>
      </c>
      <c r="L214" s="7">
        <v>0.042107</v>
      </c>
      <c r="M214" s="7">
        <v>0.004404316229905308</v>
      </c>
      <c r="N214" s="7">
        <v>0.8437394532568343</v>
      </c>
      <c r="O214" s="7">
        <v>0.38934745366765305</v>
      </c>
      <c r="P214" s="7">
        <v>1.6542870849807276</v>
      </c>
      <c r="Q214" s="7">
        <v>0.6903693476009666</v>
      </c>
      <c r="R214" s="7">
        <v>3.8435</v>
      </c>
      <c r="S214" s="7">
        <v>1.808187472877188</v>
      </c>
      <c r="T214" s="7">
        <v>0.09007142664132657</v>
      </c>
      <c r="U214" s="7">
        <v>1.813762832372039</v>
      </c>
      <c r="V214" s="7">
        <v>0.6992029086841001</v>
      </c>
      <c r="W214" s="7">
        <v>5.2526</v>
      </c>
      <c r="X214" s="7">
        <v>0.20388606846494176</v>
      </c>
      <c r="Y214" s="7">
        <v>0.14623303696771173</v>
      </c>
      <c r="Z214" s="7">
        <v>6.816599999999999</v>
      </c>
      <c r="AA214" s="7">
        <v>0.4129842240026431</v>
      </c>
    </row>
    <row r="215" spans="1:27">
      <c r="A215" t="s">
        <v>716</v>
      </c>
      <c r="B215" s="7">
        <v>1.854393057152394</v>
      </c>
      <c r="C215" s="7">
        <v>4.7021</v>
      </c>
      <c r="D215" s="7">
        <v>4.7954</v>
      </c>
      <c r="E215" s="7">
        <v>8.4046</v>
      </c>
      <c r="F215" s="7">
        <v>1</v>
      </c>
      <c r="G215" s="7">
        <v>1.0354110581901017</v>
      </c>
      <c r="H215" s="7">
        <v>7.7405</v>
      </c>
      <c r="I215" s="7">
        <v>8.9832</v>
      </c>
      <c r="J215" s="7">
        <v>0.86942</v>
      </c>
      <c r="K215" s="7">
        <v>0.0218651879968864</v>
      </c>
      <c r="L215" s="7">
        <v>0.042107</v>
      </c>
      <c r="M215" s="7">
        <v>0.004404316229905308</v>
      </c>
      <c r="N215" s="7">
        <v>0.8437394532568343</v>
      </c>
      <c r="O215" s="7">
        <v>0.38934745366765305</v>
      </c>
      <c r="P215" s="7">
        <v>1.6542870849807276</v>
      </c>
      <c r="Q215" s="7">
        <v>0.6903693476009666</v>
      </c>
      <c r="R215" s="7">
        <v>3.8435</v>
      </c>
      <c r="S215" s="7">
        <v>1.808187472877188</v>
      </c>
      <c r="T215" s="7">
        <v>0.09007142664132657</v>
      </c>
      <c r="U215" s="7">
        <v>1.813762832372039</v>
      </c>
      <c r="V215" s="7">
        <v>0.6992029086841001</v>
      </c>
      <c r="W215" s="7">
        <v>5.2526</v>
      </c>
      <c r="X215" s="7">
        <v>0.20388606846494176</v>
      </c>
      <c r="Y215" s="7">
        <v>0.14623303696771173</v>
      </c>
      <c r="Z215" s="7">
        <v>6.816599999999999</v>
      </c>
      <c r="AA215" s="7">
        <v>0.4129842240026431</v>
      </c>
    </row>
    <row r="216" spans="1:27">
      <c r="A216" t="s">
        <v>717</v>
      </c>
      <c r="B216" s="7">
        <v>1.854530618300508</v>
      </c>
      <c r="C216" s="7">
        <v>4.6955</v>
      </c>
      <c r="D216" s="7">
        <v>4.8004</v>
      </c>
      <c r="E216" s="7">
        <v>8.4108</v>
      </c>
      <c r="F216" s="7">
        <v>1</v>
      </c>
      <c r="G216" s="7">
        <v>1.0376673238559715</v>
      </c>
      <c r="H216" s="7">
        <v>7.7564</v>
      </c>
      <c r="I216" s="7">
        <v>8.9902</v>
      </c>
      <c r="J216" s="7">
        <v>0.86919</v>
      </c>
      <c r="K216" s="7">
        <v>0.021918048416968955</v>
      </c>
      <c r="L216" s="7">
        <v>0.04211</v>
      </c>
      <c r="M216" s="7">
        <v>0.004432624113475178</v>
      </c>
      <c r="N216" s="7">
        <v>0.8438818565400844</v>
      </c>
      <c r="O216" s="7">
        <v>0.38924136857265185</v>
      </c>
      <c r="P216" s="7">
        <v>1.666611112962901</v>
      </c>
      <c r="Q216" s="7">
        <v>0.6853539853334247</v>
      </c>
      <c r="R216" s="7">
        <v>3.8404</v>
      </c>
      <c r="S216" s="7">
        <v>1.8092998009770216</v>
      </c>
      <c r="T216" s="7">
        <v>0.08651192566895347</v>
      </c>
      <c r="U216" s="7">
        <v>1.8138944313440957</v>
      </c>
      <c r="V216" s="7">
        <v>0.6995452955578875</v>
      </c>
      <c r="W216" s="7">
        <v>5.2623</v>
      </c>
      <c r="X216" s="7">
        <v>0.20381957890874997</v>
      </c>
      <c r="Y216" s="7">
        <v>0.1461926321837232</v>
      </c>
      <c r="Z216" s="7">
        <v>6.8175</v>
      </c>
      <c r="AA216" s="7">
        <v>0.4139072847682119</v>
      </c>
    </row>
    <row r="217" spans="1:27">
      <c r="A217" t="s">
        <v>383</v>
      </c>
      <c r="B217" s="7">
        <v>1.8510634359439495</v>
      </c>
      <c r="C217" s="7">
        <v>4.680400000000001</v>
      </c>
      <c r="D217" s="7">
        <v>4.7847</v>
      </c>
      <c r="E217" s="7">
        <v>8.4228</v>
      </c>
      <c r="F217" s="7">
        <v>1</v>
      </c>
      <c r="G217" s="7">
        <v>1.039176971838304</v>
      </c>
      <c r="H217" s="7">
        <v>7.7671</v>
      </c>
      <c r="I217" s="7">
        <v>9.0145</v>
      </c>
      <c r="J217" s="7">
        <v>0.86855</v>
      </c>
      <c r="K217" s="7">
        <v>0.02196117703124417</v>
      </c>
      <c r="L217" s="7">
        <v>0.042045000000000006</v>
      </c>
      <c r="M217" s="7">
        <v>0.004402958788305741</v>
      </c>
      <c r="N217" s="7">
        <v>0.8432414200185513</v>
      </c>
      <c r="O217" s="7">
        <v>0.38968124074507055</v>
      </c>
      <c r="P217" s="7">
        <v>1.673416111650323</v>
      </c>
      <c r="Q217" s="7">
        <v>0.684931506849315</v>
      </c>
      <c r="R217" s="7">
        <v>3.8414</v>
      </c>
      <c r="S217" s="7">
        <v>1.812119454914468</v>
      </c>
      <c r="T217" s="7">
        <v>0.08826670668090703</v>
      </c>
      <c r="U217" s="7">
        <v>1.810380723066061</v>
      </c>
      <c r="V217" s="7">
        <v>0.7003291547027103</v>
      </c>
      <c r="W217" s="7">
        <v>5.2604999999999995</v>
      </c>
      <c r="X217" s="7">
        <v>0.20424419435877533</v>
      </c>
      <c r="Y217" s="7">
        <v>0.1458078777080168</v>
      </c>
      <c r="Z217" s="7">
        <v>6.8109</v>
      </c>
      <c r="AA217" s="7">
        <v>0.4144047076374788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8.7109375" customWidth="1"/>
  </cols>
  <sheetData>
    <row r="1" spans="1:2">
      <c r="A1" s="1" t="s">
        <v>0</v>
      </c>
      <c r="B1" s="1" t="s">
        <v>384</v>
      </c>
    </row>
    <row r="2" spans="1:2">
      <c r="A2" t="s">
        <v>718</v>
      </c>
      <c r="B2" t="s">
        <v>383</v>
      </c>
    </row>
    <row r="3" spans="1:2">
      <c r="A3" t="s">
        <v>719</v>
      </c>
      <c r="B3" t="s">
        <v>720</v>
      </c>
    </row>
    <row r="4" spans="1:2">
      <c r="A4" t="s">
        <v>721</v>
      </c>
      <c r="B4" t="s">
        <v>405</v>
      </c>
    </row>
    <row r="5" spans="1:2">
      <c r="A5" t="s">
        <v>722</v>
      </c>
      <c r="B5" t="s">
        <v>723</v>
      </c>
    </row>
    <row r="6" spans="1:2">
      <c r="A6" t="s">
        <v>724</v>
      </c>
      <c r="B6" t="s">
        <v>725</v>
      </c>
    </row>
    <row r="7" spans="1:2">
      <c r="A7" t="s">
        <v>726</v>
      </c>
      <c r="B7" t="s">
        <v>389</v>
      </c>
    </row>
    <row r="8" spans="1:2">
      <c r="A8" t="s">
        <v>727</v>
      </c>
      <c r="B8" t="s">
        <v>728</v>
      </c>
    </row>
    <row r="9" spans="1:2">
      <c r="A9" t="s">
        <v>729</v>
      </c>
      <c r="B9" t="s">
        <v>436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</cols>
  <sheetData>
    <row r="1" spans="1:2">
      <c r="A1" s="1" t="s">
        <v>0</v>
      </c>
      <c r="B1" s="1" t="s">
        <v>384</v>
      </c>
    </row>
    <row r="2" spans="1:2">
      <c r="A2" t="s">
        <v>730</v>
      </c>
      <c r="B2" t="s">
        <v>731</v>
      </c>
    </row>
    <row r="3" spans="1:2">
      <c r="A3" t="s">
        <v>732</v>
      </c>
      <c r="B3" t="s">
        <v>733</v>
      </c>
    </row>
    <row r="4" spans="1:2">
      <c r="A4" t="s">
        <v>724</v>
      </c>
      <c r="B4" t="s">
        <v>725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2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4" width="24.7109375" customWidth="1"/>
  </cols>
  <sheetData>
    <row r="1" spans="1:14">
      <c r="A1" s="1" t="s">
        <v>734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25</v>
      </c>
      <c r="H1" s="1" t="s">
        <v>22</v>
      </c>
      <c r="I1" s="1" t="s">
        <v>18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spans="1:14">
      <c r="A2" s="2">
        <v>4</v>
      </c>
      <c r="B2" t="s">
        <v>735</v>
      </c>
      <c r="C2" t="s">
        <v>58</v>
      </c>
      <c r="D2" t="s">
        <v>170</v>
      </c>
      <c r="E2" t="s">
        <v>171</v>
      </c>
      <c r="F2" t="s">
        <v>736</v>
      </c>
      <c r="G2" t="s">
        <v>53</v>
      </c>
      <c r="H2" t="s">
        <v>737</v>
      </c>
      <c r="I2" t="s">
        <v>580</v>
      </c>
      <c r="J2" t="s">
        <v>62</v>
      </c>
      <c r="K2" t="s">
        <v>64</v>
      </c>
      <c r="L2" t="s">
        <v>63</v>
      </c>
    </row>
    <row r="3" spans="1:14">
      <c r="A3" s="2">
        <v>5</v>
      </c>
      <c r="B3" t="s">
        <v>171</v>
      </c>
      <c r="C3" t="s">
        <v>75</v>
      </c>
      <c r="F3" t="s">
        <v>736</v>
      </c>
      <c r="G3" t="s">
        <v>53</v>
      </c>
      <c r="H3" t="s">
        <v>737</v>
      </c>
      <c r="I3" t="s">
        <v>580</v>
      </c>
      <c r="J3" t="s">
        <v>62</v>
      </c>
      <c r="K3" t="s">
        <v>738</v>
      </c>
      <c r="L3" t="s">
        <v>739</v>
      </c>
      <c r="M3" t="s">
        <v>170</v>
      </c>
      <c r="N3" t="s">
        <v>171</v>
      </c>
    </row>
    <row r="4" spans="1:14">
      <c r="A4" s="2">
        <v>6</v>
      </c>
      <c r="B4" t="s">
        <v>740</v>
      </c>
      <c r="C4" t="s">
        <v>58</v>
      </c>
      <c r="D4" t="s">
        <v>290</v>
      </c>
      <c r="E4" t="s">
        <v>741</v>
      </c>
      <c r="F4" t="s">
        <v>742</v>
      </c>
      <c r="G4" t="s">
        <v>53</v>
      </c>
      <c r="H4" t="s">
        <v>743</v>
      </c>
      <c r="I4" t="s">
        <v>581</v>
      </c>
      <c r="J4" t="s">
        <v>62</v>
      </c>
      <c r="K4" t="s">
        <v>64</v>
      </c>
      <c r="L4" t="s">
        <v>63</v>
      </c>
    </row>
    <row r="5" spans="1:14">
      <c r="A5" s="2">
        <v>7</v>
      </c>
      <c r="B5" t="s">
        <v>744</v>
      </c>
      <c r="C5" t="s">
        <v>75</v>
      </c>
      <c r="F5" t="s">
        <v>742</v>
      </c>
      <c r="G5" t="s">
        <v>53</v>
      </c>
      <c r="H5" t="s">
        <v>743</v>
      </c>
      <c r="I5" t="s">
        <v>581</v>
      </c>
      <c r="J5" t="s">
        <v>62</v>
      </c>
      <c r="K5" t="s">
        <v>738</v>
      </c>
      <c r="L5" t="s">
        <v>739</v>
      </c>
      <c r="M5" t="s">
        <v>290</v>
      </c>
      <c r="N5" t="s">
        <v>741</v>
      </c>
    </row>
    <row r="6" spans="1:14">
      <c r="A6" s="2">
        <v>8</v>
      </c>
      <c r="B6" t="s">
        <v>745</v>
      </c>
      <c r="C6" t="s">
        <v>58</v>
      </c>
      <c r="E6" t="s">
        <v>746</v>
      </c>
      <c r="F6" t="s">
        <v>747</v>
      </c>
      <c r="G6" t="s">
        <v>100</v>
      </c>
      <c r="H6" t="s">
        <v>748</v>
      </c>
      <c r="I6" t="s">
        <v>585</v>
      </c>
      <c r="K6" t="s">
        <v>749</v>
      </c>
      <c r="L6" t="s">
        <v>750</v>
      </c>
    </row>
    <row r="7" spans="1:14">
      <c r="A7" s="2">
        <v>9</v>
      </c>
      <c r="B7" t="s">
        <v>751</v>
      </c>
      <c r="C7" t="s">
        <v>75</v>
      </c>
      <c r="F7" t="s">
        <v>747</v>
      </c>
      <c r="G7" t="s">
        <v>100</v>
      </c>
      <c r="H7" t="s">
        <v>748</v>
      </c>
      <c r="I7" t="s">
        <v>585</v>
      </c>
      <c r="K7" t="s">
        <v>752</v>
      </c>
      <c r="L7" t="s">
        <v>753</v>
      </c>
      <c r="N7" t="s">
        <v>751</v>
      </c>
    </row>
    <row r="8" spans="1:14">
      <c r="A8" s="2">
        <v>10</v>
      </c>
      <c r="B8" t="s">
        <v>754</v>
      </c>
      <c r="C8" t="s">
        <v>75</v>
      </c>
      <c r="F8" t="s">
        <v>747</v>
      </c>
      <c r="G8" t="s">
        <v>100</v>
      </c>
      <c r="H8" t="s">
        <v>748</v>
      </c>
      <c r="I8" t="s">
        <v>585</v>
      </c>
      <c r="K8" t="s">
        <v>755</v>
      </c>
      <c r="L8" t="s">
        <v>756</v>
      </c>
      <c r="N8" t="s">
        <v>754</v>
      </c>
    </row>
    <row r="9" spans="1:14">
      <c r="A9" s="2">
        <v>11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53</v>
      </c>
      <c r="H9" t="s">
        <v>50</v>
      </c>
      <c r="I9" t="s">
        <v>47</v>
      </c>
      <c r="J9" t="s">
        <v>62</v>
      </c>
      <c r="K9" t="s">
        <v>52</v>
      </c>
      <c r="L9" t="s">
        <v>51</v>
      </c>
    </row>
    <row r="10" spans="1:14">
      <c r="A10" s="2">
        <v>12</v>
      </c>
      <c r="B10" t="s">
        <v>66</v>
      </c>
      <c r="C10" t="s">
        <v>58</v>
      </c>
      <c r="F10" t="s">
        <v>61</v>
      </c>
      <c r="G10" t="s">
        <v>53</v>
      </c>
      <c r="H10" t="s">
        <v>50</v>
      </c>
      <c r="I10" t="s">
        <v>47</v>
      </c>
      <c r="J10" t="s">
        <v>62</v>
      </c>
      <c r="K10" t="s">
        <v>64</v>
      </c>
      <c r="L10" t="s">
        <v>63</v>
      </c>
      <c r="M10" t="s">
        <v>59</v>
      </c>
      <c r="N10" t="s">
        <v>60</v>
      </c>
    </row>
    <row r="11" spans="1:14">
      <c r="A11" s="2">
        <v>13</v>
      </c>
      <c r="B11" t="s">
        <v>106</v>
      </c>
      <c r="C11" t="s">
        <v>58</v>
      </c>
      <c r="E11" t="s">
        <v>106</v>
      </c>
      <c r="F11" t="s">
        <v>757</v>
      </c>
      <c r="G11" t="s">
        <v>100</v>
      </c>
      <c r="H11" t="s">
        <v>758</v>
      </c>
      <c r="I11" t="s">
        <v>588</v>
      </c>
      <c r="K11" t="s">
        <v>759</v>
      </c>
      <c r="L11" t="s">
        <v>760</v>
      </c>
    </row>
    <row r="12" spans="1:14">
      <c r="A12" s="2">
        <v>14</v>
      </c>
      <c r="B12" t="s">
        <v>761</v>
      </c>
      <c r="C12" t="s">
        <v>58</v>
      </c>
      <c r="F12" t="s">
        <v>757</v>
      </c>
      <c r="G12" t="s">
        <v>100</v>
      </c>
      <c r="H12" t="s">
        <v>758</v>
      </c>
      <c r="I12" t="s">
        <v>588</v>
      </c>
      <c r="K12" t="s">
        <v>99</v>
      </c>
      <c r="L12" t="s">
        <v>98</v>
      </c>
      <c r="N12" t="s">
        <v>106</v>
      </c>
    </row>
    <row r="13" spans="1:14">
      <c r="A13" s="2">
        <v>15</v>
      </c>
      <c r="B13" t="s">
        <v>762</v>
      </c>
      <c r="C13" t="s">
        <v>58</v>
      </c>
      <c r="E13" t="s">
        <v>762</v>
      </c>
      <c r="F13" t="s">
        <v>763</v>
      </c>
      <c r="G13" t="s">
        <v>100</v>
      </c>
      <c r="H13" t="s">
        <v>764</v>
      </c>
      <c r="I13" t="s">
        <v>589</v>
      </c>
      <c r="K13" t="s">
        <v>765</v>
      </c>
      <c r="L13" t="s">
        <v>766</v>
      </c>
    </row>
    <row r="14" spans="1:14">
      <c r="A14" s="2">
        <v>16</v>
      </c>
      <c r="B14" t="s">
        <v>767</v>
      </c>
      <c r="C14" t="s">
        <v>58</v>
      </c>
      <c r="E14" t="s">
        <v>767</v>
      </c>
      <c r="F14" t="s">
        <v>763</v>
      </c>
      <c r="G14" t="s">
        <v>100</v>
      </c>
      <c r="H14" t="s">
        <v>764</v>
      </c>
      <c r="I14" t="s">
        <v>589</v>
      </c>
      <c r="K14" t="s">
        <v>768</v>
      </c>
      <c r="L14" t="s">
        <v>769</v>
      </c>
    </row>
    <row r="15" spans="1:14">
      <c r="A15" s="2">
        <v>17</v>
      </c>
      <c r="B15" t="s">
        <v>770</v>
      </c>
      <c r="C15" t="s">
        <v>58</v>
      </c>
      <c r="F15" t="s">
        <v>763</v>
      </c>
      <c r="G15" t="s">
        <v>100</v>
      </c>
      <c r="H15" t="s">
        <v>764</v>
      </c>
      <c r="I15" t="s">
        <v>589</v>
      </c>
      <c r="K15" t="s">
        <v>99</v>
      </c>
      <c r="L15" t="s">
        <v>98</v>
      </c>
      <c r="N15" t="s">
        <v>771</v>
      </c>
    </row>
    <row r="16" spans="1:14">
      <c r="A16" s="2">
        <v>18</v>
      </c>
      <c r="B16" t="s">
        <v>121</v>
      </c>
      <c r="C16" t="s">
        <v>58</v>
      </c>
      <c r="E16" t="s">
        <v>121</v>
      </c>
      <c r="F16" t="s">
        <v>772</v>
      </c>
      <c r="G16" t="s">
        <v>100</v>
      </c>
      <c r="H16" t="s">
        <v>773</v>
      </c>
      <c r="I16" t="s">
        <v>590</v>
      </c>
      <c r="K16" t="s">
        <v>774</v>
      </c>
      <c r="L16" t="s">
        <v>775</v>
      </c>
    </row>
    <row r="17" spans="1:14">
      <c r="A17" s="2">
        <v>19</v>
      </c>
      <c r="B17" t="s">
        <v>776</v>
      </c>
      <c r="C17" t="s">
        <v>58</v>
      </c>
      <c r="F17" t="s">
        <v>772</v>
      </c>
      <c r="G17" t="s">
        <v>100</v>
      </c>
      <c r="H17" t="s">
        <v>773</v>
      </c>
      <c r="I17" t="s">
        <v>590</v>
      </c>
      <c r="K17" t="s">
        <v>99</v>
      </c>
      <c r="L17" t="s">
        <v>98</v>
      </c>
      <c r="N17" t="s">
        <v>121</v>
      </c>
    </row>
    <row r="18" spans="1:14">
      <c r="A18" s="2">
        <v>20</v>
      </c>
      <c r="B18" t="s">
        <v>777</v>
      </c>
      <c r="C18" t="s">
        <v>58</v>
      </c>
      <c r="E18" t="s">
        <v>107</v>
      </c>
      <c r="F18" t="s">
        <v>778</v>
      </c>
      <c r="G18" t="s">
        <v>100</v>
      </c>
      <c r="H18" t="s">
        <v>779</v>
      </c>
      <c r="I18" t="s">
        <v>592</v>
      </c>
      <c r="K18" t="s">
        <v>780</v>
      </c>
      <c r="L18" t="s">
        <v>781</v>
      </c>
    </row>
    <row r="19" spans="1:14">
      <c r="A19" s="2">
        <v>21</v>
      </c>
      <c r="B19" t="s">
        <v>322</v>
      </c>
      <c r="C19" t="s">
        <v>75</v>
      </c>
      <c r="F19" t="s">
        <v>778</v>
      </c>
      <c r="G19" t="s">
        <v>53</v>
      </c>
      <c r="H19" t="s">
        <v>779</v>
      </c>
      <c r="I19" t="s">
        <v>592</v>
      </c>
      <c r="J19" t="s">
        <v>62</v>
      </c>
      <c r="K19" t="s">
        <v>71</v>
      </c>
      <c r="L19" t="s">
        <v>70</v>
      </c>
      <c r="M19" t="s">
        <v>106</v>
      </c>
      <c r="N19" t="s">
        <v>107</v>
      </c>
    </row>
    <row r="20" spans="1:14">
      <c r="A20" s="2">
        <v>22</v>
      </c>
      <c r="B20" t="s">
        <v>782</v>
      </c>
      <c r="C20" t="s">
        <v>58</v>
      </c>
      <c r="E20" t="s">
        <v>87</v>
      </c>
      <c r="F20" t="s">
        <v>783</v>
      </c>
      <c r="G20" t="s">
        <v>100</v>
      </c>
      <c r="H20" t="s">
        <v>784</v>
      </c>
      <c r="I20" t="s">
        <v>594</v>
      </c>
      <c r="K20" t="s">
        <v>780</v>
      </c>
      <c r="L20" t="s">
        <v>781</v>
      </c>
    </row>
    <row r="21" spans="1:14">
      <c r="A21" s="2">
        <v>23</v>
      </c>
      <c r="B21" t="s">
        <v>785</v>
      </c>
      <c r="C21" t="s">
        <v>58</v>
      </c>
      <c r="E21" t="s">
        <v>785</v>
      </c>
      <c r="F21" t="s">
        <v>783</v>
      </c>
      <c r="G21" t="s">
        <v>100</v>
      </c>
      <c r="H21" t="s">
        <v>784</v>
      </c>
      <c r="I21" t="s">
        <v>594</v>
      </c>
      <c r="K21" t="s">
        <v>786</v>
      </c>
      <c r="L21" t="s">
        <v>787</v>
      </c>
    </row>
    <row r="22" spans="1:14">
      <c r="A22" s="2">
        <v>24</v>
      </c>
      <c r="B22" t="s">
        <v>788</v>
      </c>
      <c r="C22" t="s">
        <v>75</v>
      </c>
      <c r="F22" t="s">
        <v>783</v>
      </c>
      <c r="G22" t="s">
        <v>100</v>
      </c>
      <c r="H22" t="s">
        <v>784</v>
      </c>
      <c r="I22" t="s">
        <v>594</v>
      </c>
      <c r="K22" t="s">
        <v>789</v>
      </c>
      <c r="L22" t="s">
        <v>790</v>
      </c>
      <c r="N22" t="s">
        <v>791</v>
      </c>
    </row>
    <row r="23" spans="1:14">
      <c r="A23" s="2">
        <v>25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53</v>
      </c>
      <c r="H23" t="s">
        <v>69</v>
      </c>
      <c r="I23" t="s">
        <v>67</v>
      </c>
      <c r="J23" t="s">
        <v>62</v>
      </c>
      <c r="K23" t="s">
        <v>71</v>
      </c>
      <c r="L23" t="s">
        <v>70</v>
      </c>
    </row>
    <row r="24" spans="1:14">
      <c r="A24" s="2">
        <v>26</v>
      </c>
      <c r="B24" t="s">
        <v>79</v>
      </c>
      <c r="C24" t="s">
        <v>58</v>
      </c>
      <c r="F24" t="s">
        <v>78</v>
      </c>
      <c r="G24" t="s">
        <v>53</v>
      </c>
      <c r="H24" t="s">
        <v>69</v>
      </c>
      <c r="I24" t="s">
        <v>67</v>
      </c>
      <c r="J24" t="s">
        <v>62</v>
      </c>
      <c r="K24" t="s">
        <v>52</v>
      </c>
      <c r="L24" t="s">
        <v>51</v>
      </c>
      <c r="M24" t="s">
        <v>76</v>
      </c>
      <c r="N24" t="s">
        <v>77</v>
      </c>
    </row>
    <row r="25" spans="1:14">
      <c r="A25" s="2">
        <v>27</v>
      </c>
      <c r="B25" t="s">
        <v>89</v>
      </c>
      <c r="C25" t="s">
        <v>58</v>
      </c>
      <c r="D25" t="s">
        <v>88</v>
      </c>
      <c r="E25" t="s">
        <v>89</v>
      </c>
      <c r="F25" t="s">
        <v>792</v>
      </c>
      <c r="G25" t="s">
        <v>85</v>
      </c>
      <c r="H25" t="s">
        <v>793</v>
      </c>
      <c r="I25" t="s">
        <v>596</v>
      </c>
      <c r="J25" t="s">
        <v>91</v>
      </c>
      <c r="K25" t="s">
        <v>794</v>
      </c>
      <c r="L25" t="s">
        <v>795</v>
      </c>
    </row>
    <row r="26" spans="1:14">
      <c r="A26" s="2">
        <v>28</v>
      </c>
      <c r="B26" t="s">
        <v>796</v>
      </c>
      <c r="C26" t="s">
        <v>75</v>
      </c>
      <c r="F26" t="s">
        <v>792</v>
      </c>
      <c r="G26" t="s">
        <v>85</v>
      </c>
      <c r="H26" t="s">
        <v>793</v>
      </c>
      <c r="I26" t="s">
        <v>596</v>
      </c>
      <c r="J26" t="s">
        <v>91</v>
      </c>
      <c r="K26" t="s">
        <v>84</v>
      </c>
      <c r="L26" t="s">
        <v>83</v>
      </c>
      <c r="M26" t="s">
        <v>88</v>
      </c>
      <c r="N26" t="s">
        <v>89</v>
      </c>
    </row>
    <row r="27" spans="1:14">
      <c r="A27" s="2">
        <v>29</v>
      </c>
      <c r="B27" t="s">
        <v>87</v>
      </c>
      <c r="C27" t="s">
        <v>75</v>
      </c>
      <c r="D27" t="s">
        <v>88</v>
      </c>
      <c r="E27" t="s">
        <v>89</v>
      </c>
      <c r="F27" t="s">
        <v>90</v>
      </c>
      <c r="G27" t="s">
        <v>85</v>
      </c>
      <c r="H27" t="s">
        <v>82</v>
      </c>
      <c r="I27" t="s">
        <v>80</v>
      </c>
      <c r="J27" t="s">
        <v>91</v>
      </c>
      <c r="K27" t="s">
        <v>84</v>
      </c>
      <c r="L27" t="s">
        <v>83</v>
      </c>
    </row>
    <row r="28" spans="1:14">
      <c r="A28" s="2">
        <v>30</v>
      </c>
      <c r="B28" t="s">
        <v>94</v>
      </c>
      <c r="C28" t="s">
        <v>58</v>
      </c>
      <c r="F28" t="s">
        <v>90</v>
      </c>
      <c r="G28" t="s">
        <v>85</v>
      </c>
      <c r="H28" t="s">
        <v>82</v>
      </c>
      <c r="I28" t="s">
        <v>80</v>
      </c>
      <c r="J28" t="s">
        <v>91</v>
      </c>
      <c r="K28" t="s">
        <v>93</v>
      </c>
      <c r="L28" t="s">
        <v>92</v>
      </c>
      <c r="M28" t="s">
        <v>88</v>
      </c>
      <c r="N28" t="s">
        <v>89</v>
      </c>
    </row>
    <row r="29" spans="1:14">
      <c r="A29" s="2">
        <v>31</v>
      </c>
      <c r="B29" t="s">
        <v>102</v>
      </c>
      <c r="C29" t="s">
        <v>58</v>
      </c>
      <c r="E29" t="s">
        <v>103</v>
      </c>
      <c r="F29" t="s">
        <v>104</v>
      </c>
      <c r="G29" t="s">
        <v>100</v>
      </c>
      <c r="H29" t="s">
        <v>97</v>
      </c>
      <c r="I29" t="s">
        <v>95</v>
      </c>
      <c r="K29" t="s">
        <v>99</v>
      </c>
      <c r="L29" t="s">
        <v>98</v>
      </c>
    </row>
    <row r="30" spans="1:14">
      <c r="A30" s="2">
        <v>32</v>
      </c>
      <c r="B30" t="s">
        <v>105</v>
      </c>
      <c r="C30" t="s">
        <v>58</v>
      </c>
      <c r="F30" t="s">
        <v>104</v>
      </c>
      <c r="G30" t="s">
        <v>53</v>
      </c>
      <c r="H30" t="s">
        <v>97</v>
      </c>
      <c r="I30" t="s">
        <v>95</v>
      </c>
      <c r="J30" t="s">
        <v>62</v>
      </c>
      <c r="K30" t="s">
        <v>52</v>
      </c>
      <c r="L30" t="s">
        <v>51</v>
      </c>
      <c r="M30" t="s">
        <v>106</v>
      </c>
      <c r="N30" t="s">
        <v>107</v>
      </c>
    </row>
    <row r="31" spans="1:14">
      <c r="A31" s="2">
        <v>33</v>
      </c>
      <c r="B31" t="s">
        <v>110</v>
      </c>
      <c r="C31" t="s">
        <v>75</v>
      </c>
      <c r="F31" t="s">
        <v>104</v>
      </c>
      <c r="G31" t="s">
        <v>100</v>
      </c>
      <c r="H31" t="s">
        <v>97</v>
      </c>
      <c r="I31" t="s">
        <v>95</v>
      </c>
      <c r="K31" t="s">
        <v>109</v>
      </c>
      <c r="L31" t="s">
        <v>108</v>
      </c>
      <c r="N31" t="s">
        <v>110</v>
      </c>
    </row>
    <row r="32" spans="1:14">
      <c r="A32" s="2">
        <v>34</v>
      </c>
      <c r="B32" t="s">
        <v>115</v>
      </c>
      <c r="C32" t="s">
        <v>58</v>
      </c>
      <c r="D32" t="s">
        <v>116</v>
      </c>
      <c r="E32" t="s">
        <v>117</v>
      </c>
      <c r="F32" t="s">
        <v>118</v>
      </c>
      <c r="G32" t="s">
        <v>53</v>
      </c>
      <c r="H32" t="s">
        <v>113</v>
      </c>
      <c r="I32" t="s">
        <v>111</v>
      </c>
      <c r="J32" t="s">
        <v>62</v>
      </c>
      <c r="K32" t="s">
        <v>52</v>
      </c>
      <c r="L32" t="s">
        <v>51</v>
      </c>
    </row>
    <row r="33" spans="1:14">
      <c r="A33" s="2">
        <v>35</v>
      </c>
      <c r="B33" t="s">
        <v>119</v>
      </c>
      <c r="C33" t="s">
        <v>58</v>
      </c>
      <c r="F33" t="s">
        <v>118</v>
      </c>
      <c r="G33" t="s">
        <v>100</v>
      </c>
      <c r="H33" t="s">
        <v>113</v>
      </c>
      <c r="I33" t="s">
        <v>111</v>
      </c>
      <c r="K33" t="s">
        <v>99</v>
      </c>
      <c r="L33" t="s">
        <v>98</v>
      </c>
      <c r="N33" t="s">
        <v>120</v>
      </c>
    </row>
    <row r="34" spans="1:14">
      <c r="A34" s="2">
        <v>36</v>
      </c>
      <c r="B34" t="s">
        <v>121</v>
      </c>
      <c r="C34" t="s">
        <v>75</v>
      </c>
      <c r="E34" t="s">
        <v>122</v>
      </c>
      <c r="F34" t="s">
        <v>118</v>
      </c>
      <c r="G34" t="s">
        <v>100</v>
      </c>
      <c r="H34" t="s">
        <v>113</v>
      </c>
      <c r="I34" t="s">
        <v>111</v>
      </c>
      <c r="K34" t="s">
        <v>109</v>
      </c>
      <c r="L34" t="s">
        <v>108</v>
      </c>
    </row>
    <row r="35" spans="1:14">
      <c r="A35" s="2">
        <v>37</v>
      </c>
      <c r="B35" t="s">
        <v>797</v>
      </c>
      <c r="C35" t="s">
        <v>75</v>
      </c>
      <c r="E35" t="s">
        <v>791</v>
      </c>
      <c r="F35" t="s">
        <v>798</v>
      </c>
      <c r="G35" t="s">
        <v>100</v>
      </c>
      <c r="H35" t="s">
        <v>799</v>
      </c>
      <c r="I35" t="s">
        <v>597</v>
      </c>
      <c r="K35" t="s">
        <v>789</v>
      </c>
      <c r="L35" t="s">
        <v>790</v>
      </c>
    </row>
    <row r="36" spans="1:14">
      <c r="A36" s="2">
        <v>38</v>
      </c>
      <c r="B36" t="s">
        <v>800</v>
      </c>
      <c r="C36" t="s">
        <v>58</v>
      </c>
      <c r="F36" t="s">
        <v>798</v>
      </c>
      <c r="G36" t="s">
        <v>100</v>
      </c>
      <c r="H36" t="s">
        <v>799</v>
      </c>
      <c r="I36" t="s">
        <v>597</v>
      </c>
      <c r="K36" t="s">
        <v>99</v>
      </c>
      <c r="L36" t="s">
        <v>98</v>
      </c>
      <c r="N36" t="s">
        <v>791</v>
      </c>
    </row>
    <row r="37" spans="1:14">
      <c r="A37" s="2">
        <v>39</v>
      </c>
      <c r="B37" t="s">
        <v>801</v>
      </c>
      <c r="C37" t="s">
        <v>58</v>
      </c>
      <c r="E37" t="s">
        <v>801</v>
      </c>
      <c r="F37" t="s">
        <v>802</v>
      </c>
      <c r="G37" t="s">
        <v>100</v>
      </c>
      <c r="H37" t="s">
        <v>803</v>
      </c>
      <c r="I37" t="s">
        <v>598</v>
      </c>
      <c r="K37" t="s">
        <v>804</v>
      </c>
      <c r="L37" t="s">
        <v>805</v>
      </c>
    </row>
    <row r="38" spans="1:14">
      <c r="A38" s="2">
        <v>40</v>
      </c>
      <c r="B38" t="s">
        <v>806</v>
      </c>
      <c r="C38" t="s">
        <v>58</v>
      </c>
      <c r="F38" t="s">
        <v>802</v>
      </c>
      <c r="G38" t="s">
        <v>100</v>
      </c>
      <c r="H38" t="s">
        <v>803</v>
      </c>
      <c r="I38" t="s">
        <v>598</v>
      </c>
      <c r="K38" t="s">
        <v>780</v>
      </c>
      <c r="L38" t="s">
        <v>781</v>
      </c>
      <c r="N38" t="s">
        <v>801</v>
      </c>
    </row>
    <row r="39" spans="1:14">
      <c r="A39" s="2">
        <v>41</v>
      </c>
      <c r="B39" t="s">
        <v>212</v>
      </c>
      <c r="C39" t="s">
        <v>213</v>
      </c>
      <c r="D39" t="s">
        <v>751</v>
      </c>
      <c r="E39" t="s">
        <v>744</v>
      </c>
      <c r="F39" t="s">
        <v>807</v>
      </c>
      <c r="G39" t="s">
        <v>53</v>
      </c>
      <c r="H39" t="s">
        <v>808</v>
      </c>
      <c r="I39" t="s">
        <v>375</v>
      </c>
      <c r="J39" t="s">
        <v>62</v>
      </c>
      <c r="K39" t="s">
        <v>738</v>
      </c>
      <c r="L39" t="s">
        <v>739</v>
      </c>
    </row>
    <row r="40" spans="1:14">
      <c r="A40" s="2">
        <v>42</v>
      </c>
      <c r="B40" t="s">
        <v>212</v>
      </c>
      <c r="C40" t="s">
        <v>213</v>
      </c>
      <c r="E40" t="s">
        <v>751</v>
      </c>
      <c r="F40" t="s">
        <v>807</v>
      </c>
      <c r="G40" t="s">
        <v>100</v>
      </c>
      <c r="H40" t="s">
        <v>808</v>
      </c>
      <c r="I40" t="s">
        <v>375</v>
      </c>
      <c r="K40" t="s">
        <v>752</v>
      </c>
      <c r="L40" t="s">
        <v>753</v>
      </c>
    </row>
    <row r="41" spans="1:14">
      <c r="A41" s="2">
        <v>43</v>
      </c>
      <c r="B41" t="s">
        <v>212</v>
      </c>
      <c r="C41" t="s">
        <v>213</v>
      </c>
      <c r="F41" t="s">
        <v>807</v>
      </c>
      <c r="G41" t="s">
        <v>100</v>
      </c>
      <c r="H41" t="s">
        <v>808</v>
      </c>
      <c r="I41" t="s">
        <v>375</v>
      </c>
      <c r="K41" t="s">
        <v>804</v>
      </c>
      <c r="L41" t="s">
        <v>805</v>
      </c>
      <c r="N41" t="s">
        <v>801</v>
      </c>
    </row>
    <row r="42" spans="1:14">
      <c r="A42" s="2">
        <v>44</v>
      </c>
      <c r="B42" t="s">
        <v>212</v>
      </c>
      <c r="C42" t="s">
        <v>213</v>
      </c>
      <c r="F42" t="s">
        <v>807</v>
      </c>
      <c r="G42" t="s">
        <v>85</v>
      </c>
      <c r="H42" t="s">
        <v>808</v>
      </c>
      <c r="I42" t="s">
        <v>375</v>
      </c>
      <c r="J42" t="s">
        <v>91</v>
      </c>
      <c r="K42" t="s">
        <v>794</v>
      </c>
      <c r="L42" t="s">
        <v>795</v>
      </c>
      <c r="M42" t="s">
        <v>88</v>
      </c>
      <c r="N42" t="s">
        <v>89</v>
      </c>
    </row>
    <row r="43" spans="1:14">
      <c r="A43" s="2">
        <v>45</v>
      </c>
      <c r="B43" t="s">
        <v>212</v>
      </c>
      <c r="C43" t="s">
        <v>213</v>
      </c>
      <c r="F43" t="s">
        <v>807</v>
      </c>
      <c r="G43" t="s">
        <v>100</v>
      </c>
      <c r="H43" t="s">
        <v>808</v>
      </c>
      <c r="I43" t="s">
        <v>375</v>
      </c>
      <c r="K43" t="s">
        <v>765</v>
      </c>
      <c r="L43" t="s">
        <v>766</v>
      </c>
      <c r="N43" t="s">
        <v>762</v>
      </c>
    </row>
    <row r="44" spans="1:14">
      <c r="A44" s="2">
        <v>46</v>
      </c>
      <c r="B44" t="s">
        <v>212</v>
      </c>
      <c r="C44" t="s">
        <v>213</v>
      </c>
      <c r="F44" t="s">
        <v>807</v>
      </c>
      <c r="G44" t="s">
        <v>100</v>
      </c>
      <c r="H44" t="s">
        <v>808</v>
      </c>
      <c r="I44" t="s">
        <v>375</v>
      </c>
      <c r="K44" t="s">
        <v>768</v>
      </c>
      <c r="L44" t="s">
        <v>769</v>
      </c>
      <c r="N44" t="s">
        <v>767</v>
      </c>
    </row>
    <row r="45" spans="1:14">
      <c r="A45" s="2">
        <v>47</v>
      </c>
      <c r="B45" t="s">
        <v>212</v>
      </c>
      <c r="C45" t="s">
        <v>213</v>
      </c>
      <c r="F45" t="s">
        <v>807</v>
      </c>
      <c r="G45" t="s">
        <v>100</v>
      </c>
      <c r="H45" t="s">
        <v>808</v>
      </c>
      <c r="I45" t="s">
        <v>375</v>
      </c>
      <c r="K45" t="s">
        <v>759</v>
      </c>
      <c r="L45" t="s">
        <v>760</v>
      </c>
      <c r="N45" t="s">
        <v>106</v>
      </c>
    </row>
    <row r="46" spans="1:14">
      <c r="A46" s="2">
        <v>48</v>
      </c>
      <c r="B46" t="s">
        <v>212</v>
      </c>
      <c r="C46" t="s">
        <v>213</v>
      </c>
      <c r="F46" t="s">
        <v>807</v>
      </c>
      <c r="G46" t="s">
        <v>100</v>
      </c>
      <c r="H46" t="s">
        <v>808</v>
      </c>
      <c r="I46" t="s">
        <v>375</v>
      </c>
      <c r="K46" t="s">
        <v>774</v>
      </c>
      <c r="L46" t="s">
        <v>775</v>
      </c>
      <c r="N46" t="s">
        <v>121</v>
      </c>
    </row>
    <row r="47" spans="1:14">
      <c r="A47" s="2">
        <v>49</v>
      </c>
      <c r="B47" t="s">
        <v>212</v>
      </c>
      <c r="C47" t="s">
        <v>213</v>
      </c>
      <c r="E47" t="s">
        <v>121</v>
      </c>
      <c r="F47" t="s">
        <v>807</v>
      </c>
      <c r="G47" t="s">
        <v>100</v>
      </c>
      <c r="H47" t="s">
        <v>808</v>
      </c>
      <c r="I47" t="s">
        <v>375</v>
      </c>
      <c r="K47" t="s">
        <v>109</v>
      </c>
      <c r="L47" t="s">
        <v>108</v>
      </c>
    </row>
    <row r="48" spans="1:14">
      <c r="A48" s="2">
        <v>50</v>
      </c>
      <c r="B48" t="s">
        <v>809</v>
      </c>
      <c r="C48" t="s">
        <v>75</v>
      </c>
      <c r="F48" t="s">
        <v>807</v>
      </c>
      <c r="G48" t="s">
        <v>100</v>
      </c>
      <c r="H48" t="s">
        <v>808</v>
      </c>
      <c r="I48" t="s">
        <v>375</v>
      </c>
      <c r="K48" t="s">
        <v>810</v>
      </c>
      <c r="L48" t="s">
        <v>811</v>
      </c>
      <c r="N48" t="s">
        <v>809</v>
      </c>
    </row>
    <row r="49" spans="1:14">
      <c r="A49" s="2">
        <v>51</v>
      </c>
      <c r="B49" t="s">
        <v>812</v>
      </c>
      <c r="C49" t="s">
        <v>58</v>
      </c>
      <c r="D49" t="s">
        <v>290</v>
      </c>
      <c r="E49" t="s">
        <v>741</v>
      </c>
      <c r="F49" t="s">
        <v>813</v>
      </c>
      <c r="G49" t="s">
        <v>53</v>
      </c>
      <c r="H49" t="s">
        <v>737</v>
      </c>
      <c r="I49" t="s">
        <v>605</v>
      </c>
      <c r="J49" t="s">
        <v>62</v>
      </c>
      <c r="K49" t="s">
        <v>64</v>
      </c>
      <c r="L49" t="s">
        <v>63</v>
      </c>
    </row>
    <row r="50" spans="1:14">
      <c r="A50" s="2">
        <v>52</v>
      </c>
      <c r="B50" t="s">
        <v>741</v>
      </c>
      <c r="C50" t="s">
        <v>75</v>
      </c>
      <c r="F50" t="s">
        <v>813</v>
      </c>
      <c r="G50" t="s">
        <v>53</v>
      </c>
      <c r="H50" t="s">
        <v>737</v>
      </c>
      <c r="I50" t="s">
        <v>605</v>
      </c>
      <c r="J50" t="s">
        <v>62</v>
      </c>
      <c r="K50" t="s">
        <v>738</v>
      </c>
      <c r="L50" t="s">
        <v>739</v>
      </c>
      <c r="M50" t="s">
        <v>290</v>
      </c>
      <c r="N50" t="s">
        <v>741</v>
      </c>
    </row>
    <row r="51" spans="1:14">
      <c r="A51" s="2">
        <v>53</v>
      </c>
      <c r="B51" t="s">
        <v>814</v>
      </c>
      <c r="C51" t="s">
        <v>58</v>
      </c>
      <c r="D51" t="s">
        <v>815</v>
      </c>
      <c r="E51" t="s">
        <v>816</v>
      </c>
      <c r="F51" t="s">
        <v>817</v>
      </c>
      <c r="G51" t="s">
        <v>53</v>
      </c>
      <c r="H51" t="s">
        <v>818</v>
      </c>
      <c r="I51" t="s">
        <v>608</v>
      </c>
      <c r="J51" t="s">
        <v>62</v>
      </c>
      <c r="K51" t="s">
        <v>52</v>
      </c>
      <c r="L51" t="s">
        <v>51</v>
      </c>
    </row>
    <row r="52" spans="1:14">
      <c r="A52" s="2">
        <v>54</v>
      </c>
      <c r="B52" t="s">
        <v>819</v>
      </c>
      <c r="C52" t="s">
        <v>75</v>
      </c>
      <c r="F52" t="s">
        <v>817</v>
      </c>
      <c r="G52" t="s">
        <v>53</v>
      </c>
      <c r="H52" t="s">
        <v>818</v>
      </c>
      <c r="I52" t="s">
        <v>608</v>
      </c>
      <c r="J52" t="s">
        <v>62</v>
      </c>
      <c r="K52" t="s">
        <v>820</v>
      </c>
      <c r="L52" t="s">
        <v>821</v>
      </c>
      <c r="M52" t="s">
        <v>815</v>
      </c>
      <c r="N52" t="s">
        <v>816</v>
      </c>
    </row>
    <row r="53" spans="1:14">
      <c r="A53" s="2">
        <v>55</v>
      </c>
      <c r="B53" t="s">
        <v>822</v>
      </c>
      <c r="C53" t="s">
        <v>58</v>
      </c>
      <c r="D53" t="s">
        <v>823</v>
      </c>
      <c r="E53" t="s">
        <v>822</v>
      </c>
      <c r="F53" t="s">
        <v>824</v>
      </c>
      <c r="G53" t="s">
        <v>53</v>
      </c>
      <c r="H53" t="s">
        <v>825</v>
      </c>
      <c r="I53" t="s">
        <v>609</v>
      </c>
      <c r="J53" t="s">
        <v>62</v>
      </c>
      <c r="K53" t="s">
        <v>826</v>
      </c>
      <c r="L53" t="s">
        <v>827</v>
      </c>
    </row>
    <row r="54" spans="1:14">
      <c r="A54" s="2">
        <v>56</v>
      </c>
      <c r="B54" t="s">
        <v>828</v>
      </c>
      <c r="C54" t="s">
        <v>58</v>
      </c>
      <c r="F54" t="s">
        <v>824</v>
      </c>
      <c r="G54" t="s">
        <v>53</v>
      </c>
      <c r="H54" t="s">
        <v>825</v>
      </c>
      <c r="I54" t="s">
        <v>609</v>
      </c>
      <c r="J54" t="s">
        <v>62</v>
      </c>
      <c r="K54" t="s">
        <v>52</v>
      </c>
      <c r="L54" t="s">
        <v>51</v>
      </c>
      <c r="M54" t="s">
        <v>823</v>
      </c>
      <c r="N54" t="s">
        <v>822</v>
      </c>
    </row>
    <row r="55" spans="1:14">
      <c r="A55" s="2">
        <v>57</v>
      </c>
      <c r="B55" t="s">
        <v>829</v>
      </c>
      <c r="C55" t="s">
        <v>58</v>
      </c>
      <c r="E55" t="s">
        <v>751</v>
      </c>
      <c r="F55" t="s">
        <v>830</v>
      </c>
      <c r="G55" t="s">
        <v>100</v>
      </c>
      <c r="H55" t="s">
        <v>831</v>
      </c>
      <c r="I55" t="s">
        <v>610</v>
      </c>
      <c r="K55" t="s">
        <v>99</v>
      </c>
      <c r="L55" t="s">
        <v>98</v>
      </c>
    </row>
    <row r="56" spans="1:14">
      <c r="A56" s="2">
        <v>58</v>
      </c>
      <c r="B56" t="s">
        <v>832</v>
      </c>
      <c r="C56" t="s">
        <v>58</v>
      </c>
      <c r="F56" t="s">
        <v>830</v>
      </c>
      <c r="G56" t="s">
        <v>100</v>
      </c>
      <c r="H56" t="s">
        <v>831</v>
      </c>
      <c r="I56" t="s">
        <v>610</v>
      </c>
      <c r="K56" t="s">
        <v>749</v>
      </c>
      <c r="L56" t="s">
        <v>750</v>
      </c>
      <c r="N56" t="s">
        <v>751</v>
      </c>
    </row>
    <row r="57" spans="1:14">
      <c r="A57" s="2">
        <v>59</v>
      </c>
      <c r="B57" t="s">
        <v>127</v>
      </c>
      <c r="C57" t="s">
        <v>58</v>
      </c>
      <c r="D57" t="s">
        <v>59</v>
      </c>
      <c r="E57" t="s">
        <v>60</v>
      </c>
      <c r="F57" t="s">
        <v>128</v>
      </c>
      <c r="G57" t="s">
        <v>125</v>
      </c>
      <c r="H57" t="s">
        <v>50</v>
      </c>
      <c r="I57" t="s">
        <v>123</v>
      </c>
      <c r="J57" t="s">
        <v>62</v>
      </c>
      <c r="K57" t="s">
        <v>52</v>
      </c>
      <c r="L57" t="s">
        <v>51</v>
      </c>
    </row>
    <row r="58" spans="1:14">
      <c r="A58" s="2">
        <v>60</v>
      </c>
      <c r="B58" t="s">
        <v>129</v>
      </c>
      <c r="C58" t="s">
        <v>58</v>
      </c>
      <c r="F58" t="s">
        <v>128</v>
      </c>
      <c r="G58" t="s">
        <v>53</v>
      </c>
      <c r="H58" t="s">
        <v>50</v>
      </c>
      <c r="I58" t="s">
        <v>123</v>
      </c>
      <c r="J58" t="s">
        <v>62</v>
      </c>
      <c r="K58" t="s">
        <v>64</v>
      </c>
      <c r="L58" t="s">
        <v>63</v>
      </c>
      <c r="M58" t="s">
        <v>59</v>
      </c>
      <c r="N58" t="s">
        <v>60</v>
      </c>
    </row>
    <row r="59" spans="1:14">
      <c r="A59" s="2">
        <v>61</v>
      </c>
      <c r="B59" t="s">
        <v>106</v>
      </c>
      <c r="C59" t="s">
        <v>58</v>
      </c>
      <c r="E59" t="s">
        <v>106</v>
      </c>
      <c r="F59" t="s">
        <v>833</v>
      </c>
      <c r="G59" t="s">
        <v>100</v>
      </c>
      <c r="H59" t="s">
        <v>758</v>
      </c>
      <c r="I59" t="s">
        <v>613</v>
      </c>
      <c r="K59" t="s">
        <v>759</v>
      </c>
      <c r="L59" t="s">
        <v>760</v>
      </c>
    </row>
    <row r="60" spans="1:14">
      <c r="A60" s="2">
        <v>62</v>
      </c>
      <c r="B60" t="s">
        <v>834</v>
      </c>
      <c r="C60" t="s">
        <v>58</v>
      </c>
      <c r="F60" t="s">
        <v>833</v>
      </c>
      <c r="G60" t="s">
        <v>100</v>
      </c>
      <c r="H60" t="s">
        <v>758</v>
      </c>
      <c r="I60" t="s">
        <v>613</v>
      </c>
      <c r="K60" t="s">
        <v>99</v>
      </c>
      <c r="L60" t="s">
        <v>98</v>
      </c>
      <c r="N60" t="s">
        <v>106</v>
      </c>
    </row>
    <row r="61" spans="1:14">
      <c r="A61" s="2">
        <v>63</v>
      </c>
      <c r="B61" t="s">
        <v>762</v>
      </c>
      <c r="C61" t="s">
        <v>58</v>
      </c>
      <c r="E61" t="s">
        <v>762</v>
      </c>
      <c r="F61" t="s">
        <v>835</v>
      </c>
      <c r="G61" t="s">
        <v>100</v>
      </c>
      <c r="H61" t="s">
        <v>764</v>
      </c>
      <c r="I61" t="s">
        <v>614</v>
      </c>
      <c r="K61" t="s">
        <v>765</v>
      </c>
      <c r="L61" t="s">
        <v>766</v>
      </c>
    </row>
    <row r="62" spans="1:14">
      <c r="A62" s="2">
        <v>64</v>
      </c>
      <c r="B62" t="s">
        <v>767</v>
      </c>
      <c r="C62" t="s">
        <v>58</v>
      </c>
      <c r="E62" t="s">
        <v>767</v>
      </c>
      <c r="F62" t="s">
        <v>835</v>
      </c>
      <c r="G62" t="s">
        <v>100</v>
      </c>
      <c r="H62" t="s">
        <v>764</v>
      </c>
      <c r="I62" t="s">
        <v>614</v>
      </c>
      <c r="K62" t="s">
        <v>768</v>
      </c>
      <c r="L62" t="s">
        <v>769</v>
      </c>
    </row>
    <row r="63" spans="1:14">
      <c r="A63" s="2">
        <v>65</v>
      </c>
      <c r="B63" t="s">
        <v>836</v>
      </c>
      <c r="C63" t="s">
        <v>58</v>
      </c>
      <c r="F63" t="s">
        <v>835</v>
      </c>
      <c r="G63" t="s">
        <v>100</v>
      </c>
      <c r="H63" t="s">
        <v>764</v>
      </c>
      <c r="I63" t="s">
        <v>614</v>
      </c>
      <c r="K63" t="s">
        <v>99</v>
      </c>
      <c r="L63" t="s">
        <v>98</v>
      </c>
      <c r="N63" t="s">
        <v>771</v>
      </c>
    </row>
    <row r="64" spans="1:14">
      <c r="A64" s="2">
        <v>66</v>
      </c>
      <c r="B64" t="s">
        <v>258</v>
      </c>
      <c r="C64" t="s">
        <v>58</v>
      </c>
      <c r="E64" t="s">
        <v>258</v>
      </c>
      <c r="F64" t="s">
        <v>837</v>
      </c>
      <c r="G64" t="s">
        <v>100</v>
      </c>
      <c r="H64" t="s">
        <v>773</v>
      </c>
      <c r="I64" t="s">
        <v>615</v>
      </c>
      <c r="K64" t="s">
        <v>774</v>
      </c>
      <c r="L64" t="s">
        <v>775</v>
      </c>
    </row>
    <row r="65" spans="1:14">
      <c r="A65" s="2">
        <v>67</v>
      </c>
      <c r="B65" t="s">
        <v>838</v>
      </c>
      <c r="C65" t="s">
        <v>58</v>
      </c>
      <c r="F65" t="s">
        <v>837</v>
      </c>
      <c r="G65" t="s">
        <v>100</v>
      </c>
      <c r="H65" t="s">
        <v>773</v>
      </c>
      <c r="I65" t="s">
        <v>615</v>
      </c>
      <c r="K65" t="s">
        <v>99</v>
      </c>
      <c r="L65" t="s">
        <v>98</v>
      </c>
      <c r="N65" t="s">
        <v>258</v>
      </c>
    </row>
    <row r="66" spans="1:14">
      <c r="A66" s="2">
        <v>68</v>
      </c>
      <c r="B66" t="s">
        <v>134</v>
      </c>
      <c r="C66" t="s">
        <v>58</v>
      </c>
      <c r="E66" t="s">
        <v>135</v>
      </c>
      <c r="F66" t="s">
        <v>136</v>
      </c>
      <c r="G66" t="s">
        <v>100</v>
      </c>
      <c r="H66" t="s">
        <v>132</v>
      </c>
      <c r="I66" t="s">
        <v>130</v>
      </c>
      <c r="K66" t="s">
        <v>99</v>
      </c>
      <c r="L66" t="s">
        <v>98</v>
      </c>
    </row>
    <row r="67" spans="1:14">
      <c r="A67" s="2">
        <v>69</v>
      </c>
      <c r="B67" t="s">
        <v>140</v>
      </c>
      <c r="C67" t="s">
        <v>75</v>
      </c>
      <c r="F67" t="s">
        <v>136</v>
      </c>
      <c r="G67" t="s">
        <v>139</v>
      </c>
      <c r="H67" t="s">
        <v>132</v>
      </c>
      <c r="I67" t="s">
        <v>130</v>
      </c>
      <c r="J67" t="s">
        <v>141</v>
      </c>
      <c r="K67" t="s">
        <v>138</v>
      </c>
      <c r="L67" t="s">
        <v>137</v>
      </c>
      <c r="M67" t="s">
        <v>142</v>
      </c>
      <c r="N67" t="s">
        <v>143</v>
      </c>
    </row>
    <row r="68" spans="1:14">
      <c r="A68" s="2">
        <v>70</v>
      </c>
      <c r="B68" t="s">
        <v>144</v>
      </c>
      <c r="C68" t="s">
        <v>75</v>
      </c>
      <c r="F68" t="s">
        <v>136</v>
      </c>
      <c r="G68" t="s">
        <v>100</v>
      </c>
      <c r="H68" t="s">
        <v>132</v>
      </c>
      <c r="I68" t="s">
        <v>130</v>
      </c>
      <c r="K68" t="s">
        <v>109</v>
      </c>
      <c r="L68" t="s">
        <v>108</v>
      </c>
      <c r="N68" t="s">
        <v>144</v>
      </c>
    </row>
    <row r="69" spans="1:14">
      <c r="A69" s="2">
        <v>71</v>
      </c>
      <c r="B69" t="s">
        <v>839</v>
      </c>
      <c r="C69" t="s">
        <v>58</v>
      </c>
      <c r="E69" t="s">
        <v>163</v>
      </c>
      <c r="F69" t="s">
        <v>840</v>
      </c>
      <c r="G69" t="s">
        <v>100</v>
      </c>
      <c r="H69" t="s">
        <v>779</v>
      </c>
      <c r="I69" t="s">
        <v>616</v>
      </c>
      <c r="K69" t="s">
        <v>780</v>
      </c>
      <c r="L69" t="s">
        <v>781</v>
      </c>
    </row>
    <row r="70" spans="1:14">
      <c r="A70" s="2">
        <v>72</v>
      </c>
      <c r="B70" t="s">
        <v>268</v>
      </c>
      <c r="C70" t="s">
        <v>75</v>
      </c>
      <c r="F70" t="s">
        <v>840</v>
      </c>
      <c r="G70" t="s">
        <v>53</v>
      </c>
      <c r="H70" t="s">
        <v>779</v>
      </c>
      <c r="I70" t="s">
        <v>616</v>
      </c>
      <c r="J70" t="s">
        <v>62</v>
      </c>
      <c r="K70" t="s">
        <v>71</v>
      </c>
      <c r="L70" t="s">
        <v>70</v>
      </c>
      <c r="M70" t="s">
        <v>88</v>
      </c>
      <c r="N70" t="s">
        <v>163</v>
      </c>
    </row>
    <row r="71" spans="1:14">
      <c r="A71" s="2">
        <v>73</v>
      </c>
      <c r="B71" t="s">
        <v>841</v>
      </c>
      <c r="C71" t="s">
        <v>58</v>
      </c>
      <c r="E71" t="s">
        <v>842</v>
      </c>
      <c r="F71" t="s">
        <v>843</v>
      </c>
      <c r="G71" t="s">
        <v>100</v>
      </c>
      <c r="H71" t="s">
        <v>784</v>
      </c>
      <c r="I71" t="s">
        <v>618</v>
      </c>
      <c r="K71" t="s">
        <v>780</v>
      </c>
      <c r="L71" t="s">
        <v>781</v>
      </c>
    </row>
    <row r="72" spans="1:14">
      <c r="A72" s="2">
        <v>74</v>
      </c>
      <c r="B72" t="s">
        <v>291</v>
      </c>
      <c r="C72" t="s">
        <v>58</v>
      </c>
      <c r="E72" t="s">
        <v>844</v>
      </c>
      <c r="F72" t="s">
        <v>843</v>
      </c>
      <c r="G72" t="s">
        <v>100</v>
      </c>
      <c r="H72" t="s">
        <v>784</v>
      </c>
      <c r="I72" t="s">
        <v>618</v>
      </c>
      <c r="K72" t="s">
        <v>786</v>
      </c>
      <c r="L72" t="s">
        <v>787</v>
      </c>
    </row>
    <row r="73" spans="1:14">
      <c r="A73" s="2">
        <v>75</v>
      </c>
      <c r="B73" t="s">
        <v>845</v>
      </c>
      <c r="C73" t="s">
        <v>75</v>
      </c>
      <c r="F73" t="s">
        <v>843</v>
      </c>
      <c r="G73" t="s">
        <v>100</v>
      </c>
      <c r="H73" t="s">
        <v>784</v>
      </c>
      <c r="I73" t="s">
        <v>618</v>
      </c>
      <c r="K73" t="s">
        <v>789</v>
      </c>
      <c r="L73" t="s">
        <v>790</v>
      </c>
      <c r="N73" t="s">
        <v>846</v>
      </c>
    </row>
    <row r="74" spans="1:14">
      <c r="A74" s="2">
        <v>76</v>
      </c>
      <c r="B74" t="s">
        <v>148</v>
      </c>
      <c r="C74" t="s">
        <v>75</v>
      </c>
      <c r="D74" t="s">
        <v>116</v>
      </c>
      <c r="E74" t="s">
        <v>117</v>
      </c>
      <c r="F74" t="s">
        <v>149</v>
      </c>
      <c r="G74" t="s">
        <v>53</v>
      </c>
      <c r="H74" t="s">
        <v>69</v>
      </c>
      <c r="I74" t="s">
        <v>145</v>
      </c>
      <c r="J74" t="s">
        <v>62</v>
      </c>
      <c r="K74" t="s">
        <v>71</v>
      </c>
      <c r="L74" t="s">
        <v>70</v>
      </c>
    </row>
    <row r="75" spans="1:14">
      <c r="A75" s="2">
        <v>77</v>
      </c>
      <c r="B75" t="s">
        <v>57</v>
      </c>
      <c r="C75" t="s">
        <v>58</v>
      </c>
      <c r="F75" t="s">
        <v>149</v>
      </c>
      <c r="G75" t="s">
        <v>53</v>
      </c>
      <c r="H75" t="s">
        <v>69</v>
      </c>
      <c r="I75" t="s">
        <v>145</v>
      </c>
      <c r="J75" t="s">
        <v>62</v>
      </c>
      <c r="K75" t="s">
        <v>52</v>
      </c>
      <c r="L75" t="s">
        <v>51</v>
      </c>
      <c r="M75" t="s">
        <v>116</v>
      </c>
      <c r="N75" t="s">
        <v>117</v>
      </c>
    </row>
    <row r="76" spans="1:14">
      <c r="A76" s="2">
        <v>78</v>
      </c>
      <c r="B76" t="s">
        <v>153</v>
      </c>
      <c r="C76" t="s">
        <v>58</v>
      </c>
      <c r="D76" t="s">
        <v>116</v>
      </c>
      <c r="E76" t="s">
        <v>153</v>
      </c>
      <c r="F76" t="s">
        <v>847</v>
      </c>
      <c r="G76" t="s">
        <v>85</v>
      </c>
      <c r="H76" t="s">
        <v>793</v>
      </c>
      <c r="I76" t="s">
        <v>620</v>
      </c>
      <c r="J76" t="s">
        <v>91</v>
      </c>
      <c r="K76" t="s">
        <v>794</v>
      </c>
      <c r="L76" t="s">
        <v>795</v>
      </c>
    </row>
    <row r="77" spans="1:14">
      <c r="A77" s="2">
        <v>79</v>
      </c>
      <c r="B77" t="s">
        <v>848</v>
      </c>
      <c r="C77" t="s">
        <v>75</v>
      </c>
      <c r="F77" t="s">
        <v>847</v>
      </c>
      <c r="G77" t="s">
        <v>85</v>
      </c>
      <c r="H77" t="s">
        <v>793</v>
      </c>
      <c r="I77" t="s">
        <v>620</v>
      </c>
      <c r="J77" t="s">
        <v>91</v>
      </c>
      <c r="K77" t="s">
        <v>84</v>
      </c>
      <c r="L77" t="s">
        <v>83</v>
      </c>
      <c r="M77" t="s">
        <v>116</v>
      </c>
      <c r="N77" t="s">
        <v>153</v>
      </c>
    </row>
    <row r="78" spans="1:14">
      <c r="A78" s="2">
        <v>80</v>
      </c>
      <c r="B78" t="s">
        <v>87</v>
      </c>
      <c r="C78" t="s">
        <v>75</v>
      </c>
      <c r="D78" t="s">
        <v>116</v>
      </c>
      <c r="E78" t="s">
        <v>153</v>
      </c>
      <c r="F78" t="s">
        <v>154</v>
      </c>
      <c r="G78" t="s">
        <v>85</v>
      </c>
      <c r="H78" t="s">
        <v>82</v>
      </c>
      <c r="I78" t="s">
        <v>150</v>
      </c>
      <c r="J78" t="s">
        <v>91</v>
      </c>
      <c r="K78" t="s">
        <v>84</v>
      </c>
      <c r="L78" t="s">
        <v>83</v>
      </c>
    </row>
    <row r="79" spans="1:14">
      <c r="A79" s="2">
        <v>81</v>
      </c>
      <c r="B79" t="s">
        <v>155</v>
      </c>
      <c r="C79" t="s">
        <v>58</v>
      </c>
      <c r="F79" t="s">
        <v>154</v>
      </c>
      <c r="G79" t="s">
        <v>85</v>
      </c>
      <c r="H79" t="s">
        <v>82</v>
      </c>
      <c r="I79" t="s">
        <v>150</v>
      </c>
      <c r="J79" t="s">
        <v>91</v>
      </c>
      <c r="K79" t="s">
        <v>93</v>
      </c>
      <c r="L79" t="s">
        <v>92</v>
      </c>
      <c r="M79" t="s">
        <v>116</v>
      </c>
      <c r="N79" t="s">
        <v>153</v>
      </c>
    </row>
    <row r="80" spans="1:14">
      <c r="A80" s="2">
        <v>82</v>
      </c>
      <c r="B80" t="s">
        <v>159</v>
      </c>
      <c r="C80" t="s">
        <v>58</v>
      </c>
      <c r="E80" t="s">
        <v>160</v>
      </c>
      <c r="F80" t="s">
        <v>161</v>
      </c>
      <c r="G80" t="s">
        <v>100</v>
      </c>
      <c r="H80" t="s">
        <v>97</v>
      </c>
      <c r="I80" t="s">
        <v>156</v>
      </c>
      <c r="K80" t="s">
        <v>99</v>
      </c>
      <c r="L80" t="s">
        <v>98</v>
      </c>
    </row>
    <row r="81" spans="1:14">
      <c r="A81" s="2">
        <v>83</v>
      </c>
      <c r="B81" t="s">
        <v>162</v>
      </c>
      <c r="C81" t="s">
        <v>58</v>
      </c>
      <c r="F81" t="s">
        <v>161</v>
      </c>
      <c r="G81" t="s">
        <v>53</v>
      </c>
      <c r="H81" t="s">
        <v>97</v>
      </c>
      <c r="I81" t="s">
        <v>156</v>
      </c>
      <c r="J81" t="s">
        <v>62</v>
      </c>
      <c r="K81" t="s">
        <v>52</v>
      </c>
      <c r="L81" t="s">
        <v>51</v>
      </c>
      <c r="M81" t="s">
        <v>88</v>
      </c>
      <c r="N81" t="s">
        <v>163</v>
      </c>
    </row>
    <row r="82" spans="1:14">
      <c r="A82" s="2">
        <v>84</v>
      </c>
      <c r="B82" t="s">
        <v>164</v>
      </c>
      <c r="C82" t="s">
        <v>75</v>
      </c>
      <c r="F82" t="s">
        <v>161</v>
      </c>
      <c r="G82" t="s">
        <v>100</v>
      </c>
      <c r="H82" t="s">
        <v>97</v>
      </c>
      <c r="I82" t="s">
        <v>156</v>
      </c>
      <c r="K82" t="s">
        <v>109</v>
      </c>
      <c r="L82" t="s">
        <v>108</v>
      </c>
      <c r="N82" t="s">
        <v>165</v>
      </c>
    </row>
    <row r="83" spans="1:14">
      <c r="A83" s="2">
        <v>85</v>
      </c>
      <c r="B83" t="s">
        <v>797</v>
      </c>
      <c r="C83" t="s">
        <v>75</v>
      </c>
      <c r="E83" t="s">
        <v>846</v>
      </c>
      <c r="F83" t="s">
        <v>849</v>
      </c>
      <c r="G83" t="s">
        <v>100</v>
      </c>
      <c r="H83" t="s">
        <v>799</v>
      </c>
      <c r="I83" t="s">
        <v>622</v>
      </c>
      <c r="K83" t="s">
        <v>789</v>
      </c>
      <c r="L83" t="s">
        <v>790</v>
      </c>
    </row>
    <row r="84" spans="1:14">
      <c r="A84" s="2">
        <v>86</v>
      </c>
      <c r="B84" t="s">
        <v>850</v>
      </c>
      <c r="C84" t="s">
        <v>58</v>
      </c>
      <c r="F84" t="s">
        <v>849</v>
      </c>
      <c r="G84" t="s">
        <v>100</v>
      </c>
      <c r="H84" t="s">
        <v>799</v>
      </c>
      <c r="I84" t="s">
        <v>622</v>
      </c>
      <c r="K84" t="s">
        <v>99</v>
      </c>
      <c r="L84" t="s">
        <v>98</v>
      </c>
      <c r="N84" t="s">
        <v>846</v>
      </c>
    </row>
    <row r="85" spans="1:14">
      <c r="A85" s="2">
        <v>87</v>
      </c>
      <c r="B85" t="s">
        <v>851</v>
      </c>
      <c r="C85" t="s">
        <v>58</v>
      </c>
      <c r="E85" t="s">
        <v>851</v>
      </c>
      <c r="F85" t="s">
        <v>852</v>
      </c>
      <c r="G85" t="s">
        <v>100</v>
      </c>
      <c r="H85" t="s">
        <v>803</v>
      </c>
      <c r="I85" t="s">
        <v>379</v>
      </c>
      <c r="K85" t="s">
        <v>804</v>
      </c>
      <c r="L85" t="s">
        <v>805</v>
      </c>
    </row>
    <row r="86" spans="1:14">
      <c r="A86" s="2">
        <v>88</v>
      </c>
      <c r="B86" t="s">
        <v>853</v>
      </c>
      <c r="C86" t="s">
        <v>58</v>
      </c>
      <c r="F86" t="s">
        <v>852</v>
      </c>
      <c r="G86" t="s">
        <v>100</v>
      </c>
      <c r="H86" t="s">
        <v>803</v>
      </c>
      <c r="I86" t="s">
        <v>379</v>
      </c>
      <c r="K86" t="s">
        <v>780</v>
      </c>
      <c r="L86" t="s">
        <v>781</v>
      </c>
      <c r="N86" t="s">
        <v>851</v>
      </c>
    </row>
    <row r="87" spans="1:14">
      <c r="A87" s="2">
        <v>89</v>
      </c>
      <c r="B87" t="s">
        <v>854</v>
      </c>
      <c r="C87" t="s">
        <v>58</v>
      </c>
      <c r="E87" t="s">
        <v>854</v>
      </c>
      <c r="F87" t="s">
        <v>855</v>
      </c>
      <c r="G87" t="s">
        <v>100</v>
      </c>
      <c r="H87" t="s">
        <v>856</v>
      </c>
      <c r="I87" t="s">
        <v>379</v>
      </c>
      <c r="K87" t="s">
        <v>857</v>
      </c>
      <c r="L87" t="s">
        <v>858</v>
      </c>
    </row>
    <row r="88" spans="1:14">
      <c r="A88" s="2">
        <v>90</v>
      </c>
      <c r="B88" t="s">
        <v>859</v>
      </c>
      <c r="C88" t="s">
        <v>58</v>
      </c>
      <c r="F88" t="s">
        <v>855</v>
      </c>
      <c r="G88" t="s">
        <v>100</v>
      </c>
      <c r="H88" t="s">
        <v>856</v>
      </c>
      <c r="I88" t="s">
        <v>379</v>
      </c>
      <c r="K88" t="s">
        <v>99</v>
      </c>
      <c r="L88" t="s">
        <v>98</v>
      </c>
      <c r="N88" t="s">
        <v>854</v>
      </c>
    </row>
    <row r="89" spans="1:14">
      <c r="A89" s="2">
        <v>91</v>
      </c>
      <c r="B89" t="s">
        <v>212</v>
      </c>
      <c r="C89" t="s">
        <v>213</v>
      </c>
      <c r="D89" t="s">
        <v>290</v>
      </c>
      <c r="E89" t="s">
        <v>741</v>
      </c>
      <c r="F89" t="s">
        <v>860</v>
      </c>
      <c r="G89" t="s">
        <v>53</v>
      </c>
      <c r="H89" t="s">
        <v>808</v>
      </c>
      <c r="I89" t="s">
        <v>379</v>
      </c>
      <c r="J89" t="s">
        <v>62</v>
      </c>
      <c r="K89" t="s">
        <v>738</v>
      </c>
      <c r="L89" t="s">
        <v>739</v>
      </c>
    </row>
    <row r="90" spans="1:14">
      <c r="A90" s="2">
        <v>92</v>
      </c>
      <c r="B90" t="s">
        <v>212</v>
      </c>
      <c r="C90" t="s">
        <v>213</v>
      </c>
      <c r="F90" t="s">
        <v>860</v>
      </c>
      <c r="G90" t="s">
        <v>100</v>
      </c>
      <c r="H90" t="s">
        <v>808</v>
      </c>
      <c r="I90" t="s">
        <v>379</v>
      </c>
      <c r="K90" t="s">
        <v>804</v>
      </c>
      <c r="L90" t="s">
        <v>805</v>
      </c>
      <c r="N90" t="s">
        <v>851</v>
      </c>
    </row>
    <row r="91" spans="1:14">
      <c r="A91" s="2">
        <v>93</v>
      </c>
      <c r="B91" t="s">
        <v>212</v>
      </c>
      <c r="C91" t="s">
        <v>213</v>
      </c>
      <c r="F91" t="s">
        <v>860</v>
      </c>
      <c r="G91" t="s">
        <v>100</v>
      </c>
      <c r="H91" t="s">
        <v>808</v>
      </c>
      <c r="I91" t="s">
        <v>379</v>
      </c>
      <c r="K91" t="s">
        <v>857</v>
      </c>
      <c r="L91" t="s">
        <v>858</v>
      </c>
      <c r="N91" t="s">
        <v>854</v>
      </c>
    </row>
    <row r="92" spans="1:14">
      <c r="A92" s="2">
        <v>94</v>
      </c>
      <c r="B92" t="s">
        <v>212</v>
      </c>
      <c r="C92" t="s">
        <v>213</v>
      </c>
      <c r="F92" t="s">
        <v>860</v>
      </c>
      <c r="G92" t="s">
        <v>85</v>
      </c>
      <c r="H92" t="s">
        <v>808</v>
      </c>
      <c r="I92" t="s">
        <v>379</v>
      </c>
      <c r="J92" t="s">
        <v>91</v>
      </c>
      <c r="K92" t="s">
        <v>794</v>
      </c>
      <c r="L92" t="s">
        <v>795</v>
      </c>
      <c r="M92" t="s">
        <v>116</v>
      </c>
      <c r="N92" t="s">
        <v>153</v>
      </c>
    </row>
    <row r="93" spans="1:14">
      <c r="A93" s="2">
        <v>95</v>
      </c>
      <c r="B93" t="s">
        <v>212</v>
      </c>
      <c r="C93" t="s">
        <v>213</v>
      </c>
      <c r="F93" t="s">
        <v>860</v>
      </c>
      <c r="G93" t="s">
        <v>100</v>
      </c>
      <c r="H93" t="s">
        <v>808</v>
      </c>
      <c r="I93" t="s">
        <v>379</v>
      </c>
      <c r="K93" t="s">
        <v>765</v>
      </c>
      <c r="L93" t="s">
        <v>766</v>
      </c>
      <c r="N93" t="s">
        <v>762</v>
      </c>
    </row>
    <row r="94" spans="1:14">
      <c r="A94" s="2">
        <v>96</v>
      </c>
      <c r="B94" t="s">
        <v>212</v>
      </c>
      <c r="C94" t="s">
        <v>213</v>
      </c>
      <c r="F94" t="s">
        <v>860</v>
      </c>
      <c r="G94" t="s">
        <v>100</v>
      </c>
      <c r="H94" t="s">
        <v>808</v>
      </c>
      <c r="I94" t="s">
        <v>379</v>
      </c>
      <c r="K94" t="s">
        <v>768</v>
      </c>
      <c r="L94" t="s">
        <v>769</v>
      </c>
      <c r="N94" t="s">
        <v>767</v>
      </c>
    </row>
    <row r="95" spans="1:14">
      <c r="A95" s="2">
        <v>97</v>
      </c>
      <c r="B95" t="s">
        <v>212</v>
      </c>
      <c r="C95" t="s">
        <v>213</v>
      </c>
      <c r="F95" t="s">
        <v>860</v>
      </c>
      <c r="G95" t="s">
        <v>100</v>
      </c>
      <c r="H95" t="s">
        <v>808</v>
      </c>
      <c r="I95" t="s">
        <v>379</v>
      </c>
      <c r="K95" t="s">
        <v>759</v>
      </c>
      <c r="L95" t="s">
        <v>760</v>
      </c>
      <c r="N95" t="s">
        <v>106</v>
      </c>
    </row>
    <row r="96" spans="1:14">
      <c r="A96" s="2">
        <v>98</v>
      </c>
      <c r="B96" t="s">
        <v>212</v>
      </c>
      <c r="C96" t="s">
        <v>213</v>
      </c>
      <c r="F96" t="s">
        <v>860</v>
      </c>
      <c r="G96" t="s">
        <v>100</v>
      </c>
      <c r="H96" t="s">
        <v>808</v>
      </c>
      <c r="I96" t="s">
        <v>379</v>
      </c>
      <c r="K96" t="s">
        <v>774</v>
      </c>
      <c r="L96" t="s">
        <v>775</v>
      </c>
      <c r="N96" t="s">
        <v>258</v>
      </c>
    </row>
    <row r="97" spans="1:14">
      <c r="A97" s="2">
        <v>99</v>
      </c>
      <c r="B97" t="s">
        <v>212</v>
      </c>
      <c r="C97" t="s">
        <v>213</v>
      </c>
      <c r="E97" t="s">
        <v>164</v>
      </c>
      <c r="F97" t="s">
        <v>860</v>
      </c>
      <c r="G97" t="s">
        <v>100</v>
      </c>
      <c r="H97" t="s">
        <v>808</v>
      </c>
      <c r="I97" t="s">
        <v>379</v>
      </c>
      <c r="K97" t="s">
        <v>109</v>
      </c>
      <c r="L97" t="s">
        <v>108</v>
      </c>
    </row>
    <row r="98" spans="1:14">
      <c r="A98" s="2">
        <v>100</v>
      </c>
      <c r="B98" t="s">
        <v>861</v>
      </c>
      <c r="C98" t="s">
        <v>75</v>
      </c>
      <c r="E98" t="s">
        <v>862</v>
      </c>
      <c r="F98" t="s">
        <v>860</v>
      </c>
      <c r="G98" t="s">
        <v>100</v>
      </c>
      <c r="H98" t="s">
        <v>808</v>
      </c>
      <c r="I98" t="s">
        <v>379</v>
      </c>
      <c r="K98" t="s">
        <v>810</v>
      </c>
      <c r="L98" t="s">
        <v>811</v>
      </c>
    </row>
    <row r="99" spans="1:14">
      <c r="A99" s="2">
        <v>101</v>
      </c>
      <c r="B99" t="s">
        <v>740</v>
      </c>
      <c r="C99" t="s">
        <v>58</v>
      </c>
      <c r="D99" t="s">
        <v>170</v>
      </c>
      <c r="E99" t="s">
        <v>171</v>
      </c>
      <c r="F99" t="s">
        <v>863</v>
      </c>
      <c r="G99" t="s">
        <v>53</v>
      </c>
      <c r="H99" t="s">
        <v>737</v>
      </c>
      <c r="I99" t="s">
        <v>627</v>
      </c>
      <c r="J99" t="s">
        <v>62</v>
      </c>
      <c r="K99" t="s">
        <v>64</v>
      </c>
      <c r="L99" t="s">
        <v>63</v>
      </c>
    </row>
    <row r="100" spans="1:14">
      <c r="A100" s="2">
        <v>102</v>
      </c>
      <c r="B100" t="s">
        <v>171</v>
      </c>
      <c r="C100" t="s">
        <v>75</v>
      </c>
      <c r="F100" t="s">
        <v>863</v>
      </c>
      <c r="G100" t="s">
        <v>53</v>
      </c>
      <c r="H100" t="s">
        <v>737</v>
      </c>
      <c r="I100" t="s">
        <v>627</v>
      </c>
      <c r="J100" t="s">
        <v>62</v>
      </c>
      <c r="K100" t="s">
        <v>738</v>
      </c>
      <c r="L100" t="s">
        <v>739</v>
      </c>
      <c r="M100" t="s">
        <v>170</v>
      </c>
      <c r="N100" t="s">
        <v>171</v>
      </c>
    </row>
    <row r="101" spans="1:14">
      <c r="A101" s="2">
        <v>103</v>
      </c>
      <c r="B101" t="s">
        <v>864</v>
      </c>
      <c r="C101" t="s">
        <v>58</v>
      </c>
      <c r="D101" t="s">
        <v>290</v>
      </c>
      <c r="E101" t="s">
        <v>741</v>
      </c>
      <c r="F101" t="s">
        <v>865</v>
      </c>
      <c r="G101" t="s">
        <v>53</v>
      </c>
      <c r="H101" t="s">
        <v>743</v>
      </c>
      <c r="I101" t="s">
        <v>628</v>
      </c>
      <c r="J101" t="s">
        <v>62</v>
      </c>
      <c r="K101" t="s">
        <v>64</v>
      </c>
      <c r="L101" t="s">
        <v>63</v>
      </c>
    </row>
    <row r="102" spans="1:14">
      <c r="A102" s="2">
        <v>104</v>
      </c>
      <c r="B102" t="s">
        <v>744</v>
      </c>
      <c r="C102" t="s">
        <v>75</v>
      </c>
      <c r="F102" t="s">
        <v>865</v>
      </c>
      <c r="G102" t="s">
        <v>53</v>
      </c>
      <c r="H102" t="s">
        <v>743</v>
      </c>
      <c r="I102" t="s">
        <v>628</v>
      </c>
      <c r="J102" t="s">
        <v>62</v>
      </c>
      <c r="K102" t="s">
        <v>738</v>
      </c>
      <c r="L102" t="s">
        <v>739</v>
      </c>
      <c r="M102" t="s">
        <v>290</v>
      </c>
      <c r="N102" t="s">
        <v>741</v>
      </c>
    </row>
    <row r="103" spans="1:14">
      <c r="A103" s="2">
        <v>105</v>
      </c>
      <c r="B103" t="s">
        <v>866</v>
      </c>
      <c r="C103" t="s">
        <v>58</v>
      </c>
      <c r="E103" t="s">
        <v>746</v>
      </c>
      <c r="F103" t="s">
        <v>867</v>
      </c>
      <c r="G103" t="s">
        <v>100</v>
      </c>
      <c r="H103" t="s">
        <v>748</v>
      </c>
      <c r="I103" t="s">
        <v>632</v>
      </c>
      <c r="K103" t="s">
        <v>749</v>
      </c>
      <c r="L103" t="s">
        <v>750</v>
      </c>
    </row>
    <row r="104" spans="1:14">
      <c r="A104" s="2">
        <v>106</v>
      </c>
      <c r="B104" t="s">
        <v>751</v>
      </c>
      <c r="C104" t="s">
        <v>75</v>
      </c>
      <c r="F104" t="s">
        <v>867</v>
      </c>
      <c r="G104" t="s">
        <v>100</v>
      </c>
      <c r="H104" t="s">
        <v>748</v>
      </c>
      <c r="I104" t="s">
        <v>632</v>
      </c>
      <c r="K104" t="s">
        <v>752</v>
      </c>
      <c r="L104" t="s">
        <v>753</v>
      </c>
      <c r="N104" t="s">
        <v>751</v>
      </c>
    </row>
    <row r="105" spans="1:14">
      <c r="A105" s="2">
        <v>107</v>
      </c>
      <c r="B105" t="s">
        <v>868</v>
      </c>
      <c r="C105" t="s">
        <v>75</v>
      </c>
      <c r="F105" t="s">
        <v>867</v>
      </c>
      <c r="G105" t="s">
        <v>100</v>
      </c>
      <c r="H105" t="s">
        <v>748</v>
      </c>
      <c r="I105" t="s">
        <v>632</v>
      </c>
      <c r="K105" t="s">
        <v>755</v>
      </c>
      <c r="L105" t="s">
        <v>756</v>
      </c>
      <c r="N105" t="s">
        <v>754</v>
      </c>
    </row>
    <row r="106" spans="1:14">
      <c r="A106" s="2">
        <v>108</v>
      </c>
      <c r="B106" t="s">
        <v>169</v>
      </c>
      <c r="C106" t="s">
        <v>58</v>
      </c>
      <c r="D106" t="s">
        <v>170</v>
      </c>
      <c r="E106" t="s">
        <v>171</v>
      </c>
      <c r="F106" t="s">
        <v>172</v>
      </c>
      <c r="G106" t="s">
        <v>53</v>
      </c>
      <c r="H106" t="s">
        <v>50</v>
      </c>
      <c r="I106" t="s">
        <v>166</v>
      </c>
      <c r="J106" t="s">
        <v>62</v>
      </c>
      <c r="K106" t="s">
        <v>52</v>
      </c>
      <c r="L106" t="s">
        <v>51</v>
      </c>
    </row>
    <row r="107" spans="1:14">
      <c r="A107" s="2">
        <v>109</v>
      </c>
      <c r="B107" t="s">
        <v>173</v>
      </c>
      <c r="C107" t="s">
        <v>58</v>
      </c>
      <c r="F107" t="s">
        <v>172</v>
      </c>
      <c r="G107" t="s">
        <v>53</v>
      </c>
      <c r="H107" t="s">
        <v>50</v>
      </c>
      <c r="I107" t="s">
        <v>166</v>
      </c>
      <c r="J107" t="s">
        <v>62</v>
      </c>
      <c r="K107" t="s">
        <v>64</v>
      </c>
      <c r="L107" t="s">
        <v>63</v>
      </c>
      <c r="M107" t="s">
        <v>170</v>
      </c>
      <c r="N107" t="s">
        <v>171</v>
      </c>
    </row>
    <row r="108" spans="1:14">
      <c r="A108" s="2">
        <v>110</v>
      </c>
      <c r="B108" t="s">
        <v>184</v>
      </c>
      <c r="C108" t="s">
        <v>58</v>
      </c>
      <c r="D108" t="s">
        <v>185</v>
      </c>
      <c r="E108" t="s">
        <v>186</v>
      </c>
      <c r="F108" t="s">
        <v>187</v>
      </c>
      <c r="G108" t="s">
        <v>181</v>
      </c>
      <c r="H108" t="s">
        <v>178</v>
      </c>
      <c r="I108" t="s">
        <v>174</v>
      </c>
      <c r="J108" t="s">
        <v>188</v>
      </c>
      <c r="K108" t="s">
        <v>180</v>
      </c>
      <c r="L108" t="s">
        <v>179</v>
      </c>
    </row>
    <row r="109" spans="1:14">
      <c r="A109" s="2">
        <v>111</v>
      </c>
      <c r="B109" t="s">
        <v>189</v>
      </c>
      <c r="C109" t="s">
        <v>58</v>
      </c>
      <c r="F109" t="s">
        <v>187</v>
      </c>
      <c r="G109" t="s">
        <v>100</v>
      </c>
      <c r="H109" t="s">
        <v>178</v>
      </c>
      <c r="I109" t="s">
        <v>174</v>
      </c>
      <c r="K109" t="s">
        <v>99</v>
      </c>
      <c r="L109" t="s">
        <v>98</v>
      </c>
      <c r="N109" t="s">
        <v>190</v>
      </c>
    </row>
    <row r="110" spans="1:14">
      <c r="A110" s="2">
        <v>112</v>
      </c>
      <c r="B110" t="s">
        <v>121</v>
      </c>
      <c r="C110" t="s">
        <v>58</v>
      </c>
      <c r="E110" t="s">
        <v>121</v>
      </c>
      <c r="F110" t="s">
        <v>187</v>
      </c>
      <c r="G110" t="s">
        <v>100</v>
      </c>
      <c r="H110" t="s">
        <v>178</v>
      </c>
      <c r="I110" t="s">
        <v>174</v>
      </c>
      <c r="K110" t="s">
        <v>109</v>
      </c>
      <c r="L110" t="s">
        <v>108</v>
      </c>
    </row>
    <row r="111" spans="1:14">
      <c r="A111" s="2">
        <v>113</v>
      </c>
      <c r="B111" t="s">
        <v>106</v>
      </c>
      <c r="C111" t="s">
        <v>58</v>
      </c>
      <c r="E111" t="s">
        <v>106</v>
      </c>
      <c r="F111" t="s">
        <v>869</v>
      </c>
      <c r="G111" t="s">
        <v>100</v>
      </c>
      <c r="H111" t="s">
        <v>758</v>
      </c>
      <c r="I111" t="s">
        <v>634</v>
      </c>
      <c r="K111" t="s">
        <v>759</v>
      </c>
      <c r="L111" t="s">
        <v>760</v>
      </c>
    </row>
    <row r="112" spans="1:14">
      <c r="A112" s="2">
        <v>114</v>
      </c>
      <c r="B112" t="s">
        <v>870</v>
      </c>
      <c r="C112" t="s">
        <v>58</v>
      </c>
      <c r="F112" t="s">
        <v>869</v>
      </c>
      <c r="G112" t="s">
        <v>100</v>
      </c>
      <c r="H112" t="s">
        <v>758</v>
      </c>
      <c r="I112" t="s">
        <v>634</v>
      </c>
      <c r="K112" t="s">
        <v>99</v>
      </c>
      <c r="L112" t="s">
        <v>98</v>
      </c>
      <c r="N112" t="s">
        <v>106</v>
      </c>
    </row>
    <row r="113" spans="1:14">
      <c r="A113" s="2">
        <v>115</v>
      </c>
      <c r="B113" t="s">
        <v>762</v>
      </c>
      <c r="C113" t="s">
        <v>58</v>
      </c>
      <c r="E113" t="s">
        <v>762</v>
      </c>
      <c r="F113" t="s">
        <v>871</v>
      </c>
      <c r="G113" t="s">
        <v>100</v>
      </c>
      <c r="H113" t="s">
        <v>764</v>
      </c>
      <c r="I113" t="s">
        <v>635</v>
      </c>
      <c r="K113" t="s">
        <v>765</v>
      </c>
      <c r="L113" t="s">
        <v>766</v>
      </c>
    </row>
    <row r="114" spans="1:14">
      <c r="A114" s="2">
        <v>116</v>
      </c>
      <c r="B114" t="s">
        <v>767</v>
      </c>
      <c r="C114" t="s">
        <v>58</v>
      </c>
      <c r="E114" t="s">
        <v>767</v>
      </c>
      <c r="F114" t="s">
        <v>871</v>
      </c>
      <c r="G114" t="s">
        <v>100</v>
      </c>
      <c r="H114" t="s">
        <v>764</v>
      </c>
      <c r="I114" t="s">
        <v>635</v>
      </c>
      <c r="K114" t="s">
        <v>768</v>
      </c>
      <c r="L114" t="s">
        <v>769</v>
      </c>
    </row>
    <row r="115" spans="1:14">
      <c r="A115" s="2">
        <v>117</v>
      </c>
      <c r="B115" t="s">
        <v>872</v>
      </c>
      <c r="C115" t="s">
        <v>58</v>
      </c>
      <c r="F115" t="s">
        <v>871</v>
      </c>
      <c r="G115" t="s">
        <v>100</v>
      </c>
      <c r="H115" t="s">
        <v>764</v>
      </c>
      <c r="I115" t="s">
        <v>635</v>
      </c>
      <c r="K115" t="s">
        <v>99</v>
      </c>
      <c r="L115" t="s">
        <v>98</v>
      </c>
      <c r="N115" t="s">
        <v>771</v>
      </c>
    </row>
    <row r="116" spans="1:14">
      <c r="A116" s="2">
        <v>118</v>
      </c>
      <c r="B116" t="s">
        <v>121</v>
      </c>
      <c r="C116" t="s">
        <v>58</v>
      </c>
      <c r="E116" t="s">
        <v>121</v>
      </c>
      <c r="F116" t="s">
        <v>873</v>
      </c>
      <c r="G116" t="s">
        <v>100</v>
      </c>
      <c r="H116" t="s">
        <v>773</v>
      </c>
      <c r="I116" t="s">
        <v>636</v>
      </c>
      <c r="K116" t="s">
        <v>774</v>
      </c>
      <c r="L116" t="s">
        <v>775</v>
      </c>
    </row>
    <row r="117" spans="1:14">
      <c r="A117" s="2">
        <v>119</v>
      </c>
      <c r="B117" t="s">
        <v>874</v>
      </c>
      <c r="C117" t="s">
        <v>58</v>
      </c>
      <c r="F117" t="s">
        <v>873</v>
      </c>
      <c r="G117" t="s">
        <v>100</v>
      </c>
      <c r="H117" t="s">
        <v>773</v>
      </c>
      <c r="I117" t="s">
        <v>636</v>
      </c>
      <c r="K117" t="s">
        <v>99</v>
      </c>
      <c r="L117" t="s">
        <v>98</v>
      </c>
      <c r="N117" t="s">
        <v>121</v>
      </c>
    </row>
    <row r="118" spans="1:14">
      <c r="A118" s="2">
        <v>120</v>
      </c>
      <c r="B118" t="s">
        <v>875</v>
      </c>
      <c r="C118" t="s">
        <v>58</v>
      </c>
      <c r="E118" t="s">
        <v>107</v>
      </c>
      <c r="F118" t="s">
        <v>876</v>
      </c>
      <c r="G118" t="s">
        <v>100</v>
      </c>
      <c r="H118" t="s">
        <v>779</v>
      </c>
      <c r="I118" t="s">
        <v>638</v>
      </c>
      <c r="K118" t="s">
        <v>780</v>
      </c>
      <c r="L118" t="s">
        <v>781</v>
      </c>
    </row>
    <row r="119" spans="1:14">
      <c r="A119" s="2">
        <v>121</v>
      </c>
      <c r="B119" t="s">
        <v>877</v>
      </c>
      <c r="C119" t="s">
        <v>75</v>
      </c>
      <c r="F119" t="s">
        <v>876</v>
      </c>
      <c r="G119" t="s">
        <v>53</v>
      </c>
      <c r="H119" t="s">
        <v>779</v>
      </c>
      <c r="I119" t="s">
        <v>638</v>
      </c>
      <c r="J119" t="s">
        <v>62</v>
      </c>
      <c r="K119" t="s">
        <v>71</v>
      </c>
      <c r="L119" t="s">
        <v>70</v>
      </c>
      <c r="M119" t="s">
        <v>106</v>
      </c>
      <c r="N119" t="s">
        <v>107</v>
      </c>
    </row>
    <row r="120" spans="1:14">
      <c r="A120" s="2">
        <v>122</v>
      </c>
      <c r="B120" t="s">
        <v>88</v>
      </c>
      <c r="C120" t="s">
        <v>75</v>
      </c>
      <c r="D120" t="s">
        <v>815</v>
      </c>
      <c r="E120" t="s">
        <v>816</v>
      </c>
      <c r="F120" t="s">
        <v>878</v>
      </c>
      <c r="G120" t="s">
        <v>53</v>
      </c>
      <c r="H120" t="s">
        <v>879</v>
      </c>
      <c r="I120" t="s">
        <v>639</v>
      </c>
      <c r="J120" t="s">
        <v>62</v>
      </c>
      <c r="K120" t="s">
        <v>820</v>
      </c>
      <c r="L120" t="s">
        <v>821</v>
      </c>
    </row>
    <row r="121" spans="1:14">
      <c r="A121" s="2">
        <v>123</v>
      </c>
      <c r="B121" t="s">
        <v>880</v>
      </c>
      <c r="C121" t="s">
        <v>75</v>
      </c>
      <c r="F121" t="s">
        <v>878</v>
      </c>
      <c r="G121" t="s">
        <v>53</v>
      </c>
      <c r="H121" t="s">
        <v>879</v>
      </c>
      <c r="I121" t="s">
        <v>639</v>
      </c>
      <c r="J121" t="s">
        <v>62</v>
      </c>
      <c r="K121" t="s">
        <v>738</v>
      </c>
      <c r="L121" t="s">
        <v>739</v>
      </c>
      <c r="M121" t="s">
        <v>815</v>
      </c>
      <c r="N121" t="s">
        <v>816</v>
      </c>
    </row>
    <row r="122" spans="1:14">
      <c r="A122" s="2">
        <v>124</v>
      </c>
      <c r="B122" t="s">
        <v>881</v>
      </c>
      <c r="C122" t="s">
        <v>58</v>
      </c>
      <c r="E122" t="s">
        <v>87</v>
      </c>
      <c r="F122" t="s">
        <v>882</v>
      </c>
      <c r="G122" t="s">
        <v>100</v>
      </c>
      <c r="H122" t="s">
        <v>784</v>
      </c>
      <c r="I122" t="s">
        <v>640</v>
      </c>
      <c r="K122" t="s">
        <v>780</v>
      </c>
      <c r="L122" t="s">
        <v>781</v>
      </c>
    </row>
    <row r="123" spans="1:14">
      <c r="A123" s="2">
        <v>125</v>
      </c>
      <c r="B123" t="s">
        <v>883</v>
      </c>
      <c r="C123" t="s">
        <v>58</v>
      </c>
      <c r="E123" t="s">
        <v>785</v>
      </c>
      <c r="F123" t="s">
        <v>882</v>
      </c>
      <c r="G123" t="s">
        <v>100</v>
      </c>
      <c r="H123" t="s">
        <v>784</v>
      </c>
      <c r="I123" t="s">
        <v>640</v>
      </c>
      <c r="K123" t="s">
        <v>786</v>
      </c>
      <c r="L123" t="s">
        <v>787</v>
      </c>
    </row>
    <row r="124" spans="1:14">
      <c r="A124" s="2">
        <v>126</v>
      </c>
      <c r="B124" t="s">
        <v>788</v>
      </c>
      <c r="C124" t="s">
        <v>75</v>
      </c>
      <c r="F124" t="s">
        <v>882</v>
      </c>
      <c r="G124" t="s">
        <v>100</v>
      </c>
      <c r="H124" t="s">
        <v>784</v>
      </c>
      <c r="I124" t="s">
        <v>640</v>
      </c>
      <c r="K124" t="s">
        <v>789</v>
      </c>
      <c r="L124" t="s">
        <v>790</v>
      </c>
      <c r="N124" t="s">
        <v>791</v>
      </c>
    </row>
    <row r="125" spans="1:14">
      <c r="A125" s="2">
        <v>127</v>
      </c>
      <c r="B125" t="s">
        <v>194</v>
      </c>
      <c r="C125" t="s">
        <v>75</v>
      </c>
      <c r="D125" t="s">
        <v>76</v>
      </c>
      <c r="E125" t="s">
        <v>77</v>
      </c>
      <c r="F125" t="s">
        <v>195</v>
      </c>
      <c r="G125" t="s">
        <v>53</v>
      </c>
      <c r="H125" t="s">
        <v>69</v>
      </c>
      <c r="I125" t="s">
        <v>191</v>
      </c>
      <c r="J125" t="s">
        <v>62</v>
      </c>
      <c r="K125" t="s">
        <v>71</v>
      </c>
      <c r="L125" t="s">
        <v>70</v>
      </c>
    </row>
    <row r="126" spans="1:14">
      <c r="A126" s="2">
        <v>128</v>
      </c>
      <c r="B126" t="s">
        <v>127</v>
      </c>
      <c r="C126" t="s">
        <v>58</v>
      </c>
      <c r="F126" t="s">
        <v>195</v>
      </c>
      <c r="G126" t="s">
        <v>53</v>
      </c>
      <c r="H126" t="s">
        <v>69</v>
      </c>
      <c r="I126" t="s">
        <v>191</v>
      </c>
      <c r="J126" t="s">
        <v>62</v>
      </c>
      <c r="K126" t="s">
        <v>52</v>
      </c>
      <c r="L126" t="s">
        <v>51</v>
      </c>
      <c r="M126" t="s">
        <v>76</v>
      </c>
      <c r="N126" t="s">
        <v>77</v>
      </c>
    </row>
    <row r="127" spans="1:14">
      <c r="A127" s="2">
        <v>129</v>
      </c>
      <c r="B127" t="s">
        <v>89</v>
      </c>
      <c r="C127" t="s">
        <v>58</v>
      </c>
      <c r="D127" t="s">
        <v>88</v>
      </c>
      <c r="E127" t="s">
        <v>89</v>
      </c>
      <c r="F127" t="s">
        <v>884</v>
      </c>
      <c r="G127" t="s">
        <v>85</v>
      </c>
      <c r="H127" t="s">
        <v>793</v>
      </c>
      <c r="I127" t="s">
        <v>642</v>
      </c>
      <c r="J127" t="s">
        <v>91</v>
      </c>
      <c r="K127" t="s">
        <v>794</v>
      </c>
      <c r="L127" t="s">
        <v>795</v>
      </c>
    </row>
    <row r="128" spans="1:14">
      <c r="A128" s="2">
        <v>130</v>
      </c>
      <c r="B128" t="s">
        <v>796</v>
      </c>
      <c r="C128" t="s">
        <v>75</v>
      </c>
      <c r="F128" t="s">
        <v>884</v>
      </c>
      <c r="G128" t="s">
        <v>85</v>
      </c>
      <c r="H128" t="s">
        <v>793</v>
      </c>
      <c r="I128" t="s">
        <v>642</v>
      </c>
      <c r="J128" t="s">
        <v>91</v>
      </c>
      <c r="K128" t="s">
        <v>84</v>
      </c>
      <c r="L128" t="s">
        <v>83</v>
      </c>
      <c r="M128" t="s">
        <v>88</v>
      </c>
      <c r="N128" t="s">
        <v>89</v>
      </c>
    </row>
    <row r="129" spans="1:14">
      <c r="A129" s="2">
        <v>131</v>
      </c>
      <c r="B129" t="s">
        <v>87</v>
      </c>
      <c r="C129" t="s">
        <v>75</v>
      </c>
      <c r="D129" t="s">
        <v>88</v>
      </c>
      <c r="E129" t="s">
        <v>89</v>
      </c>
      <c r="F129" t="s">
        <v>199</v>
      </c>
      <c r="G129" t="s">
        <v>85</v>
      </c>
      <c r="H129" t="s">
        <v>82</v>
      </c>
      <c r="I129" t="s">
        <v>196</v>
      </c>
      <c r="J129" t="s">
        <v>91</v>
      </c>
      <c r="K129" t="s">
        <v>84</v>
      </c>
      <c r="L129" t="s">
        <v>83</v>
      </c>
    </row>
    <row r="130" spans="1:14">
      <c r="A130" s="2">
        <v>132</v>
      </c>
      <c r="B130" t="s">
        <v>200</v>
      </c>
      <c r="C130" t="s">
        <v>58</v>
      </c>
      <c r="F130" t="s">
        <v>199</v>
      </c>
      <c r="G130" t="s">
        <v>85</v>
      </c>
      <c r="H130" t="s">
        <v>82</v>
      </c>
      <c r="I130" t="s">
        <v>196</v>
      </c>
      <c r="J130" t="s">
        <v>91</v>
      </c>
      <c r="K130" t="s">
        <v>93</v>
      </c>
      <c r="L130" t="s">
        <v>92</v>
      </c>
      <c r="M130" t="s">
        <v>88</v>
      </c>
      <c r="N130" t="s">
        <v>89</v>
      </c>
    </row>
    <row r="131" spans="1:14">
      <c r="A131" s="2">
        <v>133</v>
      </c>
      <c r="B131" t="s">
        <v>204</v>
      </c>
      <c r="C131" t="s">
        <v>58</v>
      </c>
      <c r="E131" t="s">
        <v>103</v>
      </c>
      <c r="F131" t="s">
        <v>205</v>
      </c>
      <c r="G131" t="s">
        <v>100</v>
      </c>
      <c r="H131" t="s">
        <v>97</v>
      </c>
      <c r="I131" t="s">
        <v>201</v>
      </c>
      <c r="K131" t="s">
        <v>99</v>
      </c>
      <c r="L131" t="s">
        <v>98</v>
      </c>
    </row>
    <row r="132" spans="1:14">
      <c r="A132" s="2">
        <v>134</v>
      </c>
      <c r="B132" t="s">
        <v>206</v>
      </c>
      <c r="C132" t="s">
        <v>58</v>
      </c>
      <c r="F132" t="s">
        <v>205</v>
      </c>
      <c r="G132" t="s">
        <v>53</v>
      </c>
      <c r="H132" t="s">
        <v>97</v>
      </c>
      <c r="I132" t="s">
        <v>201</v>
      </c>
      <c r="J132" t="s">
        <v>62</v>
      </c>
      <c r="K132" t="s">
        <v>52</v>
      </c>
      <c r="L132" t="s">
        <v>51</v>
      </c>
      <c r="M132" t="s">
        <v>106</v>
      </c>
      <c r="N132" t="s">
        <v>107</v>
      </c>
    </row>
    <row r="133" spans="1:14">
      <c r="A133" s="2">
        <v>135</v>
      </c>
      <c r="B133" t="s">
        <v>122</v>
      </c>
      <c r="C133" t="s">
        <v>75</v>
      </c>
      <c r="F133" t="s">
        <v>205</v>
      </c>
      <c r="G133" t="s">
        <v>100</v>
      </c>
      <c r="H133" t="s">
        <v>97</v>
      </c>
      <c r="I133" t="s">
        <v>201</v>
      </c>
      <c r="K133" t="s">
        <v>109</v>
      </c>
      <c r="L133" t="s">
        <v>108</v>
      </c>
      <c r="N133" t="s">
        <v>110</v>
      </c>
    </row>
    <row r="134" spans="1:14">
      <c r="A134" s="2">
        <v>136</v>
      </c>
      <c r="B134" t="s">
        <v>57</v>
      </c>
      <c r="C134" t="s">
        <v>58</v>
      </c>
      <c r="D134" t="s">
        <v>116</v>
      </c>
      <c r="E134" t="s">
        <v>117</v>
      </c>
      <c r="F134" t="s">
        <v>210</v>
      </c>
      <c r="G134" t="s">
        <v>53</v>
      </c>
      <c r="H134" t="s">
        <v>113</v>
      </c>
      <c r="I134" t="s">
        <v>207</v>
      </c>
      <c r="J134" t="s">
        <v>62</v>
      </c>
      <c r="K134" t="s">
        <v>52</v>
      </c>
      <c r="L134" t="s">
        <v>51</v>
      </c>
    </row>
    <row r="135" spans="1:14">
      <c r="A135" s="2">
        <v>137</v>
      </c>
      <c r="B135" t="s">
        <v>211</v>
      </c>
      <c r="C135" t="s">
        <v>58</v>
      </c>
      <c r="F135" t="s">
        <v>210</v>
      </c>
      <c r="G135" t="s">
        <v>100</v>
      </c>
      <c r="H135" t="s">
        <v>113</v>
      </c>
      <c r="I135" t="s">
        <v>207</v>
      </c>
      <c r="K135" t="s">
        <v>99</v>
      </c>
      <c r="L135" t="s">
        <v>98</v>
      </c>
      <c r="N135" t="s">
        <v>120</v>
      </c>
    </row>
    <row r="136" spans="1:14">
      <c r="A136" s="2">
        <v>138</v>
      </c>
      <c r="B136" t="s">
        <v>212</v>
      </c>
      <c r="C136" t="s">
        <v>213</v>
      </c>
      <c r="E136" t="s">
        <v>122</v>
      </c>
      <c r="F136" t="s">
        <v>210</v>
      </c>
      <c r="G136" t="s">
        <v>100</v>
      </c>
      <c r="H136" t="s">
        <v>113</v>
      </c>
      <c r="I136" t="s">
        <v>207</v>
      </c>
      <c r="K136" t="s">
        <v>109</v>
      </c>
      <c r="L136" t="s">
        <v>108</v>
      </c>
    </row>
    <row r="137" spans="1:14">
      <c r="A137" s="2">
        <v>139</v>
      </c>
      <c r="B137" t="s">
        <v>797</v>
      </c>
      <c r="C137" t="s">
        <v>75</v>
      </c>
      <c r="E137" t="s">
        <v>791</v>
      </c>
      <c r="F137" t="s">
        <v>885</v>
      </c>
      <c r="G137" t="s">
        <v>100</v>
      </c>
      <c r="H137" t="s">
        <v>799</v>
      </c>
      <c r="I137" t="s">
        <v>643</v>
      </c>
      <c r="K137" t="s">
        <v>789</v>
      </c>
      <c r="L137" t="s">
        <v>790</v>
      </c>
    </row>
    <row r="138" spans="1:14">
      <c r="A138" s="2">
        <v>140</v>
      </c>
      <c r="B138" t="s">
        <v>886</v>
      </c>
      <c r="C138" t="s">
        <v>58</v>
      </c>
      <c r="F138" t="s">
        <v>885</v>
      </c>
      <c r="G138" t="s">
        <v>100</v>
      </c>
      <c r="H138" t="s">
        <v>799</v>
      </c>
      <c r="I138" t="s">
        <v>643</v>
      </c>
      <c r="K138" t="s">
        <v>99</v>
      </c>
      <c r="L138" t="s">
        <v>98</v>
      </c>
      <c r="N138" t="s">
        <v>791</v>
      </c>
    </row>
    <row r="139" spans="1:14">
      <c r="A139" s="2">
        <v>141</v>
      </c>
      <c r="B139" t="s">
        <v>887</v>
      </c>
      <c r="C139" t="s">
        <v>58</v>
      </c>
      <c r="E139" t="s">
        <v>887</v>
      </c>
      <c r="F139" t="s">
        <v>888</v>
      </c>
      <c r="G139" t="s">
        <v>100</v>
      </c>
      <c r="H139" t="s">
        <v>803</v>
      </c>
      <c r="I139" t="s">
        <v>644</v>
      </c>
      <c r="K139" t="s">
        <v>804</v>
      </c>
      <c r="L139" t="s">
        <v>805</v>
      </c>
    </row>
    <row r="140" spans="1:14">
      <c r="A140" s="2">
        <v>142</v>
      </c>
      <c r="B140" t="s">
        <v>889</v>
      </c>
      <c r="C140" t="s">
        <v>58</v>
      </c>
      <c r="F140" t="s">
        <v>888</v>
      </c>
      <c r="G140" t="s">
        <v>100</v>
      </c>
      <c r="H140" t="s">
        <v>803</v>
      </c>
      <c r="I140" t="s">
        <v>644</v>
      </c>
      <c r="K140" t="s">
        <v>780</v>
      </c>
      <c r="L140" t="s">
        <v>781</v>
      </c>
      <c r="N140" t="s">
        <v>887</v>
      </c>
    </row>
    <row r="141" spans="1:14">
      <c r="A141" s="2">
        <v>143</v>
      </c>
      <c r="B141" t="s">
        <v>212</v>
      </c>
      <c r="C141" t="s">
        <v>213</v>
      </c>
      <c r="D141" t="s">
        <v>890</v>
      </c>
      <c r="E141" t="s">
        <v>880</v>
      </c>
      <c r="F141" t="s">
        <v>891</v>
      </c>
      <c r="G141" t="s">
        <v>53</v>
      </c>
      <c r="H141" t="s">
        <v>808</v>
      </c>
      <c r="I141" t="s">
        <v>380</v>
      </c>
      <c r="J141" t="s">
        <v>62</v>
      </c>
      <c r="K141" t="s">
        <v>738</v>
      </c>
      <c r="L141" t="s">
        <v>739</v>
      </c>
    </row>
    <row r="142" spans="1:14">
      <c r="A142" s="2">
        <v>144</v>
      </c>
      <c r="B142" t="s">
        <v>212</v>
      </c>
      <c r="C142" t="s">
        <v>213</v>
      </c>
      <c r="E142" t="s">
        <v>751</v>
      </c>
      <c r="F142" t="s">
        <v>891</v>
      </c>
      <c r="G142" t="s">
        <v>100</v>
      </c>
      <c r="H142" t="s">
        <v>808</v>
      </c>
      <c r="I142" t="s">
        <v>380</v>
      </c>
      <c r="K142" t="s">
        <v>752</v>
      </c>
      <c r="L142" t="s">
        <v>753</v>
      </c>
    </row>
    <row r="143" spans="1:14">
      <c r="A143" s="2">
        <v>145</v>
      </c>
      <c r="B143" t="s">
        <v>212</v>
      </c>
      <c r="C143" t="s">
        <v>213</v>
      </c>
      <c r="F143" t="s">
        <v>891</v>
      </c>
      <c r="G143" t="s">
        <v>100</v>
      </c>
      <c r="H143" t="s">
        <v>808</v>
      </c>
      <c r="I143" t="s">
        <v>380</v>
      </c>
      <c r="K143" t="s">
        <v>804</v>
      </c>
      <c r="L143" t="s">
        <v>805</v>
      </c>
      <c r="N143" t="s">
        <v>887</v>
      </c>
    </row>
    <row r="144" spans="1:14">
      <c r="A144" s="2">
        <v>146</v>
      </c>
      <c r="B144" t="s">
        <v>212</v>
      </c>
      <c r="C144" t="s">
        <v>213</v>
      </c>
      <c r="F144" t="s">
        <v>891</v>
      </c>
      <c r="G144" t="s">
        <v>85</v>
      </c>
      <c r="H144" t="s">
        <v>808</v>
      </c>
      <c r="I144" t="s">
        <v>380</v>
      </c>
      <c r="J144" t="s">
        <v>91</v>
      </c>
      <c r="K144" t="s">
        <v>794</v>
      </c>
      <c r="L144" t="s">
        <v>795</v>
      </c>
      <c r="M144" t="s">
        <v>88</v>
      </c>
      <c r="N144" t="s">
        <v>89</v>
      </c>
    </row>
    <row r="145" spans="1:14">
      <c r="A145" s="2">
        <v>147</v>
      </c>
      <c r="B145" t="s">
        <v>212</v>
      </c>
      <c r="C145" t="s">
        <v>213</v>
      </c>
      <c r="F145" t="s">
        <v>891</v>
      </c>
      <c r="G145" t="s">
        <v>100</v>
      </c>
      <c r="H145" t="s">
        <v>808</v>
      </c>
      <c r="I145" t="s">
        <v>380</v>
      </c>
      <c r="K145" t="s">
        <v>765</v>
      </c>
      <c r="L145" t="s">
        <v>766</v>
      </c>
      <c r="N145" t="s">
        <v>762</v>
      </c>
    </row>
    <row r="146" spans="1:14">
      <c r="A146" s="2">
        <v>148</v>
      </c>
      <c r="B146" t="s">
        <v>212</v>
      </c>
      <c r="C146" t="s">
        <v>213</v>
      </c>
      <c r="F146" t="s">
        <v>891</v>
      </c>
      <c r="G146" t="s">
        <v>100</v>
      </c>
      <c r="H146" t="s">
        <v>808</v>
      </c>
      <c r="I146" t="s">
        <v>380</v>
      </c>
      <c r="K146" t="s">
        <v>768</v>
      </c>
      <c r="L146" t="s">
        <v>769</v>
      </c>
      <c r="N146" t="s">
        <v>767</v>
      </c>
    </row>
    <row r="147" spans="1:14">
      <c r="A147" s="2">
        <v>149</v>
      </c>
      <c r="B147" t="s">
        <v>212</v>
      </c>
      <c r="C147" t="s">
        <v>213</v>
      </c>
      <c r="F147" t="s">
        <v>891</v>
      </c>
      <c r="G147" t="s">
        <v>100</v>
      </c>
      <c r="H147" t="s">
        <v>808</v>
      </c>
      <c r="I147" t="s">
        <v>380</v>
      </c>
      <c r="K147" t="s">
        <v>759</v>
      </c>
      <c r="L147" t="s">
        <v>760</v>
      </c>
      <c r="N147" t="s">
        <v>106</v>
      </c>
    </row>
    <row r="148" spans="1:14">
      <c r="A148" s="2">
        <v>150</v>
      </c>
      <c r="B148" t="s">
        <v>212</v>
      </c>
      <c r="C148" t="s">
        <v>213</v>
      </c>
      <c r="F148" t="s">
        <v>891</v>
      </c>
      <c r="G148" t="s">
        <v>100</v>
      </c>
      <c r="H148" t="s">
        <v>808</v>
      </c>
      <c r="I148" t="s">
        <v>380</v>
      </c>
      <c r="K148" t="s">
        <v>774</v>
      </c>
      <c r="L148" t="s">
        <v>775</v>
      </c>
      <c r="N148" t="s">
        <v>121</v>
      </c>
    </row>
    <row r="149" spans="1:14">
      <c r="A149" s="2">
        <v>151</v>
      </c>
      <c r="B149" t="s">
        <v>892</v>
      </c>
      <c r="C149" t="s">
        <v>75</v>
      </c>
      <c r="F149" t="s">
        <v>891</v>
      </c>
      <c r="G149" t="s">
        <v>100</v>
      </c>
      <c r="H149" t="s">
        <v>808</v>
      </c>
      <c r="I149" t="s">
        <v>380</v>
      </c>
      <c r="K149" t="s">
        <v>810</v>
      </c>
      <c r="L149" t="s">
        <v>811</v>
      </c>
      <c r="N149" t="s">
        <v>893</v>
      </c>
    </row>
    <row r="150" spans="1:14">
      <c r="A150" s="2">
        <v>152</v>
      </c>
      <c r="B150" t="s">
        <v>894</v>
      </c>
      <c r="C150" t="s">
        <v>58</v>
      </c>
      <c r="D150" t="s">
        <v>895</v>
      </c>
      <c r="E150" t="s">
        <v>896</v>
      </c>
      <c r="F150" t="s">
        <v>897</v>
      </c>
      <c r="G150" t="s">
        <v>53</v>
      </c>
      <c r="H150" t="s">
        <v>737</v>
      </c>
      <c r="I150" t="s">
        <v>651</v>
      </c>
      <c r="J150" t="s">
        <v>62</v>
      </c>
      <c r="K150" t="s">
        <v>64</v>
      </c>
      <c r="L150" t="s">
        <v>63</v>
      </c>
    </row>
    <row r="151" spans="1:14">
      <c r="A151" s="2">
        <v>153</v>
      </c>
      <c r="B151" t="s">
        <v>896</v>
      </c>
      <c r="C151" t="s">
        <v>75</v>
      </c>
      <c r="F151" t="s">
        <v>897</v>
      </c>
      <c r="G151" t="s">
        <v>53</v>
      </c>
      <c r="H151" t="s">
        <v>737</v>
      </c>
      <c r="I151" t="s">
        <v>651</v>
      </c>
      <c r="J151" t="s">
        <v>62</v>
      </c>
      <c r="K151" t="s">
        <v>738</v>
      </c>
      <c r="L151" t="s">
        <v>739</v>
      </c>
      <c r="M151" t="s">
        <v>895</v>
      </c>
      <c r="N151" t="s">
        <v>896</v>
      </c>
    </row>
    <row r="152" spans="1:14">
      <c r="A152" s="2">
        <v>154</v>
      </c>
      <c r="B152" t="s">
        <v>898</v>
      </c>
      <c r="C152" t="s">
        <v>58</v>
      </c>
      <c r="D152" t="s">
        <v>290</v>
      </c>
      <c r="E152" t="s">
        <v>741</v>
      </c>
      <c r="F152" t="s">
        <v>899</v>
      </c>
      <c r="G152" t="s">
        <v>53</v>
      </c>
      <c r="H152" t="s">
        <v>743</v>
      </c>
      <c r="I152" t="s">
        <v>652</v>
      </c>
      <c r="J152" t="s">
        <v>62</v>
      </c>
      <c r="K152" t="s">
        <v>64</v>
      </c>
      <c r="L152" t="s">
        <v>63</v>
      </c>
    </row>
    <row r="153" spans="1:14">
      <c r="A153" s="2">
        <v>155</v>
      </c>
      <c r="B153" t="s">
        <v>880</v>
      </c>
      <c r="C153" t="s">
        <v>75</v>
      </c>
      <c r="F153" t="s">
        <v>899</v>
      </c>
      <c r="G153" t="s">
        <v>53</v>
      </c>
      <c r="H153" t="s">
        <v>743</v>
      </c>
      <c r="I153" t="s">
        <v>652</v>
      </c>
      <c r="J153" t="s">
        <v>62</v>
      </c>
      <c r="K153" t="s">
        <v>738</v>
      </c>
      <c r="L153" t="s">
        <v>739</v>
      </c>
      <c r="M153" t="s">
        <v>290</v>
      </c>
      <c r="N153" t="s">
        <v>741</v>
      </c>
    </row>
    <row r="154" spans="1:14">
      <c r="A154" s="2">
        <v>156</v>
      </c>
      <c r="B154" t="s">
        <v>900</v>
      </c>
      <c r="C154" t="s">
        <v>58</v>
      </c>
      <c r="E154" t="s">
        <v>751</v>
      </c>
      <c r="F154" t="s">
        <v>901</v>
      </c>
      <c r="G154" t="s">
        <v>100</v>
      </c>
      <c r="H154" t="s">
        <v>831</v>
      </c>
      <c r="I154" t="s">
        <v>656</v>
      </c>
      <c r="K154" t="s">
        <v>99</v>
      </c>
      <c r="L154" t="s">
        <v>98</v>
      </c>
    </row>
    <row r="155" spans="1:14">
      <c r="A155" s="2">
        <v>157</v>
      </c>
      <c r="B155" t="s">
        <v>57</v>
      </c>
      <c r="C155" t="s">
        <v>58</v>
      </c>
      <c r="F155" t="s">
        <v>901</v>
      </c>
      <c r="G155" t="s">
        <v>100</v>
      </c>
      <c r="H155" t="s">
        <v>831</v>
      </c>
      <c r="I155" t="s">
        <v>656</v>
      </c>
      <c r="K155" t="s">
        <v>749</v>
      </c>
      <c r="L155" t="s">
        <v>750</v>
      </c>
      <c r="N155" t="s">
        <v>751</v>
      </c>
    </row>
    <row r="156" spans="1:14">
      <c r="A156" s="2">
        <v>158</v>
      </c>
      <c r="B156" t="s">
        <v>902</v>
      </c>
      <c r="C156" t="s">
        <v>58</v>
      </c>
      <c r="E156" t="s">
        <v>822</v>
      </c>
      <c r="F156" t="s">
        <v>903</v>
      </c>
      <c r="G156" t="s">
        <v>100</v>
      </c>
      <c r="H156" t="s">
        <v>904</v>
      </c>
      <c r="I156" t="s">
        <v>657</v>
      </c>
      <c r="K156" t="s">
        <v>780</v>
      </c>
      <c r="L156" t="s">
        <v>781</v>
      </c>
    </row>
    <row r="157" spans="1:14">
      <c r="A157" s="2">
        <v>159</v>
      </c>
      <c r="B157" t="s">
        <v>212</v>
      </c>
      <c r="C157" t="s">
        <v>213</v>
      </c>
      <c r="F157" t="s">
        <v>903</v>
      </c>
      <c r="G157" t="s">
        <v>53</v>
      </c>
      <c r="H157" t="s">
        <v>904</v>
      </c>
      <c r="I157" t="s">
        <v>657</v>
      </c>
      <c r="J157" t="s">
        <v>62</v>
      </c>
      <c r="K157" t="s">
        <v>826</v>
      </c>
      <c r="L157" t="s">
        <v>827</v>
      </c>
      <c r="M157" t="s">
        <v>823</v>
      </c>
      <c r="N157" t="s">
        <v>822</v>
      </c>
    </row>
    <row r="158" spans="1:14">
      <c r="A158" s="2">
        <v>160</v>
      </c>
      <c r="B158" t="s">
        <v>217</v>
      </c>
      <c r="C158" t="s">
        <v>58</v>
      </c>
      <c r="D158" t="s">
        <v>218</v>
      </c>
      <c r="E158" t="s">
        <v>219</v>
      </c>
      <c r="F158" t="s">
        <v>220</v>
      </c>
      <c r="G158" t="s">
        <v>53</v>
      </c>
      <c r="H158" t="s">
        <v>50</v>
      </c>
      <c r="I158" t="s">
        <v>214</v>
      </c>
      <c r="J158" t="s">
        <v>62</v>
      </c>
      <c r="K158" t="s">
        <v>52</v>
      </c>
      <c r="L158" t="s">
        <v>51</v>
      </c>
    </row>
    <row r="159" spans="1:14">
      <c r="A159" s="2">
        <v>161</v>
      </c>
      <c r="B159" t="s">
        <v>221</v>
      </c>
      <c r="C159" t="s">
        <v>58</v>
      </c>
      <c r="F159" t="s">
        <v>220</v>
      </c>
      <c r="G159" t="s">
        <v>53</v>
      </c>
      <c r="H159" t="s">
        <v>50</v>
      </c>
      <c r="I159" t="s">
        <v>214</v>
      </c>
      <c r="J159" t="s">
        <v>62</v>
      </c>
      <c r="K159" t="s">
        <v>64</v>
      </c>
      <c r="L159" t="s">
        <v>63</v>
      </c>
      <c r="M159" t="s">
        <v>218</v>
      </c>
      <c r="N159" t="s">
        <v>219</v>
      </c>
    </row>
    <row r="160" spans="1:14">
      <c r="A160" s="2">
        <v>162</v>
      </c>
      <c r="B160" t="s">
        <v>106</v>
      </c>
      <c r="C160" t="s">
        <v>58</v>
      </c>
      <c r="E160" t="s">
        <v>106</v>
      </c>
      <c r="F160" t="s">
        <v>905</v>
      </c>
      <c r="G160" t="s">
        <v>100</v>
      </c>
      <c r="H160" t="s">
        <v>758</v>
      </c>
      <c r="I160" t="s">
        <v>659</v>
      </c>
      <c r="K160" t="s">
        <v>759</v>
      </c>
      <c r="L160" t="s">
        <v>760</v>
      </c>
    </row>
    <row r="161" spans="1:14">
      <c r="A161" s="2">
        <v>163</v>
      </c>
      <c r="B161" t="s">
        <v>906</v>
      </c>
      <c r="C161" t="s">
        <v>58</v>
      </c>
      <c r="F161" t="s">
        <v>905</v>
      </c>
      <c r="G161" t="s">
        <v>100</v>
      </c>
      <c r="H161" t="s">
        <v>758</v>
      </c>
      <c r="I161" t="s">
        <v>659</v>
      </c>
      <c r="K161" t="s">
        <v>99</v>
      </c>
      <c r="L161" t="s">
        <v>98</v>
      </c>
      <c r="N161" t="s">
        <v>106</v>
      </c>
    </row>
    <row r="162" spans="1:14">
      <c r="A162" s="2">
        <v>164</v>
      </c>
      <c r="B162" t="s">
        <v>762</v>
      </c>
      <c r="C162" t="s">
        <v>58</v>
      </c>
      <c r="E162" t="s">
        <v>762</v>
      </c>
      <c r="F162" t="s">
        <v>907</v>
      </c>
      <c r="G162" t="s">
        <v>100</v>
      </c>
      <c r="H162" t="s">
        <v>764</v>
      </c>
      <c r="I162" t="s">
        <v>660</v>
      </c>
      <c r="K162" t="s">
        <v>765</v>
      </c>
      <c r="L162" t="s">
        <v>766</v>
      </c>
    </row>
    <row r="163" spans="1:14">
      <c r="A163" s="2">
        <v>165</v>
      </c>
      <c r="B163" t="s">
        <v>767</v>
      </c>
      <c r="C163" t="s">
        <v>58</v>
      </c>
      <c r="E163" t="s">
        <v>767</v>
      </c>
      <c r="F163" t="s">
        <v>907</v>
      </c>
      <c r="G163" t="s">
        <v>100</v>
      </c>
      <c r="H163" t="s">
        <v>764</v>
      </c>
      <c r="I163" t="s">
        <v>660</v>
      </c>
      <c r="K163" t="s">
        <v>768</v>
      </c>
      <c r="L163" t="s">
        <v>769</v>
      </c>
    </row>
    <row r="164" spans="1:14">
      <c r="A164" s="2">
        <v>166</v>
      </c>
      <c r="B164" t="s">
        <v>908</v>
      </c>
      <c r="C164" t="s">
        <v>58</v>
      </c>
      <c r="F164" t="s">
        <v>907</v>
      </c>
      <c r="G164" t="s">
        <v>100</v>
      </c>
      <c r="H164" t="s">
        <v>764</v>
      </c>
      <c r="I164" t="s">
        <v>660</v>
      </c>
      <c r="K164" t="s">
        <v>99</v>
      </c>
      <c r="L164" t="s">
        <v>98</v>
      </c>
      <c r="N164" t="s">
        <v>771</v>
      </c>
    </row>
    <row r="165" spans="1:14">
      <c r="A165" s="2">
        <v>167</v>
      </c>
      <c r="B165" t="s">
        <v>286</v>
      </c>
      <c r="C165" t="s">
        <v>58</v>
      </c>
      <c r="E165" t="s">
        <v>286</v>
      </c>
      <c r="F165" t="s">
        <v>909</v>
      </c>
      <c r="G165" t="s">
        <v>100</v>
      </c>
      <c r="H165" t="s">
        <v>773</v>
      </c>
      <c r="I165" t="s">
        <v>661</v>
      </c>
      <c r="K165" t="s">
        <v>774</v>
      </c>
      <c r="L165" t="s">
        <v>775</v>
      </c>
    </row>
    <row r="166" spans="1:14">
      <c r="A166" s="2">
        <v>168</v>
      </c>
      <c r="B166" t="s">
        <v>910</v>
      </c>
      <c r="C166" t="s">
        <v>58</v>
      </c>
      <c r="F166" t="s">
        <v>909</v>
      </c>
      <c r="G166" t="s">
        <v>100</v>
      </c>
      <c r="H166" t="s">
        <v>773</v>
      </c>
      <c r="I166" t="s">
        <v>661</v>
      </c>
      <c r="K166" t="s">
        <v>99</v>
      </c>
      <c r="L166" t="s">
        <v>98</v>
      </c>
      <c r="N166" t="s">
        <v>286</v>
      </c>
    </row>
    <row r="167" spans="1:14">
      <c r="A167" s="2">
        <v>169</v>
      </c>
      <c r="B167" t="s">
        <v>225</v>
      </c>
      <c r="C167" t="s">
        <v>58</v>
      </c>
      <c r="E167" t="s">
        <v>226</v>
      </c>
      <c r="F167" t="s">
        <v>227</v>
      </c>
      <c r="G167" t="s">
        <v>100</v>
      </c>
      <c r="H167" t="s">
        <v>132</v>
      </c>
      <c r="I167" t="s">
        <v>222</v>
      </c>
      <c r="K167" t="s">
        <v>99</v>
      </c>
      <c r="L167" t="s">
        <v>98</v>
      </c>
    </row>
    <row r="168" spans="1:14">
      <c r="A168" s="2">
        <v>170</v>
      </c>
      <c r="B168" t="s">
        <v>228</v>
      </c>
      <c r="C168" t="s">
        <v>75</v>
      </c>
      <c r="F168" t="s">
        <v>227</v>
      </c>
      <c r="G168" t="s">
        <v>139</v>
      </c>
      <c r="H168" t="s">
        <v>132</v>
      </c>
      <c r="I168" t="s">
        <v>222</v>
      </c>
      <c r="J168" t="s">
        <v>141</v>
      </c>
      <c r="K168" t="s">
        <v>138</v>
      </c>
      <c r="L168" t="s">
        <v>137</v>
      </c>
      <c r="M168" t="s">
        <v>142</v>
      </c>
      <c r="N168" t="s">
        <v>143</v>
      </c>
    </row>
    <row r="169" spans="1:14">
      <c r="A169" s="2">
        <v>171</v>
      </c>
      <c r="B169" t="s">
        <v>229</v>
      </c>
      <c r="C169" t="s">
        <v>75</v>
      </c>
      <c r="F169" t="s">
        <v>227</v>
      </c>
      <c r="G169" t="s">
        <v>100</v>
      </c>
      <c r="H169" t="s">
        <v>132</v>
      </c>
      <c r="I169" t="s">
        <v>222</v>
      </c>
      <c r="K169" t="s">
        <v>109</v>
      </c>
      <c r="L169" t="s">
        <v>108</v>
      </c>
      <c r="N169" t="s">
        <v>229</v>
      </c>
    </row>
    <row r="170" spans="1:14">
      <c r="A170" s="2">
        <v>172</v>
      </c>
      <c r="B170" t="s">
        <v>911</v>
      </c>
      <c r="C170" t="s">
        <v>58</v>
      </c>
      <c r="E170" t="s">
        <v>107</v>
      </c>
      <c r="F170" t="s">
        <v>912</v>
      </c>
      <c r="G170" t="s">
        <v>100</v>
      </c>
      <c r="H170" t="s">
        <v>779</v>
      </c>
      <c r="I170" t="s">
        <v>662</v>
      </c>
      <c r="K170" t="s">
        <v>780</v>
      </c>
      <c r="L170" t="s">
        <v>781</v>
      </c>
    </row>
    <row r="171" spans="1:14">
      <c r="A171" s="2">
        <v>173</v>
      </c>
      <c r="B171" t="s">
        <v>913</v>
      </c>
      <c r="C171" t="s">
        <v>75</v>
      </c>
      <c r="F171" t="s">
        <v>912</v>
      </c>
      <c r="G171" t="s">
        <v>53</v>
      </c>
      <c r="H171" t="s">
        <v>779</v>
      </c>
      <c r="I171" t="s">
        <v>662</v>
      </c>
      <c r="J171" t="s">
        <v>62</v>
      </c>
      <c r="K171" t="s">
        <v>71</v>
      </c>
      <c r="L171" t="s">
        <v>70</v>
      </c>
      <c r="M171" t="s">
        <v>106</v>
      </c>
      <c r="N171" t="s">
        <v>107</v>
      </c>
    </row>
    <row r="172" spans="1:14">
      <c r="A172" s="2">
        <v>174</v>
      </c>
      <c r="B172" t="s">
        <v>914</v>
      </c>
      <c r="C172" t="s">
        <v>58</v>
      </c>
      <c r="E172" t="s">
        <v>915</v>
      </c>
      <c r="F172" t="s">
        <v>916</v>
      </c>
      <c r="G172" t="s">
        <v>100</v>
      </c>
      <c r="H172" t="s">
        <v>784</v>
      </c>
      <c r="I172" t="s">
        <v>664</v>
      </c>
      <c r="K172" t="s">
        <v>780</v>
      </c>
      <c r="L172" t="s">
        <v>781</v>
      </c>
    </row>
    <row r="173" spans="1:14">
      <c r="A173" s="2">
        <v>175</v>
      </c>
      <c r="B173" t="s">
        <v>917</v>
      </c>
      <c r="C173" t="s">
        <v>58</v>
      </c>
      <c r="E173" t="s">
        <v>918</v>
      </c>
      <c r="F173" t="s">
        <v>916</v>
      </c>
      <c r="G173" t="s">
        <v>100</v>
      </c>
      <c r="H173" t="s">
        <v>784</v>
      </c>
      <c r="I173" t="s">
        <v>664</v>
      </c>
      <c r="K173" t="s">
        <v>786</v>
      </c>
      <c r="L173" t="s">
        <v>787</v>
      </c>
    </row>
    <row r="174" spans="1:14">
      <c r="A174" s="2">
        <v>176</v>
      </c>
      <c r="B174" t="s">
        <v>919</v>
      </c>
      <c r="C174" t="s">
        <v>75</v>
      </c>
      <c r="F174" t="s">
        <v>916</v>
      </c>
      <c r="G174" t="s">
        <v>100</v>
      </c>
      <c r="H174" t="s">
        <v>784</v>
      </c>
      <c r="I174" t="s">
        <v>664</v>
      </c>
      <c r="K174" t="s">
        <v>789</v>
      </c>
      <c r="L174" t="s">
        <v>790</v>
      </c>
      <c r="N174" t="s">
        <v>920</v>
      </c>
    </row>
    <row r="175" spans="1:14">
      <c r="A175" s="2">
        <v>177</v>
      </c>
      <c r="B175" t="s">
        <v>233</v>
      </c>
      <c r="C175" t="s">
        <v>75</v>
      </c>
      <c r="D175" t="s">
        <v>76</v>
      </c>
      <c r="E175" t="s">
        <v>77</v>
      </c>
      <c r="F175" t="s">
        <v>234</v>
      </c>
      <c r="G175" t="s">
        <v>53</v>
      </c>
      <c r="H175" t="s">
        <v>69</v>
      </c>
      <c r="I175" t="s">
        <v>230</v>
      </c>
      <c r="J175" t="s">
        <v>62</v>
      </c>
      <c r="K175" t="s">
        <v>71</v>
      </c>
      <c r="L175" t="s">
        <v>70</v>
      </c>
    </row>
    <row r="176" spans="1:14">
      <c r="A176" s="2">
        <v>178</v>
      </c>
      <c r="B176" t="s">
        <v>235</v>
      </c>
      <c r="C176" t="s">
        <v>58</v>
      </c>
      <c r="F176" t="s">
        <v>234</v>
      </c>
      <c r="G176" t="s">
        <v>53</v>
      </c>
      <c r="H176" t="s">
        <v>69</v>
      </c>
      <c r="I176" t="s">
        <v>230</v>
      </c>
      <c r="J176" t="s">
        <v>62</v>
      </c>
      <c r="K176" t="s">
        <v>52</v>
      </c>
      <c r="L176" t="s">
        <v>51</v>
      </c>
      <c r="M176" t="s">
        <v>76</v>
      </c>
      <c r="N176" t="s">
        <v>77</v>
      </c>
    </row>
    <row r="177" spans="1:14">
      <c r="A177" s="2">
        <v>179</v>
      </c>
      <c r="B177" t="s">
        <v>89</v>
      </c>
      <c r="C177" t="s">
        <v>58</v>
      </c>
      <c r="D177" t="s">
        <v>88</v>
      </c>
      <c r="E177" t="s">
        <v>89</v>
      </c>
      <c r="F177" t="s">
        <v>921</v>
      </c>
      <c r="G177" t="s">
        <v>85</v>
      </c>
      <c r="H177" t="s">
        <v>793</v>
      </c>
      <c r="I177" t="s">
        <v>666</v>
      </c>
      <c r="J177" t="s">
        <v>91</v>
      </c>
      <c r="K177" t="s">
        <v>794</v>
      </c>
      <c r="L177" t="s">
        <v>795</v>
      </c>
    </row>
    <row r="178" spans="1:14">
      <c r="A178" s="2">
        <v>180</v>
      </c>
      <c r="B178" t="s">
        <v>796</v>
      </c>
      <c r="C178" t="s">
        <v>75</v>
      </c>
      <c r="F178" t="s">
        <v>921</v>
      </c>
      <c r="G178" t="s">
        <v>85</v>
      </c>
      <c r="H178" t="s">
        <v>793</v>
      </c>
      <c r="I178" t="s">
        <v>666</v>
      </c>
      <c r="J178" t="s">
        <v>91</v>
      </c>
      <c r="K178" t="s">
        <v>84</v>
      </c>
      <c r="L178" t="s">
        <v>83</v>
      </c>
      <c r="M178" t="s">
        <v>88</v>
      </c>
      <c r="N178" t="s">
        <v>89</v>
      </c>
    </row>
    <row r="179" spans="1:14">
      <c r="A179" s="2">
        <v>181</v>
      </c>
      <c r="B179" t="s">
        <v>87</v>
      </c>
      <c r="C179" t="s">
        <v>75</v>
      </c>
      <c r="D179" t="s">
        <v>88</v>
      </c>
      <c r="E179" t="s">
        <v>89</v>
      </c>
      <c r="F179" t="s">
        <v>239</v>
      </c>
      <c r="G179" t="s">
        <v>85</v>
      </c>
      <c r="H179" t="s">
        <v>82</v>
      </c>
      <c r="I179" t="s">
        <v>236</v>
      </c>
      <c r="J179" t="s">
        <v>91</v>
      </c>
      <c r="K179" t="s">
        <v>84</v>
      </c>
      <c r="L179" t="s">
        <v>83</v>
      </c>
    </row>
    <row r="180" spans="1:14">
      <c r="A180" s="2">
        <v>182</v>
      </c>
      <c r="B180" t="s">
        <v>240</v>
      </c>
      <c r="C180" t="s">
        <v>58</v>
      </c>
      <c r="F180" t="s">
        <v>239</v>
      </c>
      <c r="G180" t="s">
        <v>85</v>
      </c>
      <c r="H180" t="s">
        <v>82</v>
      </c>
      <c r="I180" t="s">
        <v>236</v>
      </c>
      <c r="J180" t="s">
        <v>91</v>
      </c>
      <c r="K180" t="s">
        <v>93</v>
      </c>
      <c r="L180" t="s">
        <v>92</v>
      </c>
      <c r="M180" t="s">
        <v>88</v>
      </c>
      <c r="N180" t="s">
        <v>89</v>
      </c>
    </row>
    <row r="181" spans="1:14">
      <c r="A181" s="2">
        <v>183</v>
      </c>
      <c r="B181" t="s">
        <v>244</v>
      </c>
      <c r="C181" t="s">
        <v>58</v>
      </c>
      <c r="E181" t="s">
        <v>245</v>
      </c>
      <c r="F181" t="s">
        <v>246</v>
      </c>
      <c r="G181" t="s">
        <v>100</v>
      </c>
      <c r="H181" t="s">
        <v>97</v>
      </c>
      <c r="I181" t="s">
        <v>241</v>
      </c>
      <c r="K181" t="s">
        <v>99</v>
      </c>
      <c r="L181" t="s">
        <v>98</v>
      </c>
    </row>
    <row r="182" spans="1:14">
      <c r="A182" s="2">
        <v>184</v>
      </c>
      <c r="B182" t="s">
        <v>248</v>
      </c>
      <c r="C182" t="s">
        <v>58</v>
      </c>
      <c r="F182" t="s">
        <v>246</v>
      </c>
      <c r="G182" t="s">
        <v>247</v>
      </c>
      <c r="H182" t="s">
        <v>97</v>
      </c>
      <c r="I182" t="s">
        <v>241</v>
      </c>
      <c r="J182" t="s">
        <v>62</v>
      </c>
      <c r="K182" t="s">
        <v>52</v>
      </c>
      <c r="L182" t="s">
        <v>51</v>
      </c>
      <c r="M182" t="s">
        <v>106</v>
      </c>
      <c r="N182" t="s">
        <v>107</v>
      </c>
    </row>
    <row r="183" spans="1:14">
      <c r="A183" s="2">
        <v>185</v>
      </c>
      <c r="B183" t="s">
        <v>249</v>
      </c>
      <c r="C183" t="s">
        <v>75</v>
      </c>
      <c r="F183" t="s">
        <v>246</v>
      </c>
      <c r="G183" t="s">
        <v>100</v>
      </c>
      <c r="H183" t="s">
        <v>97</v>
      </c>
      <c r="I183" t="s">
        <v>241</v>
      </c>
      <c r="K183" t="s">
        <v>109</v>
      </c>
      <c r="L183" t="s">
        <v>108</v>
      </c>
      <c r="N183" t="s">
        <v>250</v>
      </c>
    </row>
    <row r="184" spans="1:14">
      <c r="A184" s="2">
        <v>186</v>
      </c>
      <c r="B184" t="s">
        <v>169</v>
      </c>
      <c r="C184" t="s">
        <v>58</v>
      </c>
      <c r="D184" t="s">
        <v>116</v>
      </c>
      <c r="E184" t="s">
        <v>117</v>
      </c>
      <c r="F184" t="s">
        <v>254</v>
      </c>
      <c r="G184" t="s">
        <v>53</v>
      </c>
      <c r="H184" t="s">
        <v>113</v>
      </c>
      <c r="I184" t="s">
        <v>251</v>
      </c>
      <c r="J184" t="s">
        <v>62</v>
      </c>
      <c r="K184" t="s">
        <v>52</v>
      </c>
      <c r="L184" t="s">
        <v>51</v>
      </c>
    </row>
    <row r="185" spans="1:14">
      <c r="A185" s="2">
        <v>187</v>
      </c>
      <c r="B185" t="s">
        <v>255</v>
      </c>
      <c r="C185" t="s">
        <v>58</v>
      </c>
      <c r="F185" t="s">
        <v>254</v>
      </c>
      <c r="G185" t="s">
        <v>100</v>
      </c>
      <c r="H185" t="s">
        <v>113</v>
      </c>
      <c r="I185" t="s">
        <v>251</v>
      </c>
      <c r="K185" t="s">
        <v>99</v>
      </c>
      <c r="L185" t="s">
        <v>98</v>
      </c>
      <c r="N185" t="s">
        <v>256</v>
      </c>
    </row>
    <row r="186" spans="1:14">
      <c r="A186" s="2">
        <v>188</v>
      </c>
      <c r="B186" t="s">
        <v>257</v>
      </c>
      <c r="C186" t="s">
        <v>75</v>
      </c>
      <c r="E186" t="s">
        <v>258</v>
      </c>
      <c r="F186" t="s">
        <v>254</v>
      </c>
      <c r="G186" t="s">
        <v>100</v>
      </c>
      <c r="H186" t="s">
        <v>113</v>
      </c>
      <c r="I186" t="s">
        <v>251</v>
      </c>
      <c r="K186" t="s">
        <v>109</v>
      </c>
      <c r="L186" t="s">
        <v>108</v>
      </c>
    </row>
    <row r="187" spans="1:14">
      <c r="A187" s="2">
        <v>189</v>
      </c>
      <c r="B187" t="s">
        <v>797</v>
      </c>
      <c r="C187" t="s">
        <v>75</v>
      </c>
      <c r="E187" t="s">
        <v>920</v>
      </c>
      <c r="F187" t="s">
        <v>922</v>
      </c>
      <c r="G187" t="s">
        <v>100</v>
      </c>
      <c r="H187" t="s">
        <v>799</v>
      </c>
      <c r="I187" t="s">
        <v>667</v>
      </c>
      <c r="K187" t="s">
        <v>789</v>
      </c>
      <c r="L187" t="s">
        <v>790</v>
      </c>
    </row>
    <row r="188" spans="1:14">
      <c r="A188" s="2">
        <v>190</v>
      </c>
      <c r="B188" t="s">
        <v>923</v>
      </c>
      <c r="C188" t="s">
        <v>58</v>
      </c>
      <c r="F188" t="s">
        <v>922</v>
      </c>
      <c r="G188" t="s">
        <v>100</v>
      </c>
      <c r="H188" t="s">
        <v>799</v>
      </c>
      <c r="I188" t="s">
        <v>667</v>
      </c>
      <c r="K188" t="s">
        <v>99</v>
      </c>
      <c r="L188" t="s">
        <v>98</v>
      </c>
      <c r="N188" t="s">
        <v>920</v>
      </c>
    </row>
    <row r="189" spans="1:14">
      <c r="A189" s="2">
        <v>191</v>
      </c>
      <c r="B189" t="s">
        <v>887</v>
      </c>
      <c r="C189" t="s">
        <v>58</v>
      </c>
      <c r="E189" t="s">
        <v>887</v>
      </c>
      <c r="F189" t="s">
        <v>924</v>
      </c>
      <c r="G189" t="s">
        <v>100</v>
      </c>
      <c r="H189" t="s">
        <v>803</v>
      </c>
      <c r="I189" t="s">
        <v>668</v>
      </c>
      <c r="K189" t="s">
        <v>804</v>
      </c>
      <c r="L189" t="s">
        <v>805</v>
      </c>
    </row>
    <row r="190" spans="1:14">
      <c r="A190" s="2">
        <v>192</v>
      </c>
      <c r="B190" t="s">
        <v>925</v>
      </c>
      <c r="C190" t="s">
        <v>58</v>
      </c>
      <c r="F190" t="s">
        <v>924</v>
      </c>
      <c r="G190" t="s">
        <v>100</v>
      </c>
      <c r="H190" t="s">
        <v>803</v>
      </c>
      <c r="I190" t="s">
        <v>668</v>
      </c>
      <c r="K190" t="s">
        <v>780</v>
      </c>
      <c r="L190" t="s">
        <v>781</v>
      </c>
      <c r="N190" t="s">
        <v>887</v>
      </c>
    </row>
    <row r="191" spans="1:14">
      <c r="A191" s="2">
        <v>193</v>
      </c>
      <c r="B191" t="s">
        <v>212</v>
      </c>
      <c r="C191" t="s">
        <v>213</v>
      </c>
      <c r="D191" t="s">
        <v>890</v>
      </c>
      <c r="E191" t="s">
        <v>880</v>
      </c>
      <c r="F191" t="s">
        <v>926</v>
      </c>
      <c r="G191" t="s">
        <v>53</v>
      </c>
      <c r="H191" t="s">
        <v>808</v>
      </c>
      <c r="I191" t="s">
        <v>381</v>
      </c>
      <c r="J191" t="s">
        <v>62</v>
      </c>
      <c r="K191" t="s">
        <v>738</v>
      </c>
      <c r="L191" t="s">
        <v>739</v>
      </c>
    </row>
    <row r="192" spans="1:14">
      <c r="A192" s="2">
        <v>194</v>
      </c>
      <c r="B192" t="s">
        <v>212</v>
      </c>
      <c r="C192" t="s">
        <v>213</v>
      </c>
      <c r="F192" t="s">
        <v>926</v>
      </c>
      <c r="G192" t="s">
        <v>100</v>
      </c>
      <c r="H192" t="s">
        <v>808</v>
      </c>
      <c r="I192" t="s">
        <v>381</v>
      </c>
      <c r="K192" t="s">
        <v>804</v>
      </c>
      <c r="L192" t="s">
        <v>805</v>
      </c>
      <c r="N192" t="s">
        <v>887</v>
      </c>
    </row>
    <row r="193" spans="1:14">
      <c r="A193" s="2">
        <v>195</v>
      </c>
      <c r="B193" t="s">
        <v>212</v>
      </c>
      <c r="C193" t="s">
        <v>213</v>
      </c>
      <c r="F193" t="s">
        <v>926</v>
      </c>
      <c r="G193" t="s">
        <v>85</v>
      </c>
      <c r="H193" t="s">
        <v>808</v>
      </c>
      <c r="I193" t="s">
        <v>381</v>
      </c>
      <c r="J193" t="s">
        <v>91</v>
      </c>
      <c r="K193" t="s">
        <v>794</v>
      </c>
      <c r="L193" t="s">
        <v>795</v>
      </c>
      <c r="M193" t="s">
        <v>88</v>
      </c>
      <c r="N193" t="s">
        <v>89</v>
      </c>
    </row>
    <row r="194" spans="1:14">
      <c r="A194" s="2">
        <v>196</v>
      </c>
      <c r="B194" t="s">
        <v>212</v>
      </c>
      <c r="C194" t="s">
        <v>213</v>
      </c>
      <c r="F194" t="s">
        <v>926</v>
      </c>
      <c r="G194" t="s">
        <v>100</v>
      </c>
      <c r="H194" t="s">
        <v>808</v>
      </c>
      <c r="I194" t="s">
        <v>381</v>
      </c>
      <c r="K194" t="s">
        <v>765</v>
      </c>
      <c r="L194" t="s">
        <v>766</v>
      </c>
      <c r="N194" t="s">
        <v>762</v>
      </c>
    </row>
    <row r="195" spans="1:14">
      <c r="A195" s="2">
        <v>197</v>
      </c>
      <c r="B195" t="s">
        <v>212</v>
      </c>
      <c r="C195" t="s">
        <v>213</v>
      </c>
      <c r="F195" t="s">
        <v>926</v>
      </c>
      <c r="G195" t="s">
        <v>100</v>
      </c>
      <c r="H195" t="s">
        <v>808</v>
      </c>
      <c r="I195" t="s">
        <v>381</v>
      </c>
      <c r="K195" t="s">
        <v>768</v>
      </c>
      <c r="L195" t="s">
        <v>769</v>
      </c>
      <c r="N195" t="s">
        <v>767</v>
      </c>
    </row>
    <row r="196" spans="1:14">
      <c r="A196" s="2">
        <v>198</v>
      </c>
      <c r="B196" t="s">
        <v>212</v>
      </c>
      <c r="C196" t="s">
        <v>213</v>
      </c>
      <c r="F196" t="s">
        <v>926</v>
      </c>
      <c r="G196" t="s">
        <v>100</v>
      </c>
      <c r="H196" t="s">
        <v>808</v>
      </c>
      <c r="I196" t="s">
        <v>381</v>
      </c>
      <c r="K196" t="s">
        <v>759</v>
      </c>
      <c r="L196" t="s">
        <v>760</v>
      </c>
      <c r="N196" t="s">
        <v>106</v>
      </c>
    </row>
    <row r="197" spans="1:14">
      <c r="A197" s="2">
        <v>199</v>
      </c>
      <c r="B197" t="s">
        <v>212</v>
      </c>
      <c r="C197" t="s">
        <v>213</v>
      </c>
      <c r="F197" t="s">
        <v>926</v>
      </c>
      <c r="G197" t="s">
        <v>100</v>
      </c>
      <c r="H197" t="s">
        <v>808</v>
      </c>
      <c r="I197" t="s">
        <v>381</v>
      </c>
      <c r="K197" t="s">
        <v>774</v>
      </c>
      <c r="L197" t="s">
        <v>775</v>
      </c>
      <c r="N197" t="s">
        <v>286</v>
      </c>
    </row>
    <row r="198" spans="1:14">
      <c r="A198" s="2">
        <v>200</v>
      </c>
      <c r="B198" t="s">
        <v>212</v>
      </c>
      <c r="C198" t="s">
        <v>213</v>
      </c>
      <c r="E198" t="s">
        <v>257</v>
      </c>
      <c r="F198" t="s">
        <v>926</v>
      </c>
      <c r="G198" t="s">
        <v>100</v>
      </c>
      <c r="H198" t="s">
        <v>808</v>
      </c>
      <c r="I198" t="s">
        <v>381</v>
      </c>
      <c r="K198" t="s">
        <v>109</v>
      </c>
      <c r="L198" t="s">
        <v>108</v>
      </c>
    </row>
    <row r="199" spans="1:14">
      <c r="A199" s="2">
        <v>201</v>
      </c>
      <c r="B199" t="s">
        <v>927</v>
      </c>
      <c r="C199" t="s">
        <v>75</v>
      </c>
      <c r="F199" t="s">
        <v>926</v>
      </c>
      <c r="G199" t="s">
        <v>100</v>
      </c>
      <c r="H199" t="s">
        <v>808</v>
      </c>
      <c r="I199" t="s">
        <v>381</v>
      </c>
      <c r="K199" t="s">
        <v>810</v>
      </c>
      <c r="L199" t="s">
        <v>811</v>
      </c>
      <c r="N199" t="s">
        <v>928</v>
      </c>
    </row>
    <row r="200" spans="1:14">
      <c r="A200" s="2">
        <v>202</v>
      </c>
      <c r="B200" t="s">
        <v>929</v>
      </c>
      <c r="C200" t="s">
        <v>58</v>
      </c>
      <c r="D200" t="s">
        <v>930</v>
      </c>
      <c r="E200" t="s">
        <v>931</v>
      </c>
      <c r="F200" t="s">
        <v>932</v>
      </c>
      <c r="G200" t="s">
        <v>53</v>
      </c>
      <c r="H200" t="s">
        <v>737</v>
      </c>
      <c r="I200" t="s">
        <v>674</v>
      </c>
      <c r="J200" t="s">
        <v>62</v>
      </c>
      <c r="K200" t="s">
        <v>64</v>
      </c>
      <c r="L200" t="s">
        <v>63</v>
      </c>
    </row>
    <row r="201" spans="1:14">
      <c r="A201" s="2">
        <v>203</v>
      </c>
      <c r="B201" t="s">
        <v>931</v>
      </c>
      <c r="C201" t="s">
        <v>75</v>
      </c>
      <c r="F201" t="s">
        <v>932</v>
      </c>
      <c r="G201" t="s">
        <v>53</v>
      </c>
      <c r="H201" t="s">
        <v>737</v>
      </c>
      <c r="I201" t="s">
        <v>674</v>
      </c>
      <c r="J201" t="s">
        <v>62</v>
      </c>
      <c r="K201" t="s">
        <v>738</v>
      </c>
      <c r="L201" t="s">
        <v>739</v>
      </c>
      <c r="M201" t="s">
        <v>930</v>
      </c>
      <c r="N201" t="s">
        <v>931</v>
      </c>
    </row>
    <row r="202" spans="1:14">
      <c r="A202" s="2">
        <v>204</v>
      </c>
      <c r="B202" t="s">
        <v>933</v>
      </c>
      <c r="C202" t="s">
        <v>58</v>
      </c>
      <c r="E202" t="s">
        <v>746</v>
      </c>
      <c r="F202" t="s">
        <v>934</v>
      </c>
      <c r="G202" t="s">
        <v>100</v>
      </c>
      <c r="H202" t="s">
        <v>748</v>
      </c>
      <c r="I202" t="s">
        <v>679</v>
      </c>
      <c r="K202" t="s">
        <v>749</v>
      </c>
      <c r="L202" t="s">
        <v>750</v>
      </c>
    </row>
    <row r="203" spans="1:14">
      <c r="A203" s="2">
        <v>205</v>
      </c>
      <c r="B203" t="s">
        <v>751</v>
      </c>
      <c r="C203" t="s">
        <v>75</v>
      </c>
      <c r="F203" t="s">
        <v>934</v>
      </c>
      <c r="G203" t="s">
        <v>100</v>
      </c>
      <c r="H203" t="s">
        <v>748</v>
      </c>
      <c r="I203" t="s">
        <v>679</v>
      </c>
      <c r="K203" t="s">
        <v>752</v>
      </c>
      <c r="L203" t="s">
        <v>753</v>
      </c>
      <c r="N203" t="s">
        <v>751</v>
      </c>
    </row>
    <row r="204" spans="1:14">
      <c r="A204" s="2">
        <v>206</v>
      </c>
      <c r="B204" t="s">
        <v>935</v>
      </c>
      <c r="C204" t="s">
        <v>75</v>
      </c>
      <c r="F204" t="s">
        <v>934</v>
      </c>
      <c r="G204" t="s">
        <v>100</v>
      </c>
      <c r="H204" t="s">
        <v>748</v>
      </c>
      <c r="I204" t="s">
        <v>679</v>
      </c>
      <c r="K204" t="s">
        <v>755</v>
      </c>
      <c r="L204" t="s">
        <v>756</v>
      </c>
      <c r="N204" t="s">
        <v>754</v>
      </c>
    </row>
    <row r="205" spans="1:14">
      <c r="A205" s="2">
        <v>207</v>
      </c>
      <c r="B205" t="s">
        <v>262</v>
      </c>
      <c r="C205" t="s">
        <v>58</v>
      </c>
      <c r="D205" t="s">
        <v>218</v>
      </c>
      <c r="E205" t="s">
        <v>219</v>
      </c>
      <c r="F205" t="s">
        <v>263</v>
      </c>
      <c r="G205" t="s">
        <v>53</v>
      </c>
      <c r="H205" t="s">
        <v>50</v>
      </c>
      <c r="I205" t="s">
        <v>259</v>
      </c>
      <c r="J205" t="s">
        <v>62</v>
      </c>
      <c r="K205" t="s">
        <v>52</v>
      </c>
      <c r="L205" t="s">
        <v>51</v>
      </c>
    </row>
    <row r="206" spans="1:14">
      <c r="A206" s="2">
        <v>208</v>
      </c>
      <c r="B206" t="s">
        <v>264</v>
      </c>
      <c r="C206" t="s">
        <v>58</v>
      </c>
      <c r="F206" t="s">
        <v>263</v>
      </c>
      <c r="G206" t="s">
        <v>53</v>
      </c>
      <c r="H206" t="s">
        <v>50</v>
      </c>
      <c r="I206" t="s">
        <v>259</v>
      </c>
      <c r="J206" t="s">
        <v>62</v>
      </c>
      <c r="K206" t="s">
        <v>64</v>
      </c>
      <c r="L206" t="s">
        <v>63</v>
      </c>
      <c r="M206" t="s">
        <v>218</v>
      </c>
      <c r="N206" t="s">
        <v>219</v>
      </c>
    </row>
    <row r="207" spans="1:14">
      <c r="A207" s="2">
        <v>209</v>
      </c>
      <c r="B207" t="s">
        <v>106</v>
      </c>
      <c r="C207" t="s">
        <v>58</v>
      </c>
      <c r="E207" t="s">
        <v>106</v>
      </c>
      <c r="F207" t="s">
        <v>936</v>
      </c>
      <c r="G207" t="s">
        <v>100</v>
      </c>
      <c r="H207" t="s">
        <v>758</v>
      </c>
      <c r="I207" t="s">
        <v>682</v>
      </c>
      <c r="K207" t="s">
        <v>759</v>
      </c>
      <c r="L207" t="s">
        <v>760</v>
      </c>
    </row>
    <row r="208" spans="1:14">
      <c r="A208" s="2">
        <v>210</v>
      </c>
      <c r="B208" t="s">
        <v>937</v>
      </c>
      <c r="C208" t="s">
        <v>58</v>
      </c>
      <c r="F208" t="s">
        <v>936</v>
      </c>
      <c r="G208" t="s">
        <v>100</v>
      </c>
      <c r="H208" t="s">
        <v>758</v>
      </c>
      <c r="I208" t="s">
        <v>682</v>
      </c>
      <c r="K208" t="s">
        <v>99</v>
      </c>
      <c r="L208" t="s">
        <v>98</v>
      </c>
      <c r="N208" t="s">
        <v>106</v>
      </c>
    </row>
    <row r="209" spans="1:14">
      <c r="A209" s="2">
        <v>211</v>
      </c>
      <c r="B209" t="s">
        <v>762</v>
      </c>
      <c r="C209" t="s">
        <v>58</v>
      </c>
      <c r="E209" t="s">
        <v>762</v>
      </c>
      <c r="F209" t="s">
        <v>938</v>
      </c>
      <c r="G209" t="s">
        <v>100</v>
      </c>
      <c r="H209" t="s">
        <v>764</v>
      </c>
      <c r="I209" t="s">
        <v>683</v>
      </c>
      <c r="K209" t="s">
        <v>765</v>
      </c>
      <c r="L209" t="s">
        <v>766</v>
      </c>
    </row>
    <row r="210" spans="1:14">
      <c r="A210" s="2">
        <v>212</v>
      </c>
      <c r="B210" t="s">
        <v>767</v>
      </c>
      <c r="C210" t="s">
        <v>58</v>
      </c>
      <c r="E210" t="s">
        <v>767</v>
      </c>
      <c r="F210" t="s">
        <v>938</v>
      </c>
      <c r="G210" t="s">
        <v>100</v>
      </c>
      <c r="H210" t="s">
        <v>764</v>
      </c>
      <c r="I210" t="s">
        <v>683</v>
      </c>
      <c r="K210" t="s">
        <v>768</v>
      </c>
      <c r="L210" t="s">
        <v>769</v>
      </c>
    </row>
    <row r="211" spans="1:14">
      <c r="A211" s="2">
        <v>213</v>
      </c>
      <c r="B211" t="s">
        <v>939</v>
      </c>
      <c r="C211" t="s">
        <v>58</v>
      </c>
      <c r="F211" t="s">
        <v>938</v>
      </c>
      <c r="G211" t="s">
        <v>100</v>
      </c>
      <c r="H211" t="s">
        <v>764</v>
      </c>
      <c r="I211" t="s">
        <v>683</v>
      </c>
      <c r="K211" t="s">
        <v>99</v>
      </c>
      <c r="L211" t="s">
        <v>98</v>
      </c>
      <c r="N211" t="s">
        <v>771</v>
      </c>
    </row>
    <row r="212" spans="1:14">
      <c r="A212" s="2">
        <v>214</v>
      </c>
      <c r="B212" t="s">
        <v>121</v>
      </c>
      <c r="C212" t="s">
        <v>58</v>
      </c>
      <c r="E212" t="s">
        <v>121</v>
      </c>
      <c r="F212" t="s">
        <v>940</v>
      </c>
      <c r="G212" t="s">
        <v>100</v>
      </c>
      <c r="H212" t="s">
        <v>773</v>
      </c>
      <c r="I212" t="s">
        <v>684</v>
      </c>
      <c r="K212" t="s">
        <v>774</v>
      </c>
      <c r="L212" t="s">
        <v>775</v>
      </c>
    </row>
    <row r="213" spans="1:14">
      <c r="A213" s="2">
        <v>215</v>
      </c>
      <c r="B213" t="s">
        <v>941</v>
      </c>
      <c r="C213" t="s">
        <v>58</v>
      </c>
      <c r="F213" t="s">
        <v>940</v>
      </c>
      <c r="G213" t="s">
        <v>100</v>
      </c>
      <c r="H213" t="s">
        <v>773</v>
      </c>
      <c r="I213" t="s">
        <v>684</v>
      </c>
      <c r="K213" t="s">
        <v>99</v>
      </c>
      <c r="L213" t="s">
        <v>98</v>
      </c>
      <c r="N213" t="s">
        <v>121</v>
      </c>
    </row>
    <row r="214" spans="1:14">
      <c r="A214" s="2">
        <v>216</v>
      </c>
      <c r="B214" t="s">
        <v>942</v>
      </c>
      <c r="C214" t="s">
        <v>58</v>
      </c>
      <c r="E214" t="s">
        <v>278</v>
      </c>
      <c r="F214" t="s">
        <v>943</v>
      </c>
      <c r="G214" t="s">
        <v>100</v>
      </c>
      <c r="H214" t="s">
        <v>779</v>
      </c>
      <c r="I214" t="s">
        <v>686</v>
      </c>
      <c r="K214" t="s">
        <v>780</v>
      </c>
      <c r="L214" t="s">
        <v>781</v>
      </c>
    </row>
    <row r="215" spans="1:14">
      <c r="A215" s="2">
        <v>217</v>
      </c>
      <c r="B215" t="s">
        <v>944</v>
      </c>
      <c r="C215" t="s">
        <v>75</v>
      </c>
      <c r="F215" t="s">
        <v>943</v>
      </c>
      <c r="G215" t="s">
        <v>53</v>
      </c>
      <c r="H215" t="s">
        <v>779</v>
      </c>
      <c r="I215" t="s">
        <v>686</v>
      </c>
      <c r="J215" t="s">
        <v>62</v>
      </c>
      <c r="K215" t="s">
        <v>71</v>
      </c>
      <c r="L215" t="s">
        <v>70</v>
      </c>
      <c r="M215" t="s">
        <v>277</v>
      </c>
      <c r="N215" t="s">
        <v>278</v>
      </c>
    </row>
    <row r="216" spans="1:14">
      <c r="A216" s="2">
        <v>218</v>
      </c>
      <c r="B216" t="s">
        <v>945</v>
      </c>
      <c r="C216" t="s">
        <v>58</v>
      </c>
      <c r="E216" t="s">
        <v>946</v>
      </c>
      <c r="F216" t="s">
        <v>947</v>
      </c>
      <c r="G216" t="s">
        <v>100</v>
      </c>
      <c r="H216" t="s">
        <v>784</v>
      </c>
      <c r="I216" t="s">
        <v>688</v>
      </c>
      <c r="K216" t="s">
        <v>780</v>
      </c>
      <c r="L216" t="s">
        <v>781</v>
      </c>
    </row>
    <row r="217" spans="1:14">
      <c r="A217" s="2">
        <v>219</v>
      </c>
      <c r="B217" t="s">
        <v>948</v>
      </c>
      <c r="C217" t="s">
        <v>58</v>
      </c>
      <c r="E217" t="s">
        <v>949</v>
      </c>
      <c r="F217" t="s">
        <v>947</v>
      </c>
      <c r="G217" t="s">
        <v>100</v>
      </c>
      <c r="H217" t="s">
        <v>784</v>
      </c>
      <c r="I217" t="s">
        <v>688</v>
      </c>
      <c r="K217" t="s">
        <v>786</v>
      </c>
      <c r="L217" t="s">
        <v>787</v>
      </c>
    </row>
    <row r="218" spans="1:14">
      <c r="A218" s="2">
        <v>220</v>
      </c>
      <c r="B218" t="s">
        <v>950</v>
      </c>
      <c r="C218" t="s">
        <v>75</v>
      </c>
      <c r="F218" t="s">
        <v>947</v>
      </c>
      <c r="G218" t="s">
        <v>100</v>
      </c>
      <c r="H218" t="s">
        <v>784</v>
      </c>
      <c r="I218" t="s">
        <v>688</v>
      </c>
      <c r="K218" t="s">
        <v>789</v>
      </c>
      <c r="L218" t="s">
        <v>790</v>
      </c>
      <c r="N218" t="s">
        <v>951</v>
      </c>
    </row>
    <row r="219" spans="1:14">
      <c r="A219" s="2">
        <v>221</v>
      </c>
      <c r="B219" t="s">
        <v>268</v>
      </c>
      <c r="C219" t="s">
        <v>75</v>
      </c>
      <c r="D219" t="s">
        <v>106</v>
      </c>
      <c r="E219" t="s">
        <v>107</v>
      </c>
      <c r="F219" t="s">
        <v>269</v>
      </c>
      <c r="G219" t="s">
        <v>53</v>
      </c>
      <c r="H219" t="s">
        <v>69</v>
      </c>
      <c r="I219" t="s">
        <v>265</v>
      </c>
      <c r="J219" t="s">
        <v>62</v>
      </c>
      <c r="K219" t="s">
        <v>71</v>
      </c>
      <c r="L219" t="s">
        <v>70</v>
      </c>
    </row>
    <row r="220" spans="1:14">
      <c r="A220" s="2">
        <v>222</v>
      </c>
      <c r="B220" t="s">
        <v>270</v>
      </c>
      <c r="C220" t="s">
        <v>58</v>
      </c>
      <c r="F220" t="s">
        <v>269</v>
      </c>
      <c r="G220" t="s">
        <v>53</v>
      </c>
      <c r="H220" t="s">
        <v>69</v>
      </c>
      <c r="I220" t="s">
        <v>265</v>
      </c>
      <c r="J220" t="s">
        <v>62</v>
      </c>
      <c r="K220" t="s">
        <v>52</v>
      </c>
      <c r="L220" t="s">
        <v>51</v>
      </c>
      <c r="M220" t="s">
        <v>106</v>
      </c>
      <c r="N220" t="s">
        <v>107</v>
      </c>
    </row>
    <row r="221" spans="1:14">
      <c r="A221" s="2">
        <v>223</v>
      </c>
      <c r="B221" t="s">
        <v>274</v>
      </c>
      <c r="C221" t="s">
        <v>58</v>
      </c>
      <c r="E221" t="s">
        <v>275</v>
      </c>
      <c r="F221" t="s">
        <v>276</v>
      </c>
      <c r="G221" t="s">
        <v>100</v>
      </c>
      <c r="H221" t="s">
        <v>97</v>
      </c>
      <c r="I221" t="s">
        <v>271</v>
      </c>
      <c r="K221" t="s">
        <v>99</v>
      </c>
      <c r="L221" t="s">
        <v>98</v>
      </c>
    </row>
    <row r="222" spans="1:14">
      <c r="A222" s="2">
        <v>224</v>
      </c>
      <c r="B222" t="s">
        <v>235</v>
      </c>
      <c r="C222" t="s">
        <v>58</v>
      </c>
      <c r="F222" t="s">
        <v>276</v>
      </c>
      <c r="G222" t="s">
        <v>53</v>
      </c>
      <c r="H222" t="s">
        <v>97</v>
      </c>
      <c r="I222" t="s">
        <v>271</v>
      </c>
      <c r="J222" t="s">
        <v>62</v>
      </c>
      <c r="K222" t="s">
        <v>52</v>
      </c>
      <c r="L222" t="s">
        <v>51</v>
      </c>
      <c r="M222" t="s">
        <v>277</v>
      </c>
      <c r="N222" t="s">
        <v>278</v>
      </c>
    </row>
    <row r="223" spans="1:14">
      <c r="A223" s="2">
        <v>225</v>
      </c>
      <c r="B223" t="s">
        <v>279</v>
      </c>
      <c r="C223" t="s">
        <v>75</v>
      </c>
      <c r="F223" t="s">
        <v>276</v>
      </c>
      <c r="G223" t="s">
        <v>100</v>
      </c>
      <c r="H223" t="s">
        <v>97</v>
      </c>
      <c r="I223" t="s">
        <v>271</v>
      </c>
      <c r="K223" t="s">
        <v>109</v>
      </c>
      <c r="L223" t="s">
        <v>108</v>
      </c>
      <c r="N223" t="s">
        <v>279</v>
      </c>
    </row>
    <row r="224" spans="1:14">
      <c r="A224" s="2">
        <v>226</v>
      </c>
      <c r="B224" t="s">
        <v>283</v>
      </c>
      <c r="C224" t="s">
        <v>58</v>
      </c>
      <c r="D224" t="s">
        <v>116</v>
      </c>
      <c r="E224" t="s">
        <v>117</v>
      </c>
      <c r="F224" t="s">
        <v>284</v>
      </c>
      <c r="G224" t="s">
        <v>53</v>
      </c>
      <c r="H224" t="s">
        <v>113</v>
      </c>
      <c r="I224" t="s">
        <v>280</v>
      </c>
      <c r="J224" t="s">
        <v>62</v>
      </c>
      <c r="K224" t="s">
        <v>52</v>
      </c>
      <c r="L224" t="s">
        <v>51</v>
      </c>
    </row>
    <row r="225" spans="1:14">
      <c r="A225" s="2">
        <v>227</v>
      </c>
      <c r="B225" t="s">
        <v>285</v>
      </c>
      <c r="C225" t="s">
        <v>58</v>
      </c>
      <c r="F225" t="s">
        <v>284</v>
      </c>
      <c r="G225" t="s">
        <v>100</v>
      </c>
      <c r="H225" t="s">
        <v>113</v>
      </c>
      <c r="I225" t="s">
        <v>280</v>
      </c>
      <c r="K225" t="s">
        <v>99</v>
      </c>
      <c r="L225" t="s">
        <v>98</v>
      </c>
      <c r="N225" t="s">
        <v>120</v>
      </c>
    </row>
    <row r="226" spans="1:14">
      <c r="A226" s="2">
        <v>228</v>
      </c>
      <c r="B226" t="s">
        <v>286</v>
      </c>
      <c r="C226" t="s">
        <v>75</v>
      </c>
      <c r="E226" t="s">
        <v>122</v>
      </c>
      <c r="F226" t="s">
        <v>284</v>
      </c>
      <c r="G226" t="s">
        <v>100</v>
      </c>
      <c r="H226" t="s">
        <v>113</v>
      </c>
      <c r="I226" t="s">
        <v>280</v>
      </c>
      <c r="K226" t="s">
        <v>109</v>
      </c>
      <c r="L226" t="s">
        <v>108</v>
      </c>
    </row>
    <row r="227" spans="1:14">
      <c r="A227" s="2">
        <v>229</v>
      </c>
      <c r="B227" t="s">
        <v>155</v>
      </c>
      <c r="C227" t="s">
        <v>58</v>
      </c>
      <c r="D227" t="s">
        <v>290</v>
      </c>
      <c r="E227" t="s">
        <v>291</v>
      </c>
      <c r="F227" t="s">
        <v>292</v>
      </c>
      <c r="G227" t="s">
        <v>85</v>
      </c>
      <c r="H227" t="s">
        <v>288</v>
      </c>
      <c r="I227" t="s">
        <v>280</v>
      </c>
      <c r="J227" t="s">
        <v>91</v>
      </c>
      <c r="K227" t="s">
        <v>93</v>
      </c>
      <c r="L227" t="s">
        <v>92</v>
      </c>
    </row>
    <row r="228" spans="1:14">
      <c r="A228" s="2">
        <v>230</v>
      </c>
      <c r="B228" t="s">
        <v>293</v>
      </c>
      <c r="C228" t="s">
        <v>58</v>
      </c>
      <c r="F228" t="s">
        <v>292</v>
      </c>
      <c r="G228" t="s">
        <v>100</v>
      </c>
      <c r="H228" t="s">
        <v>288</v>
      </c>
      <c r="I228" t="s">
        <v>280</v>
      </c>
      <c r="K228" t="s">
        <v>99</v>
      </c>
      <c r="L228" t="s">
        <v>98</v>
      </c>
      <c r="N228" t="s">
        <v>294</v>
      </c>
    </row>
    <row r="229" spans="1:14">
      <c r="A229" s="2">
        <v>231</v>
      </c>
      <c r="B229" t="s">
        <v>295</v>
      </c>
      <c r="C229" t="s">
        <v>75</v>
      </c>
      <c r="E229" t="s">
        <v>296</v>
      </c>
      <c r="F229" t="s">
        <v>292</v>
      </c>
      <c r="G229" t="s">
        <v>100</v>
      </c>
      <c r="H229" t="s">
        <v>288</v>
      </c>
      <c r="I229" t="s">
        <v>280</v>
      </c>
      <c r="K229" t="s">
        <v>109</v>
      </c>
      <c r="L229" t="s">
        <v>108</v>
      </c>
    </row>
    <row r="230" spans="1:14">
      <c r="A230" s="2">
        <v>232</v>
      </c>
      <c r="B230" t="s">
        <v>797</v>
      </c>
      <c r="C230" t="s">
        <v>75</v>
      </c>
      <c r="E230" t="s">
        <v>951</v>
      </c>
      <c r="F230" t="s">
        <v>952</v>
      </c>
      <c r="G230" t="s">
        <v>100</v>
      </c>
      <c r="H230" t="s">
        <v>799</v>
      </c>
      <c r="I230" t="s">
        <v>692</v>
      </c>
      <c r="K230" t="s">
        <v>789</v>
      </c>
      <c r="L230" t="s">
        <v>790</v>
      </c>
    </row>
    <row r="231" spans="1:14">
      <c r="A231" s="2">
        <v>233</v>
      </c>
      <c r="B231" t="s">
        <v>953</v>
      </c>
      <c r="C231" t="s">
        <v>58</v>
      </c>
      <c r="F231" t="s">
        <v>952</v>
      </c>
      <c r="G231" t="s">
        <v>100</v>
      </c>
      <c r="H231" t="s">
        <v>799</v>
      </c>
      <c r="I231" t="s">
        <v>692</v>
      </c>
      <c r="K231" t="s">
        <v>99</v>
      </c>
      <c r="L231" t="s">
        <v>98</v>
      </c>
      <c r="N231" t="s">
        <v>951</v>
      </c>
    </row>
    <row r="232" spans="1:14">
      <c r="A232" s="2">
        <v>234</v>
      </c>
      <c r="B232" t="s">
        <v>954</v>
      </c>
      <c r="C232" t="s">
        <v>58</v>
      </c>
      <c r="E232" t="s">
        <v>954</v>
      </c>
      <c r="F232" t="s">
        <v>955</v>
      </c>
      <c r="G232" t="s">
        <v>100</v>
      </c>
      <c r="H232" t="s">
        <v>803</v>
      </c>
      <c r="I232" t="s">
        <v>693</v>
      </c>
      <c r="K232" t="s">
        <v>804</v>
      </c>
      <c r="L232" t="s">
        <v>805</v>
      </c>
    </row>
    <row r="233" spans="1:14">
      <c r="A233" s="2">
        <v>235</v>
      </c>
      <c r="B233" t="s">
        <v>956</v>
      </c>
      <c r="C233" t="s">
        <v>58</v>
      </c>
      <c r="F233" t="s">
        <v>955</v>
      </c>
      <c r="G233" t="s">
        <v>100</v>
      </c>
      <c r="H233" t="s">
        <v>803</v>
      </c>
      <c r="I233" t="s">
        <v>693</v>
      </c>
      <c r="K233" t="s">
        <v>780</v>
      </c>
      <c r="L233" t="s">
        <v>781</v>
      </c>
      <c r="N233" t="s">
        <v>954</v>
      </c>
    </row>
    <row r="234" spans="1:14">
      <c r="A234" s="2">
        <v>236</v>
      </c>
      <c r="B234" t="s">
        <v>854</v>
      </c>
      <c r="C234" t="s">
        <v>58</v>
      </c>
      <c r="E234" t="s">
        <v>854</v>
      </c>
      <c r="F234" t="s">
        <v>957</v>
      </c>
      <c r="G234" t="s">
        <v>100</v>
      </c>
      <c r="H234" t="s">
        <v>856</v>
      </c>
      <c r="I234" t="s">
        <v>693</v>
      </c>
      <c r="K234" t="s">
        <v>857</v>
      </c>
      <c r="L234" t="s">
        <v>858</v>
      </c>
    </row>
    <row r="235" spans="1:14">
      <c r="A235" s="2">
        <v>237</v>
      </c>
      <c r="B235" t="s">
        <v>958</v>
      </c>
      <c r="C235" t="s">
        <v>58</v>
      </c>
      <c r="F235" t="s">
        <v>957</v>
      </c>
      <c r="G235" t="s">
        <v>100</v>
      </c>
      <c r="H235" t="s">
        <v>856</v>
      </c>
      <c r="I235" t="s">
        <v>693</v>
      </c>
      <c r="K235" t="s">
        <v>99</v>
      </c>
      <c r="L235" t="s">
        <v>98</v>
      </c>
      <c r="N235" t="s">
        <v>854</v>
      </c>
    </row>
    <row r="236" spans="1:14">
      <c r="A236" s="2">
        <v>238</v>
      </c>
      <c r="B236" t="s">
        <v>212</v>
      </c>
      <c r="C236" t="s">
        <v>213</v>
      </c>
      <c r="D236" t="s">
        <v>930</v>
      </c>
      <c r="E236" t="s">
        <v>931</v>
      </c>
      <c r="F236" t="s">
        <v>959</v>
      </c>
      <c r="G236" t="s">
        <v>53</v>
      </c>
      <c r="H236" t="s">
        <v>808</v>
      </c>
      <c r="I236" t="s">
        <v>382</v>
      </c>
      <c r="J236" t="s">
        <v>62</v>
      </c>
      <c r="K236" t="s">
        <v>738</v>
      </c>
      <c r="L236" t="s">
        <v>739</v>
      </c>
    </row>
    <row r="237" spans="1:14">
      <c r="A237" s="2">
        <v>239</v>
      </c>
      <c r="B237" t="s">
        <v>212</v>
      </c>
      <c r="C237" t="s">
        <v>213</v>
      </c>
      <c r="E237" t="s">
        <v>751</v>
      </c>
      <c r="F237" t="s">
        <v>959</v>
      </c>
      <c r="G237" t="s">
        <v>100</v>
      </c>
      <c r="H237" t="s">
        <v>808</v>
      </c>
      <c r="I237" t="s">
        <v>382</v>
      </c>
      <c r="K237" t="s">
        <v>752</v>
      </c>
      <c r="L237" t="s">
        <v>753</v>
      </c>
    </row>
    <row r="238" spans="1:14">
      <c r="A238" s="2">
        <v>240</v>
      </c>
      <c r="B238" t="s">
        <v>212</v>
      </c>
      <c r="C238" t="s">
        <v>213</v>
      </c>
      <c r="F238" t="s">
        <v>959</v>
      </c>
      <c r="G238" t="s">
        <v>100</v>
      </c>
      <c r="H238" t="s">
        <v>808</v>
      </c>
      <c r="I238" t="s">
        <v>382</v>
      </c>
      <c r="K238" t="s">
        <v>804</v>
      </c>
      <c r="L238" t="s">
        <v>805</v>
      </c>
      <c r="N238" t="s">
        <v>954</v>
      </c>
    </row>
    <row r="239" spans="1:14">
      <c r="A239" s="2">
        <v>241</v>
      </c>
      <c r="B239" t="s">
        <v>212</v>
      </c>
      <c r="C239" t="s">
        <v>213</v>
      </c>
      <c r="F239" t="s">
        <v>959</v>
      </c>
      <c r="G239" t="s">
        <v>100</v>
      </c>
      <c r="H239" t="s">
        <v>808</v>
      </c>
      <c r="I239" t="s">
        <v>382</v>
      </c>
      <c r="K239" t="s">
        <v>857</v>
      </c>
      <c r="L239" t="s">
        <v>858</v>
      </c>
      <c r="N239" t="s">
        <v>854</v>
      </c>
    </row>
    <row r="240" spans="1:14">
      <c r="A240" s="2">
        <v>242</v>
      </c>
      <c r="B240" t="s">
        <v>212</v>
      </c>
      <c r="C240" t="s">
        <v>213</v>
      </c>
      <c r="F240" t="s">
        <v>959</v>
      </c>
      <c r="G240" t="s">
        <v>100</v>
      </c>
      <c r="H240" t="s">
        <v>808</v>
      </c>
      <c r="I240" t="s">
        <v>382</v>
      </c>
      <c r="K240" t="s">
        <v>765</v>
      </c>
      <c r="L240" t="s">
        <v>766</v>
      </c>
      <c r="N240" t="s">
        <v>762</v>
      </c>
    </row>
    <row r="241" spans="1:14">
      <c r="A241" s="2">
        <v>243</v>
      </c>
      <c r="B241" t="s">
        <v>212</v>
      </c>
      <c r="C241" t="s">
        <v>213</v>
      </c>
      <c r="F241" t="s">
        <v>959</v>
      </c>
      <c r="G241" t="s">
        <v>100</v>
      </c>
      <c r="H241" t="s">
        <v>808</v>
      </c>
      <c r="I241" t="s">
        <v>382</v>
      </c>
      <c r="K241" t="s">
        <v>768</v>
      </c>
      <c r="L241" t="s">
        <v>769</v>
      </c>
      <c r="N241" t="s">
        <v>767</v>
      </c>
    </row>
    <row r="242" spans="1:14">
      <c r="A242" s="2">
        <v>244</v>
      </c>
      <c r="B242" t="s">
        <v>212</v>
      </c>
      <c r="C242" t="s">
        <v>213</v>
      </c>
      <c r="F242" t="s">
        <v>959</v>
      </c>
      <c r="G242" t="s">
        <v>100</v>
      </c>
      <c r="H242" t="s">
        <v>808</v>
      </c>
      <c r="I242" t="s">
        <v>382</v>
      </c>
      <c r="K242" t="s">
        <v>759</v>
      </c>
      <c r="L242" t="s">
        <v>760</v>
      </c>
      <c r="N242" t="s">
        <v>106</v>
      </c>
    </row>
    <row r="243" spans="1:14">
      <c r="A243" s="2">
        <v>245</v>
      </c>
      <c r="B243" t="s">
        <v>212</v>
      </c>
      <c r="C243" t="s">
        <v>213</v>
      </c>
      <c r="F243" t="s">
        <v>959</v>
      </c>
      <c r="G243" t="s">
        <v>100</v>
      </c>
      <c r="H243" t="s">
        <v>808</v>
      </c>
      <c r="I243" t="s">
        <v>382</v>
      </c>
      <c r="K243" t="s">
        <v>774</v>
      </c>
      <c r="L243" t="s">
        <v>775</v>
      </c>
      <c r="N243" t="s">
        <v>121</v>
      </c>
    </row>
    <row r="244" spans="1:14">
      <c r="A244" s="2">
        <v>246</v>
      </c>
      <c r="B244" t="s">
        <v>212</v>
      </c>
      <c r="C244" t="s">
        <v>213</v>
      </c>
      <c r="E244" t="s">
        <v>295</v>
      </c>
      <c r="F244" t="s">
        <v>959</v>
      </c>
      <c r="G244" t="s">
        <v>100</v>
      </c>
      <c r="H244" t="s">
        <v>808</v>
      </c>
      <c r="I244" t="s">
        <v>382</v>
      </c>
      <c r="K244" t="s">
        <v>109</v>
      </c>
      <c r="L244" t="s">
        <v>108</v>
      </c>
    </row>
    <row r="245" spans="1:14">
      <c r="A245" s="2">
        <v>247</v>
      </c>
      <c r="B245" t="s">
        <v>960</v>
      </c>
      <c r="C245" t="s">
        <v>75</v>
      </c>
      <c r="F245" t="s">
        <v>959</v>
      </c>
      <c r="G245" t="s">
        <v>100</v>
      </c>
      <c r="H245" t="s">
        <v>808</v>
      </c>
      <c r="I245" t="s">
        <v>382</v>
      </c>
      <c r="K245" t="s">
        <v>810</v>
      </c>
      <c r="L245" t="s">
        <v>811</v>
      </c>
      <c r="N245" t="s">
        <v>961</v>
      </c>
    </row>
    <row r="246" spans="1:14">
      <c r="A246" s="2">
        <v>248</v>
      </c>
      <c r="B246" t="s">
        <v>929</v>
      </c>
      <c r="C246" t="s">
        <v>58</v>
      </c>
      <c r="D246" t="s">
        <v>218</v>
      </c>
      <c r="E246" t="s">
        <v>219</v>
      </c>
      <c r="F246" t="s">
        <v>962</v>
      </c>
      <c r="G246" t="s">
        <v>53</v>
      </c>
      <c r="H246" t="s">
        <v>737</v>
      </c>
      <c r="I246" t="s">
        <v>700</v>
      </c>
      <c r="J246" t="s">
        <v>62</v>
      </c>
      <c r="K246" t="s">
        <v>64</v>
      </c>
      <c r="L246" t="s">
        <v>63</v>
      </c>
    </row>
    <row r="247" spans="1:14">
      <c r="A247" s="2">
        <v>249</v>
      </c>
      <c r="B247" t="s">
        <v>219</v>
      </c>
      <c r="C247" t="s">
        <v>75</v>
      </c>
      <c r="F247" t="s">
        <v>962</v>
      </c>
      <c r="G247" t="s">
        <v>53</v>
      </c>
      <c r="H247" t="s">
        <v>737</v>
      </c>
      <c r="I247" t="s">
        <v>700</v>
      </c>
      <c r="J247" t="s">
        <v>62</v>
      </c>
      <c r="K247" t="s">
        <v>738</v>
      </c>
      <c r="L247" t="s">
        <v>739</v>
      </c>
      <c r="M247" t="s">
        <v>218</v>
      </c>
      <c r="N247" t="s">
        <v>219</v>
      </c>
    </row>
    <row r="248" spans="1:14">
      <c r="A248" s="2">
        <v>250</v>
      </c>
      <c r="B248" t="s">
        <v>963</v>
      </c>
      <c r="C248" t="s">
        <v>58</v>
      </c>
      <c r="D248" t="s">
        <v>59</v>
      </c>
      <c r="E248" t="s">
        <v>60</v>
      </c>
      <c r="F248" t="s">
        <v>964</v>
      </c>
      <c r="G248" t="s">
        <v>53</v>
      </c>
      <c r="H248" t="s">
        <v>743</v>
      </c>
      <c r="I248" t="s">
        <v>701</v>
      </c>
      <c r="J248" t="s">
        <v>62</v>
      </c>
      <c r="K248" t="s">
        <v>64</v>
      </c>
      <c r="L248" t="s">
        <v>63</v>
      </c>
    </row>
    <row r="249" spans="1:14">
      <c r="A249" s="2">
        <v>251</v>
      </c>
      <c r="B249" t="s">
        <v>965</v>
      </c>
      <c r="C249" t="s">
        <v>75</v>
      </c>
      <c r="F249" t="s">
        <v>964</v>
      </c>
      <c r="G249" t="s">
        <v>53</v>
      </c>
      <c r="H249" t="s">
        <v>743</v>
      </c>
      <c r="I249" t="s">
        <v>701</v>
      </c>
      <c r="J249" t="s">
        <v>62</v>
      </c>
      <c r="K249" t="s">
        <v>738</v>
      </c>
      <c r="L249" t="s">
        <v>739</v>
      </c>
      <c r="M249" t="s">
        <v>59</v>
      </c>
      <c r="N249" t="s">
        <v>60</v>
      </c>
    </row>
    <row r="250" spans="1:14">
      <c r="A250" s="2">
        <v>252</v>
      </c>
      <c r="B250" t="s">
        <v>300</v>
      </c>
      <c r="C250" t="s">
        <v>58</v>
      </c>
      <c r="D250" t="s">
        <v>301</v>
      </c>
      <c r="E250" t="s">
        <v>302</v>
      </c>
      <c r="F250" t="s">
        <v>303</v>
      </c>
      <c r="G250" t="s">
        <v>53</v>
      </c>
      <c r="H250" t="s">
        <v>50</v>
      </c>
      <c r="I250" t="s">
        <v>297</v>
      </c>
      <c r="J250" t="s">
        <v>62</v>
      </c>
      <c r="K250" t="s">
        <v>52</v>
      </c>
      <c r="L250" t="s">
        <v>51</v>
      </c>
    </row>
    <row r="251" spans="1:14">
      <c r="A251" s="2">
        <v>253</v>
      </c>
      <c r="B251" t="s">
        <v>304</v>
      </c>
      <c r="C251" t="s">
        <v>58</v>
      </c>
      <c r="F251" t="s">
        <v>303</v>
      </c>
      <c r="G251" t="s">
        <v>125</v>
      </c>
      <c r="H251" t="s">
        <v>50</v>
      </c>
      <c r="I251" t="s">
        <v>297</v>
      </c>
      <c r="J251" t="s">
        <v>62</v>
      </c>
      <c r="K251" t="s">
        <v>64</v>
      </c>
      <c r="L251" t="s">
        <v>63</v>
      </c>
      <c r="M251" t="s">
        <v>301</v>
      </c>
      <c r="N251" t="s">
        <v>302</v>
      </c>
    </row>
    <row r="252" spans="1:14">
      <c r="A252" s="2">
        <v>254</v>
      </c>
      <c r="B252" t="s">
        <v>307</v>
      </c>
      <c r="C252" t="s">
        <v>58</v>
      </c>
      <c r="D252" t="s">
        <v>185</v>
      </c>
      <c r="E252" t="s">
        <v>186</v>
      </c>
      <c r="F252" t="s">
        <v>308</v>
      </c>
      <c r="G252" t="s">
        <v>181</v>
      </c>
      <c r="H252" t="s">
        <v>178</v>
      </c>
      <c r="I252" t="s">
        <v>305</v>
      </c>
      <c r="J252" t="s">
        <v>188</v>
      </c>
      <c r="K252" t="s">
        <v>180</v>
      </c>
      <c r="L252" t="s">
        <v>179</v>
      </c>
    </row>
    <row r="253" spans="1:14">
      <c r="A253" s="2">
        <v>255</v>
      </c>
      <c r="B253" t="s">
        <v>309</v>
      </c>
      <c r="C253" t="s">
        <v>58</v>
      </c>
      <c r="F253" t="s">
        <v>308</v>
      </c>
      <c r="G253" t="s">
        <v>100</v>
      </c>
      <c r="H253" t="s">
        <v>178</v>
      </c>
      <c r="I253" t="s">
        <v>305</v>
      </c>
      <c r="K253" t="s">
        <v>99</v>
      </c>
      <c r="L253" t="s">
        <v>98</v>
      </c>
      <c r="N253" t="s">
        <v>190</v>
      </c>
    </row>
    <row r="254" spans="1:14">
      <c r="A254" s="2">
        <v>256</v>
      </c>
      <c r="B254" t="s">
        <v>121</v>
      </c>
      <c r="C254" t="s">
        <v>58</v>
      </c>
      <c r="E254" t="s">
        <v>121</v>
      </c>
      <c r="F254" t="s">
        <v>308</v>
      </c>
      <c r="G254" t="s">
        <v>100</v>
      </c>
      <c r="H254" t="s">
        <v>178</v>
      </c>
      <c r="I254" t="s">
        <v>305</v>
      </c>
      <c r="K254" t="s">
        <v>109</v>
      </c>
      <c r="L254" t="s">
        <v>108</v>
      </c>
    </row>
    <row r="255" spans="1:14">
      <c r="A255" s="2">
        <v>257</v>
      </c>
      <c r="B255" t="s">
        <v>106</v>
      </c>
      <c r="C255" t="s">
        <v>58</v>
      </c>
      <c r="E255" t="s">
        <v>106</v>
      </c>
      <c r="F255" t="s">
        <v>966</v>
      </c>
      <c r="G255" t="s">
        <v>100</v>
      </c>
      <c r="H255" t="s">
        <v>758</v>
      </c>
      <c r="I255" t="s">
        <v>707</v>
      </c>
      <c r="K255" t="s">
        <v>759</v>
      </c>
      <c r="L255" t="s">
        <v>760</v>
      </c>
    </row>
    <row r="256" spans="1:14">
      <c r="A256" s="2">
        <v>258</v>
      </c>
      <c r="B256" t="s">
        <v>967</v>
      </c>
      <c r="C256" t="s">
        <v>58</v>
      </c>
      <c r="F256" t="s">
        <v>966</v>
      </c>
      <c r="G256" t="s">
        <v>100</v>
      </c>
      <c r="H256" t="s">
        <v>758</v>
      </c>
      <c r="I256" t="s">
        <v>707</v>
      </c>
      <c r="K256" t="s">
        <v>99</v>
      </c>
      <c r="L256" t="s">
        <v>98</v>
      </c>
      <c r="N256" t="s">
        <v>106</v>
      </c>
    </row>
    <row r="257" spans="1:14">
      <c r="A257" s="2">
        <v>259</v>
      </c>
      <c r="B257" t="s">
        <v>762</v>
      </c>
      <c r="C257" t="s">
        <v>58</v>
      </c>
      <c r="E257" t="s">
        <v>762</v>
      </c>
      <c r="F257" t="s">
        <v>968</v>
      </c>
      <c r="G257" t="s">
        <v>100</v>
      </c>
      <c r="H257" t="s">
        <v>764</v>
      </c>
      <c r="I257" t="s">
        <v>708</v>
      </c>
      <c r="K257" t="s">
        <v>765</v>
      </c>
      <c r="L257" t="s">
        <v>766</v>
      </c>
    </row>
    <row r="258" spans="1:14">
      <c r="A258" s="2">
        <v>260</v>
      </c>
      <c r="B258" t="s">
        <v>767</v>
      </c>
      <c r="C258" t="s">
        <v>58</v>
      </c>
      <c r="E258" t="s">
        <v>767</v>
      </c>
      <c r="F258" t="s">
        <v>968</v>
      </c>
      <c r="G258" t="s">
        <v>100</v>
      </c>
      <c r="H258" t="s">
        <v>764</v>
      </c>
      <c r="I258" t="s">
        <v>708</v>
      </c>
      <c r="K258" t="s">
        <v>768</v>
      </c>
      <c r="L258" t="s">
        <v>769</v>
      </c>
    </row>
    <row r="259" spans="1:14">
      <c r="A259" s="2">
        <v>261</v>
      </c>
      <c r="B259" t="s">
        <v>969</v>
      </c>
      <c r="C259" t="s">
        <v>58</v>
      </c>
      <c r="F259" t="s">
        <v>968</v>
      </c>
      <c r="G259" t="s">
        <v>100</v>
      </c>
      <c r="H259" t="s">
        <v>764</v>
      </c>
      <c r="I259" t="s">
        <v>708</v>
      </c>
      <c r="K259" t="s">
        <v>99</v>
      </c>
      <c r="L259" t="s">
        <v>98</v>
      </c>
      <c r="N259" t="s">
        <v>771</v>
      </c>
    </row>
    <row r="260" spans="1:14">
      <c r="A260" s="2">
        <v>262</v>
      </c>
      <c r="B260" t="s">
        <v>286</v>
      </c>
      <c r="C260" t="s">
        <v>58</v>
      </c>
      <c r="E260" t="s">
        <v>286</v>
      </c>
      <c r="F260" t="s">
        <v>970</v>
      </c>
      <c r="G260" t="s">
        <v>100</v>
      </c>
      <c r="H260" t="s">
        <v>773</v>
      </c>
      <c r="I260" t="s">
        <v>709</v>
      </c>
      <c r="K260" t="s">
        <v>774</v>
      </c>
      <c r="L260" t="s">
        <v>775</v>
      </c>
    </row>
    <row r="261" spans="1:14">
      <c r="A261" s="2">
        <v>263</v>
      </c>
      <c r="B261" t="s">
        <v>971</v>
      </c>
      <c r="C261" t="s">
        <v>58</v>
      </c>
      <c r="F261" t="s">
        <v>970</v>
      </c>
      <c r="G261" t="s">
        <v>100</v>
      </c>
      <c r="H261" t="s">
        <v>773</v>
      </c>
      <c r="I261" t="s">
        <v>709</v>
      </c>
      <c r="K261" t="s">
        <v>99</v>
      </c>
      <c r="L261" t="s">
        <v>98</v>
      </c>
      <c r="N261" t="s">
        <v>286</v>
      </c>
    </row>
    <row r="262" spans="1:14">
      <c r="A262" s="2">
        <v>264</v>
      </c>
      <c r="B262" t="s">
        <v>313</v>
      </c>
      <c r="C262" t="s">
        <v>58</v>
      </c>
      <c r="E262" t="s">
        <v>314</v>
      </c>
      <c r="F262" t="s">
        <v>315</v>
      </c>
      <c r="G262" t="s">
        <v>100</v>
      </c>
      <c r="H262" t="s">
        <v>132</v>
      </c>
      <c r="I262" t="s">
        <v>310</v>
      </c>
      <c r="K262" t="s">
        <v>99</v>
      </c>
      <c r="L262" t="s">
        <v>98</v>
      </c>
    </row>
    <row r="263" spans="1:14">
      <c r="A263" s="2">
        <v>265</v>
      </c>
      <c r="B263" t="s">
        <v>316</v>
      </c>
      <c r="C263" t="s">
        <v>75</v>
      </c>
      <c r="F263" t="s">
        <v>315</v>
      </c>
      <c r="G263" t="s">
        <v>139</v>
      </c>
      <c r="H263" t="s">
        <v>132</v>
      </c>
      <c r="I263" t="s">
        <v>310</v>
      </c>
      <c r="J263" t="s">
        <v>141</v>
      </c>
      <c r="K263" t="s">
        <v>138</v>
      </c>
      <c r="L263" t="s">
        <v>137</v>
      </c>
      <c r="M263" t="s">
        <v>142</v>
      </c>
      <c r="N263" t="s">
        <v>143</v>
      </c>
    </row>
    <row r="264" spans="1:14">
      <c r="A264" s="2">
        <v>266</v>
      </c>
      <c r="B264" t="s">
        <v>317</v>
      </c>
      <c r="C264" t="s">
        <v>58</v>
      </c>
      <c r="F264" t="s">
        <v>315</v>
      </c>
      <c r="G264" t="s">
        <v>100</v>
      </c>
      <c r="H264" t="s">
        <v>132</v>
      </c>
      <c r="I264" t="s">
        <v>310</v>
      </c>
      <c r="K264" t="s">
        <v>109</v>
      </c>
      <c r="L264" t="s">
        <v>108</v>
      </c>
      <c r="N264" t="s">
        <v>318</v>
      </c>
    </row>
    <row r="265" spans="1:14">
      <c r="A265" s="2">
        <v>267</v>
      </c>
      <c r="B265" t="s">
        <v>972</v>
      </c>
      <c r="C265" t="s">
        <v>58</v>
      </c>
      <c r="E265" t="s">
        <v>278</v>
      </c>
      <c r="F265" t="s">
        <v>973</v>
      </c>
      <c r="G265" t="s">
        <v>100</v>
      </c>
      <c r="H265" t="s">
        <v>779</v>
      </c>
      <c r="I265" t="s">
        <v>710</v>
      </c>
      <c r="K265" t="s">
        <v>780</v>
      </c>
      <c r="L265" t="s">
        <v>781</v>
      </c>
    </row>
    <row r="266" spans="1:14">
      <c r="A266" s="2">
        <v>268</v>
      </c>
      <c r="B266" t="s">
        <v>974</v>
      </c>
      <c r="C266" t="s">
        <v>75</v>
      </c>
      <c r="F266" t="s">
        <v>973</v>
      </c>
      <c r="G266" t="s">
        <v>53</v>
      </c>
      <c r="H266" t="s">
        <v>779</v>
      </c>
      <c r="I266" t="s">
        <v>710</v>
      </c>
      <c r="J266" t="s">
        <v>62</v>
      </c>
      <c r="K266" t="s">
        <v>71</v>
      </c>
      <c r="L266" t="s">
        <v>70</v>
      </c>
      <c r="M266" t="s">
        <v>277</v>
      </c>
      <c r="N266" t="s">
        <v>278</v>
      </c>
    </row>
    <row r="267" spans="1:14">
      <c r="A267" s="2">
        <v>269</v>
      </c>
      <c r="B267" t="s">
        <v>975</v>
      </c>
      <c r="C267" t="s">
        <v>58</v>
      </c>
      <c r="D267" t="s">
        <v>815</v>
      </c>
      <c r="E267" t="s">
        <v>816</v>
      </c>
      <c r="F267" t="s">
        <v>976</v>
      </c>
      <c r="G267" t="s">
        <v>53</v>
      </c>
      <c r="H267" t="s">
        <v>879</v>
      </c>
      <c r="I267" t="s">
        <v>711</v>
      </c>
      <c r="J267" t="s">
        <v>62</v>
      </c>
      <c r="K267" t="s">
        <v>820</v>
      </c>
      <c r="L267" t="s">
        <v>821</v>
      </c>
    </row>
    <row r="268" spans="1:14">
      <c r="A268" s="2">
        <v>270</v>
      </c>
      <c r="B268" t="s">
        <v>977</v>
      </c>
      <c r="C268" t="s">
        <v>75</v>
      </c>
      <c r="F268" t="s">
        <v>976</v>
      </c>
      <c r="G268" t="s">
        <v>53</v>
      </c>
      <c r="H268" t="s">
        <v>879</v>
      </c>
      <c r="I268" t="s">
        <v>711</v>
      </c>
      <c r="J268" t="s">
        <v>62</v>
      </c>
      <c r="K268" t="s">
        <v>738</v>
      </c>
      <c r="L268" t="s">
        <v>739</v>
      </c>
      <c r="M268" t="s">
        <v>815</v>
      </c>
      <c r="N268" t="s">
        <v>816</v>
      </c>
    </row>
    <row r="269" spans="1:14">
      <c r="A269" s="2">
        <v>271</v>
      </c>
      <c r="B269" t="s">
        <v>978</v>
      </c>
      <c r="C269" t="s">
        <v>58</v>
      </c>
      <c r="E269" t="s">
        <v>946</v>
      </c>
      <c r="F269" t="s">
        <v>979</v>
      </c>
      <c r="G269" t="s">
        <v>100</v>
      </c>
      <c r="H269" t="s">
        <v>784</v>
      </c>
      <c r="I269" t="s">
        <v>712</v>
      </c>
      <c r="K269" t="s">
        <v>780</v>
      </c>
      <c r="L269" t="s">
        <v>781</v>
      </c>
    </row>
    <row r="270" spans="1:14">
      <c r="A270" s="2">
        <v>272</v>
      </c>
      <c r="B270" t="s">
        <v>980</v>
      </c>
      <c r="C270" t="s">
        <v>58</v>
      </c>
      <c r="E270" t="s">
        <v>949</v>
      </c>
      <c r="F270" t="s">
        <v>979</v>
      </c>
      <c r="G270" t="s">
        <v>100</v>
      </c>
      <c r="H270" t="s">
        <v>784</v>
      </c>
      <c r="I270" t="s">
        <v>712</v>
      </c>
      <c r="K270" t="s">
        <v>786</v>
      </c>
      <c r="L270" t="s">
        <v>787</v>
      </c>
    </row>
    <row r="271" spans="1:14">
      <c r="A271" s="2">
        <v>273</v>
      </c>
      <c r="B271" t="s">
        <v>950</v>
      </c>
      <c r="C271" t="s">
        <v>75</v>
      </c>
      <c r="F271" t="s">
        <v>979</v>
      </c>
      <c r="G271" t="s">
        <v>100</v>
      </c>
      <c r="H271" t="s">
        <v>784</v>
      </c>
      <c r="I271" t="s">
        <v>712</v>
      </c>
      <c r="K271" t="s">
        <v>789</v>
      </c>
      <c r="L271" t="s">
        <v>790</v>
      </c>
      <c r="N271" t="s">
        <v>951</v>
      </c>
    </row>
    <row r="272" spans="1:14">
      <c r="A272" s="2">
        <v>274</v>
      </c>
      <c r="B272" t="s">
        <v>322</v>
      </c>
      <c r="C272" t="s">
        <v>75</v>
      </c>
      <c r="D272" t="s">
        <v>106</v>
      </c>
      <c r="E272" t="s">
        <v>107</v>
      </c>
      <c r="F272" t="s">
        <v>323</v>
      </c>
      <c r="G272" t="s">
        <v>53</v>
      </c>
      <c r="H272" t="s">
        <v>69</v>
      </c>
      <c r="I272" t="s">
        <v>319</v>
      </c>
      <c r="J272" t="s">
        <v>62</v>
      </c>
      <c r="K272" t="s">
        <v>71</v>
      </c>
      <c r="L272" t="s">
        <v>70</v>
      </c>
    </row>
    <row r="273" spans="1:14">
      <c r="A273" s="2">
        <v>275</v>
      </c>
      <c r="B273" t="s">
        <v>324</v>
      </c>
      <c r="C273" t="s">
        <v>58</v>
      </c>
      <c r="F273" t="s">
        <v>323</v>
      </c>
      <c r="G273" t="s">
        <v>53</v>
      </c>
      <c r="H273" t="s">
        <v>69</v>
      </c>
      <c r="I273" t="s">
        <v>319</v>
      </c>
      <c r="J273" t="s">
        <v>62</v>
      </c>
      <c r="K273" t="s">
        <v>52</v>
      </c>
      <c r="L273" t="s">
        <v>51</v>
      </c>
      <c r="M273" t="s">
        <v>106</v>
      </c>
      <c r="N273" t="s">
        <v>107</v>
      </c>
    </row>
    <row r="274" spans="1:14">
      <c r="A274" s="2">
        <v>276</v>
      </c>
      <c r="B274" t="s">
        <v>329</v>
      </c>
      <c r="C274" t="s">
        <v>58</v>
      </c>
      <c r="D274" t="s">
        <v>328</v>
      </c>
      <c r="E274" t="s">
        <v>329</v>
      </c>
      <c r="F274" t="s">
        <v>981</v>
      </c>
      <c r="G274" t="s">
        <v>85</v>
      </c>
      <c r="H274" t="s">
        <v>793</v>
      </c>
      <c r="I274" t="s">
        <v>714</v>
      </c>
      <c r="J274" t="s">
        <v>91</v>
      </c>
      <c r="K274" t="s">
        <v>794</v>
      </c>
      <c r="L274" t="s">
        <v>795</v>
      </c>
    </row>
    <row r="275" spans="1:14">
      <c r="A275" s="2">
        <v>277</v>
      </c>
      <c r="B275" t="s">
        <v>982</v>
      </c>
      <c r="C275" t="s">
        <v>75</v>
      </c>
      <c r="F275" t="s">
        <v>981</v>
      </c>
      <c r="G275" t="s">
        <v>85</v>
      </c>
      <c r="H275" t="s">
        <v>793</v>
      </c>
      <c r="I275" t="s">
        <v>714</v>
      </c>
      <c r="J275" t="s">
        <v>91</v>
      </c>
      <c r="K275" t="s">
        <v>84</v>
      </c>
      <c r="L275" t="s">
        <v>83</v>
      </c>
      <c r="M275" t="s">
        <v>328</v>
      </c>
      <c r="N275" t="s">
        <v>329</v>
      </c>
    </row>
    <row r="276" spans="1:14">
      <c r="A276" s="2">
        <v>278</v>
      </c>
      <c r="B276" t="s">
        <v>87</v>
      </c>
      <c r="C276" t="s">
        <v>75</v>
      </c>
      <c r="D276" t="s">
        <v>328</v>
      </c>
      <c r="E276" t="s">
        <v>329</v>
      </c>
      <c r="F276" t="s">
        <v>330</v>
      </c>
      <c r="G276" t="s">
        <v>85</v>
      </c>
      <c r="H276" t="s">
        <v>82</v>
      </c>
      <c r="I276" t="s">
        <v>325</v>
      </c>
      <c r="J276" t="s">
        <v>91</v>
      </c>
      <c r="K276" t="s">
        <v>84</v>
      </c>
      <c r="L276" t="s">
        <v>83</v>
      </c>
    </row>
    <row r="277" spans="1:14">
      <c r="A277" s="2">
        <v>279</v>
      </c>
      <c r="B277" t="s">
        <v>331</v>
      </c>
      <c r="C277" t="s">
        <v>58</v>
      </c>
      <c r="F277" t="s">
        <v>330</v>
      </c>
      <c r="G277" t="s">
        <v>85</v>
      </c>
      <c r="H277" t="s">
        <v>82</v>
      </c>
      <c r="I277" t="s">
        <v>325</v>
      </c>
      <c r="J277" t="s">
        <v>91</v>
      </c>
      <c r="K277" t="s">
        <v>93</v>
      </c>
      <c r="L277" t="s">
        <v>92</v>
      </c>
      <c r="M277" t="s">
        <v>328</v>
      </c>
      <c r="N277" t="s">
        <v>329</v>
      </c>
    </row>
    <row r="278" spans="1:14">
      <c r="A278" s="2">
        <v>280</v>
      </c>
      <c r="B278" t="s">
        <v>335</v>
      </c>
      <c r="C278" t="s">
        <v>58</v>
      </c>
      <c r="E278" t="s">
        <v>336</v>
      </c>
      <c r="F278" t="s">
        <v>337</v>
      </c>
      <c r="G278" t="s">
        <v>100</v>
      </c>
      <c r="H278" t="s">
        <v>97</v>
      </c>
      <c r="I278" t="s">
        <v>332</v>
      </c>
      <c r="K278" t="s">
        <v>99</v>
      </c>
      <c r="L278" t="s">
        <v>98</v>
      </c>
    </row>
    <row r="279" spans="1:14">
      <c r="A279" s="2">
        <v>281</v>
      </c>
      <c r="B279" t="s">
        <v>338</v>
      </c>
      <c r="C279" t="s">
        <v>58</v>
      </c>
      <c r="F279" t="s">
        <v>337</v>
      </c>
      <c r="G279" t="s">
        <v>53</v>
      </c>
      <c r="H279" t="s">
        <v>97</v>
      </c>
      <c r="I279" t="s">
        <v>332</v>
      </c>
      <c r="J279" t="s">
        <v>62</v>
      </c>
      <c r="K279" t="s">
        <v>52</v>
      </c>
      <c r="L279" t="s">
        <v>51</v>
      </c>
      <c r="M279" t="s">
        <v>277</v>
      </c>
      <c r="N279" t="s">
        <v>278</v>
      </c>
    </row>
    <row r="280" spans="1:14">
      <c r="A280" s="2">
        <v>282</v>
      </c>
      <c r="B280" t="s">
        <v>339</v>
      </c>
      <c r="C280" t="s">
        <v>75</v>
      </c>
      <c r="F280" t="s">
        <v>337</v>
      </c>
      <c r="G280" t="s">
        <v>100</v>
      </c>
      <c r="H280" t="s">
        <v>97</v>
      </c>
      <c r="I280" t="s">
        <v>332</v>
      </c>
      <c r="K280" t="s">
        <v>109</v>
      </c>
      <c r="L280" t="s">
        <v>108</v>
      </c>
      <c r="N280" t="s">
        <v>340</v>
      </c>
    </row>
    <row r="281" spans="1:14">
      <c r="A281" s="2">
        <v>283</v>
      </c>
      <c r="B281" t="s">
        <v>344</v>
      </c>
      <c r="C281" t="s">
        <v>58</v>
      </c>
      <c r="D281" t="s">
        <v>116</v>
      </c>
      <c r="E281" t="s">
        <v>117</v>
      </c>
      <c r="F281" t="s">
        <v>345</v>
      </c>
      <c r="G281" t="s">
        <v>53</v>
      </c>
      <c r="H281" t="s">
        <v>113</v>
      </c>
      <c r="I281" t="s">
        <v>341</v>
      </c>
      <c r="J281" t="s">
        <v>62</v>
      </c>
      <c r="K281" t="s">
        <v>52</v>
      </c>
      <c r="L281" t="s">
        <v>51</v>
      </c>
    </row>
    <row r="282" spans="1:14">
      <c r="A282" s="2">
        <v>284</v>
      </c>
      <c r="B282" t="s">
        <v>346</v>
      </c>
      <c r="C282" t="s">
        <v>58</v>
      </c>
      <c r="F282" t="s">
        <v>345</v>
      </c>
      <c r="G282" t="s">
        <v>100</v>
      </c>
      <c r="H282" t="s">
        <v>113</v>
      </c>
      <c r="I282" t="s">
        <v>341</v>
      </c>
      <c r="K282" t="s">
        <v>99</v>
      </c>
      <c r="L282" t="s">
        <v>98</v>
      </c>
      <c r="N282" t="s">
        <v>256</v>
      </c>
    </row>
    <row r="283" spans="1:14">
      <c r="A283" s="2">
        <v>285</v>
      </c>
      <c r="B283" t="s">
        <v>347</v>
      </c>
      <c r="C283" t="s">
        <v>75</v>
      </c>
      <c r="E283" t="s">
        <v>258</v>
      </c>
      <c r="F283" t="s">
        <v>345</v>
      </c>
      <c r="G283" t="s">
        <v>100</v>
      </c>
      <c r="H283" t="s">
        <v>113</v>
      </c>
      <c r="I283" t="s">
        <v>341</v>
      </c>
      <c r="K283" t="s">
        <v>109</v>
      </c>
      <c r="L283" t="s">
        <v>108</v>
      </c>
    </row>
    <row r="284" spans="1:14">
      <c r="A284" s="2">
        <v>286</v>
      </c>
      <c r="B284" t="s">
        <v>797</v>
      </c>
      <c r="C284" t="s">
        <v>75</v>
      </c>
      <c r="E284" t="s">
        <v>951</v>
      </c>
      <c r="F284" t="s">
        <v>983</v>
      </c>
      <c r="G284" t="s">
        <v>100</v>
      </c>
      <c r="H284" t="s">
        <v>799</v>
      </c>
      <c r="I284" t="s">
        <v>715</v>
      </c>
      <c r="K284" t="s">
        <v>789</v>
      </c>
      <c r="L284" t="s">
        <v>790</v>
      </c>
    </row>
    <row r="285" spans="1:14">
      <c r="A285" s="2">
        <v>287</v>
      </c>
      <c r="B285" t="s">
        <v>984</v>
      </c>
      <c r="C285" t="s">
        <v>58</v>
      </c>
      <c r="F285" t="s">
        <v>983</v>
      </c>
      <c r="G285" t="s">
        <v>100</v>
      </c>
      <c r="H285" t="s">
        <v>799</v>
      </c>
      <c r="I285" t="s">
        <v>715</v>
      </c>
      <c r="K285" t="s">
        <v>99</v>
      </c>
      <c r="L285" t="s">
        <v>98</v>
      </c>
      <c r="N285" t="s">
        <v>951</v>
      </c>
    </row>
    <row r="286" spans="1:14">
      <c r="A286" s="2">
        <v>288</v>
      </c>
      <c r="B286" t="s">
        <v>954</v>
      </c>
      <c r="C286" t="s">
        <v>58</v>
      </c>
      <c r="E286" t="s">
        <v>954</v>
      </c>
      <c r="F286" t="s">
        <v>985</v>
      </c>
      <c r="G286" t="s">
        <v>100</v>
      </c>
      <c r="H286" t="s">
        <v>803</v>
      </c>
      <c r="I286" t="s">
        <v>716</v>
      </c>
      <c r="K286" t="s">
        <v>804</v>
      </c>
      <c r="L286" t="s">
        <v>805</v>
      </c>
    </row>
    <row r="287" spans="1:14">
      <c r="A287" s="2">
        <v>289</v>
      </c>
      <c r="B287" t="s">
        <v>986</v>
      </c>
      <c r="C287" t="s">
        <v>58</v>
      </c>
      <c r="F287" t="s">
        <v>985</v>
      </c>
      <c r="G287" t="s">
        <v>100</v>
      </c>
      <c r="H287" t="s">
        <v>803</v>
      </c>
      <c r="I287" t="s">
        <v>716</v>
      </c>
      <c r="K287" t="s">
        <v>780</v>
      </c>
      <c r="L287" t="s">
        <v>781</v>
      </c>
      <c r="N287" t="s">
        <v>954</v>
      </c>
    </row>
    <row r="288" spans="1:14">
      <c r="A288" s="2">
        <v>290</v>
      </c>
      <c r="B288" t="s">
        <v>212</v>
      </c>
      <c r="C288" t="s">
        <v>213</v>
      </c>
      <c r="D288" t="s">
        <v>987</v>
      </c>
      <c r="E288" t="s">
        <v>977</v>
      </c>
      <c r="F288" t="s">
        <v>988</v>
      </c>
      <c r="G288" t="s">
        <v>53</v>
      </c>
      <c r="H288" t="s">
        <v>808</v>
      </c>
      <c r="I288" t="s">
        <v>383</v>
      </c>
      <c r="J288" t="s">
        <v>62</v>
      </c>
      <c r="K288" t="s">
        <v>738</v>
      </c>
      <c r="L288" t="s">
        <v>739</v>
      </c>
    </row>
    <row r="289" spans="1:14">
      <c r="A289" s="2">
        <v>291</v>
      </c>
      <c r="B289" t="s">
        <v>212</v>
      </c>
      <c r="C289" t="s">
        <v>213</v>
      </c>
      <c r="F289" t="s">
        <v>988</v>
      </c>
      <c r="G289" t="s">
        <v>100</v>
      </c>
      <c r="H289" t="s">
        <v>808</v>
      </c>
      <c r="I289" t="s">
        <v>383</v>
      </c>
      <c r="K289" t="s">
        <v>804</v>
      </c>
      <c r="L289" t="s">
        <v>805</v>
      </c>
      <c r="N289" t="s">
        <v>954</v>
      </c>
    </row>
    <row r="290" spans="1:14">
      <c r="A290" s="2">
        <v>292</v>
      </c>
      <c r="B290" t="s">
        <v>212</v>
      </c>
      <c r="C290" t="s">
        <v>213</v>
      </c>
      <c r="F290" t="s">
        <v>988</v>
      </c>
      <c r="G290" t="s">
        <v>85</v>
      </c>
      <c r="H290" t="s">
        <v>808</v>
      </c>
      <c r="I290" t="s">
        <v>383</v>
      </c>
      <c r="J290" t="s">
        <v>91</v>
      </c>
      <c r="K290" t="s">
        <v>794</v>
      </c>
      <c r="L290" t="s">
        <v>795</v>
      </c>
      <c r="M290" t="s">
        <v>328</v>
      </c>
      <c r="N290" t="s">
        <v>329</v>
      </c>
    </row>
    <row r="291" spans="1:14">
      <c r="A291" s="2">
        <v>293</v>
      </c>
      <c r="B291" t="s">
        <v>212</v>
      </c>
      <c r="C291" t="s">
        <v>213</v>
      </c>
      <c r="F291" t="s">
        <v>988</v>
      </c>
      <c r="G291" t="s">
        <v>100</v>
      </c>
      <c r="H291" t="s">
        <v>808</v>
      </c>
      <c r="I291" t="s">
        <v>383</v>
      </c>
      <c r="K291" t="s">
        <v>765</v>
      </c>
      <c r="L291" t="s">
        <v>766</v>
      </c>
      <c r="N291" t="s">
        <v>762</v>
      </c>
    </row>
    <row r="292" spans="1:14">
      <c r="A292" s="2">
        <v>294</v>
      </c>
      <c r="B292" t="s">
        <v>212</v>
      </c>
      <c r="C292" t="s">
        <v>213</v>
      </c>
      <c r="F292" t="s">
        <v>988</v>
      </c>
      <c r="G292" t="s">
        <v>100</v>
      </c>
      <c r="H292" t="s">
        <v>808</v>
      </c>
      <c r="I292" t="s">
        <v>383</v>
      </c>
      <c r="K292" t="s">
        <v>768</v>
      </c>
      <c r="L292" t="s">
        <v>769</v>
      </c>
      <c r="N292" t="s">
        <v>767</v>
      </c>
    </row>
    <row r="293" spans="1:14">
      <c r="A293" s="2">
        <v>295</v>
      </c>
      <c r="B293" t="s">
        <v>212</v>
      </c>
      <c r="C293" t="s">
        <v>213</v>
      </c>
      <c r="F293" t="s">
        <v>988</v>
      </c>
      <c r="G293" t="s">
        <v>100</v>
      </c>
      <c r="H293" t="s">
        <v>808</v>
      </c>
      <c r="I293" t="s">
        <v>383</v>
      </c>
      <c r="K293" t="s">
        <v>759</v>
      </c>
      <c r="L293" t="s">
        <v>760</v>
      </c>
      <c r="N293" t="s">
        <v>106</v>
      </c>
    </row>
    <row r="294" spans="1:14">
      <c r="A294" s="2">
        <v>296</v>
      </c>
      <c r="B294" t="s">
        <v>212</v>
      </c>
      <c r="C294" t="s">
        <v>213</v>
      </c>
      <c r="F294" t="s">
        <v>988</v>
      </c>
      <c r="G294" t="s">
        <v>100</v>
      </c>
      <c r="H294" t="s">
        <v>808</v>
      </c>
      <c r="I294" t="s">
        <v>383</v>
      </c>
      <c r="K294" t="s">
        <v>774</v>
      </c>
      <c r="L294" t="s">
        <v>775</v>
      </c>
      <c r="N294" t="s">
        <v>286</v>
      </c>
    </row>
    <row r="295" spans="1:14">
      <c r="A295" s="2">
        <v>297</v>
      </c>
      <c r="B295" t="s">
        <v>212</v>
      </c>
      <c r="C295" t="s">
        <v>213</v>
      </c>
      <c r="E295" t="s">
        <v>347</v>
      </c>
      <c r="F295" t="s">
        <v>988</v>
      </c>
      <c r="G295" t="s">
        <v>100</v>
      </c>
      <c r="H295" t="s">
        <v>808</v>
      </c>
      <c r="I295" t="s">
        <v>383</v>
      </c>
      <c r="K295" t="s">
        <v>109</v>
      </c>
      <c r="L295" t="s">
        <v>108</v>
      </c>
    </row>
    <row r="296" spans="1:14">
      <c r="A296" s="2">
        <v>298</v>
      </c>
      <c r="B296" t="s">
        <v>989</v>
      </c>
      <c r="C296" t="s">
        <v>75</v>
      </c>
      <c r="F296" t="s">
        <v>988</v>
      </c>
      <c r="G296" t="s">
        <v>100</v>
      </c>
      <c r="H296" t="s">
        <v>808</v>
      </c>
      <c r="I296" t="s">
        <v>383</v>
      </c>
      <c r="K296" t="s">
        <v>810</v>
      </c>
      <c r="L296" t="s">
        <v>811</v>
      </c>
      <c r="N296" t="s">
        <v>990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3" width="50.7109375" customWidth="1"/>
    <col min="4" max="4" width="24.7109375" customWidth="1"/>
    <col min="5" max="5" width="50.7109375" customWidth="1"/>
    <col min="6" max="9" width="24.7109375" customWidth="1"/>
  </cols>
  <sheetData>
    <row r="1" spans="1:9">
      <c r="A1" s="1" t="s">
        <v>475</v>
      </c>
      <c r="B1" s="1" t="s">
        <v>991</v>
      </c>
      <c r="C1" s="1" t="s">
        <v>992</v>
      </c>
      <c r="D1" s="1" t="s">
        <v>993</v>
      </c>
      <c r="E1" s="1" t="s">
        <v>994</v>
      </c>
      <c r="F1" s="1" t="s">
        <v>995</v>
      </c>
      <c r="G1" s="1" t="s">
        <v>996</v>
      </c>
      <c r="H1" s="1" t="s">
        <v>997</v>
      </c>
      <c r="I1" s="1" t="s">
        <v>19</v>
      </c>
    </row>
    <row r="2" spans="1:9">
      <c r="A2" t="s">
        <v>483</v>
      </c>
      <c r="B2" t="s">
        <v>998</v>
      </c>
      <c r="D2" t="s">
        <v>999</v>
      </c>
      <c r="E2" t="s">
        <v>1000</v>
      </c>
      <c r="G2" t="s">
        <v>65</v>
      </c>
      <c r="I2" t="s">
        <v>1001</v>
      </c>
    </row>
    <row r="3" spans="1:9">
      <c r="A3" t="s">
        <v>483</v>
      </c>
      <c r="B3" t="s">
        <v>998</v>
      </c>
      <c r="D3" t="s">
        <v>999</v>
      </c>
      <c r="E3" t="s">
        <v>1000</v>
      </c>
      <c r="G3" t="s">
        <v>65</v>
      </c>
      <c r="I3" t="s">
        <v>1002</v>
      </c>
    </row>
    <row r="4" spans="1:9">
      <c r="A4" t="s">
        <v>49</v>
      </c>
      <c r="B4" t="s">
        <v>1003</v>
      </c>
      <c r="D4" t="s">
        <v>1004</v>
      </c>
      <c r="E4" t="s">
        <v>1005</v>
      </c>
      <c r="G4" t="s">
        <v>65</v>
      </c>
      <c r="I4" t="s">
        <v>48</v>
      </c>
    </row>
    <row r="5" spans="1:9">
      <c r="A5" t="s">
        <v>483</v>
      </c>
      <c r="B5" t="s">
        <v>998</v>
      </c>
      <c r="D5" t="s">
        <v>999</v>
      </c>
      <c r="E5" t="s">
        <v>1000</v>
      </c>
      <c r="G5" t="s">
        <v>65</v>
      </c>
      <c r="I5" t="s">
        <v>1006</v>
      </c>
    </row>
    <row r="6" spans="1:9">
      <c r="A6" t="s">
        <v>49</v>
      </c>
      <c r="B6" t="s">
        <v>1003</v>
      </c>
      <c r="D6" t="s">
        <v>1004</v>
      </c>
      <c r="E6" t="s">
        <v>1005</v>
      </c>
      <c r="G6" t="s">
        <v>65</v>
      </c>
      <c r="I6" t="s">
        <v>68</v>
      </c>
    </row>
    <row r="7" spans="1:9">
      <c r="A7" t="s">
        <v>483</v>
      </c>
      <c r="B7" t="s">
        <v>998</v>
      </c>
      <c r="D7" t="s">
        <v>999</v>
      </c>
      <c r="E7" t="s">
        <v>1000</v>
      </c>
      <c r="G7" t="s">
        <v>65</v>
      </c>
      <c r="I7" t="s">
        <v>1007</v>
      </c>
    </row>
    <row r="8" spans="1:9">
      <c r="A8" t="s">
        <v>49</v>
      </c>
      <c r="B8" t="s">
        <v>1003</v>
      </c>
      <c r="D8" t="s">
        <v>1004</v>
      </c>
      <c r="E8" t="s">
        <v>1005</v>
      </c>
      <c r="G8" t="s">
        <v>65</v>
      </c>
      <c r="I8" t="s">
        <v>81</v>
      </c>
    </row>
    <row r="9" spans="1:9">
      <c r="A9" t="s">
        <v>49</v>
      </c>
      <c r="B9" t="s">
        <v>1003</v>
      </c>
      <c r="D9" t="s">
        <v>1004</v>
      </c>
      <c r="E9" t="s">
        <v>1005</v>
      </c>
      <c r="G9" t="s">
        <v>65</v>
      </c>
      <c r="I9" t="s">
        <v>96</v>
      </c>
    </row>
    <row r="10" spans="1:9">
      <c r="A10" t="s">
        <v>49</v>
      </c>
      <c r="B10" t="s">
        <v>1003</v>
      </c>
      <c r="D10" t="s">
        <v>1004</v>
      </c>
      <c r="E10" t="s">
        <v>1005</v>
      </c>
      <c r="G10" t="s">
        <v>65</v>
      </c>
      <c r="I10" t="s">
        <v>112</v>
      </c>
    </row>
    <row r="11" spans="1:9">
      <c r="A11" t="s">
        <v>483</v>
      </c>
      <c r="B11" t="s">
        <v>1003</v>
      </c>
      <c r="C11" t="s">
        <v>405</v>
      </c>
      <c r="D11" t="s">
        <v>1008</v>
      </c>
      <c r="E11" t="s">
        <v>1009</v>
      </c>
      <c r="F11" s="2">
        <v>0</v>
      </c>
      <c r="G11" t="s">
        <v>65</v>
      </c>
      <c r="H11" s="2">
        <v>0</v>
      </c>
      <c r="I11" t="s">
        <v>1010</v>
      </c>
    </row>
    <row r="12" spans="1:9">
      <c r="A12" t="s">
        <v>483</v>
      </c>
      <c r="B12" t="s">
        <v>998</v>
      </c>
      <c r="D12" t="s">
        <v>999</v>
      </c>
      <c r="E12" t="s">
        <v>1000</v>
      </c>
      <c r="G12" t="s">
        <v>65</v>
      </c>
      <c r="I12" t="s">
        <v>1011</v>
      </c>
    </row>
    <row r="13" spans="1:9">
      <c r="A13" t="s">
        <v>483</v>
      </c>
      <c r="B13" t="s">
        <v>998</v>
      </c>
      <c r="D13" t="s">
        <v>999</v>
      </c>
      <c r="E13" t="s">
        <v>1000</v>
      </c>
      <c r="G13" t="s">
        <v>65</v>
      </c>
      <c r="I13" t="s">
        <v>1012</v>
      </c>
    </row>
    <row r="14" spans="1:9">
      <c r="A14" t="s">
        <v>483</v>
      </c>
      <c r="B14" t="s">
        <v>998</v>
      </c>
      <c r="D14" t="s">
        <v>1013</v>
      </c>
      <c r="E14" t="s">
        <v>1014</v>
      </c>
      <c r="G14" t="s">
        <v>65</v>
      </c>
      <c r="I14" t="s">
        <v>1015</v>
      </c>
    </row>
    <row r="15" spans="1:9">
      <c r="A15" t="s">
        <v>49</v>
      </c>
      <c r="B15" t="s">
        <v>1003</v>
      </c>
      <c r="D15" t="s">
        <v>1004</v>
      </c>
      <c r="E15" t="s">
        <v>1005</v>
      </c>
      <c r="G15" t="s">
        <v>65</v>
      </c>
      <c r="I15" t="s">
        <v>124</v>
      </c>
    </row>
    <row r="16" spans="1:9">
      <c r="A16" t="s">
        <v>49</v>
      </c>
      <c r="B16" t="s">
        <v>1003</v>
      </c>
      <c r="D16" t="s">
        <v>1004</v>
      </c>
      <c r="E16" t="s">
        <v>1005</v>
      </c>
      <c r="G16" t="s">
        <v>65</v>
      </c>
      <c r="I16" t="s">
        <v>131</v>
      </c>
    </row>
    <row r="17" spans="1:9">
      <c r="A17" t="s">
        <v>483</v>
      </c>
      <c r="B17" t="s">
        <v>998</v>
      </c>
      <c r="D17" t="s">
        <v>999</v>
      </c>
      <c r="E17" t="s">
        <v>1000</v>
      </c>
      <c r="G17" t="s">
        <v>65</v>
      </c>
      <c r="I17" t="s">
        <v>1016</v>
      </c>
    </row>
    <row r="18" spans="1:9">
      <c r="A18" t="s">
        <v>49</v>
      </c>
      <c r="B18" t="s">
        <v>1003</v>
      </c>
      <c r="D18" t="s">
        <v>1004</v>
      </c>
      <c r="E18" t="s">
        <v>1005</v>
      </c>
      <c r="G18" t="s">
        <v>65</v>
      </c>
      <c r="I18" t="s">
        <v>146</v>
      </c>
    </row>
    <row r="19" spans="1:9">
      <c r="A19" t="s">
        <v>483</v>
      </c>
      <c r="B19" t="s">
        <v>998</v>
      </c>
      <c r="D19" t="s">
        <v>999</v>
      </c>
      <c r="E19" t="s">
        <v>1000</v>
      </c>
      <c r="G19" t="s">
        <v>65</v>
      </c>
      <c r="I19" t="s">
        <v>1017</v>
      </c>
    </row>
    <row r="20" spans="1:9">
      <c r="A20" t="s">
        <v>49</v>
      </c>
      <c r="B20" t="s">
        <v>1003</v>
      </c>
      <c r="D20" t="s">
        <v>1004</v>
      </c>
      <c r="E20" t="s">
        <v>1005</v>
      </c>
      <c r="G20" t="s">
        <v>65</v>
      </c>
      <c r="I20" t="s">
        <v>151</v>
      </c>
    </row>
    <row r="21" spans="1:9">
      <c r="A21" t="s">
        <v>49</v>
      </c>
      <c r="B21" t="s">
        <v>1003</v>
      </c>
      <c r="D21" t="s">
        <v>1004</v>
      </c>
      <c r="E21" t="s">
        <v>1005</v>
      </c>
      <c r="G21" t="s">
        <v>65</v>
      </c>
      <c r="I21" t="s">
        <v>157</v>
      </c>
    </row>
    <row r="22" spans="1:9">
      <c r="A22" t="s">
        <v>483</v>
      </c>
      <c r="B22" t="s">
        <v>1003</v>
      </c>
      <c r="C22" t="s">
        <v>405</v>
      </c>
      <c r="D22" t="s">
        <v>1008</v>
      </c>
      <c r="E22" t="s">
        <v>1009</v>
      </c>
      <c r="F22" s="2">
        <v>0</v>
      </c>
      <c r="G22" t="s">
        <v>65</v>
      </c>
      <c r="H22" s="2">
        <v>0</v>
      </c>
      <c r="I22" t="s">
        <v>1018</v>
      </c>
    </row>
    <row r="23" spans="1:9">
      <c r="A23" t="s">
        <v>483</v>
      </c>
      <c r="B23" t="s">
        <v>998</v>
      </c>
      <c r="D23" t="s">
        <v>999</v>
      </c>
      <c r="E23" t="s">
        <v>1000</v>
      </c>
      <c r="G23" t="s">
        <v>65</v>
      </c>
      <c r="I23" t="s">
        <v>1019</v>
      </c>
    </row>
    <row r="24" spans="1:9">
      <c r="A24" t="s">
        <v>483</v>
      </c>
      <c r="B24" t="s">
        <v>998</v>
      </c>
      <c r="D24" t="s">
        <v>999</v>
      </c>
      <c r="E24" t="s">
        <v>1000</v>
      </c>
      <c r="G24" t="s">
        <v>65</v>
      </c>
      <c r="I24" t="s">
        <v>1020</v>
      </c>
    </row>
    <row r="25" spans="1:9">
      <c r="A25" t="s">
        <v>49</v>
      </c>
      <c r="B25" t="s">
        <v>1003</v>
      </c>
      <c r="D25" t="s">
        <v>1004</v>
      </c>
      <c r="E25" t="s">
        <v>1005</v>
      </c>
      <c r="G25" t="s">
        <v>65</v>
      </c>
      <c r="I25" t="s">
        <v>167</v>
      </c>
    </row>
    <row r="26" spans="1:9">
      <c r="A26" t="s">
        <v>483</v>
      </c>
      <c r="B26" t="s">
        <v>998</v>
      </c>
      <c r="D26" t="s">
        <v>1013</v>
      </c>
      <c r="E26" t="s">
        <v>1014</v>
      </c>
      <c r="G26" t="s">
        <v>65</v>
      </c>
      <c r="I26" t="s">
        <v>175</v>
      </c>
    </row>
    <row r="27" spans="1:9">
      <c r="A27" t="s">
        <v>483</v>
      </c>
      <c r="B27" t="s">
        <v>998</v>
      </c>
      <c r="D27" t="s">
        <v>999</v>
      </c>
      <c r="E27" t="s">
        <v>1000</v>
      </c>
      <c r="G27" t="s">
        <v>65</v>
      </c>
      <c r="I27" t="s">
        <v>1021</v>
      </c>
    </row>
    <row r="28" spans="1:9">
      <c r="A28" t="s">
        <v>483</v>
      </c>
      <c r="B28" t="s">
        <v>998</v>
      </c>
      <c r="D28" t="s">
        <v>1013</v>
      </c>
      <c r="E28" t="s">
        <v>1014</v>
      </c>
      <c r="G28" t="s">
        <v>65</v>
      </c>
      <c r="I28" t="s">
        <v>1022</v>
      </c>
    </row>
    <row r="29" spans="1:9">
      <c r="A29" t="s">
        <v>49</v>
      </c>
      <c r="B29" t="s">
        <v>1003</v>
      </c>
      <c r="D29" t="s">
        <v>1004</v>
      </c>
      <c r="E29" t="s">
        <v>1005</v>
      </c>
      <c r="G29" t="s">
        <v>65</v>
      </c>
      <c r="I29" t="s">
        <v>192</v>
      </c>
    </row>
    <row r="30" spans="1:9">
      <c r="A30" t="s">
        <v>483</v>
      </c>
      <c r="B30" t="s">
        <v>998</v>
      </c>
      <c r="D30" t="s">
        <v>999</v>
      </c>
      <c r="E30" t="s">
        <v>1000</v>
      </c>
      <c r="G30" t="s">
        <v>65</v>
      </c>
      <c r="I30" t="s">
        <v>1023</v>
      </c>
    </row>
    <row r="31" spans="1:9">
      <c r="A31" t="s">
        <v>49</v>
      </c>
      <c r="B31" t="s">
        <v>1003</v>
      </c>
      <c r="D31" t="s">
        <v>1004</v>
      </c>
      <c r="E31" t="s">
        <v>1005</v>
      </c>
      <c r="G31" t="s">
        <v>65</v>
      </c>
      <c r="I31" t="s">
        <v>197</v>
      </c>
    </row>
    <row r="32" spans="1:9">
      <c r="A32" t="s">
        <v>49</v>
      </c>
      <c r="B32" t="s">
        <v>1003</v>
      </c>
      <c r="D32" t="s">
        <v>1004</v>
      </c>
      <c r="E32" t="s">
        <v>1005</v>
      </c>
      <c r="G32" t="s">
        <v>65</v>
      </c>
      <c r="I32" t="s">
        <v>202</v>
      </c>
    </row>
    <row r="33" spans="1:9">
      <c r="A33" t="s">
        <v>49</v>
      </c>
      <c r="B33" t="s">
        <v>1003</v>
      </c>
      <c r="D33" t="s">
        <v>1004</v>
      </c>
      <c r="E33" t="s">
        <v>1005</v>
      </c>
      <c r="G33" t="s">
        <v>65</v>
      </c>
      <c r="I33" t="s">
        <v>208</v>
      </c>
    </row>
    <row r="34" spans="1:9">
      <c r="A34" t="s">
        <v>483</v>
      </c>
      <c r="B34" t="s">
        <v>1003</v>
      </c>
      <c r="C34" t="s">
        <v>405</v>
      </c>
      <c r="D34" t="s">
        <v>1008</v>
      </c>
      <c r="E34" t="s">
        <v>1009</v>
      </c>
      <c r="F34" s="2">
        <v>0</v>
      </c>
      <c r="G34" t="s">
        <v>65</v>
      </c>
      <c r="H34" s="2">
        <v>0</v>
      </c>
      <c r="I34" t="s">
        <v>1024</v>
      </c>
    </row>
    <row r="35" spans="1:9">
      <c r="A35" t="s">
        <v>483</v>
      </c>
      <c r="B35" t="s">
        <v>998</v>
      </c>
      <c r="D35" t="s">
        <v>999</v>
      </c>
      <c r="E35" t="s">
        <v>1000</v>
      </c>
      <c r="G35" t="s">
        <v>65</v>
      </c>
      <c r="I35" t="s">
        <v>1025</v>
      </c>
    </row>
    <row r="36" spans="1:9">
      <c r="A36" t="s">
        <v>483</v>
      </c>
      <c r="B36" t="s">
        <v>998</v>
      </c>
      <c r="D36" t="s">
        <v>999</v>
      </c>
      <c r="E36" t="s">
        <v>1000</v>
      </c>
      <c r="G36" t="s">
        <v>65</v>
      </c>
      <c r="I36" t="s">
        <v>1026</v>
      </c>
    </row>
    <row r="37" spans="1:9">
      <c r="A37" t="s">
        <v>483</v>
      </c>
      <c r="B37" t="s">
        <v>998</v>
      </c>
      <c r="D37" t="s">
        <v>1013</v>
      </c>
      <c r="E37" t="s">
        <v>1014</v>
      </c>
      <c r="G37" t="s">
        <v>65</v>
      </c>
      <c r="I37" t="s">
        <v>1027</v>
      </c>
    </row>
    <row r="38" spans="1:9">
      <c r="A38" t="s">
        <v>49</v>
      </c>
      <c r="B38" t="s">
        <v>1003</v>
      </c>
      <c r="D38" t="s">
        <v>1004</v>
      </c>
      <c r="E38" t="s">
        <v>1005</v>
      </c>
      <c r="G38" t="s">
        <v>65</v>
      </c>
      <c r="I38" t="s">
        <v>215</v>
      </c>
    </row>
    <row r="39" spans="1:9">
      <c r="A39" t="s">
        <v>49</v>
      </c>
      <c r="B39" t="s">
        <v>1003</v>
      </c>
      <c r="D39" t="s">
        <v>1004</v>
      </c>
      <c r="E39" t="s">
        <v>1005</v>
      </c>
      <c r="G39" t="s">
        <v>65</v>
      </c>
      <c r="I39" t="s">
        <v>223</v>
      </c>
    </row>
    <row r="40" spans="1:9">
      <c r="A40" t="s">
        <v>483</v>
      </c>
      <c r="B40" t="s">
        <v>998</v>
      </c>
      <c r="D40" t="s">
        <v>999</v>
      </c>
      <c r="E40" t="s">
        <v>1000</v>
      </c>
      <c r="G40" t="s">
        <v>65</v>
      </c>
      <c r="I40" t="s">
        <v>1028</v>
      </c>
    </row>
    <row r="41" spans="1:9">
      <c r="A41" t="s">
        <v>49</v>
      </c>
      <c r="B41" t="s">
        <v>1003</v>
      </c>
      <c r="D41" t="s">
        <v>1004</v>
      </c>
      <c r="E41" t="s">
        <v>1005</v>
      </c>
      <c r="G41" t="s">
        <v>65</v>
      </c>
      <c r="I41" t="s">
        <v>231</v>
      </c>
    </row>
    <row r="42" spans="1:9">
      <c r="A42" t="s">
        <v>483</v>
      </c>
      <c r="B42" t="s">
        <v>998</v>
      </c>
      <c r="D42" t="s">
        <v>999</v>
      </c>
      <c r="E42" t="s">
        <v>1000</v>
      </c>
      <c r="G42" t="s">
        <v>65</v>
      </c>
      <c r="I42" t="s">
        <v>1029</v>
      </c>
    </row>
    <row r="43" spans="1:9">
      <c r="A43" t="s">
        <v>49</v>
      </c>
      <c r="B43" t="s">
        <v>1003</v>
      </c>
      <c r="D43" t="s">
        <v>1004</v>
      </c>
      <c r="E43" t="s">
        <v>1005</v>
      </c>
      <c r="G43" t="s">
        <v>65</v>
      </c>
      <c r="I43" t="s">
        <v>237</v>
      </c>
    </row>
    <row r="44" spans="1:9">
      <c r="A44" t="s">
        <v>49</v>
      </c>
      <c r="B44" t="s">
        <v>1003</v>
      </c>
      <c r="D44" t="s">
        <v>1004</v>
      </c>
      <c r="E44" t="s">
        <v>1005</v>
      </c>
      <c r="G44" t="s">
        <v>65</v>
      </c>
      <c r="I44" t="s">
        <v>242</v>
      </c>
    </row>
    <row r="45" spans="1:9">
      <c r="A45" t="s">
        <v>49</v>
      </c>
      <c r="B45" t="s">
        <v>1003</v>
      </c>
      <c r="D45" t="s">
        <v>1004</v>
      </c>
      <c r="E45" t="s">
        <v>1005</v>
      </c>
      <c r="G45" t="s">
        <v>65</v>
      </c>
      <c r="I45" t="s">
        <v>252</v>
      </c>
    </row>
    <row r="46" spans="1:9">
      <c r="A46" t="s">
        <v>483</v>
      </c>
      <c r="B46" t="s">
        <v>1003</v>
      </c>
      <c r="C46" t="s">
        <v>405</v>
      </c>
      <c r="D46" t="s">
        <v>1008</v>
      </c>
      <c r="E46" t="s">
        <v>1009</v>
      </c>
      <c r="F46" s="2">
        <v>0</v>
      </c>
      <c r="G46" t="s">
        <v>65</v>
      </c>
      <c r="H46" s="2">
        <v>0</v>
      </c>
      <c r="I46" t="s">
        <v>1030</v>
      </c>
    </row>
    <row r="47" spans="1:9">
      <c r="A47" t="s">
        <v>483</v>
      </c>
      <c r="B47" t="s">
        <v>998</v>
      </c>
      <c r="D47" t="s">
        <v>999</v>
      </c>
      <c r="E47" t="s">
        <v>1000</v>
      </c>
      <c r="G47" t="s">
        <v>65</v>
      </c>
      <c r="I47" t="s">
        <v>1031</v>
      </c>
    </row>
    <row r="48" spans="1:9">
      <c r="A48" t="s">
        <v>49</v>
      </c>
      <c r="B48" t="s">
        <v>1003</v>
      </c>
      <c r="D48" t="s">
        <v>1004</v>
      </c>
      <c r="E48" t="s">
        <v>1005</v>
      </c>
      <c r="G48" t="s">
        <v>65</v>
      </c>
      <c r="I48" t="s">
        <v>260</v>
      </c>
    </row>
    <row r="49" spans="1:9">
      <c r="A49" t="s">
        <v>483</v>
      </c>
      <c r="B49" t="s">
        <v>998</v>
      </c>
      <c r="D49" t="s">
        <v>999</v>
      </c>
      <c r="E49" t="s">
        <v>1000</v>
      </c>
      <c r="G49" t="s">
        <v>65</v>
      </c>
      <c r="I49" t="s">
        <v>1032</v>
      </c>
    </row>
    <row r="50" spans="1:9">
      <c r="A50" t="s">
        <v>49</v>
      </c>
      <c r="B50" t="s">
        <v>1003</v>
      </c>
      <c r="D50" t="s">
        <v>1004</v>
      </c>
      <c r="E50" t="s">
        <v>1005</v>
      </c>
      <c r="G50" t="s">
        <v>65</v>
      </c>
      <c r="I50" t="s">
        <v>266</v>
      </c>
    </row>
    <row r="51" spans="1:9">
      <c r="A51" t="s">
        <v>49</v>
      </c>
      <c r="B51" t="s">
        <v>1003</v>
      </c>
      <c r="D51" t="s">
        <v>1004</v>
      </c>
      <c r="E51" t="s">
        <v>1005</v>
      </c>
      <c r="G51" t="s">
        <v>65</v>
      </c>
      <c r="I51" t="s">
        <v>272</v>
      </c>
    </row>
    <row r="52" spans="1:9">
      <c r="A52" t="s">
        <v>49</v>
      </c>
      <c r="B52" t="s">
        <v>1003</v>
      </c>
      <c r="D52" t="s">
        <v>1004</v>
      </c>
      <c r="E52" t="s">
        <v>1005</v>
      </c>
      <c r="G52" t="s">
        <v>65</v>
      </c>
      <c r="I52" t="s">
        <v>281</v>
      </c>
    </row>
    <row r="53" spans="1:9">
      <c r="A53" t="s">
        <v>49</v>
      </c>
      <c r="B53" t="s">
        <v>1003</v>
      </c>
      <c r="D53" t="s">
        <v>1004</v>
      </c>
      <c r="E53" t="s">
        <v>1005</v>
      </c>
      <c r="G53" t="s">
        <v>65</v>
      </c>
      <c r="I53" t="s">
        <v>287</v>
      </c>
    </row>
    <row r="54" spans="1:9">
      <c r="A54" t="s">
        <v>483</v>
      </c>
      <c r="B54" t="s">
        <v>1003</v>
      </c>
      <c r="C54" t="s">
        <v>405</v>
      </c>
      <c r="D54" t="s">
        <v>1008</v>
      </c>
      <c r="E54" t="s">
        <v>1009</v>
      </c>
      <c r="F54" s="2">
        <v>0</v>
      </c>
      <c r="G54" t="s">
        <v>65</v>
      </c>
      <c r="H54" s="2">
        <v>0</v>
      </c>
      <c r="I54" t="s">
        <v>1033</v>
      </c>
    </row>
    <row r="55" spans="1:9">
      <c r="A55" t="s">
        <v>483</v>
      </c>
      <c r="B55" t="s">
        <v>998</v>
      </c>
      <c r="D55" t="s">
        <v>999</v>
      </c>
      <c r="E55" t="s">
        <v>1000</v>
      </c>
      <c r="G55" t="s">
        <v>65</v>
      </c>
      <c r="I55" t="s">
        <v>1034</v>
      </c>
    </row>
    <row r="56" spans="1:9">
      <c r="A56" t="s">
        <v>483</v>
      </c>
      <c r="B56" t="s">
        <v>998</v>
      </c>
      <c r="D56" t="s">
        <v>999</v>
      </c>
      <c r="E56" t="s">
        <v>1000</v>
      </c>
      <c r="G56" t="s">
        <v>65</v>
      </c>
      <c r="I56" t="s">
        <v>1035</v>
      </c>
    </row>
    <row r="57" spans="1:9">
      <c r="A57" t="s">
        <v>49</v>
      </c>
      <c r="B57" t="s">
        <v>1003</v>
      </c>
      <c r="D57" t="s">
        <v>1004</v>
      </c>
      <c r="E57" t="s">
        <v>1005</v>
      </c>
      <c r="G57" t="s">
        <v>65</v>
      </c>
      <c r="I57" t="s">
        <v>298</v>
      </c>
    </row>
    <row r="58" spans="1:9">
      <c r="A58" t="s">
        <v>483</v>
      </c>
      <c r="B58" t="s">
        <v>998</v>
      </c>
      <c r="D58" t="s">
        <v>1013</v>
      </c>
      <c r="E58" t="s">
        <v>1014</v>
      </c>
      <c r="G58" t="s">
        <v>65</v>
      </c>
      <c r="I58" t="s">
        <v>306</v>
      </c>
    </row>
    <row r="59" spans="1:9">
      <c r="A59" t="s">
        <v>49</v>
      </c>
      <c r="B59" t="s">
        <v>1003</v>
      </c>
      <c r="D59" t="s">
        <v>1004</v>
      </c>
      <c r="E59" t="s">
        <v>1005</v>
      </c>
      <c r="G59" t="s">
        <v>65</v>
      </c>
      <c r="I59" t="s">
        <v>311</v>
      </c>
    </row>
    <row r="60" spans="1:9">
      <c r="A60" t="s">
        <v>483</v>
      </c>
      <c r="B60" t="s">
        <v>998</v>
      </c>
      <c r="D60" t="s">
        <v>999</v>
      </c>
      <c r="E60" t="s">
        <v>1000</v>
      </c>
      <c r="G60" t="s">
        <v>65</v>
      </c>
      <c r="I60" t="s">
        <v>1036</v>
      </c>
    </row>
    <row r="61" spans="1:9">
      <c r="A61" t="s">
        <v>483</v>
      </c>
      <c r="B61" t="s">
        <v>998</v>
      </c>
      <c r="D61" t="s">
        <v>1013</v>
      </c>
      <c r="E61" t="s">
        <v>1014</v>
      </c>
      <c r="G61" t="s">
        <v>65</v>
      </c>
      <c r="I61" t="s">
        <v>1037</v>
      </c>
    </row>
    <row r="62" spans="1:9">
      <c r="A62" t="s">
        <v>49</v>
      </c>
      <c r="B62" t="s">
        <v>1003</v>
      </c>
      <c r="D62" t="s">
        <v>1004</v>
      </c>
      <c r="E62" t="s">
        <v>1005</v>
      </c>
      <c r="G62" t="s">
        <v>65</v>
      </c>
      <c r="I62" t="s">
        <v>320</v>
      </c>
    </row>
    <row r="63" spans="1:9">
      <c r="A63" t="s">
        <v>483</v>
      </c>
      <c r="B63" t="s">
        <v>998</v>
      </c>
      <c r="D63" t="s">
        <v>999</v>
      </c>
      <c r="E63" t="s">
        <v>1000</v>
      </c>
      <c r="G63" t="s">
        <v>65</v>
      </c>
      <c r="I63" t="s">
        <v>1038</v>
      </c>
    </row>
    <row r="64" spans="1:9">
      <c r="A64" t="s">
        <v>49</v>
      </c>
      <c r="B64" t="s">
        <v>1003</v>
      </c>
      <c r="D64" t="s">
        <v>1004</v>
      </c>
      <c r="E64" t="s">
        <v>1005</v>
      </c>
      <c r="G64" t="s">
        <v>65</v>
      </c>
      <c r="I64" t="s">
        <v>326</v>
      </c>
    </row>
    <row r="65" spans="1:9">
      <c r="A65" t="s">
        <v>49</v>
      </c>
      <c r="B65" t="s">
        <v>1003</v>
      </c>
      <c r="D65" t="s">
        <v>1004</v>
      </c>
      <c r="E65" t="s">
        <v>1005</v>
      </c>
      <c r="G65" t="s">
        <v>65</v>
      </c>
      <c r="I65" t="s">
        <v>333</v>
      </c>
    </row>
    <row r="66" spans="1:9">
      <c r="A66" t="s">
        <v>49</v>
      </c>
      <c r="B66" t="s">
        <v>1003</v>
      </c>
      <c r="D66" t="s">
        <v>1004</v>
      </c>
      <c r="E66" t="s">
        <v>1005</v>
      </c>
      <c r="G66" t="s">
        <v>65</v>
      </c>
      <c r="I66" t="s">
        <v>342</v>
      </c>
    </row>
    <row r="67" spans="1:9">
      <c r="A67" t="s">
        <v>483</v>
      </c>
      <c r="B67" t="s">
        <v>1003</v>
      </c>
      <c r="C67" t="s">
        <v>405</v>
      </c>
      <c r="D67" t="s">
        <v>1008</v>
      </c>
      <c r="E67" t="s">
        <v>1009</v>
      </c>
      <c r="F67" s="2">
        <v>0</v>
      </c>
      <c r="G67" t="s">
        <v>65</v>
      </c>
      <c r="H67" s="2">
        <v>0</v>
      </c>
      <c r="I67" t="s">
        <v>1039</v>
      </c>
    </row>
    <row r="68" spans="1:9">
      <c r="A68" t="s">
        <v>483</v>
      </c>
      <c r="B68" t="s">
        <v>176</v>
      </c>
      <c r="C68" t="s">
        <v>1040</v>
      </c>
      <c r="E68" t="s">
        <v>1041</v>
      </c>
      <c r="F68" s="2">
        <v>0</v>
      </c>
      <c r="G68" t="s">
        <v>65</v>
      </c>
      <c r="H68" s="2">
        <v>0</v>
      </c>
      <c r="I68" t="s">
        <v>175</v>
      </c>
    </row>
    <row r="69" spans="1:9">
      <c r="A69" t="s">
        <v>483</v>
      </c>
      <c r="B69" t="s">
        <v>176</v>
      </c>
      <c r="C69" t="s">
        <v>1040</v>
      </c>
      <c r="E69" t="s">
        <v>1041</v>
      </c>
      <c r="F69" s="2">
        <v>0</v>
      </c>
      <c r="G69" t="s">
        <v>65</v>
      </c>
      <c r="H69" s="2">
        <v>0</v>
      </c>
      <c r="I69" t="s">
        <v>306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E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31" width="24.7109375" customWidth="1"/>
  </cols>
  <sheetData>
    <row r="1" spans="1:31">
      <c r="A1" s="1" t="s">
        <v>352</v>
      </c>
      <c r="B1" s="1" t="s">
        <v>1042</v>
      </c>
      <c r="C1" s="1" t="s">
        <v>1043</v>
      </c>
      <c r="D1" s="1" t="s">
        <v>1044</v>
      </c>
      <c r="E1" s="1" t="s">
        <v>1045</v>
      </c>
      <c r="F1" s="1" t="s">
        <v>1046</v>
      </c>
      <c r="G1" s="1" t="s">
        <v>1047</v>
      </c>
      <c r="H1" s="1" t="s">
        <v>1048</v>
      </c>
      <c r="I1" s="1" t="s">
        <v>25</v>
      </c>
      <c r="J1" s="1" t="s">
        <v>353</v>
      </c>
      <c r="K1" s="1" t="s">
        <v>1049</v>
      </c>
      <c r="L1" s="1" t="s">
        <v>1050</v>
      </c>
      <c r="M1" s="1" t="s">
        <v>1051</v>
      </c>
      <c r="N1" s="1" t="s">
        <v>1052</v>
      </c>
      <c r="O1" s="1" t="s">
        <v>1053</v>
      </c>
      <c r="P1" s="1" t="s">
        <v>18</v>
      </c>
      <c r="Q1" s="1" t="s">
        <v>2</v>
      </c>
      <c r="R1" s="1" t="s">
        <v>1054</v>
      </c>
      <c r="S1" s="1" t="s">
        <v>1055</v>
      </c>
      <c r="T1" s="1" t="s">
        <v>1056</v>
      </c>
      <c r="U1" s="1" t="s">
        <v>1057</v>
      </c>
      <c r="V1" s="1" t="s">
        <v>1058</v>
      </c>
      <c r="W1" s="1" t="s">
        <v>517</v>
      </c>
      <c r="X1" s="1" t="s">
        <v>388</v>
      </c>
      <c r="Y1" s="1" t="s">
        <v>1059</v>
      </c>
      <c r="Z1" s="1" t="s">
        <v>1060</v>
      </c>
      <c r="AA1" s="1" t="s">
        <v>1061</v>
      </c>
      <c r="AB1" s="1" t="s">
        <v>734</v>
      </c>
      <c r="AC1" s="1" t="s">
        <v>1062</v>
      </c>
      <c r="AD1" s="1" t="s">
        <v>1063</v>
      </c>
      <c r="AE1" s="1" t="s">
        <v>19</v>
      </c>
    </row>
    <row r="2" spans="1:31">
      <c r="A2" t="s">
        <v>363</v>
      </c>
      <c r="B2" s="2">
        <v>7.010800000000001</v>
      </c>
      <c r="C2" s="2">
        <v>7101.538461538381</v>
      </c>
      <c r="D2" t="s">
        <v>1064</v>
      </c>
      <c r="E2" s="2">
        <v>-3818.4615384615026</v>
      </c>
      <c r="F2" s="2">
        <v>712000</v>
      </c>
      <c r="G2" s="2">
        <v>708181.5384615385</v>
      </c>
      <c r="H2" t="s">
        <v>65</v>
      </c>
      <c r="I2" t="s">
        <v>364</v>
      </c>
      <c r="J2" s="2">
        <v>7.12</v>
      </c>
      <c r="K2" t="s">
        <v>365</v>
      </c>
      <c r="L2" t="s">
        <v>366</v>
      </c>
      <c r="M2" s="2">
        <v>12</v>
      </c>
      <c r="N2" s="2">
        <v>0.09119999999999973</v>
      </c>
      <c r="O2" s="2">
        <v>0.10919999999999952</v>
      </c>
      <c r="P2" t="s">
        <v>47</v>
      </c>
      <c r="Q2" t="s">
        <v>3</v>
      </c>
      <c r="R2" t="s">
        <v>542</v>
      </c>
      <c r="S2" s="2">
        <v>7.0288</v>
      </c>
      <c r="T2" t="s">
        <v>576</v>
      </c>
      <c r="U2" t="s">
        <v>65</v>
      </c>
      <c r="V2" s="2">
        <v>7.010800000000001</v>
      </c>
      <c r="W2" t="s">
        <v>47</v>
      </c>
      <c r="X2" t="s">
        <v>1065</v>
      </c>
      <c r="Y2" t="s">
        <v>1066</v>
      </c>
      <c r="Z2" t="s">
        <v>489</v>
      </c>
      <c r="AA2" s="2">
        <v>100000</v>
      </c>
      <c r="AB2" s="2">
        <v>12</v>
      </c>
      <c r="AC2" s="2">
        <v>-100000</v>
      </c>
      <c r="AD2" s="2">
        <v>701080.0000000001</v>
      </c>
      <c r="AE2" t="s">
        <v>48</v>
      </c>
    </row>
    <row r="3" spans="1:31">
      <c r="A3" t="s">
        <v>368</v>
      </c>
      <c r="B3" s="2">
        <v>7.001900000000001</v>
      </c>
      <c r="C3" s="2">
        <v>-4502.499999999942</v>
      </c>
      <c r="D3" t="s">
        <v>1064</v>
      </c>
      <c r="E3" s="2">
        <v>-1402.5</v>
      </c>
      <c r="F3" s="2">
        <v>356000</v>
      </c>
      <c r="G3" s="2">
        <v>354597.5</v>
      </c>
      <c r="H3" t="s">
        <v>65</v>
      </c>
      <c r="I3" t="s">
        <v>364</v>
      </c>
      <c r="J3" s="2">
        <v>7.12</v>
      </c>
      <c r="K3" t="s">
        <v>365</v>
      </c>
      <c r="L3" t="s">
        <v>366</v>
      </c>
      <c r="M3" s="2">
        <v>25</v>
      </c>
      <c r="N3" s="2">
        <v>0.09119999999999973</v>
      </c>
      <c r="O3" s="2">
        <v>0.1180999999999992</v>
      </c>
      <c r="P3" t="s">
        <v>67</v>
      </c>
      <c r="Q3" t="s">
        <v>3</v>
      </c>
      <c r="R3" t="s">
        <v>542</v>
      </c>
      <c r="S3" s="2">
        <v>7.0288</v>
      </c>
      <c r="T3" t="s">
        <v>576</v>
      </c>
      <c r="U3" t="s">
        <v>65</v>
      </c>
      <c r="V3" s="2">
        <v>7.001900000000001</v>
      </c>
      <c r="W3" t="s">
        <v>67</v>
      </c>
      <c r="X3" t="s">
        <v>1065</v>
      </c>
      <c r="Y3" t="s">
        <v>1066</v>
      </c>
      <c r="Z3" t="s">
        <v>496</v>
      </c>
      <c r="AA3" s="2">
        <v>50000</v>
      </c>
      <c r="AB3" s="2">
        <v>25</v>
      </c>
      <c r="AC3" s="2">
        <v>50000</v>
      </c>
      <c r="AD3" s="2">
        <v>350095.00000000006</v>
      </c>
      <c r="AE3" t="s">
        <v>68</v>
      </c>
    </row>
    <row r="4" spans="1:31">
      <c r="A4" t="s">
        <v>369</v>
      </c>
      <c r="B4" s="2">
        <v>0.89676</v>
      </c>
      <c r="C4" s="2">
        <v>-467.2941176470631</v>
      </c>
      <c r="D4" t="s">
        <v>1064</v>
      </c>
      <c r="E4" s="2">
        <v>-62.30588235293544</v>
      </c>
      <c r="F4" s="2">
        <v>36400</v>
      </c>
      <c r="G4" s="2">
        <v>36337.694117647065</v>
      </c>
      <c r="H4" t="s">
        <v>65</v>
      </c>
      <c r="I4" t="s">
        <v>370</v>
      </c>
      <c r="J4" s="2">
        <v>0.91</v>
      </c>
      <c r="K4" t="s">
        <v>365</v>
      </c>
      <c r="L4" t="s">
        <v>366</v>
      </c>
      <c r="M4" s="2">
        <v>29</v>
      </c>
      <c r="N4" s="2">
        <v>0.006780000000000008</v>
      </c>
      <c r="O4" s="2">
        <v>0.01324000000000003</v>
      </c>
      <c r="P4" t="s">
        <v>80</v>
      </c>
      <c r="Q4" t="s">
        <v>3</v>
      </c>
      <c r="R4" t="s">
        <v>542</v>
      </c>
      <c r="S4" s="2">
        <v>0.90322</v>
      </c>
      <c r="T4" t="s">
        <v>576</v>
      </c>
      <c r="U4" t="s">
        <v>65</v>
      </c>
      <c r="V4" s="2">
        <v>0.89676</v>
      </c>
      <c r="W4" t="s">
        <v>596</v>
      </c>
      <c r="X4" t="s">
        <v>1065</v>
      </c>
      <c r="Y4" t="s">
        <v>1066</v>
      </c>
      <c r="Z4" t="s">
        <v>496</v>
      </c>
      <c r="AA4" s="2">
        <v>40000</v>
      </c>
      <c r="AB4" s="2">
        <v>29</v>
      </c>
      <c r="AC4" s="2">
        <v>40000</v>
      </c>
      <c r="AD4" s="2">
        <v>35870.4</v>
      </c>
      <c r="AE4" t="s">
        <v>81</v>
      </c>
    </row>
    <row r="5" spans="1:31">
      <c r="A5" t="s">
        <v>371</v>
      </c>
      <c r="B5" s="2">
        <v>7.15</v>
      </c>
      <c r="C5" s="2">
        <v>-3003.5999999999767</v>
      </c>
      <c r="D5" t="s">
        <v>1064</v>
      </c>
      <c r="E5" s="2">
        <v>-1203.5999999999767</v>
      </c>
      <c r="F5" s="2">
        <v>427200</v>
      </c>
      <c r="G5" s="2">
        <v>425996.4</v>
      </c>
      <c r="H5" t="s">
        <v>65</v>
      </c>
      <c r="I5" t="s">
        <v>364</v>
      </c>
      <c r="J5" s="2">
        <v>7.12</v>
      </c>
      <c r="K5" t="s">
        <v>365</v>
      </c>
      <c r="L5" t="s">
        <v>366</v>
      </c>
      <c r="M5" s="2">
        <v>32</v>
      </c>
      <c r="N5" s="2">
        <v>0.09119999999999973</v>
      </c>
      <c r="O5" s="2">
        <v>0.12710000000000043</v>
      </c>
      <c r="P5" t="s">
        <v>95</v>
      </c>
      <c r="Q5" t="s">
        <v>3</v>
      </c>
      <c r="R5" t="s">
        <v>542</v>
      </c>
      <c r="S5" s="2">
        <v>7.0288</v>
      </c>
      <c r="T5" t="s">
        <v>576</v>
      </c>
      <c r="U5" t="s">
        <v>65</v>
      </c>
      <c r="V5" s="2">
        <v>6.9929</v>
      </c>
      <c r="W5" t="s">
        <v>596</v>
      </c>
      <c r="X5" t="s">
        <v>1067</v>
      </c>
      <c r="Y5" t="s">
        <v>1066</v>
      </c>
      <c r="Z5" t="s">
        <v>487</v>
      </c>
      <c r="AA5" s="2">
        <v>60000</v>
      </c>
      <c r="AB5" s="2">
        <v>32</v>
      </c>
      <c r="AC5" s="2">
        <v>-60000</v>
      </c>
      <c r="AD5" s="2">
        <v>429000</v>
      </c>
      <c r="AE5" t="s">
        <v>96</v>
      </c>
    </row>
    <row r="6" spans="1:31">
      <c r="A6" t="s">
        <v>371</v>
      </c>
      <c r="B6" s="2">
        <v>6.984299999999999</v>
      </c>
      <c r="C6" s="2">
        <v>4671.000000000029</v>
      </c>
      <c r="D6" t="s">
        <v>1068</v>
      </c>
      <c r="F6" s="2">
        <v>213600</v>
      </c>
      <c r="G6" s="2">
        <v>209528.99999999997</v>
      </c>
      <c r="H6" t="s">
        <v>54</v>
      </c>
      <c r="I6" t="s">
        <v>364</v>
      </c>
      <c r="P6" t="s">
        <v>111</v>
      </c>
      <c r="Q6" t="s">
        <v>3</v>
      </c>
      <c r="R6" t="s">
        <v>542</v>
      </c>
      <c r="V6" s="2">
        <v>6.984299999999999</v>
      </c>
      <c r="W6" t="s">
        <v>111</v>
      </c>
      <c r="X6" t="s">
        <v>1065</v>
      </c>
      <c r="Y6" t="s">
        <v>1066</v>
      </c>
      <c r="Z6" t="s">
        <v>487</v>
      </c>
      <c r="AA6" s="2">
        <v>30000</v>
      </c>
      <c r="AB6" s="2">
        <v>34</v>
      </c>
      <c r="AC6" s="2">
        <v>30000</v>
      </c>
      <c r="AD6" s="2">
        <v>209528.99999999997</v>
      </c>
      <c r="AE6" t="s">
        <v>112</v>
      </c>
    </row>
    <row r="7" spans="1:31">
      <c r="A7" t="s">
        <v>363</v>
      </c>
      <c r="B7" s="2">
        <v>6.9457</v>
      </c>
      <c r="C7" s="2">
        <v>2037.1999999999534</v>
      </c>
      <c r="D7" t="s">
        <v>1064</v>
      </c>
      <c r="E7" s="2">
        <v>-15392.800000000047</v>
      </c>
      <c r="F7" s="2">
        <v>712000</v>
      </c>
      <c r="G7" s="2">
        <v>696607.2</v>
      </c>
      <c r="H7" t="s">
        <v>65</v>
      </c>
      <c r="I7" t="s">
        <v>364</v>
      </c>
      <c r="J7" s="2">
        <v>7.12</v>
      </c>
      <c r="K7" t="s">
        <v>365</v>
      </c>
      <c r="L7" t="s">
        <v>366</v>
      </c>
      <c r="M7" s="2">
        <v>60</v>
      </c>
      <c r="N7" s="2">
        <v>0.15220000000000056</v>
      </c>
      <c r="O7" s="2">
        <v>0.17429999999999968</v>
      </c>
      <c r="P7" t="s">
        <v>123</v>
      </c>
      <c r="Q7" t="s">
        <v>3</v>
      </c>
      <c r="R7" t="s">
        <v>542</v>
      </c>
      <c r="S7" s="2">
        <v>6.9677999999999995</v>
      </c>
      <c r="T7" t="s">
        <v>600</v>
      </c>
      <c r="U7" t="s">
        <v>65</v>
      </c>
      <c r="V7" s="2">
        <v>6.9457</v>
      </c>
      <c r="W7" t="s">
        <v>123</v>
      </c>
      <c r="X7" t="s">
        <v>1065</v>
      </c>
      <c r="Y7" t="s">
        <v>1066</v>
      </c>
      <c r="Z7" t="s">
        <v>489</v>
      </c>
      <c r="AA7" s="2">
        <v>100000</v>
      </c>
      <c r="AB7" s="2">
        <v>60</v>
      </c>
      <c r="AC7" s="2">
        <v>-100000</v>
      </c>
      <c r="AD7" s="2">
        <v>694570</v>
      </c>
      <c r="AE7" t="s">
        <v>124</v>
      </c>
    </row>
    <row r="8" spans="1:31">
      <c r="A8" t="s">
        <v>372</v>
      </c>
      <c r="B8" s="2">
        <v>7.85</v>
      </c>
      <c r="C8" s="2">
        <v>11860.00000000003</v>
      </c>
      <c r="D8" t="s">
        <v>1064</v>
      </c>
      <c r="E8" s="2">
        <v>12360.00000000003</v>
      </c>
      <c r="F8" s="2">
        <v>195750</v>
      </c>
      <c r="G8" s="2">
        <v>208110.00000000003</v>
      </c>
      <c r="H8" t="s">
        <v>65</v>
      </c>
      <c r="I8" t="s">
        <v>373</v>
      </c>
      <c r="J8" s="2">
        <v>7.83</v>
      </c>
      <c r="K8" t="s">
        <v>365</v>
      </c>
      <c r="L8" t="s">
        <v>366</v>
      </c>
      <c r="M8" s="2">
        <v>69</v>
      </c>
      <c r="N8" s="2">
        <v>-0.4944000000000006</v>
      </c>
      <c r="O8" s="2">
        <v>-0.38949999999999996</v>
      </c>
      <c r="P8" t="s">
        <v>130</v>
      </c>
      <c r="Q8" t="s">
        <v>3</v>
      </c>
      <c r="R8" t="s">
        <v>542</v>
      </c>
      <c r="S8" s="2">
        <v>8.3244</v>
      </c>
      <c r="T8" t="s">
        <v>600</v>
      </c>
      <c r="U8" t="s">
        <v>65</v>
      </c>
      <c r="V8" s="2">
        <v>8.2195</v>
      </c>
      <c r="W8" t="s">
        <v>612</v>
      </c>
      <c r="X8" t="s">
        <v>1067</v>
      </c>
      <c r="Y8" t="s">
        <v>1066</v>
      </c>
      <c r="Z8" t="s">
        <v>489</v>
      </c>
      <c r="AA8" s="2">
        <v>25000</v>
      </c>
      <c r="AB8" s="2">
        <v>69</v>
      </c>
      <c r="AC8" s="2">
        <v>-25000</v>
      </c>
      <c r="AD8" s="2">
        <v>196250</v>
      </c>
      <c r="AE8" t="s">
        <v>131</v>
      </c>
    </row>
    <row r="9" spans="1:31">
      <c r="A9" t="s">
        <v>368</v>
      </c>
      <c r="B9" s="2">
        <v>6.9398</v>
      </c>
      <c r="C9" s="2">
        <v>-693.913043478271</v>
      </c>
      <c r="D9" t="s">
        <v>1064</v>
      </c>
      <c r="E9" s="2">
        <v>-4712.086956521729</v>
      </c>
      <c r="F9" s="2">
        <v>213600</v>
      </c>
      <c r="G9" s="2">
        <v>208887.91304347827</v>
      </c>
      <c r="H9" t="s">
        <v>65</v>
      </c>
      <c r="I9" t="s">
        <v>364</v>
      </c>
      <c r="J9" s="2">
        <v>7.12</v>
      </c>
      <c r="K9" t="s">
        <v>365</v>
      </c>
      <c r="L9" t="s">
        <v>366</v>
      </c>
      <c r="M9" s="2">
        <v>76</v>
      </c>
      <c r="N9" s="2">
        <v>0.15220000000000056</v>
      </c>
      <c r="O9" s="2">
        <v>0.18020000000000014</v>
      </c>
      <c r="P9" t="s">
        <v>145</v>
      </c>
      <c r="Q9" t="s">
        <v>3</v>
      </c>
      <c r="R9" t="s">
        <v>542</v>
      </c>
      <c r="S9" s="2">
        <v>6.9677999999999995</v>
      </c>
      <c r="T9" t="s">
        <v>600</v>
      </c>
      <c r="U9" t="s">
        <v>65</v>
      </c>
      <c r="V9" s="2">
        <v>6.9398</v>
      </c>
      <c r="W9" t="s">
        <v>612</v>
      </c>
      <c r="X9" t="s">
        <v>1065</v>
      </c>
      <c r="Y9" t="s">
        <v>1066</v>
      </c>
      <c r="Z9" t="s">
        <v>496</v>
      </c>
      <c r="AA9" s="2">
        <v>30000</v>
      </c>
      <c r="AB9" s="2">
        <v>76</v>
      </c>
      <c r="AC9" s="2">
        <v>30000</v>
      </c>
      <c r="AD9" s="2">
        <v>208194</v>
      </c>
      <c r="AE9" t="s">
        <v>146</v>
      </c>
    </row>
    <row r="10" spans="1:31">
      <c r="A10" t="s">
        <v>369</v>
      </c>
      <c r="B10" s="2">
        <v>0.8877299999999999</v>
      </c>
      <c r="C10" s="2">
        <v>-133.74545454545296</v>
      </c>
      <c r="D10" t="s">
        <v>1064</v>
      </c>
      <c r="E10" s="2">
        <v>-534.3545454545492</v>
      </c>
      <c r="F10" s="2">
        <v>27300</v>
      </c>
      <c r="G10" s="2">
        <v>26765.64545454545</v>
      </c>
      <c r="H10" t="s">
        <v>65</v>
      </c>
      <c r="I10" t="s">
        <v>370</v>
      </c>
      <c r="J10" s="2">
        <v>0.91</v>
      </c>
      <c r="K10" t="s">
        <v>365</v>
      </c>
      <c r="L10" t="s">
        <v>366</v>
      </c>
      <c r="M10" s="2">
        <v>80</v>
      </c>
      <c r="N10" s="2">
        <v>0.017380000000000062</v>
      </c>
      <c r="O10" s="2">
        <v>0.022270000000000123</v>
      </c>
      <c r="P10" t="s">
        <v>150</v>
      </c>
      <c r="Q10" t="s">
        <v>3</v>
      </c>
      <c r="R10" t="s">
        <v>542</v>
      </c>
      <c r="S10" s="2">
        <v>0.89262</v>
      </c>
      <c r="T10" t="s">
        <v>600</v>
      </c>
      <c r="U10" t="s">
        <v>65</v>
      </c>
      <c r="V10" s="2">
        <v>0.8877299999999999</v>
      </c>
      <c r="W10" t="s">
        <v>150</v>
      </c>
      <c r="X10" t="s">
        <v>1065</v>
      </c>
      <c r="Y10" t="s">
        <v>1066</v>
      </c>
      <c r="Z10" t="s">
        <v>496</v>
      </c>
      <c r="AA10" s="2">
        <v>30000</v>
      </c>
      <c r="AB10" s="2">
        <v>80</v>
      </c>
      <c r="AC10" s="2">
        <v>30000</v>
      </c>
      <c r="AD10" s="2">
        <v>26631.899999999998</v>
      </c>
      <c r="AE10" t="s">
        <v>151</v>
      </c>
    </row>
    <row r="11" spans="1:31">
      <c r="A11" t="s">
        <v>371</v>
      </c>
      <c r="B11" s="2">
        <v>7.14</v>
      </c>
      <c r="C11" s="2">
        <v>-7073.466666666674</v>
      </c>
      <c r="D11" t="s">
        <v>1064</v>
      </c>
      <c r="E11" s="2">
        <v>-6273.466666666674</v>
      </c>
      <c r="F11" s="2">
        <v>284800</v>
      </c>
      <c r="G11" s="2">
        <v>278526.5333333333</v>
      </c>
      <c r="H11" t="s">
        <v>65</v>
      </c>
      <c r="I11" t="s">
        <v>364</v>
      </c>
      <c r="J11" s="2">
        <v>7.12</v>
      </c>
      <c r="K11" t="s">
        <v>365</v>
      </c>
      <c r="L11" t="s">
        <v>366</v>
      </c>
      <c r="M11" s="2">
        <v>83</v>
      </c>
      <c r="N11" s="2">
        <v>0.15220000000000056</v>
      </c>
      <c r="O11" s="2">
        <v>0.18789999999999996</v>
      </c>
      <c r="P11" t="s">
        <v>156</v>
      </c>
      <c r="Q11" t="s">
        <v>3</v>
      </c>
      <c r="R11" t="s">
        <v>542</v>
      </c>
      <c r="S11" s="2">
        <v>6.9677999999999995</v>
      </c>
      <c r="T11" t="s">
        <v>600</v>
      </c>
      <c r="U11" t="s">
        <v>65</v>
      </c>
      <c r="V11" s="2">
        <v>6.9321</v>
      </c>
      <c r="W11" t="s">
        <v>156</v>
      </c>
      <c r="X11" t="s">
        <v>1067</v>
      </c>
      <c r="Y11" t="s">
        <v>1066</v>
      </c>
      <c r="Z11" t="s">
        <v>487</v>
      </c>
      <c r="AA11" s="2">
        <v>40000</v>
      </c>
      <c r="AB11" s="2">
        <v>83</v>
      </c>
      <c r="AC11" s="2">
        <v>-40000</v>
      </c>
      <c r="AD11" s="2">
        <v>285600</v>
      </c>
      <c r="AE11" t="s">
        <v>157</v>
      </c>
    </row>
    <row r="12" spans="1:31">
      <c r="A12" t="s">
        <v>363</v>
      </c>
      <c r="B12" s="2">
        <v>6.8959</v>
      </c>
      <c r="C12" s="2">
        <v>2372.8000000000466</v>
      </c>
      <c r="D12" t="s">
        <v>1064</v>
      </c>
      <c r="E12" s="2">
        <v>-24519.199999999953</v>
      </c>
      <c r="F12" s="2">
        <v>854400</v>
      </c>
      <c r="G12" s="2">
        <v>829880.8</v>
      </c>
      <c r="H12" t="s">
        <v>65</v>
      </c>
      <c r="I12" t="s">
        <v>364</v>
      </c>
      <c r="J12" s="2">
        <v>7.12</v>
      </c>
      <c r="K12" t="s">
        <v>365</v>
      </c>
      <c r="L12" t="s">
        <v>366</v>
      </c>
      <c r="M12" s="2">
        <v>109</v>
      </c>
      <c r="N12" s="2">
        <v>0.19720000000000049</v>
      </c>
      <c r="O12" s="2">
        <v>0.22409999999999997</v>
      </c>
      <c r="P12" t="s">
        <v>166</v>
      </c>
      <c r="Q12" t="s">
        <v>3</v>
      </c>
      <c r="R12" t="s">
        <v>542</v>
      </c>
      <c r="S12" s="2">
        <v>6.9228</v>
      </c>
      <c r="T12" t="s">
        <v>622</v>
      </c>
      <c r="U12" t="s">
        <v>65</v>
      </c>
      <c r="V12" s="2">
        <v>6.8959</v>
      </c>
      <c r="W12" t="s">
        <v>166</v>
      </c>
      <c r="X12" t="s">
        <v>1065</v>
      </c>
      <c r="Y12" t="s">
        <v>1066</v>
      </c>
      <c r="Z12" t="s">
        <v>489</v>
      </c>
      <c r="AA12" s="2">
        <v>120000</v>
      </c>
      <c r="AB12" s="2">
        <v>109</v>
      </c>
      <c r="AC12" s="2">
        <v>-120000</v>
      </c>
      <c r="AD12" s="2">
        <v>827508</v>
      </c>
      <c r="AE12" t="s">
        <v>167</v>
      </c>
    </row>
    <row r="13" spans="1:31">
      <c r="A13" t="s">
        <v>368</v>
      </c>
      <c r="B13" s="2">
        <v>6.8898</v>
      </c>
      <c r="C13" s="2">
        <v>-1281.9230769230635</v>
      </c>
      <c r="D13" t="s">
        <v>1064</v>
      </c>
      <c r="E13" s="2">
        <v>-10228.076923076937</v>
      </c>
      <c r="F13" s="2">
        <v>356000</v>
      </c>
      <c r="G13" s="2">
        <v>345771.92307692306</v>
      </c>
      <c r="H13" t="s">
        <v>65</v>
      </c>
      <c r="I13" t="s">
        <v>364</v>
      </c>
      <c r="J13" s="2">
        <v>7.12</v>
      </c>
      <c r="K13" t="s">
        <v>365</v>
      </c>
      <c r="L13" t="s">
        <v>366</v>
      </c>
      <c r="M13" s="2">
        <v>127</v>
      </c>
      <c r="N13" s="2">
        <v>0.19720000000000049</v>
      </c>
      <c r="O13" s="2">
        <v>0.23019999999999996</v>
      </c>
      <c r="P13" t="s">
        <v>191</v>
      </c>
      <c r="Q13" t="s">
        <v>3</v>
      </c>
      <c r="R13" t="s">
        <v>542</v>
      </c>
      <c r="S13" s="2">
        <v>6.9228</v>
      </c>
      <c r="T13" t="s">
        <v>622</v>
      </c>
      <c r="U13" t="s">
        <v>65</v>
      </c>
      <c r="V13" s="2">
        <v>6.8898</v>
      </c>
      <c r="W13" t="s">
        <v>640</v>
      </c>
      <c r="X13" t="s">
        <v>1065</v>
      </c>
      <c r="Y13" t="s">
        <v>1066</v>
      </c>
      <c r="Z13" t="s">
        <v>496</v>
      </c>
      <c r="AA13" s="2">
        <v>50000</v>
      </c>
      <c r="AB13" s="2">
        <v>127</v>
      </c>
      <c r="AC13" s="2">
        <v>50000</v>
      </c>
      <c r="AD13" s="2">
        <v>344490</v>
      </c>
      <c r="AE13" t="s">
        <v>192</v>
      </c>
    </row>
    <row r="14" spans="1:31">
      <c r="A14" t="s">
        <v>369</v>
      </c>
      <c r="B14" s="2">
        <v>0.88015</v>
      </c>
      <c r="C14" s="2">
        <v>-170.18823529411748</v>
      </c>
      <c r="D14" t="s">
        <v>1064</v>
      </c>
      <c r="E14" s="2">
        <v>-1023.8117647058825</v>
      </c>
      <c r="F14" s="2">
        <v>36400</v>
      </c>
      <c r="G14" s="2">
        <v>35376.18823529412</v>
      </c>
      <c r="H14" t="s">
        <v>65</v>
      </c>
      <c r="I14" t="s">
        <v>370</v>
      </c>
      <c r="J14" s="2">
        <v>0.91</v>
      </c>
      <c r="K14" t="s">
        <v>365</v>
      </c>
      <c r="L14" t="s">
        <v>366</v>
      </c>
      <c r="M14" s="2">
        <v>131</v>
      </c>
      <c r="N14" s="2">
        <v>0.02516000000000007</v>
      </c>
      <c r="O14" s="2">
        <v>0.029850000000000043</v>
      </c>
      <c r="P14" t="s">
        <v>196</v>
      </c>
      <c r="Q14" t="s">
        <v>3</v>
      </c>
      <c r="R14" t="s">
        <v>542</v>
      </c>
      <c r="S14" s="2">
        <v>0.88484</v>
      </c>
      <c r="T14" t="s">
        <v>622</v>
      </c>
      <c r="U14" t="s">
        <v>65</v>
      </c>
      <c r="V14" s="2">
        <v>0.88015</v>
      </c>
      <c r="W14" t="s">
        <v>196</v>
      </c>
      <c r="X14" t="s">
        <v>1065</v>
      </c>
      <c r="Y14" t="s">
        <v>1066</v>
      </c>
      <c r="Z14" t="s">
        <v>496</v>
      </c>
      <c r="AA14" s="2">
        <v>40000</v>
      </c>
      <c r="AB14" s="2">
        <v>131</v>
      </c>
      <c r="AC14" s="2">
        <v>40000</v>
      </c>
      <c r="AD14" s="2">
        <v>35206</v>
      </c>
      <c r="AE14" t="s">
        <v>197</v>
      </c>
    </row>
    <row r="15" spans="1:31">
      <c r="A15" t="s">
        <v>371</v>
      </c>
      <c r="B15" s="2">
        <v>7.15</v>
      </c>
      <c r="C15" s="2">
        <v>-13918.909090909117</v>
      </c>
      <c r="D15" t="s">
        <v>1064</v>
      </c>
      <c r="E15" s="2">
        <v>-12118.909090909117</v>
      </c>
      <c r="F15" s="2">
        <v>427200</v>
      </c>
      <c r="G15" s="2">
        <v>415081.0909090909</v>
      </c>
      <c r="H15" t="s">
        <v>65</v>
      </c>
      <c r="I15" t="s">
        <v>364</v>
      </c>
      <c r="J15" s="2">
        <v>7.12</v>
      </c>
      <c r="K15" t="s">
        <v>365</v>
      </c>
      <c r="L15" t="s">
        <v>366</v>
      </c>
      <c r="M15" s="2">
        <v>134</v>
      </c>
      <c r="N15" s="2">
        <v>0.19720000000000049</v>
      </c>
      <c r="O15" s="2">
        <v>0.22890000000000033</v>
      </c>
      <c r="P15" t="s">
        <v>201</v>
      </c>
      <c r="Q15" t="s">
        <v>3</v>
      </c>
      <c r="R15" t="s">
        <v>542</v>
      </c>
      <c r="S15" s="2">
        <v>6.9228</v>
      </c>
      <c r="T15" t="s">
        <v>622</v>
      </c>
      <c r="U15" t="s">
        <v>65</v>
      </c>
      <c r="V15" s="2">
        <v>6.8911</v>
      </c>
      <c r="W15" t="s">
        <v>201</v>
      </c>
      <c r="X15" t="s">
        <v>1067</v>
      </c>
      <c r="Y15" t="s">
        <v>1066</v>
      </c>
      <c r="Z15" t="s">
        <v>487</v>
      </c>
      <c r="AA15" s="2">
        <v>60000</v>
      </c>
      <c r="AB15" s="2">
        <v>134</v>
      </c>
      <c r="AC15" s="2">
        <v>-60000</v>
      </c>
      <c r="AD15" s="2">
        <v>429000</v>
      </c>
      <c r="AE15" t="s">
        <v>202</v>
      </c>
    </row>
    <row r="16" spans="1:31">
      <c r="A16" t="s">
        <v>371</v>
      </c>
      <c r="B16" s="2">
        <v>6.9056</v>
      </c>
      <c r="C16" s="2">
        <v>7032</v>
      </c>
      <c r="D16" t="s">
        <v>1068</v>
      </c>
      <c r="F16" s="2">
        <v>213600</v>
      </c>
      <c r="G16" s="2">
        <v>207168</v>
      </c>
      <c r="H16" t="s">
        <v>54</v>
      </c>
      <c r="I16" t="s">
        <v>364</v>
      </c>
      <c r="P16" t="s">
        <v>207</v>
      </c>
      <c r="Q16" t="s">
        <v>3</v>
      </c>
      <c r="R16" t="s">
        <v>542</v>
      </c>
      <c r="V16" s="2">
        <v>6.9056</v>
      </c>
      <c r="W16" t="s">
        <v>207</v>
      </c>
      <c r="X16" t="s">
        <v>1065</v>
      </c>
      <c r="Y16" t="s">
        <v>1066</v>
      </c>
      <c r="Z16" t="s">
        <v>487</v>
      </c>
      <c r="AA16" s="2">
        <v>30000</v>
      </c>
      <c r="AB16" s="2">
        <v>136</v>
      </c>
      <c r="AC16" s="2">
        <v>30000</v>
      </c>
      <c r="AD16" s="2">
        <v>207168</v>
      </c>
      <c r="AE16" t="s">
        <v>208</v>
      </c>
    </row>
    <row r="17" spans="1:31">
      <c r="A17" t="s">
        <v>363</v>
      </c>
      <c r="B17" s="2">
        <v>6.865399999999999</v>
      </c>
      <c r="C17" s="2">
        <v>7307.428571428638</v>
      </c>
      <c r="D17" t="s">
        <v>1064</v>
      </c>
      <c r="E17" s="2">
        <v>-33428.57142857136</v>
      </c>
      <c r="F17" s="2">
        <v>1139200</v>
      </c>
      <c r="G17" s="2">
        <v>1105771.4285714286</v>
      </c>
      <c r="H17" t="s">
        <v>65</v>
      </c>
      <c r="I17" t="s">
        <v>364</v>
      </c>
      <c r="J17" s="2">
        <v>7.12</v>
      </c>
      <c r="K17" t="s">
        <v>365</v>
      </c>
      <c r="L17" t="s">
        <v>366</v>
      </c>
      <c r="M17" s="2">
        <v>161</v>
      </c>
      <c r="N17" s="2">
        <v>0.20059999999999967</v>
      </c>
      <c r="O17" s="2">
        <v>0.2546000000000008</v>
      </c>
      <c r="P17" t="s">
        <v>214</v>
      </c>
      <c r="Q17" t="s">
        <v>3</v>
      </c>
      <c r="R17" t="s">
        <v>542</v>
      </c>
      <c r="S17" s="2">
        <v>6.9194</v>
      </c>
      <c r="T17" t="s">
        <v>380</v>
      </c>
      <c r="U17" t="s">
        <v>65</v>
      </c>
      <c r="V17" s="2">
        <v>6.865399999999999</v>
      </c>
      <c r="W17" t="s">
        <v>656</v>
      </c>
      <c r="X17" t="s">
        <v>1065</v>
      </c>
      <c r="Y17" t="s">
        <v>1066</v>
      </c>
      <c r="Z17" t="s">
        <v>489</v>
      </c>
      <c r="AA17" s="2">
        <v>160000</v>
      </c>
      <c r="AB17" s="2">
        <v>161</v>
      </c>
      <c r="AC17" s="2">
        <v>-160000</v>
      </c>
      <c r="AD17" s="2">
        <v>1098464</v>
      </c>
      <c r="AE17" t="s">
        <v>215</v>
      </c>
    </row>
    <row r="18" spans="1:31">
      <c r="A18" t="s">
        <v>372</v>
      </c>
      <c r="B18" s="2">
        <v>7.87</v>
      </c>
      <c r="C18" s="2">
        <v>1505</v>
      </c>
      <c r="D18" t="s">
        <v>1064</v>
      </c>
      <c r="E18" s="2">
        <v>2505</v>
      </c>
      <c r="F18" s="2">
        <v>195750</v>
      </c>
      <c r="G18" s="2">
        <v>198255</v>
      </c>
      <c r="H18" t="s">
        <v>65</v>
      </c>
      <c r="I18" t="s">
        <v>373</v>
      </c>
      <c r="J18" s="2">
        <v>7.83</v>
      </c>
      <c r="K18" t="s">
        <v>365</v>
      </c>
      <c r="L18" t="s">
        <v>366</v>
      </c>
      <c r="M18" s="2">
        <v>170</v>
      </c>
      <c r="N18" s="2">
        <v>-0.10020000000000007</v>
      </c>
      <c r="O18" s="2">
        <v>-0.23179999999999978</v>
      </c>
      <c r="P18" t="s">
        <v>222</v>
      </c>
      <c r="Q18" t="s">
        <v>3</v>
      </c>
      <c r="R18" t="s">
        <v>542</v>
      </c>
      <c r="S18" s="2">
        <v>7.9302</v>
      </c>
      <c r="T18" t="s">
        <v>380</v>
      </c>
      <c r="U18" t="s">
        <v>65</v>
      </c>
      <c r="V18" s="2">
        <v>8.0618</v>
      </c>
      <c r="W18" t="s">
        <v>222</v>
      </c>
      <c r="X18" t="s">
        <v>1067</v>
      </c>
      <c r="Y18" t="s">
        <v>1066</v>
      </c>
      <c r="Z18" t="s">
        <v>489</v>
      </c>
      <c r="AA18" s="2">
        <v>25000</v>
      </c>
      <c r="AB18" s="2">
        <v>170</v>
      </c>
      <c r="AC18" s="2">
        <v>-25000</v>
      </c>
      <c r="AD18" s="2">
        <v>196750</v>
      </c>
      <c r="AE18" t="s">
        <v>223</v>
      </c>
    </row>
    <row r="19" spans="1:31">
      <c r="A19" t="s">
        <v>368</v>
      </c>
      <c r="B19" s="2">
        <v>6.8635</v>
      </c>
      <c r="C19" s="2">
        <v>-2159.444444444438</v>
      </c>
      <c r="D19" t="s">
        <v>1064</v>
      </c>
      <c r="E19" s="2">
        <v>-10665.555555555562</v>
      </c>
      <c r="F19" s="2">
        <v>356000</v>
      </c>
      <c r="G19" s="2">
        <v>345334.44444444444</v>
      </c>
      <c r="H19" t="s">
        <v>65</v>
      </c>
      <c r="I19" t="s">
        <v>364</v>
      </c>
      <c r="J19" s="2">
        <v>7.12</v>
      </c>
      <c r="K19" t="s">
        <v>365</v>
      </c>
      <c r="L19" t="s">
        <v>366</v>
      </c>
      <c r="M19" s="2">
        <v>177</v>
      </c>
      <c r="N19" s="2">
        <v>0.20059999999999967</v>
      </c>
      <c r="O19" s="2">
        <v>0.25649999999999995</v>
      </c>
      <c r="P19" t="s">
        <v>230</v>
      </c>
      <c r="Q19" t="s">
        <v>3</v>
      </c>
      <c r="R19" t="s">
        <v>542</v>
      </c>
      <c r="S19" s="2">
        <v>6.9194</v>
      </c>
      <c r="T19" t="s">
        <v>380</v>
      </c>
      <c r="U19" t="s">
        <v>65</v>
      </c>
      <c r="V19" s="2">
        <v>6.8635</v>
      </c>
      <c r="W19" t="s">
        <v>230</v>
      </c>
      <c r="X19" t="s">
        <v>1065</v>
      </c>
      <c r="Y19" t="s">
        <v>1066</v>
      </c>
      <c r="Z19" t="s">
        <v>496</v>
      </c>
      <c r="AA19" s="2">
        <v>50000</v>
      </c>
      <c r="AB19" s="2">
        <v>177</v>
      </c>
      <c r="AC19" s="2">
        <v>50000</v>
      </c>
      <c r="AD19" s="2">
        <v>343175</v>
      </c>
      <c r="AE19" t="s">
        <v>231</v>
      </c>
    </row>
    <row r="20" spans="1:31">
      <c r="A20" t="s">
        <v>369</v>
      </c>
      <c r="B20" s="2">
        <v>0.87666</v>
      </c>
      <c r="C20" s="2">
        <v>-221.15294117647136</v>
      </c>
      <c r="D20" t="s">
        <v>1064</v>
      </c>
      <c r="E20" s="2">
        <v>-1112.4470588235272</v>
      </c>
      <c r="F20" s="2">
        <v>36400</v>
      </c>
      <c r="G20" s="2">
        <v>35287.55294117647</v>
      </c>
      <c r="H20" t="s">
        <v>65</v>
      </c>
      <c r="I20" t="s">
        <v>370</v>
      </c>
      <c r="J20" s="2">
        <v>0.91</v>
      </c>
      <c r="K20" t="s">
        <v>365</v>
      </c>
      <c r="L20" t="s">
        <v>366</v>
      </c>
      <c r="M20" s="2">
        <v>181</v>
      </c>
      <c r="N20" s="2">
        <v>0.02705000000000002</v>
      </c>
      <c r="O20" s="2">
        <v>0.033340000000000036</v>
      </c>
      <c r="P20" t="s">
        <v>236</v>
      </c>
      <c r="Q20" t="s">
        <v>3</v>
      </c>
      <c r="R20" t="s">
        <v>542</v>
      </c>
      <c r="S20" s="2">
        <v>0.88295</v>
      </c>
      <c r="T20" t="s">
        <v>380</v>
      </c>
      <c r="U20" t="s">
        <v>65</v>
      </c>
      <c r="V20" s="2">
        <v>0.87666</v>
      </c>
      <c r="W20" t="s">
        <v>236</v>
      </c>
      <c r="X20" t="s">
        <v>1065</v>
      </c>
      <c r="Y20" t="s">
        <v>1066</v>
      </c>
      <c r="Z20" t="s">
        <v>496</v>
      </c>
      <c r="AA20" s="2">
        <v>40000</v>
      </c>
      <c r="AB20" s="2">
        <v>181</v>
      </c>
      <c r="AC20" s="2">
        <v>40000</v>
      </c>
      <c r="AD20" s="2">
        <v>35066.4</v>
      </c>
      <c r="AE20" t="s">
        <v>237</v>
      </c>
    </row>
    <row r="21" spans="1:31">
      <c r="A21" t="s">
        <v>371</v>
      </c>
      <c r="B21" s="2">
        <v>7.16</v>
      </c>
      <c r="C21" s="2">
        <v>-15291.365853658528</v>
      </c>
      <c r="D21" t="s">
        <v>1064</v>
      </c>
      <c r="E21" s="2">
        <v>-12891.365853658528</v>
      </c>
      <c r="F21" s="2">
        <v>427200</v>
      </c>
      <c r="G21" s="2">
        <v>414308.6341463415</v>
      </c>
      <c r="H21" t="s">
        <v>65</v>
      </c>
      <c r="I21" t="s">
        <v>364</v>
      </c>
      <c r="J21" s="2">
        <v>7.12</v>
      </c>
      <c r="K21" t="s">
        <v>365</v>
      </c>
      <c r="L21" t="s">
        <v>366</v>
      </c>
      <c r="M21" s="2">
        <v>184</v>
      </c>
      <c r="N21" s="2">
        <v>0.20059999999999967</v>
      </c>
      <c r="O21" s="2">
        <v>0.25260000000000016</v>
      </c>
      <c r="P21" t="s">
        <v>241</v>
      </c>
      <c r="Q21" t="s">
        <v>3</v>
      </c>
      <c r="R21" t="s">
        <v>542</v>
      </c>
      <c r="S21" s="2">
        <v>6.9194</v>
      </c>
      <c r="T21" t="s">
        <v>380</v>
      </c>
      <c r="U21" t="s">
        <v>65</v>
      </c>
      <c r="V21" s="2">
        <v>6.8674</v>
      </c>
      <c r="W21" t="s">
        <v>236</v>
      </c>
      <c r="X21" t="s">
        <v>1067</v>
      </c>
      <c r="Y21" t="s">
        <v>1066</v>
      </c>
      <c r="Z21" t="s">
        <v>487</v>
      </c>
      <c r="AA21" s="2">
        <v>60000</v>
      </c>
      <c r="AB21" s="2">
        <v>184</v>
      </c>
      <c r="AC21" s="2">
        <v>-60000</v>
      </c>
      <c r="AD21" s="2">
        <v>429600</v>
      </c>
      <c r="AE21" t="s">
        <v>242</v>
      </c>
    </row>
    <row r="22" spans="1:31">
      <c r="A22" t="s">
        <v>371</v>
      </c>
      <c r="B22" s="2">
        <v>6.8674</v>
      </c>
      <c r="C22" s="2">
        <v>8478</v>
      </c>
      <c r="D22" t="s">
        <v>1068</v>
      </c>
      <c r="F22" s="2">
        <v>213600</v>
      </c>
      <c r="G22" s="2">
        <v>206022</v>
      </c>
      <c r="H22" t="s">
        <v>54</v>
      </c>
      <c r="I22" t="s">
        <v>364</v>
      </c>
      <c r="P22" t="s">
        <v>251</v>
      </c>
      <c r="Q22" t="s">
        <v>3</v>
      </c>
      <c r="R22" t="s">
        <v>542</v>
      </c>
      <c r="V22" s="2">
        <v>6.8674</v>
      </c>
      <c r="W22" t="s">
        <v>236</v>
      </c>
      <c r="X22" t="s">
        <v>1065</v>
      </c>
      <c r="Y22" t="s">
        <v>1066</v>
      </c>
      <c r="Z22" t="s">
        <v>487</v>
      </c>
      <c r="AA22" s="2">
        <v>30000</v>
      </c>
      <c r="AB22" s="2">
        <v>186</v>
      </c>
      <c r="AC22" s="2">
        <v>30000</v>
      </c>
      <c r="AD22" s="2">
        <v>206022</v>
      </c>
      <c r="AE22" t="s">
        <v>252</v>
      </c>
    </row>
    <row r="23" spans="1:31">
      <c r="A23" t="s">
        <v>363</v>
      </c>
      <c r="B23" s="2">
        <v>6.8426</v>
      </c>
      <c r="C23" s="2">
        <v>3232</v>
      </c>
      <c r="D23" t="s">
        <v>1064</v>
      </c>
      <c r="E23" s="2">
        <v>-41152</v>
      </c>
      <c r="F23" s="2">
        <v>1139200</v>
      </c>
      <c r="G23" s="2">
        <v>1098048</v>
      </c>
      <c r="H23" t="s">
        <v>65</v>
      </c>
      <c r="I23" t="s">
        <v>364</v>
      </c>
      <c r="J23" s="2">
        <v>7.12</v>
      </c>
      <c r="K23" t="s">
        <v>365</v>
      </c>
      <c r="L23" t="s">
        <v>366</v>
      </c>
      <c r="M23" s="2">
        <v>208</v>
      </c>
      <c r="N23" s="2">
        <v>0.2572000000000001</v>
      </c>
      <c r="O23" s="2">
        <v>0.2774000000000001</v>
      </c>
      <c r="P23" t="s">
        <v>259</v>
      </c>
      <c r="Q23" t="s">
        <v>3</v>
      </c>
      <c r="R23" t="s">
        <v>542</v>
      </c>
      <c r="S23" s="2">
        <v>6.8628</v>
      </c>
      <c r="T23" t="s">
        <v>381</v>
      </c>
      <c r="U23" t="s">
        <v>65</v>
      </c>
      <c r="V23" s="2">
        <v>6.8426</v>
      </c>
      <c r="W23" t="s">
        <v>259</v>
      </c>
      <c r="X23" t="s">
        <v>1065</v>
      </c>
      <c r="Y23" t="s">
        <v>1066</v>
      </c>
      <c r="Z23" t="s">
        <v>489</v>
      </c>
      <c r="AA23" s="2">
        <v>160000</v>
      </c>
      <c r="AB23" s="2">
        <v>208</v>
      </c>
      <c r="AC23" s="2">
        <v>-160000</v>
      </c>
      <c r="AD23" s="2">
        <v>1094816</v>
      </c>
      <c r="AE23" t="s">
        <v>260</v>
      </c>
    </row>
    <row r="24" spans="1:31">
      <c r="A24" t="s">
        <v>368</v>
      </c>
      <c r="B24" s="2">
        <v>6.8373</v>
      </c>
      <c r="C24" s="2">
        <v>-1250.4827586206957</v>
      </c>
      <c r="D24" t="s">
        <v>1064</v>
      </c>
      <c r="E24" s="2">
        <v>-15711.517241379304</v>
      </c>
      <c r="F24" s="2">
        <v>427200</v>
      </c>
      <c r="G24" s="2">
        <v>411488.4827586207</v>
      </c>
      <c r="H24" t="s">
        <v>65</v>
      </c>
      <c r="I24" t="s">
        <v>364</v>
      </c>
      <c r="J24" s="2">
        <v>7.12</v>
      </c>
      <c r="K24" t="s">
        <v>365</v>
      </c>
      <c r="L24" t="s">
        <v>366</v>
      </c>
      <c r="M24" s="2">
        <v>221</v>
      </c>
      <c r="N24" s="2">
        <v>0.2572000000000001</v>
      </c>
      <c r="O24" s="2">
        <v>0.2827000000000002</v>
      </c>
      <c r="P24" t="s">
        <v>265</v>
      </c>
      <c r="Q24" t="s">
        <v>3</v>
      </c>
      <c r="R24" t="s">
        <v>542</v>
      </c>
      <c r="S24" s="2">
        <v>6.8628</v>
      </c>
      <c r="T24" t="s">
        <v>381</v>
      </c>
      <c r="U24" t="s">
        <v>65</v>
      </c>
      <c r="V24" s="2">
        <v>6.8373</v>
      </c>
      <c r="W24" t="s">
        <v>265</v>
      </c>
      <c r="X24" t="s">
        <v>1065</v>
      </c>
      <c r="Y24" t="s">
        <v>1066</v>
      </c>
      <c r="Z24" t="s">
        <v>496</v>
      </c>
      <c r="AA24" s="2">
        <v>60000</v>
      </c>
      <c r="AB24" s="2">
        <v>221</v>
      </c>
      <c r="AC24" s="2">
        <v>60000</v>
      </c>
      <c r="AD24" s="2">
        <v>410238</v>
      </c>
      <c r="AE24" t="s">
        <v>266</v>
      </c>
    </row>
    <row r="25" spans="1:31">
      <c r="A25" t="s">
        <v>371</v>
      </c>
      <c r="B25" s="2">
        <v>7.15</v>
      </c>
      <c r="C25" s="2">
        <v>-20352.208333333314</v>
      </c>
      <c r="D25" t="s">
        <v>1064</v>
      </c>
      <c r="E25" s="2">
        <v>-18252.208333333314</v>
      </c>
      <c r="F25" s="2">
        <v>498400</v>
      </c>
      <c r="G25" s="2">
        <v>480147.7916666667</v>
      </c>
      <c r="H25" t="s">
        <v>65</v>
      </c>
      <c r="I25" t="s">
        <v>364</v>
      </c>
      <c r="J25" s="2">
        <v>7.12</v>
      </c>
      <c r="K25" t="s">
        <v>365</v>
      </c>
      <c r="L25" t="s">
        <v>366</v>
      </c>
      <c r="M25" s="2">
        <v>224</v>
      </c>
      <c r="N25" s="2">
        <v>0.2572000000000001</v>
      </c>
      <c r="O25" s="2">
        <v>0.2882000000000007</v>
      </c>
      <c r="P25" t="s">
        <v>271</v>
      </c>
      <c r="Q25" t="s">
        <v>3</v>
      </c>
      <c r="R25" t="s">
        <v>542</v>
      </c>
      <c r="S25" s="2">
        <v>6.8628</v>
      </c>
      <c r="T25" t="s">
        <v>381</v>
      </c>
      <c r="U25" t="s">
        <v>65</v>
      </c>
      <c r="V25" s="2">
        <v>6.831799999999999</v>
      </c>
      <c r="W25" t="s">
        <v>271</v>
      </c>
      <c r="X25" t="s">
        <v>1067</v>
      </c>
      <c r="Y25" t="s">
        <v>1066</v>
      </c>
      <c r="Z25" t="s">
        <v>487</v>
      </c>
      <c r="AA25" s="2">
        <v>70000</v>
      </c>
      <c r="AB25" s="2">
        <v>224</v>
      </c>
      <c r="AC25" s="2">
        <v>-70000</v>
      </c>
      <c r="AD25" s="2">
        <v>500500</v>
      </c>
      <c r="AE25" t="s">
        <v>272</v>
      </c>
    </row>
    <row r="26" spans="1:31">
      <c r="A26" t="s">
        <v>371</v>
      </c>
      <c r="B26" s="2">
        <v>6.8288</v>
      </c>
      <c r="C26" s="2">
        <v>9336</v>
      </c>
      <c r="D26" t="s">
        <v>1068</v>
      </c>
      <c r="F26" s="2">
        <v>213600</v>
      </c>
      <c r="G26" s="2">
        <v>204864</v>
      </c>
      <c r="H26" t="s">
        <v>54</v>
      </c>
      <c r="I26" t="s">
        <v>364</v>
      </c>
      <c r="P26" t="s">
        <v>280</v>
      </c>
      <c r="Q26" t="s">
        <v>3</v>
      </c>
      <c r="R26" t="s">
        <v>542</v>
      </c>
      <c r="V26" s="2">
        <v>6.8288</v>
      </c>
      <c r="W26" t="s">
        <v>280</v>
      </c>
      <c r="X26" t="s">
        <v>1065</v>
      </c>
      <c r="Y26" t="s">
        <v>1066</v>
      </c>
      <c r="Z26" t="s">
        <v>487</v>
      </c>
      <c r="AA26" s="2">
        <v>30000</v>
      </c>
      <c r="AB26" s="2">
        <v>226</v>
      </c>
      <c r="AC26" s="2">
        <v>30000</v>
      </c>
      <c r="AD26" s="2">
        <v>204864</v>
      </c>
      <c r="AE26" t="s">
        <v>281</v>
      </c>
    </row>
    <row r="27" spans="1:31">
      <c r="A27" t="s">
        <v>378</v>
      </c>
      <c r="B27" s="2">
        <v>0.87155</v>
      </c>
      <c r="C27" s="2">
        <v>3796</v>
      </c>
      <c r="D27" t="s">
        <v>1068</v>
      </c>
      <c r="F27" s="2">
        <v>72800</v>
      </c>
      <c r="G27" s="2">
        <v>69724</v>
      </c>
      <c r="H27" t="s">
        <v>54</v>
      </c>
      <c r="I27" t="s">
        <v>370</v>
      </c>
      <c r="P27" t="s">
        <v>280</v>
      </c>
      <c r="Q27" t="s">
        <v>3</v>
      </c>
      <c r="R27" t="s">
        <v>542</v>
      </c>
      <c r="V27" s="2">
        <v>0.87155</v>
      </c>
      <c r="W27" t="s">
        <v>280</v>
      </c>
      <c r="X27" t="s">
        <v>1065</v>
      </c>
      <c r="Y27" t="s">
        <v>1066</v>
      </c>
      <c r="Z27" t="s">
        <v>487</v>
      </c>
      <c r="AA27" s="2">
        <v>80000</v>
      </c>
      <c r="AB27" s="2">
        <v>229</v>
      </c>
      <c r="AC27" s="2">
        <v>80000</v>
      </c>
      <c r="AD27" s="2">
        <v>69724</v>
      </c>
      <c r="AE27" t="s">
        <v>287</v>
      </c>
    </row>
    <row r="28" spans="1:31">
      <c r="A28" t="s">
        <v>363</v>
      </c>
      <c r="B28" s="2">
        <v>6.8109</v>
      </c>
      <c r="C28" s="2">
        <v>1093.4430379746482</v>
      </c>
      <c r="D28" t="s">
        <v>1064</v>
      </c>
      <c r="E28" s="2">
        <v>-54544.55696202535</v>
      </c>
      <c r="F28" s="2">
        <v>1281600</v>
      </c>
      <c r="G28" s="2">
        <v>1227055.4430379746</v>
      </c>
      <c r="H28" t="s">
        <v>65</v>
      </c>
      <c r="I28" t="s">
        <v>364</v>
      </c>
      <c r="J28" s="2">
        <v>7.12</v>
      </c>
      <c r="K28" t="s">
        <v>365</v>
      </c>
      <c r="L28" t="s">
        <v>366</v>
      </c>
      <c r="M28" s="2">
        <v>253</v>
      </c>
      <c r="N28" s="2">
        <v>0.30240000000000045</v>
      </c>
      <c r="O28" s="2">
        <v>0.30909999999999993</v>
      </c>
      <c r="P28" t="s">
        <v>297</v>
      </c>
      <c r="Q28" t="s">
        <v>3</v>
      </c>
      <c r="R28" t="s">
        <v>542</v>
      </c>
      <c r="S28" s="2">
        <v>6.8176</v>
      </c>
      <c r="T28" t="s">
        <v>694</v>
      </c>
      <c r="U28" t="s">
        <v>65</v>
      </c>
      <c r="V28" s="2">
        <v>6.8109</v>
      </c>
      <c r="W28" t="s">
        <v>297</v>
      </c>
      <c r="X28" t="s">
        <v>1065</v>
      </c>
      <c r="Y28" t="s">
        <v>1066</v>
      </c>
      <c r="Z28" t="s">
        <v>489</v>
      </c>
      <c r="AA28" s="2">
        <v>180000</v>
      </c>
      <c r="AB28" s="2">
        <v>253</v>
      </c>
      <c r="AC28" s="2">
        <v>-180000</v>
      </c>
      <c r="AD28" s="2">
        <v>1225962</v>
      </c>
      <c r="AE28" t="s">
        <v>298</v>
      </c>
    </row>
    <row r="29" spans="1:31">
      <c r="A29" t="s">
        <v>372</v>
      </c>
      <c r="B29" s="2">
        <v>7.86</v>
      </c>
      <c r="C29" s="2">
        <v>1400</v>
      </c>
      <c r="D29" t="s">
        <v>1064</v>
      </c>
      <c r="E29" s="2">
        <v>2150</v>
      </c>
      <c r="F29" s="2">
        <v>195750</v>
      </c>
      <c r="G29" s="2">
        <v>197900</v>
      </c>
      <c r="H29" t="s">
        <v>65</v>
      </c>
      <c r="I29" t="s">
        <v>373</v>
      </c>
      <c r="J29" s="2">
        <v>7.83</v>
      </c>
      <c r="K29" t="s">
        <v>365</v>
      </c>
      <c r="L29" t="s">
        <v>366</v>
      </c>
      <c r="M29" s="2">
        <v>265</v>
      </c>
      <c r="N29" s="2">
        <v>-0.0860000000000003</v>
      </c>
      <c r="O29" s="2">
        <v>-0.04760000000000009</v>
      </c>
      <c r="P29" t="s">
        <v>310</v>
      </c>
      <c r="Q29" t="s">
        <v>3</v>
      </c>
      <c r="R29" t="s">
        <v>542</v>
      </c>
      <c r="S29" s="2">
        <v>7.916</v>
      </c>
      <c r="T29" t="s">
        <v>694</v>
      </c>
      <c r="U29" t="s">
        <v>65</v>
      </c>
      <c r="V29" s="2">
        <v>7.8776</v>
      </c>
      <c r="W29" t="s">
        <v>310</v>
      </c>
      <c r="X29" t="s">
        <v>1067</v>
      </c>
      <c r="Y29" t="s">
        <v>1066</v>
      </c>
      <c r="Z29" t="s">
        <v>489</v>
      </c>
      <c r="AA29" s="2">
        <v>25000</v>
      </c>
      <c r="AB29" s="2">
        <v>265</v>
      </c>
      <c r="AC29" s="2">
        <v>-25000</v>
      </c>
      <c r="AD29" s="2">
        <v>196500</v>
      </c>
      <c r="AE29" t="s">
        <v>311</v>
      </c>
    </row>
    <row r="30" spans="1:31">
      <c r="A30" t="s">
        <v>368</v>
      </c>
      <c r="B30" s="2">
        <v>6.815</v>
      </c>
      <c r="C30" s="2">
        <v>-91.59999999997672</v>
      </c>
      <c r="D30" t="s">
        <v>1064</v>
      </c>
      <c r="E30" s="2">
        <v>-18208.400000000023</v>
      </c>
      <c r="F30" s="2">
        <v>427200</v>
      </c>
      <c r="G30" s="2">
        <v>408991.6</v>
      </c>
      <c r="H30" t="s">
        <v>65</v>
      </c>
      <c r="I30" t="s">
        <v>364</v>
      </c>
      <c r="J30" s="2">
        <v>7.12</v>
      </c>
      <c r="K30" t="s">
        <v>365</v>
      </c>
      <c r="L30" t="s">
        <v>366</v>
      </c>
      <c r="M30" s="2">
        <v>274</v>
      </c>
      <c r="N30" s="2">
        <v>0.30240000000000045</v>
      </c>
      <c r="O30" s="2">
        <v>0.3049999999999997</v>
      </c>
      <c r="P30" t="s">
        <v>319</v>
      </c>
      <c r="Q30" t="s">
        <v>3</v>
      </c>
      <c r="R30" t="s">
        <v>542</v>
      </c>
      <c r="S30" s="2">
        <v>6.8176</v>
      </c>
      <c r="T30" t="s">
        <v>694</v>
      </c>
      <c r="U30" t="s">
        <v>65</v>
      </c>
      <c r="V30" s="2">
        <v>6.815</v>
      </c>
      <c r="W30" t="s">
        <v>319</v>
      </c>
      <c r="X30" t="s">
        <v>1065</v>
      </c>
      <c r="Y30" t="s">
        <v>1066</v>
      </c>
      <c r="Z30" t="s">
        <v>496</v>
      </c>
      <c r="AA30" s="2">
        <v>60000</v>
      </c>
      <c r="AB30" s="2">
        <v>274</v>
      </c>
      <c r="AC30" s="2">
        <v>60000</v>
      </c>
      <c r="AD30" s="2">
        <v>408900</v>
      </c>
      <c r="AE30" t="s">
        <v>320</v>
      </c>
    </row>
    <row r="31" spans="1:31">
      <c r="A31" t="s">
        <v>369</v>
      </c>
      <c r="B31" s="2">
        <v>0.8697499999999999</v>
      </c>
      <c r="C31" s="2">
        <v>-19.83913043478242</v>
      </c>
      <c r="D31" t="s">
        <v>1064</v>
      </c>
      <c r="E31" s="2">
        <v>-1791.4108695652249</v>
      </c>
      <c r="F31" s="2">
        <v>40950</v>
      </c>
      <c r="G31" s="2">
        <v>39158.589130434775</v>
      </c>
      <c r="H31" t="s">
        <v>65</v>
      </c>
      <c r="I31" t="s">
        <v>370</v>
      </c>
      <c r="J31" s="2">
        <v>0.91</v>
      </c>
      <c r="K31" t="s">
        <v>365</v>
      </c>
      <c r="L31" t="s">
        <v>366</v>
      </c>
      <c r="M31" s="2">
        <v>278</v>
      </c>
      <c r="N31" s="2">
        <v>0.03971000000000002</v>
      </c>
      <c r="O31" s="2">
        <v>0.04025000000000012</v>
      </c>
      <c r="P31" t="s">
        <v>325</v>
      </c>
      <c r="Q31" t="s">
        <v>3</v>
      </c>
      <c r="R31" t="s">
        <v>542</v>
      </c>
      <c r="S31" s="2">
        <v>0.87029</v>
      </c>
      <c r="T31" t="s">
        <v>694</v>
      </c>
      <c r="U31" t="s">
        <v>65</v>
      </c>
      <c r="V31" s="2">
        <v>0.8697499999999999</v>
      </c>
      <c r="W31" t="s">
        <v>325</v>
      </c>
      <c r="X31" t="s">
        <v>1065</v>
      </c>
      <c r="Y31" t="s">
        <v>1066</v>
      </c>
      <c r="Z31" t="s">
        <v>496</v>
      </c>
      <c r="AA31" s="2">
        <v>45000</v>
      </c>
      <c r="AB31" s="2">
        <v>278</v>
      </c>
      <c r="AC31" s="2">
        <v>45000</v>
      </c>
      <c r="AD31" s="2">
        <v>39138.74999999999</v>
      </c>
      <c r="AE31" t="s">
        <v>326</v>
      </c>
    </row>
    <row r="32" spans="1:31">
      <c r="A32" t="s">
        <v>371</v>
      </c>
      <c r="B32" s="2">
        <v>7.17</v>
      </c>
      <c r="C32" s="2">
        <v>-24799.25</v>
      </c>
      <c r="D32" t="s">
        <v>1064</v>
      </c>
      <c r="E32" s="2">
        <v>-21299.25</v>
      </c>
      <c r="F32" s="2">
        <v>498400</v>
      </c>
      <c r="G32" s="2">
        <v>477100.75</v>
      </c>
      <c r="H32" t="s">
        <v>65</v>
      </c>
      <c r="I32" t="s">
        <v>364</v>
      </c>
      <c r="J32" s="2">
        <v>7.12</v>
      </c>
      <c r="K32" t="s">
        <v>365</v>
      </c>
      <c r="L32" t="s">
        <v>366</v>
      </c>
      <c r="M32" s="2">
        <v>281</v>
      </c>
      <c r="N32" s="2">
        <v>0.30240000000000045</v>
      </c>
      <c r="O32" s="2">
        <v>0.29910000000000014</v>
      </c>
      <c r="P32" t="s">
        <v>332</v>
      </c>
      <c r="Q32" t="s">
        <v>3</v>
      </c>
      <c r="R32" t="s">
        <v>542</v>
      </c>
      <c r="S32" s="2">
        <v>6.8176</v>
      </c>
      <c r="T32" t="s">
        <v>694</v>
      </c>
      <c r="U32" t="s">
        <v>65</v>
      </c>
      <c r="V32" s="2">
        <v>6.8209</v>
      </c>
      <c r="W32" t="s">
        <v>332</v>
      </c>
      <c r="X32" t="s">
        <v>1067</v>
      </c>
      <c r="Y32" t="s">
        <v>1066</v>
      </c>
      <c r="Z32" t="s">
        <v>487</v>
      </c>
      <c r="AA32" s="2">
        <v>70000</v>
      </c>
      <c r="AB32" s="2">
        <v>281</v>
      </c>
      <c r="AC32" s="2">
        <v>-70000</v>
      </c>
      <c r="AD32" s="2">
        <v>501900</v>
      </c>
      <c r="AE32" t="s">
        <v>333</v>
      </c>
    </row>
    <row r="33" spans="1:31">
      <c r="A33" t="s">
        <v>371</v>
      </c>
      <c r="B33" s="2">
        <v>6.816599999999999</v>
      </c>
      <c r="C33" s="2">
        <v>10002.00000000003</v>
      </c>
      <c r="D33" t="s">
        <v>1068</v>
      </c>
      <c r="F33" s="2">
        <v>213600</v>
      </c>
      <c r="G33" s="2">
        <v>204497.99999999997</v>
      </c>
      <c r="H33" t="s">
        <v>54</v>
      </c>
      <c r="I33" t="s">
        <v>364</v>
      </c>
      <c r="P33" t="s">
        <v>341</v>
      </c>
      <c r="Q33" t="s">
        <v>3</v>
      </c>
      <c r="R33" t="s">
        <v>542</v>
      </c>
      <c r="V33" s="2">
        <v>6.816599999999999</v>
      </c>
      <c r="W33" t="s">
        <v>341</v>
      </c>
      <c r="X33" t="s">
        <v>1065</v>
      </c>
      <c r="Y33" t="s">
        <v>1066</v>
      </c>
      <c r="Z33" t="s">
        <v>487</v>
      </c>
      <c r="AA33" s="2">
        <v>30000</v>
      </c>
      <c r="AB33" s="2">
        <v>283</v>
      </c>
      <c r="AC33" s="2">
        <v>30000</v>
      </c>
      <c r="AD33" s="2">
        <v>204497.99999999997</v>
      </c>
      <c r="AE33" t="s">
        <v>342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Q2"/>
  <sheetViews>
    <sheetView workbookViewId="0">
      <pane ySplit="1" topLeftCell="A2" activePane="bottomLeft" state="frozen"/>
      <selection pane="bottomLeft"/>
    </sheetView>
  </sheetViews>
  <sheetFormatPr defaultRowHeight="15"/>
  <cols>
    <col min="1" max="43" width="24.7109375" customWidth="1"/>
  </cols>
  <sheetData>
    <row r="1" spans="1:43">
      <c r="A1" s="1" t="s">
        <v>392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398</v>
      </c>
      <c r="G1" s="1" t="s">
        <v>399</v>
      </c>
      <c r="H1" s="1" t="s">
        <v>400</v>
      </c>
      <c r="I1" s="1" t="s">
        <v>401</v>
      </c>
      <c r="J1" s="1" t="s">
        <v>402</v>
      </c>
      <c r="K1" s="1" t="s">
        <v>12</v>
      </c>
      <c r="L1" s="1" t="s">
        <v>14</v>
      </c>
      <c r="M1" s="1" t="s">
        <v>403</v>
      </c>
      <c r="N1" s="1" t="s">
        <v>404</v>
      </c>
      <c r="O1" s="1" t="s">
        <v>406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  <c r="U1" s="1" t="s">
        <v>412</v>
      </c>
      <c r="V1" s="1" t="s">
        <v>413</v>
      </c>
      <c r="W1" s="1" t="s">
        <v>414</v>
      </c>
      <c r="X1" s="1" t="s">
        <v>415</v>
      </c>
      <c r="Y1" s="1" t="s">
        <v>416</v>
      </c>
      <c r="Z1" s="1" t="s">
        <v>417</v>
      </c>
      <c r="AA1" s="1" t="s">
        <v>418</v>
      </c>
      <c r="AB1" s="1" t="s">
        <v>419</v>
      </c>
      <c r="AC1" s="1" t="s">
        <v>420</v>
      </c>
      <c r="AD1" s="1" t="s">
        <v>421</v>
      </c>
      <c r="AE1" s="1" t="s">
        <v>422</v>
      </c>
      <c r="AF1" s="1" t="s">
        <v>423</v>
      </c>
      <c r="AG1" s="1" t="s">
        <v>424</v>
      </c>
      <c r="AH1" s="1" t="s">
        <v>425</v>
      </c>
      <c r="AI1" s="1" t="s">
        <v>426</v>
      </c>
      <c r="AJ1" s="1" t="s">
        <v>427</v>
      </c>
      <c r="AK1" s="1" t="s">
        <v>428</v>
      </c>
      <c r="AL1" s="1" t="s">
        <v>429</v>
      </c>
      <c r="AM1" s="1" t="s">
        <v>430</v>
      </c>
      <c r="AN1" s="1" t="s">
        <v>431</v>
      </c>
      <c r="AO1" s="1" t="s">
        <v>432</v>
      </c>
      <c r="AP1" s="1" t="s">
        <v>433</v>
      </c>
      <c r="AQ1" s="1" t="s">
        <v>434</v>
      </c>
    </row>
    <row r="2" spans="1:43">
      <c r="A2" t="s">
        <v>65</v>
      </c>
      <c r="B2" s="2">
        <v>116703.6000000012</v>
      </c>
      <c r="C2" s="2">
        <v>116703.6000000012</v>
      </c>
      <c r="D2" t="s">
        <v>54</v>
      </c>
      <c r="E2" t="s">
        <v>397</v>
      </c>
      <c r="F2" s="2">
        <v>-0</v>
      </c>
      <c r="G2" s="2">
        <v>-10330</v>
      </c>
      <c r="H2" s="2">
        <v>-10330</v>
      </c>
      <c r="I2" s="2">
        <v>127033.6000000012</v>
      </c>
      <c r="J2" s="2">
        <v>116703.6000000012</v>
      </c>
      <c r="K2" s="2">
        <v>124633.6000000012</v>
      </c>
      <c r="L2" s="3">
        <v>15.716721311475562</v>
      </c>
      <c r="M2" t="s">
        <v>54</v>
      </c>
      <c r="N2" t="s">
        <v>405</v>
      </c>
      <c r="O2" s="2">
        <v>0</v>
      </c>
      <c r="P2" s="2">
        <v>127033.6000000012</v>
      </c>
      <c r="Q2" t="s">
        <v>65</v>
      </c>
      <c r="R2" s="2">
        <v>2400</v>
      </c>
      <c r="S2" s="2">
        <v>2</v>
      </c>
      <c r="T2" s="2">
        <v>2400</v>
      </c>
      <c r="U2" s="2">
        <v>2</v>
      </c>
      <c r="V2" s="2">
        <v>0</v>
      </c>
      <c r="W2" s="2">
        <v>0</v>
      </c>
      <c r="X2" s="2">
        <v>32</v>
      </c>
      <c r="Y2" s="2">
        <v>-14206.47307619013</v>
      </c>
      <c r="Z2" s="2">
        <v>-3876.47307619013</v>
      </c>
      <c r="AA2" t="s">
        <v>65</v>
      </c>
      <c r="AB2" s="2">
        <v>0</v>
      </c>
      <c r="AC2" t="s">
        <v>54</v>
      </c>
      <c r="AD2" s="2">
        <v>14650</v>
      </c>
      <c r="AE2" s="2">
        <v>0</v>
      </c>
      <c r="AF2" s="2">
        <v>-7930</v>
      </c>
      <c r="AG2" t="s">
        <v>7</v>
      </c>
      <c r="AH2" s="2">
        <v>14650</v>
      </c>
      <c r="AK2" s="2">
        <v>0</v>
      </c>
      <c r="AL2" s="2">
        <v>2400</v>
      </c>
      <c r="AM2" s="2">
        <v>130910.07307619133</v>
      </c>
      <c r="AN2" t="s">
        <v>54</v>
      </c>
      <c r="AO2" s="2">
        <v>130910.07307619133</v>
      </c>
      <c r="AP2" s="2">
        <v>0</v>
      </c>
      <c r="AQ2" s="2">
        <v>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8.7109375" customWidth="1"/>
    <col min="3" max="4" width="24.7109375" customWidth="1"/>
    <col min="5" max="5" width="24.7109375" hidden="1" customWidth="1"/>
    <col min="6" max="6" width="24.7109375" customWidth="1"/>
    <col min="7" max="7" width="24.7109375" hidden="1" customWidth="1"/>
    <col min="8" max="12" width="24.7109375" customWidth="1"/>
    <col min="13" max="13" width="46.7109375" customWidth="1"/>
    <col min="14" max="14" width="24.7109375" customWidth="1"/>
    <col min="15" max="15" width="24.7109375" hidden="1" customWidth="1"/>
    <col min="16" max="16" width="24.7109375" customWidth="1"/>
    <col min="17" max="19" width="24.7109375" hidden="1" customWidth="1"/>
    <col min="20" max="21" width="24.7109375" customWidth="1"/>
    <col min="22" max="22" width="24.7109375" hidden="1" customWidth="1"/>
  </cols>
  <sheetData>
    <row r="1" spans="1:22">
      <c r="A1" s="1" t="s">
        <v>351</v>
      </c>
      <c r="B1" s="1" t="s">
        <v>352</v>
      </c>
      <c r="C1" s="1" t="s">
        <v>1069</v>
      </c>
      <c r="D1" s="1" t="s">
        <v>25</v>
      </c>
      <c r="E1" s="1" t="s">
        <v>1054</v>
      </c>
      <c r="F1" s="1" t="s">
        <v>1070</v>
      </c>
      <c r="G1" s="1" t="s">
        <v>1071</v>
      </c>
      <c r="H1" s="1" t="s">
        <v>1072</v>
      </c>
      <c r="I1" s="1" t="s">
        <v>1073</v>
      </c>
      <c r="J1" s="1" t="s">
        <v>1074</v>
      </c>
      <c r="K1" s="1" t="s">
        <v>1075</v>
      </c>
      <c r="L1" s="1" t="s">
        <v>1076</v>
      </c>
      <c r="M1" s="1" t="s">
        <v>1077</v>
      </c>
      <c r="N1" s="1" t="s">
        <v>1078</v>
      </c>
      <c r="O1" s="1" t="s">
        <v>1079</v>
      </c>
      <c r="P1" s="1" t="s">
        <v>1080</v>
      </c>
      <c r="Q1" s="1" t="s">
        <v>1081</v>
      </c>
      <c r="R1" s="1" t="s">
        <v>1082</v>
      </c>
      <c r="S1" s="1" t="s">
        <v>1083</v>
      </c>
      <c r="T1" s="1" t="s">
        <v>1084</v>
      </c>
      <c r="U1" s="1" t="s">
        <v>1085</v>
      </c>
      <c r="V1" s="1" t="s">
        <v>1086</v>
      </c>
    </row>
    <row r="2" spans="1:22">
      <c r="A2" t="s">
        <v>3</v>
      </c>
      <c r="B2" t="s">
        <v>371</v>
      </c>
      <c r="D2" t="s">
        <v>364</v>
      </c>
      <c r="E2" t="s">
        <v>542</v>
      </c>
      <c r="F2" t="s">
        <v>375</v>
      </c>
      <c r="G2" t="s">
        <v>600</v>
      </c>
      <c r="H2" s="2">
        <f>N2+P2</f>
        <v>220000</v>
      </c>
      <c r="I2" s="7">
        <f>INDEX('汇率表'!$A:$XFD,MATCH(F2,'汇率表'!$A:$A,0),MATCH(D2,'汇率表'!$1:$1,0))</f>
        <v>6.9677999999999995</v>
      </c>
      <c r="J2" s="2">
        <f>H2*I2</f>
        <v>1532916</v>
      </c>
      <c r="K2" s="2">
        <f>O2+Q2</f>
        <v>1558517.6</v>
      </c>
      <c r="L2" s="2">
        <f>K2-J2</f>
        <v>25601.600000000093</v>
      </c>
      <c r="N2" s="2">
        <v>200000</v>
      </c>
      <c r="O2" s="2">
        <v>1424000</v>
      </c>
      <c r="P2" s="2">
        <v>20000</v>
      </c>
      <c r="Q2" s="2">
        <v>134517.6</v>
      </c>
      <c r="R2" s="2">
        <v>0</v>
      </c>
      <c r="S2" s="2">
        <f>J2-K2</f>
        <v>-25601.600000000093</v>
      </c>
      <c r="V2" s="2">
        <v>7882.399999999994</v>
      </c>
    </row>
    <row r="3" spans="1:22">
      <c r="A3" t="s">
        <v>3</v>
      </c>
      <c r="B3" t="s">
        <v>378</v>
      </c>
      <c r="D3" t="s">
        <v>370</v>
      </c>
      <c r="E3" t="s">
        <v>542</v>
      </c>
      <c r="F3" t="s">
        <v>375</v>
      </c>
      <c r="G3" t="s">
        <v>600</v>
      </c>
      <c r="H3" s="2">
        <f>N3+P3</f>
        <v>460000</v>
      </c>
      <c r="I3" s="7">
        <f>INDEX('汇率表'!$A:$XFD,MATCH(F3,'汇率表'!$A:$A,0),MATCH(D3,'汇率表'!$1:$1,0))</f>
        <v>0.89262</v>
      </c>
      <c r="J3" s="2">
        <f>H3*I3</f>
        <v>410605.2</v>
      </c>
      <c r="K3" s="2">
        <f>O3+Q3</f>
        <v>419129.6</v>
      </c>
      <c r="L3" s="2">
        <f>K3-J3</f>
        <v>8524.399999999965</v>
      </c>
      <c r="N3" s="2">
        <v>500000</v>
      </c>
      <c r="O3" s="2">
        <v>455000</v>
      </c>
      <c r="P3" s="2">
        <v>-40000</v>
      </c>
      <c r="Q3" s="2">
        <v>-35870.4</v>
      </c>
      <c r="R3" s="2">
        <v>0</v>
      </c>
      <c r="S3" s="2">
        <f>J3-K3</f>
        <v>-8524.399999999965</v>
      </c>
      <c r="V3" s="2">
        <v>-529.5999999999985</v>
      </c>
    </row>
    <row r="4" spans="1:22">
      <c r="A4" t="s">
        <v>3</v>
      </c>
      <c r="B4" t="s">
        <v>363</v>
      </c>
      <c r="D4" t="s">
        <v>364</v>
      </c>
      <c r="E4" t="s">
        <v>542</v>
      </c>
      <c r="F4" t="s">
        <v>375</v>
      </c>
      <c r="G4" t="s">
        <v>600</v>
      </c>
      <c r="H4" s="2">
        <f>N4+P4</f>
        <v>420000</v>
      </c>
      <c r="I4" s="7">
        <f>INDEX('汇率表'!$A:$XFD,MATCH(F4,'汇率表'!$A:$A,0),MATCH(D4,'汇率表'!$1:$1,0))</f>
        <v>6.9677999999999995</v>
      </c>
      <c r="J4" s="2">
        <f>H4*I4</f>
        <v>2926476</v>
      </c>
      <c r="K4" s="2">
        <f>O4+Q4</f>
        <v>2974362.4615384615</v>
      </c>
      <c r="L4" s="2">
        <f>K4-J4</f>
        <v>47886.4615384615</v>
      </c>
      <c r="N4" s="2">
        <v>320000</v>
      </c>
      <c r="O4" s="2">
        <v>2278400</v>
      </c>
      <c r="P4" s="2">
        <v>100000</v>
      </c>
      <c r="Q4" s="2">
        <v>695962.4615384615</v>
      </c>
      <c r="R4" s="2">
        <v>0</v>
      </c>
      <c r="S4" s="2">
        <f>J4-K4</f>
        <v>-47886.4615384615</v>
      </c>
      <c r="V4" s="2">
        <v>16037.538461538497</v>
      </c>
    </row>
    <row r="5" spans="1:22">
      <c r="A5" t="s">
        <v>3</v>
      </c>
      <c r="B5" t="s">
        <v>372</v>
      </c>
      <c r="D5" t="s">
        <v>373</v>
      </c>
      <c r="E5" t="s">
        <v>542</v>
      </c>
      <c r="F5" t="s">
        <v>375</v>
      </c>
      <c r="G5" t="s">
        <v>600</v>
      </c>
      <c r="H5" s="2">
        <f>N5+P5</f>
        <v>150000</v>
      </c>
      <c r="I5" s="7">
        <f>INDEX('汇率表'!$A:$XFD,MATCH(F5,'汇率表'!$A:$A,0),MATCH(D5,'汇率表'!$1:$1,0))</f>
        <v>8.3244</v>
      </c>
      <c r="J5" s="2">
        <f>H5*I5</f>
        <v>1248660</v>
      </c>
      <c r="K5" s="2">
        <f>O5+Q5</f>
        <v>1174500</v>
      </c>
      <c r="L5" s="2">
        <f>K5-J5</f>
        <v>-74160</v>
      </c>
      <c r="N5" s="2">
        <v>150000</v>
      </c>
      <c r="O5" s="2">
        <v>1174500</v>
      </c>
      <c r="P5" s="2">
        <v>0</v>
      </c>
      <c r="Q5" s="2">
        <v>0</v>
      </c>
      <c r="R5" s="2">
        <v>0</v>
      </c>
      <c r="S5" s="2">
        <f>J5-K5</f>
        <v>74160</v>
      </c>
      <c r="V5" s="2">
        <v>0</v>
      </c>
    </row>
    <row r="6" spans="1:22">
      <c r="A6" t="s">
        <v>3</v>
      </c>
      <c r="B6" t="s">
        <v>368</v>
      </c>
      <c r="D6" t="s">
        <v>364</v>
      </c>
      <c r="E6" t="s">
        <v>542</v>
      </c>
      <c r="F6" t="s">
        <v>375</v>
      </c>
      <c r="G6" t="s">
        <v>600</v>
      </c>
      <c r="H6" s="2">
        <f>N6+P6</f>
        <v>-190000</v>
      </c>
      <c r="I6" s="7">
        <f>INDEX('汇率表'!$A:$XFD,MATCH(F6,'汇率表'!$A:$A,0),MATCH(D6,'汇率表'!$1:$1,0))</f>
        <v>6.9677999999999995</v>
      </c>
      <c r="J6" s="2">
        <f>H6*I6</f>
        <v>-1323882</v>
      </c>
      <c r="K6" s="2">
        <f>O6+Q6</f>
        <v>-1347470.5</v>
      </c>
      <c r="L6" s="2">
        <f>K6-J6</f>
        <v>-23588.5</v>
      </c>
      <c r="N6" s="2">
        <v>-180000</v>
      </c>
      <c r="O6" s="2">
        <v>-1281600</v>
      </c>
      <c r="P6" s="2">
        <v>-10000</v>
      </c>
      <c r="Q6" s="2">
        <v>-65870.5</v>
      </c>
      <c r="R6" s="2">
        <v>0</v>
      </c>
      <c r="S6" s="2">
        <f>J6-K6</f>
        <v>23588.5</v>
      </c>
      <c r="V6" s="2">
        <v>-5329.5</v>
      </c>
    </row>
    <row r="7" spans="1:22">
      <c r="A7" t="s">
        <v>3</v>
      </c>
      <c r="B7" t="s">
        <v>369</v>
      </c>
      <c r="D7" t="s">
        <v>370</v>
      </c>
      <c r="E7" t="s">
        <v>542</v>
      </c>
      <c r="F7" t="s">
        <v>375</v>
      </c>
      <c r="G7" t="s">
        <v>600</v>
      </c>
      <c r="H7" s="2">
        <f>N7+P7</f>
        <v>-300000</v>
      </c>
      <c r="I7" s="7">
        <f>INDEX('汇率表'!$A:$XFD,MATCH(F7,'汇率表'!$A:$A,0),MATCH(D7,'汇率表'!$1:$1,0))</f>
        <v>0.89262</v>
      </c>
      <c r="J7" s="2">
        <f>H7*I7</f>
        <v>-267786</v>
      </c>
      <c r="K7" s="2">
        <f>O7+Q7</f>
        <v>-272532.70588235295</v>
      </c>
      <c r="L7" s="2">
        <f>K7-J7</f>
        <v>-4746.705882352951</v>
      </c>
      <c r="N7" s="2">
        <v>-300000</v>
      </c>
      <c r="O7" s="2">
        <v>-273000</v>
      </c>
      <c r="P7" s="2">
        <v>0</v>
      </c>
      <c r="Q7" s="2">
        <v>467.2941176470631</v>
      </c>
      <c r="R7" s="2">
        <v>0</v>
      </c>
      <c r="S7" s="2">
        <f>J7-K7</f>
        <v>4746.705882352951</v>
      </c>
      <c r="V7" s="2">
        <v>-467.2941176470631</v>
      </c>
    </row>
    <row r="8" spans="1:22">
      <c r="A8" t="s">
        <v>3</v>
      </c>
      <c r="B8" t="s">
        <v>371</v>
      </c>
      <c r="D8" t="s">
        <v>364</v>
      </c>
      <c r="E8" t="s">
        <v>542</v>
      </c>
      <c r="F8" t="s">
        <v>379</v>
      </c>
      <c r="G8" t="s">
        <v>622</v>
      </c>
      <c r="H8" s="2">
        <f>N8+P8</f>
        <v>260000</v>
      </c>
      <c r="I8" s="7">
        <f>INDEX('汇率表'!$A:$XFD,MATCH(F8,'汇率表'!$A:$A,0),MATCH(D8,'汇率表'!$1:$1,0))</f>
        <v>6.9228</v>
      </c>
      <c r="J8" s="2">
        <f>H8*I8</f>
        <v>1799928</v>
      </c>
      <c r="K8" s="2">
        <f>O8+Q8</f>
        <v>1810422.4666666668</v>
      </c>
      <c r="L8" s="2">
        <f>K8-J8</f>
        <v>10494.46666666679</v>
      </c>
      <c r="N8" s="2">
        <v>220000</v>
      </c>
      <c r="O8" s="2">
        <v>1532916</v>
      </c>
      <c r="P8" s="2">
        <v>40000</v>
      </c>
      <c r="Q8" s="2">
        <v>277506.4666666667</v>
      </c>
      <c r="R8" s="2">
        <v>0</v>
      </c>
      <c r="S8" s="2">
        <f>J8-K8</f>
        <v>-10494.46666666679</v>
      </c>
      <c r="V8" s="2">
        <v>7293.533333333326</v>
      </c>
    </row>
    <row r="9" spans="1:22">
      <c r="A9" t="s">
        <v>3</v>
      </c>
      <c r="B9" t="s">
        <v>378</v>
      </c>
      <c r="D9" t="s">
        <v>370</v>
      </c>
      <c r="E9" t="s">
        <v>542</v>
      </c>
      <c r="F9" t="s">
        <v>379</v>
      </c>
      <c r="G9" t="s">
        <v>622</v>
      </c>
      <c r="H9" s="2">
        <f>N9+P9</f>
        <v>430000</v>
      </c>
      <c r="I9" s="7">
        <f>INDEX('汇率表'!$A:$XFD,MATCH(F9,'汇率表'!$A:$A,0),MATCH(D9,'汇率表'!$1:$1,0))</f>
        <v>0.88484</v>
      </c>
      <c r="J9" s="2">
        <f>H9*I9</f>
        <v>380481.2</v>
      </c>
      <c r="K9" s="2">
        <f>O9+Q9</f>
        <v>383973.3</v>
      </c>
      <c r="L9" s="2">
        <f>K9-J9</f>
        <v>3492.0999999999767</v>
      </c>
      <c r="N9" s="2">
        <v>460000</v>
      </c>
      <c r="O9" s="2">
        <v>410605.2</v>
      </c>
      <c r="P9" s="2">
        <v>-30000</v>
      </c>
      <c r="Q9" s="2">
        <v>-26631.899999999998</v>
      </c>
      <c r="R9" s="2">
        <v>0</v>
      </c>
      <c r="S9" s="2">
        <f>J9-K9</f>
        <v>-3492.0999999999767</v>
      </c>
      <c r="V9" s="2">
        <v>-668.1000000000022</v>
      </c>
    </row>
    <row r="10" spans="1:22">
      <c r="A10" t="s">
        <v>3</v>
      </c>
      <c r="B10" t="s">
        <v>363</v>
      </c>
      <c r="D10" t="s">
        <v>364</v>
      </c>
      <c r="E10" t="s">
        <v>542</v>
      </c>
      <c r="F10" t="s">
        <v>379</v>
      </c>
      <c r="G10" t="s">
        <v>622</v>
      </c>
      <c r="H10" s="2">
        <f>N10+P10</f>
        <v>400000</v>
      </c>
      <c r="I10" s="7">
        <f>INDEX('汇率表'!$A:$XFD,MATCH(F10,'汇率表'!$A:$A,0),MATCH(D10,'汇率表'!$1:$1,0))</f>
        <v>6.9228</v>
      </c>
      <c r="J10" s="2">
        <f>H10*I10</f>
        <v>2769120</v>
      </c>
      <c r="K10" s="2">
        <f>O10+Q10</f>
        <v>2786428.8000000003</v>
      </c>
      <c r="L10" s="2">
        <f>K10-J10</f>
        <v>17308.80000000028</v>
      </c>
      <c r="N10" s="2">
        <v>420000</v>
      </c>
      <c r="O10" s="2">
        <v>2926476</v>
      </c>
      <c r="P10" s="2">
        <v>-20000</v>
      </c>
      <c r="Q10" s="2">
        <v>-140047.19999999984</v>
      </c>
      <c r="R10" s="2">
        <v>0</v>
      </c>
      <c r="S10" s="2">
        <f>J10-K10</f>
        <v>-17308.80000000028</v>
      </c>
      <c r="V10" s="2">
        <v>-2352.800000000163</v>
      </c>
    </row>
    <row r="11" spans="1:22">
      <c r="A11" t="s">
        <v>3</v>
      </c>
      <c r="B11" t="s">
        <v>372</v>
      </c>
      <c r="D11" t="s">
        <v>373</v>
      </c>
      <c r="E11" t="s">
        <v>542</v>
      </c>
      <c r="F11" t="s">
        <v>379</v>
      </c>
      <c r="G11" t="s">
        <v>622</v>
      </c>
      <c r="H11" s="2">
        <f>N11+P11</f>
        <v>125000</v>
      </c>
      <c r="I11" s="7">
        <f>INDEX('汇率表'!$A:$XFD,MATCH(F11,'汇率表'!$A:$A,0),MATCH(D11,'汇率表'!$1:$1,0))</f>
        <v>8.120800000000001</v>
      </c>
      <c r="J11" s="2">
        <f>H11*I11</f>
        <v>1015100.0000000001</v>
      </c>
      <c r="K11" s="2">
        <f>O11+Q11</f>
        <v>1040550</v>
      </c>
      <c r="L11" s="2">
        <f>K11-J11</f>
        <v>25449.999999999884</v>
      </c>
      <c r="N11" s="2">
        <v>150000</v>
      </c>
      <c r="O11" s="2">
        <v>1248660</v>
      </c>
      <c r="P11" s="2">
        <v>-25000</v>
      </c>
      <c r="Q11" s="2">
        <v>-208110.00000000003</v>
      </c>
      <c r="R11" s="2">
        <v>0</v>
      </c>
      <c r="S11" s="2">
        <f>J11-K11</f>
        <v>-25449.999999999884</v>
      </c>
      <c r="V11" s="2">
        <v>12360.00000000003</v>
      </c>
    </row>
    <row r="12" spans="1:22">
      <c r="A12" t="s">
        <v>3</v>
      </c>
      <c r="B12" t="s">
        <v>368</v>
      </c>
      <c r="D12" t="s">
        <v>364</v>
      </c>
      <c r="E12" t="s">
        <v>542</v>
      </c>
      <c r="F12" t="s">
        <v>379</v>
      </c>
      <c r="G12" t="s">
        <v>622</v>
      </c>
      <c r="H12" s="2">
        <f>N12+P12</f>
        <v>-200000</v>
      </c>
      <c r="I12" s="7">
        <f>INDEX('汇率表'!$A:$XFD,MATCH(F12,'汇率表'!$A:$A,0),MATCH(D12,'汇率表'!$1:$1,0))</f>
        <v>6.9228</v>
      </c>
      <c r="J12" s="2">
        <f>H12*I12</f>
        <v>-1384560</v>
      </c>
      <c r="K12" s="2">
        <f>O12+Q12</f>
        <v>-1392586.0869565217</v>
      </c>
      <c r="L12" s="2">
        <f>K12-J12</f>
        <v>-8026.086956521729</v>
      </c>
      <c r="N12" s="2">
        <v>-190000</v>
      </c>
      <c r="O12" s="2">
        <v>-1323882</v>
      </c>
      <c r="P12" s="2">
        <v>-10000</v>
      </c>
      <c r="Q12" s="2">
        <v>-68704.08695652173</v>
      </c>
      <c r="R12" s="2">
        <v>0</v>
      </c>
      <c r="S12" s="2">
        <f>J12-K12</f>
        <v>8026.086956521729</v>
      </c>
      <c r="V12" s="2">
        <v>-2495.913043478271</v>
      </c>
    </row>
    <row r="13" spans="1:22">
      <c r="A13" t="s">
        <v>3</v>
      </c>
      <c r="B13" t="s">
        <v>369</v>
      </c>
      <c r="D13" t="s">
        <v>370</v>
      </c>
      <c r="E13" t="s">
        <v>542</v>
      </c>
      <c r="F13" t="s">
        <v>379</v>
      </c>
      <c r="G13" t="s">
        <v>622</v>
      </c>
      <c r="H13" s="2">
        <f>N13+P13</f>
        <v>-300000</v>
      </c>
      <c r="I13" s="7">
        <f>INDEX('汇率表'!$A:$XFD,MATCH(F13,'汇率表'!$A:$A,0),MATCH(D13,'汇率表'!$1:$1,0))</f>
        <v>0.88484</v>
      </c>
      <c r="J13" s="2">
        <f>H13*I13</f>
        <v>-265452</v>
      </c>
      <c r="K13" s="2">
        <f>O13+Q13</f>
        <v>-267656.45454545453</v>
      </c>
      <c r="L13" s="2">
        <f>K13-J13</f>
        <v>-2204.4545454545296</v>
      </c>
      <c r="N13" s="2">
        <v>-300000</v>
      </c>
      <c r="O13" s="2">
        <v>-267786</v>
      </c>
      <c r="P13" s="2">
        <v>0</v>
      </c>
      <c r="Q13" s="2">
        <v>129.5454545454486</v>
      </c>
      <c r="R13" s="2">
        <v>0</v>
      </c>
      <c r="S13" s="2">
        <f>J13-K13</f>
        <v>2204.4545454545296</v>
      </c>
      <c r="V13" s="2">
        <v>-129.5454545454486</v>
      </c>
    </row>
    <row r="14" spans="1:22">
      <c r="A14" t="s">
        <v>3</v>
      </c>
      <c r="B14" t="s">
        <v>371</v>
      </c>
      <c r="D14" t="s">
        <v>364</v>
      </c>
      <c r="E14" t="s">
        <v>542</v>
      </c>
      <c r="F14" t="s">
        <v>380</v>
      </c>
      <c r="G14" t="s">
        <v>380</v>
      </c>
      <c r="H14" s="2">
        <f>N14+P14</f>
        <v>300000</v>
      </c>
      <c r="I14" s="7">
        <f>INDEX('汇率表'!$A:$XFD,MATCH(F14,'汇率表'!$A:$A,0),MATCH(D14,'汇率表'!$1:$1,0))</f>
        <v>6.9194</v>
      </c>
      <c r="J14" s="2">
        <f>H14*I14</f>
        <v>2075820.0000000002</v>
      </c>
      <c r="K14" s="2">
        <f>O14+Q14</f>
        <v>2075032.9090909092</v>
      </c>
      <c r="L14" s="2">
        <f>K14-J14</f>
        <v>-787.0909090910573</v>
      </c>
      <c r="N14" s="2">
        <v>260000</v>
      </c>
      <c r="O14" s="2">
        <v>1799928</v>
      </c>
      <c r="P14" s="2">
        <v>40000</v>
      </c>
      <c r="Q14" s="2">
        <v>275104.9090909091</v>
      </c>
      <c r="R14" s="2">
        <v>0</v>
      </c>
      <c r="S14" s="2">
        <f>J14-K14</f>
        <v>787.0909090910573</v>
      </c>
      <c r="V14" s="2">
        <v>9695.090909090883</v>
      </c>
    </row>
    <row r="15" spans="1:22">
      <c r="A15" t="s">
        <v>3</v>
      </c>
      <c r="B15" t="s">
        <v>378</v>
      </c>
      <c r="D15" t="s">
        <v>370</v>
      </c>
      <c r="E15" t="s">
        <v>542</v>
      </c>
      <c r="F15" t="s">
        <v>380</v>
      </c>
      <c r="G15" t="s">
        <v>380</v>
      </c>
      <c r="H15" s="2">
        <f>N15+P15</f>
        <v>390000</v>
      </c>
      <c r="I15" s="7">
        <f>INDEX('汇率表'!$A:$XFD,MATCH(F15,'汇率表'!$A:$A,0),MATCH(D15,'汇率表'!$1:$1,0))</f>
        <v>0.88295</v>
      </c>
      <c r="J15" s="2">
        <f>H15*I15</f>
        <v>344350.5</v>
      </c>
      <c r="K15" s="2">
        <f>O15+Q15</f>
        <v>345275.2</v>
      </c>
      <c r="L15" s="2">
        <f>K15-J15</f>
        <v>924.7000000000116</v>
      </c>
      <c r="N15" s="2">
        <v>430000</v>
      </c>
      <c r="O15" s="2">
        <v>380481.2</v>
      </c>
      <c r="P15" s="2">
        <v>-40000</v>
      </c>
      <c r="Q15" s="2">
        <v>-35206</v>
      </c>
      <c r="R15" s="2">
        <v>0</v>
      </c>
      <c r="S15" s="2">
        <f>J15-K15</f>
        <v>-924.7000000000116</v>
      </c>
      <c r="V15" s="2">
        <v>-1194</v>
      </c>
    </row>
    <row r="16" spans="1:22">
      <c r="A16" t="s">
        <v>3</v>
      </c>
      <c r="B16" t="s">
        <v>363</v>
      </c>
      <c r="D16" t="s">
        <v>364</v>
      </c>
      <c r="E16" t="s">
        <v>542</v>
      </c>
      <c r="F16" t="s">
        <v>380</v>
      </c>
      <c r="G16" t="s">
        <v>380</v>
      </c>
      <c r="H16" s="2">
        <f>N16+P16</f>
        <v>480000</v>
      </c>
      <c r="I16" s="7">
        <f>INDEX('汇率表'!$A:$XFD,MATCH(F16,'汇率表'!$A:$A,0),MATCH(D16,'汇率表'!$1:$1,0))</f>
        <v>6.9194</v>
      </c>
      <c r="J16" s="2">
        <f>H16*I16</f>
        <v>3321312</v>
      </c>
      <c r="K16" s="2">
        <f>O16+Q16</f>
        <v>3319523.2</v>
      </c>
      <c r="L16" s="2">
        <f>K16-J16</f>
        <v>-1788.7999999998137</v>
      </c>
      <c r="N16" s="2">
        <v>400000</v>
      </c>
      <c r="O16" s="2">
        <v>2769120</v>
      </c>
      <c r="P16" s="2">
        <v>80000</v>
      </c>
      <c r="Q16" s="2">
        <v>550403.2</v>
      </c>
      <c r="R16" s="2">
        <v>0</v>
      </c>
      <c r="S16" s="2">
        <f>J16-K16</f>
        <v>1788.7999999998137</v>
      </c>
      <c r="V16" s="2">
        <v>19196.79999999993</v>
      </c>
    </row>
    <row r="17" spans="1:22">
      <c r="A17" t="s">
        <v>3</v>
      </c>
      <c r="B17" t="s">
        <v>372</v>
      </c>
      <c r="D17" t="s">
        <v>373</v>
      </c>
      <c r="E17" t="s">
        <v>542</v>
      </c>
      <c r="F17" t="s">
        <v>380</v>
      </c>
      <c r="G17" t="s">
        <v>380</v>
      </c>
      <c r="H17" s="2">
        <f>N17+P17</f>
        <v>125000</v>
      </c>
      <c r="I17" s="7">
        <f>INDEX('汇率表'!$A:$XFD,MATCH(F17,'汇率表'!$A:$A,0),MATCH(D17,'汇率表'!$1:$1,0))</f>
        <v>7.9302</v>
      </c>
      <c r="J17" s="2">
        <f>H17*I17</f>
        <v>991275</v>
      </c>
      <c r="K17" s="2">
        <f>O17+Q17</f>
        <v>1015100.0000000001</v>
      </c>
      <c r="L17" s="2">
        <f>K17-J17</f>
        <v>23825.000000000116</v>
      </c>
      <c r="N17" s="2">
        <v>125000</v>
      </c>
      <c r="O17" s="2">
        <v>1015100.0000000001</v>
      </c>
      <c r="P17" s="2">
        <v>0</v>
      </c>
      <c r="Q17" s="2">
        <v>0</v>
      </c>
      <c r="R17" s="2">
        <v>0</v>
      </c>
      <c r="S17" s="2">
        <f>J17-K17</f>
        <v>-23825.000000000116</v>
      </c>
      <c r="V17" s="2">
        <v>0</v>
      </c>
    </row>
    <row r="18" spans="1:22">
      <c r="A18" t="s">
        <v>3</v>
      </c>
      <c r="B18" t="s">
        <v>368</v>
      </c>
      <c r="D18" t="s">
        <v>364</v>
      </c>
      <c r="E18" t="s">
        <v>542</v>
      </c>
      <c r="F18" t="s">
        <v>380</v>
      </c>
      <c r="G18" t="s">
        <v>380</v>
      </c>
      <c r="H18" s="2">
        <f>N18+P18</f>
        <v>-210000</v>
      </c>
      <c r="I18" s="7">
        <f>INDEX('汇率表'!$A:$XFD,MATCH(F18,'汇率表'!$A:$A,0),MATCH(D18,'汇率表'!$1:$1,0))</f>
        <v>6.9194</v>
      </c>
      <c r="J18" s="2">
        <f>H18*I18</f>
        <v>-1453074</v>
      </c>
      <c r="K18" s="2">
        <f>O18+Q18</f>
        <v>-1452242.076923077</v>
      </c>
      <c r="L18" s="2">
        <f>K18-J18</f>
        <v>831.9230769230053</v>
      </c>
      <c r="N18" s="2">
        <v>-200000</v>
      </c>
      <c r="O18" s="2">
        <v>-1384560</v>
      </c>
      <c r="P18" s="2">
        <v>-10000</v>
      </c>
      <c r="Q18" s="2">
        <v>-67682.07692307694</v>
      </c>
      <c r="R18" s="2">
        <v>0</v>
      </c>
      <c r="S18" s="2">
        <f>J18-K18</f>
        <v>-831.9230769230053</v>
      </c>
      <c r="V18" s="2">
        <v>-3517.9230769230635</v>
      </c>
    </row>
    <row r="19" spans="1:22">
      <c r="A19" t="s">
        <v>3</v>
      </c>
      <c r="B19" t="s">
        <v>369</v>
      </c>
      <c r="D19" t="s">
        <v>370</v>
      </c>
      <c r="E19" t="s">
        <v>542</v>
      </c>
      <c r="F19" t="s">
        <v>380</v>
      </c>
      <c r="G19" t="s">
        <v>380</v>
      </c>
      <c r="H19" s="2">
        <f>N19+P19</f>
        <v>-300000</v>
      </c>
      <c r="I19" s="7">
        <f>INDEX('汇率表'!$A:$XFD,MATCH(F19,'汇率表'!$A:$A,0),MATCH(D19,'汇率表'!$1:$1,0))</f>
        <v>0.88295</v>
      </c>
      <c r="J19" s="2">
        <f>H19*I19</f>
        <v>-264885</v>
      </c>
      <c r="K19" s="2">
        <f>O19+Q19</f>
        <v>-265321.4117647059</v>
      </c>
      <c r="L19" s="2">
        <f>K19-J19</f>
        <v>-436.4117647059029</v>
      </c>
      <c r="N19" s="2">
        <v>-300000</v>
      </c>
      <c r="O19" s="2">
        <v>-265452</v>
      </c>
      <c r="P19" s="2">
        <v>0</v>
      </c>
      <c r="Q19" s="2">
        <v>130.58823529411893</v>
      </c>
      <c r="R19" s="2">
        <v>0</v>
      </c>
      <c r="S19" s="2">
        <f>J19-K19</f>
        <v>436.4117647059029</v>
      </c>
      <c r="V19" s="2">
        <v>-130.58823529411893</v>
      </c>
    </row>
    <row r="20" spans="1:22">
      <c r="A20" t="s">
        <v>3</v>
      </c>
      <c r="B20" t="s">
        <v>371</v>
      </c>
      <c r="D20" t="s">
        <v>364</v>
      </c>
      <c r="E20" t="s">
        <v>542</v>
      </c>
      <c r="F20" t="s">
        <v>381</v>
      </c>
      <c r="G20" t="s">
        <v>381</v>
      </c>
      <c r="H20" s="2">
        <f>N20+P20</f>
        <v>380000</v>
      </c>
      <c r="I20" s="7">
        <f>INDEX('汇率表'!$A:$XFD,MATCH(F20,'汇率表'!$A:$A,0),MATCH(D20,'汇率表'!$1:$1,0))</f>
        <v>6.8628</v>
      </c>
      <c r="J20" s="2">
        <f>H20*I20</f>
        <v>2607864</v>
      </c>
      <c r="K20" s="2">
        <f>O20+Q20</f>
        <v>2622822.365853659</v>
      </c>
      <c r="L20" s="2">
        <f>K20-J20</f>
        <v>14958.365853658877</v>
      </c>
      <c r="N20" s="2">
        <v>300000</v>
      </c>
      <c r="O20" s="2">
        <v>2075820.0000000002</v>
      </c>
      <c r="P20" s="2">
        <v>80000</v>
      </c>
      <c r="Q20" s="2">
        <v>547002.3658536585</v>
      </c>
      <c r="R20" s="2">
        <v>0</v>
      </c>
      <c r="S20" s="2">
        <f>J20-K20</f>
        <v>-14958.365853658877</v>
      </c>
      <c r="V20" s="2">
        <v>22597.634146341472</v>
      </c>
    </row>
    <row r="21" spans="1:22">
      <c r="A21" t="s">
        <v>3</v>
      </c>
      <c r="B21" t="s">
        <v>378</v>
      </c>
      <c r="D21" t="s">
        <v>370</v>
      </c>
      <c r="E21" t="s">
        <v>542</v>
      </c>
      <c r="F21" t="s">
        <v>381</v>
      </c>
      <c r="G21" t="s">
        <v>381</v>
      </c>
      <c r="H21" s="2">
        <f>N21+P21</f>
        <v>350000</v>
      </c>
      <c r="I21" s="7">
        <f>INDEX('汇率表'!$A:$XFD,MATCH(F21,'汇率表'!$A:$A,0),MATCH(D21,'汇率表'!$1:$1,0))</f>
        <v>0.87581</v>
      </c>
      <c r="J21" s="2">
        <f>H21*I21</f>
        <v>306533.5</v>
      </c>
      <c r="K21" s="2">
        <f>O21+Q21</f>
        <v>309284.1</v>
      </c>
      <c r="L21" s="2">
        <f>K21-J21</f>
        <v>2750.5999999999767</v>
      </c>
      <c r="N21" s="2">
        <v>390000</v>
      </c>
      <c r="O21" s="2">
        <v>344350.5</v>
      </c>
      <c r="P21" s="2">
        <v>-40000</v>
      </c>
      <c r="Q21" s="2">
        <v>-35066.4</v>
      </c>
      <c r="R21" s="2">
        <v>0</v>
      </c>
      <c r="S21" s="2">
        <f>J21-K21</f>
        <v>-2750.5999999999767</v>
      </c>
      <c r="V21" s="2">
        <v>-1333.5999999999985</v>
      </c>
    </row>
    <row r="22" spans="1:22">
      <c r="A22" t="s">
        <v>3</v>
      </c>
      <c r="B22" t="s">
        <v>363</v>
      </c>
      <c r="D22" t="s">
        <v>364</v>
      </c>
      <c r="E22" t="s">
        <v>542</v>
      </c>
      <c r="F22" t="s">
        <v>381</v>
      </c>
      <c r="G22" t="s">
        <v>381</v>
      </c>
      <c r="H22" s="2">
        <f>N22+P22</f>
        <v>540000</v>
      </c>
      <c r="I22" s="7">
        <f>INDEX('汇率表'!$A:$XFD,MATCH(F22,'汇率表'!$A:$A,0),MATCH(D22,'汇率表'!$1:$1,0))</f>
        <v>6.8628</v>
      </c>
      <c r="J22" s="2">
        <f>H22*I22</f>
        <v>3705912</v>
      </c>
      <c r="K22" s="2">
        <f>O22+Q22</f>
        <v>3731978.5714285714</v>
      </c>
      <c r="L22" s="2">
        <f>K22-J22</f>
        <v>26066.571428571362</v>
      </c>
      <c r="N22" s="2">
        <v>480000</v>
      </c>
      <c r="O22" s="2">
        <v>3321312</v>
      </c>
      <c r="P22" s="2">
        <v>60000</v>
      </c>
      <c r="Q22" s="2">
        <v>410666.57142857136</v>
      </c>
      <c r="R22" s="2">
        <v>0</v>
      </c>
      <c r="S22" s="2">
        <f>J22-K22</f>
        <v>-26066.571428571362</v>
      </c>
      <c r="V22" s="2">
        <v>16533.428571428638</v>
      </c>
    </row>
    <row r="23" spans="1:22">
      <c r="A23" t="s">
        <v>3</v>
      </c>
      <c r="B23" t="s">
        <v>372</v>
      </c>
      <c r="D23" t="s">
        <v>373</v>
      </c>
      <c r="E23" t="s">
        <v>542</v>
      </c>
      <c r="F23" t="s">
        <v>381</v>
      </c>
      <c r="G23" t="s">
        <v>381</v>
      </c>
      <c r="H23" s="2">
        <f>N23+P23</f>
        <v>100000</v>
      </c>
      <c r="I23" s="7">
        <f>INDEX('汇率表'!$A:$XFD,MATCH(F23,'汇率表'!$A:$A,0),MATCH(D23,'汇率表'!$1:$1,0))</f>
        <v>8.005700000000001</v>
      </c>
      <c r="J23" s="2">
        <f>H23*I23</f>
        <v>800570.0000000001</v>
      </c>
      <c r="K23" s="2">
        <f>O23+Q23</f>
        <v>793020</v>
      </c>
      <c r="L23" s="2">
        <f>K23-J23</f>
        <v>-7550.000000000116</v>
      </c>
      <c r="N23" s="2">
        <v>125000</v>
      </c>
      <c r="O23" s="2">
        <v>991275</v>
      </c>
      <c r="P23" s="2">
        <v>-25000</v>
      </c>
      <c r="Q23" s="2">
        <v>-198255</v>
      </c>
      <c r="R23" s="2">
        <v>0</v>
      </c>
      <c r="S23" s="2">
        <f>J23-K23</f>
        <v>7550.000000000116</v>
      </c>
      <c r="V23" s="2">
        <v>2505</v>
      </c>
    </row>
    <row r="24" spans="1:22">
      <c r="A24" t="s">
        <v>3</v>
      </c>
      <c r="B24" t="s">
        <v>368</v>
      </c>
      <c r="D24" t="s">
        <v>364</v>
      </c>
      <c r="E24" t="s">
        <v>542</v>
      </c>
      <c r="F24" t="s">
        <v>381</v>
      </c>
      <c r="G24" t="s">
        <v>381</v>
      </c>
      <c r="H24" s="2">
        <f>N24+P24</f>
        <v>-220000</v>
      </c>
      <c r="I24" s="7">
        <f>INDEX('汇率表'!$A:$XFD,MATCH(F24,'汇率表'!$A:$A,0),MATCH(D24,'汇率表'!$1:$1,0))</f>
        <v>6.8628</v>
      </c>
      <c r="J24" s="2">
        <f>H24*I24</f>
        <v>-1509816</v>
      </c>
      <c r="K24" s="2">
        <f>O24+Q24</f>
        <v>-1519471.5555555555</v>
      </c>
      <c r="L24" s="2">
        <f>K24-J24</f>
        <v>-9655.555555555504</v>
      </c>
      <c r="N24" s="2">
        <v>-210000</v>
      </c>
      <c r="O24" s="2">
        <v>-1453074</v>
      </c>
      <c r="P24" s="2">
        <v>-10000</v>
      </c>
      <c r="Q24" s="2">
        <v>-66397.55555555562</v>
      </c>
      <c r="R24" s="2">
        <v>0</v>
      </c>
      <c r="S24" s="2">
        <f>J24-K24</f>
        <v>9655.555555555504</v>
      </c>
      <c r="V24" s="2">
        <v>-4802.44444444438</v>
      </c>
    </row>
    <row r="25" spans="1:22">
      <c r="A25" t="s">
        <v>3</v>
      </c>
      <c r="B25" t="s">
        <v>369</v>
      </c>
      <c r="D25" t="s">
        <v>370</v>
      </c>
      <c r="E25" t="s">
        <v>542</v>
      </c>
      <c r="F25" t="s">
        <v>381</v>
      </c>
      <c r="G25" t="s">
        <v>381</v>
      </c>
      <c r="H25" s="2">
        <f>N25+P25</f>
        <v>-300000</v>
      </c>
      <c r="I25" s="7">
        <f>INDEX('汇率表'!$A:$XFD,MATCH(F25,'汇率表'!$A:$A,0),MATCH(D25,'汇率表'!$1:$1,0))</f>
        <v>0.87581</v>
      </c>
      <c r="J25" s="2">
        <f>H25*I25</f>
        <v>-262743</v>
      </c>
      <c r="K25" s="2">
        <f>O25+Q25</f>
        <v>-264656.6470588235</v>
      </c>
      <c r="L25" s="2">
        <f>K25-J25</f>
        <v>-1913.6470588234952</v>
      </c>
      <c r="N25" s="2">
        <v>-300000</v>
      </c>
      <c r="O25" s="2">
        <v>-264885</v>
      </c>
      <c r="P25" s="2">
        <v>0</v>
      </c>
      <c r="Q25" s="2">
        <v>228.35294117647572</v>
      </c>
      <c r="R25" s="2">
        <v>0</v>
      </c>
      <c r="S25" s="2">
        <f>J25-K25</f>
        <v>1913.6470588234952</v>
      </c>
      <c r="V25" s="2">
        <v>-228.35294117647572</v>
      </c>
    </row>
    <row r="26" spans="1:22">
      <c r="A26" t="s">
        <v>3</v>
      </c>
      <c r="B26" t="s">
        <v>371</v>
      </c>
      <c r="D26" t="s">
        <v>364</v>
      </c>
      <c r="E26" t="s">
        <v>542</v>
      </c>
      <c r="F26" t="s">
        <v>382</v>
      </c>
      <c r="G26" t="s">
        <v>694</v>
      </c>
      <c r="H26" s="2">
        <f>N26+P26</f>
        <v>440000</v>
      </c>
      <c r="I26" s="7">
        <f>INDEX('汇率表'!$A:$XFD,MATCH(F26,'汇率表'!$A:$A,0),MATCH(D26,'汇率表'!$1:$1,0))</f>
        <v>6.8176</v>
      </c>
      <c r="J26" s="2">
        <f>H26*I26</f>
        <v>2999744</v>
      </c>
      <c r="K26" s="2">
        <f>O26+Q26</f>
        <v>3017158.2083333335</v>
      </c>
      <c r="L26" s="2">
        <f>K26-J26</f>
        <v>17414.20833333349</v>
      </c>
      <c r="N26" s="2">
        <v>380000</v>
      </c>
      <c r="O26" s="2">
        <v>2607864</v>
      </c>
      <c r="P26" s="2">
        <v>60000</v>
      </c>
      <c r="Q26" s="2">
        <v>409294.2083333333</v>
      </c>
      <c r="R26" s="2">
        <v>0</v>
      </c>
      <c r="S26" s="2">
        <f>J26-K26</f>
        <v>-17414.20833333349</v>
      </c>
      <c r="V26" s="2">
        <v>17905.791666666686</v>
      </c>
    </row>
    <row r="27" spans="1:22">
      <c r="A27" t="s">
        <v>3</v>
      </c>
      <c r="B27" t="s">
        <v>378</v>
      </c>
      <c r="D27" t="s">
        <v>370</v>
      </c>
      <c r="E27" t="s">
        <v>542</v>
      </c>
      <c r="F27" t="s">
        <v>382</v>
      </c>
      <c r="G27" t="s">
        <v>694</v>
      </c>
      <c r="H27" s="2">
        <f>N27+P27</f>
        <v>430000</v>
      </c>
      <c r="I27" s="7">
        <f>INDEX('汇率表'!$A:$XFD,MATCH(F27,'汇率表'!$A:$A,0),MATCH(D27,'汇率表'!$1:$1,0))</f>
        <v>0.87029</v>
      </c>
      <c r="J27" s="2">
        <f>H27*I27</f>
        <v>374224.7</v>
      </c>
      <c r="K27" s="2">
        <f>O27+Q27</f>
        <v>376257.5</v>
      </c>
      <c r="L27" s="2">
        <f>K27-J27</f>
        <v>2032.7999999999884</v>
      </c>
      <c r="N27" s="2">
        <v>350000</v>
      </c>
      <c r="O27" s="2">
        <v>306533.5</v>
      </c>
      <c r="P27" s="2">
        <v>80000</v>
      </c>
      <c r="Q27" s="2">
        <v>69724</v>
      </c>
      <c r="R27" s="2">
        <v>0</v>
      </c>
      <c r="S27" s="2">
        <f>J27-K27</f>
        <v>-2032.7999999999884</v>
      </c>
      <c r="V27" s="2">
        <v>3076</v>
      </c>
    </row>
    <row r="28" spans="1:22">
      <c r="A28" t="s">
        <v>3</v>
      </c>
      <c r="B28" t="s">
        <v>363</v>
      </c>
      <c r="D28" t="s">
        <v>364</v>
      </c>
      <c r="E28" t="s">
        <v>542</v>
      </c>
      <c r="F28" t="s">
        <v>382</v>
      </c>
      <c r="G28" t="s">
        <v>694</v>
      </c>
      <c r="H28" s="2">
        <f>N28+P28</f>
        <v>530000</v>
      </c>
      <c r="I28" s="7">
        <f>INDEX('汇率表'!$A:$XFD,MATCH(F28,'汇率表'!$A:$A,0),MATCH(D28,'汇率表'!$1:$1,0))</f>
        <v>6.8176</v>
      </c>
      <c r="J28" s="2">
        <f>H28*I28</f>
        <v>3613328</v>
      </c>
      <c r="K28" s="2">
        <f>O28+Q28</f>
        <v>3637284</v>
      </c>
      <c r="L28" s="2">
        <f>K28-J28</f>
        <v>23956</v>
      </c>
      <c r="N28" s="2">
        <v>540000</v>
      </c>
      <c r="O28" s="2">
        <v>3705912</v>
      </c>
      <c r="P28" s="2">
        <v>-10000</v>
      </c>
      <c r="Q28" s="2">
        <v>-68628</v>
      </c>
      <c r="R28" s="2">
        <v>0</v>
      </c>
      <c r="S28" s="2">
        <f>J28-K28</f>
        <v>-23956</v>
      </c>
      <c r="V28" s="2">
        <v>-2572</v>
      </c>
    </row>
    <row r="29" spans="1:22">
      <c r="A29" t="s">
        <v>3</v>
      </c>
      <c r="B29" t="s">
        <v>372</v>
      </c>
      <c r="D29" t="s">
        <v>373</v>
      </c>
      <c r="E29" t="s">
        <v>542</v>
      </c>
      <c r="F29" t="s">
        <v>382</v>
      </c>
      <c r="G29" t="s">
        <v>694</v>
      </c>
      <c r="H29" s="2">
        <f>N29+P29</f>
        <v>100000</v>
      </c>
      <c r="I29" s="7">
        <f>INDEX('汇率表'!$A:$XFD,MATCH(F29,'汇率表'!$A:$A,0),MATCH(D29,'汇率表'!$1:$1,0))</f>
        <v>7.916</v>
      </c>
      <c r="J29" s="2">
        <f>H29*I29</f>
        <v>791600</v>
      </c>
      <c r="K29" s="2">
        <f>O29+Q29</f>
        <v>800570.0000000001</v>
      </c>
      <c r="L29" s="2">
        <f>K29-J29</f>
        <v>8970.000000000116</v>
      </c>
      <c r="N29" s="2">
        <v>100000</v>
      </c>
      <c r="O29" s="2">
        <v>800570.0000000001</v>
      </c>
      <c r="P29" s="2">
        <v>0</v>
      </c>
      <c r="Q29" s="2">
        <v>0</v>
      </c>
      <c r="R29" s="2">
        <v>0</v>
      </c>
      <c r="S29" s="2">
        <f>J29-K29</f>
        <v>-8970.000000000116</v>
      </c>
      <c r="V29" s="2">
        <v>0</v>
      </c>
    </row>
    <row r="30" spans="1:22">
      <c r="A30" t="s">
        <v>3</v>
      </c>
      <c r="B30" t="s">
        <v>368</v>
      </c>
      <c r="D30" t="s">
        <v>364</v>
      </c>
      <c r="E30" t="s">
        <v>542</v>
      </c>
      <c r="F30" t="s">
        <v>382</v>
      </c>
      <c r="G30" t="s">
        <v>694</v>
      </c>
      <c r="H30" s="2">
        <f>N30+P30</f>
        <v>-230000</v>
      </c>
      <c r="I30" s="7">
        <f>INDEX('汇率表'!$A:$XFD,MATCH(F30,'汇率表'!$A:$A,0),MATCH(D30,'汇率表'!$1:$1,0))</f>
        <v>6.8176</v>
      </c>
      <c r="J30" s="2">
        <f>H30*I30</f>
        <v>-1568048</v>
      </c>
      <c r="K30" s="2">
        <f>O30+Q30</f>
        <v>-1577372.5172413792</v>
      </c>
      <c r="L30" s="2">
        <f>K30-J30</f>
        <v>-9324.517241379246</v>
      </c>
      <c r="N30" s="2">
        <v>-220000</v>
      </c>
      <c r="O30" s="2">
        <v>-1509816</v>
      </c>
      <c r="P30" s="2">
        <v>-10000</v>
      </c>
      <c r="Q30" s="2">
        <v>-67556.51724137936</v>
      </c>
      <c r="R30" s="2">
        <v>0</v>
      </c>
      <c r="S30" s="2">
        <f>J30-K30</f>
        <v>9324.517241379246</v>
      </c>
      <c r="V30" s="2">
        <v>-3643.4827586206375</v>
      </c>
    </row>
    <row r="31" spans="1:22">
      <c r="A31" t="s">
        <v>3</v>
      </c>
      <c r="B31" t="s">
        <v>369</v>
      </c>
      <c r="D31" t="s">
        <v>370</v>
      </c>
      <c r="E31" t="s">
        <v>542</v>
      </c>
      <c r="F31" t="s">
        <v>382</v>
      </c>
      <c r="G31" t="s">
        <v>694</v>
      </c>
      <c r="H31" s="2">
        <f>N31+P31</f>
        <v>-300000</v>
      </c>
      <c r="I31" s="7">
        <f>INDEX('汇率表'!$A:$XFD,MATCH(F31,'汇率表'!$A:$A,0),MATCH(D31,'汇率表'!$1:$1,0))</f>
        <v>0.87029</v>
      </c>
      <c r="J31" s="2">
        <f>H31*I31</f>
        <v>-261087</v>
      </c>
      <c r="K31" s="2">
        <f>O31+Q31</f>
        <v>-262743</v>
      </c>
      <c r="L31" s="2">
        <f>K31-J31</f>
        <v>-1656</v>
      </c>
      <c r="N31" s="2">
        <v>-300000</v>
      </c>
      <c r="O31" s="2">
        <v>-262743</v>
      </c>
      <c r="P31" s="2">
        <v>0</v>
      </c>
      <c r="Q31" s="2">
        <v>0</v>
      </c>
      <c r="R31" s="2">
        <v>0</v>
      </c>
      <c r="S31" s="2">
        <f>J31-K31</f>
        <v>1656</v>
      </c>
      <c r="V31" s="2">
        <v>0</v>
      </c>
    </row>
    <row r="32" spans="1:22">
      <c r="A32" t="s">
        <v>3</v>
      </c>
      <c r="B32" t="s">
        <v>371</v>
      </c>
      <c r="D32" t="s">
        <v>364</v>
      </c>
      <c r="E32" t="s">
        <v>542</v>
      </c>
      <c r="F32" t="s">
        <v>383</v>
      </c>
      <c r="G32" t="s">
        <v>383</v>
      </c>
      <c r="H32" s="2">
        <f>N32+P32</f>
        <v>520000</v>
      </c>
      <c r="I32" s="7">
        <f>INDEX('汇率表'!$A:$XFD,MATCH(F32,'汇率表'!$A:$A,0),MATCH(D32,'汇率表'!$1:$1,0))</f>
        <v>6.8109</v>
      </c>
      <c r="J32" s="2">
        <f>H32*I32</f>
        <v>3541668</v>
      </c>
      <c r="K32" s="2">
        <f>O32+Q32</f>
        <v>3544203.25</v>
      </c>
      <c r="L32" s="2">
        <f>K32-J32</f>
        <v>2535.25</v>
      </c>
      <c r="N32" s="2">
        <v>440000</v>
      </c>
      <c r="O32" s="2">
        <v>2999744</v>
      </c>
      <c r="P32" s="2">
        <v>80000</v>
      </c>
      <c r="Q32" s="2">
        <v>544459.25</v>
      </c>
      <c r="R32" s="2">
        <v>0</v>
      </c>
      <c r="S32" s="2">
        <f>J32-K32</f>
        <v>-2535.25</v>
      </c>
      <c r="T32" s="2">
        <v>3702400</v>
      </c>
      <c r="U32" s="2">
        <f>J32-T32</f>
        <v>-160732</v>
      </c>
      <c r="V32" s="2">
        <v>25140.75000000003</v>
      </c>
    </row>
    <row r="33" spans="1:22">
      <c r="A33" t="s">
        <v>3</v>
      </c>
      <c r="B33" t="s">
        <v>378</v>
      </c>
      <c r="D33" t="s">
        <v>370</v>
      </c>
      <c r="E33" t="s">
        <v>542</v>
      </c>
      <c r="F33" t="s">
        <v>383</v>
      </c>
      <c r="G33" t="s">
        <v>383</v>
      </c>
      <c r="H33" s="2">
        <f>N33+P33</f>
        <v>385000</v>
      </c>
      <c r="I33" s="7">
        <f>INDEX('汇率表'!$A:$XFD,MATCH(F33,'汇率表'!$A:$A,0),MATCH(D33,'汇率表'!$1:$1,0))</f>
        <v>0.86855</v>
      </c>
      <c r="J33" s="2">
        <f>H33*I33</f>
        <v>334391.75</v>
      </c>
      <c r="K33" s="2">
        <f>O33+Q33</f>
        <v>335085.95</v>
      </c>
      <c r="L33" s="2">
        <f>K33-J33</f>
        <v>694.2000000000116</v>
      </c>
      <c r="N33" s="2">
        <v>430000</v>
      </c>
      <c r="O33" s="2">
        <v>374224.7</v>
      </c>
      <c r="P33" s="2">
        <v>-45000</v>
      </c>
      <c r="Q33" s="2">
        <v>-39138.74999999999</v>
      </c>
      <c r="R33" s="2">
        <v>0</v>
      </c>
      <c r="S33" s="2">
        <f>J33-K33</f>
        <v>-694.2000000000116</v>
      </c>
      <c r="T33" s="2">
        <v>350350</v>
      </c>
      <c r="U33" s="2">
        <f>J33-T33</f>
        <v>-15958.25</v>
      </c>
      <c r="V33" s="2">
        <v>-1811.2500000000073</v>
      </c>
    </row>
    <row r="34" spans="1:22">
      <c r="A34" t="s">
        <v>3</v>
      </c>
      <c r="B34" t="s">
        <v>363</v>
      </c>
      <c r="D34" t="s">
        <v>364</v>
      </c>
      <c r="E34" t="s">
        <v>542</v>
      </c>
      <c r="F34" t="s">
        <v>383</v>
      </c>
      <c r="G34" t="s">
        <v>383</v>
      </c>
      <c r="H34" s="2">
        <f>N34+P34</f>
        <v>610000</v>
      </c>
      <c r="I34" s="7">
        <f>INDEX('汇率表'!$A:$XFD,MATCH(F34,'汇率表'!$A:$A,0),MATCH(D34,'汇率表'!$1:$1,0))</f>
        <v>6.8109</v>
      </c>
      <c r="J34" s="2">
        <f>H34*I34</f>
        <v>4154649</v>
      </c>
      <c r="K34" s="2">
        <f>O34+Q34</f>
        <v>4158354.5569620254</v>
      </c>
      <c r="L34" s="2">
        <f>K34-J34</f>
        <v>3705.556962025352</v>
      </c>
      <c r="N34" s="2">
        <v>530000</v>
      </c>
      <c r="O34" s="2">
        <v>3613328</v>
      </c>
      <c r="P34" s="2">
        <v>80000</v>
      </c>
      <c r="Q34" s="2">
        <v>545026.5569620254</v>
      </c>
      <c r="R34" s="2">
        <v>0</v>
      </c>
      <c r="S34" s="2">
        <f>J34-K34</f>
        <v>-3705.556962025352</v>
      </c>
      <c r="T34" s="2">
        <v>4343200</v>
      </c>
      <c r="U34" s="2">
        <f>J34-T34</f>
        <v>-188551</v>
      </c>
      <c r="V34" s="2">
        <v>24573.443037974648</v>
      </c>
    </row>
    <row r="35" spans="1:22">
      <c r="A35" t="s">
        <v>3</v>
      </c>
      <c r="B35" t="s">
        <v>372</v>
      </c>
      <c r="D35" t="s">
        <v>373</v>
      </c>
      <c r="E35" t="s">
        <v>542</v>
      </c>
      <c r="F35" t="s">
        <v>383</v>
      </c>
      <c r="G35" t="s">
        <v>383</v>
      </c>
      <c r="H35" s="2">
        <f>N35+P35</f>
        <v>75000</v>
      </c>
      <c r="I35" s="7">
        <f>INDEX('汇率表'!$A:$XFD,MATCH(F35,'汇率表'!$A:$A,0),MATCH(D35,'汇率表'!$1:$1,0))</f>
        <v>7.7671</v>
      </c>
      <c r="J35" s="2">
        <f>H35*I35</f>
        <v>582532.5</v>
      </c>
      <c r="K35" s="2">
        <f>O35+Q35</f>
        <v>593700</v>
      </c>
      <c r="L35" s="2">
        <f>K35-J35</f>
        <v>11167.5</v>
      </c>
      <c r="N35" s="2">
        <v>100000</v>
      </c>
      <c r="O35" s="2">
        <v>791600</v>
      </c>
      <c r="P35" s="2">
        <v>-25000</v>
      </c>
      <c r="Q35" s="2">
        <v>-197900</v>
      </c>
      <c r="R35" s="2">
        <v>0</v>
      </c>
      <c r="S35" s="2">
        <f>J35-K35</f>
        <v>-11167.5</v>
      </c>
      <c r="T35" s="2">
        <v>587250</v>
      </c>
      <c r="U35" s="2">
        <f>J35-T35</f>
        <v>-4717.5</v>
      </c>
      <c r="V35" s="2">
        <v>2150</v>
      </c>
    </row>
    <row r="36" spans="1:22">
      <c r="A36" t="s">
        <v>3</v>
      </c>
      <c r="B36" t="s">
        <v>368</v>
      </c>
      <c r="D36" t="s">
        <v>364</v>
      </c>
      <c r="E36" t="s">
        <v>542</v>
      </c>
      <c r="F36" t="s">
        <v>383</v>
      </c>
      <c r="G36" t="s">
        <v>383</v>
      </c>
      <c r="H36" s="2">
        <f>N36+P36</f>
        <v>-240000</v>
      </c>
      <c r="I36" s="7">
        <f>INDEX('汇率表'!$A:$XFD,MATCH(F36,'汇率表'!$A:$A,0),MATCH(D36,'汇率表'!$1:$1,0))</f>
        <v>6.8109</v>
      </c>
      <c r="J36" s="2">
        <f>H36*I36</f>
        <v>-1634616</v>
      </c>
      <c r="K36" s="2">
        <f>O36+Q36</f>
        <v>-1635966.4</v>
      </c>
      <c r="L36" s="2">
        <f>K36-J36</f>
        <v>-1350.3999999999069</v>
      </c>
      <c r="N36" s="2">
        <v>-230000</v>
      </c>
      <c r="O36" s="2">
        <v>-1568048</v>
      </c>
      <c r="P36" s="2">
        <v>-10000</v>
      </c>
      <c r="Q36" s="2">
        <v>-67918.40000000002</v>
      </c>
      <c r="R36" s="2">
        <v>0</v>
      </c>
      <c r="S36" s="2">
        <f>J36-K36</f>
        <v>1350.3999999999069</v>
      </c>
      <c r="T36" s="2">
        <v>-1708800</v>
      </c>
      <c r="U36" s="2">
        <f>J36-T36</f>
        <v>74184</v>
      </c>
      <c r="V36" s="2">
        <v>-3281.5999999999767</v>
      </c>
    </row>
    <row r="37" spans="1:22">
      <c r="A37" t="s">
        <v>3</v>
      </c>
      <c r="B37" t="s">
        <v>369</v>
      </c>
      <c r="D37" t="s">
        <v>370</v>
      </c>
      <c r="E37" t="s">
        <v>542</v>
      </c>
      <c r="F37" t="s">
        <v>383</v>
      </c>
      <c r="G37" t="s">
        <v>383</v>
      </c>
      <c r="H37" s="2">
        <f>N37+P37</f>
        <v>-300000</v>
      </c>
      <c r="I37" s="7">
        <f>INDEX('汇率表'!$A:$XFD,MATCH(F37,'汇率表'!$A:$A,0),MATCH(D37,'汇率表'!$1:$1,0))</f>
        <v>0.86855</v>
      </c>
      <c r="J37" s="2">
        <f>H37*I37</f>
        <v>-260565</v>
      </c>
      <c r="K37" s="2">
        <f>O37+Q37</f>
        <v>-261057.26086956522</v>
      </c>
      <c r="L37" s="2">
        <f>K37-J37</f>
        <v>-492.2608695652161</v>
      </c>
      <c r="N37" s="2">
        <v>-300000</v>
      </c>
      <c r="O37" s="2">
        <v>-261087</v>
      </c>
      <c r="P37" s="2">
        <v>0</v>
      </c>
      <c r="Q37" s="2">
        <v>29.739130434776598</v>
      </c>
      <c r="R37" s="2">
        <v>0</v>
      </c>
      <c r="S37" s="2">
        <f>J37-K37</f>
        <v>492.2608695652161</v>
      </c>
      <c r="T37" s="2">
        <v>-273000</v>
      </c>
      <c r="U37" s="2">
        <f>J37-T37</f>
        <v>12435</v>
      </c>
      <c r="V37" s="2">
        <v>-29.739130434776598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1" width="24.7109375" customWidth="1"/>
    <col min="22" max="22" width="36.7109375" customWidth="1"/>
    <col min="23" max="33" width="24.7109375" customWidth="1"/>
  </cols>
  <sheetData>
    <row r="1" spans="1:33">
      <c r="A1" s="1" t="s">
        <v>352</v>
      </c>
      <c r="B1" s="1" t="s">
        <v>1083</v>
      </c>
      <c r="C1" s="1" t="s">
        <v>1074</v>
      </c>
      <c r="D1" s="1" t="s">
        <v>1069</v>
      </c>
      <c r="E1" s="1" t="s">
        <v>1080</v>
      </c>
      <c r="F1" s="1" t="s">
        <v>1081</v>
      </c>
      <c r="G1" s="1" t="s">
        <v>398</v>
      </c>
      <c r="H1" s="1" t="s">
        <v>1087</v>
      </c>
      <c r="I1" s="1" t="s">
        <v>1088</v>
      </c>
      <c r="J1" s="1" t="s">
        <v>1089</v>
      </c>
      <c r="K1" s="1" t="s">
        <v>1090</v>
      </c>
      <c r="L1" s="1" t="s">
        <v>25</v>
      </c>
      <c r="M1" s="1" t="s">
        <v>1091</v>
      </c>
      <c r="N1" s="1" t="s">
        <v>1092</v>
      </c>
      <c r="O1" s="1" t="s">
        <v>353</v>
      </c>
      <c r="P1" s="1" t="s">
        <v>1049</v>
      </c>
      <c r="Q1" s="1" t="s">
        <v>1050</v>
      </c>
      <c r="R1" s="1" t="s">
        <v>1093</v>
      </c>
      <c r="S1" s="1" t="s">
        <v>1094</v>
      </c>
      <c r="T1" s="1" t="s">
        <v>2</v>
      </c>
      <c r="U1" s="1" t="s">
        <v>1054</v>
      </c>
      <c r="V1" s="1" t="s">
        <v>1095</v>
      </c>
      <c r="W1" s="1" t="s">
        <v>1070</v>
      </c>
      <c r="X1" s="1" t="s">
        <v>1058</v>
      </c>
      <c r="Y1" s="1" t="s">
        <v>1079</v>
      </c>
      <c r="Z1" s="1" t="s">
        <v>1096</v>
      </c>
      <c r="AA1" s="1" t="s">
        <v>1097</v>
      </c>
      <c r="AB1" s="1" t="s">
        <v>517</v>
      </c>
      <c r="AC1" s="1" t="s">
        <v>1098</v>
      </c>
      <c r="AD1" s="1" t="s">
        <v>1099</v>
      </c>
      <c r="AE1" s="1" t="s">
        <v>1084</v>
      </c>
      <c r="AF1" s="1" t="s">
        <v>1085</v>
      </c>
      <c r="AG1" s="1" t="s">
        <v>430</v>
      </c>
    </row>
    <row r="2" spans="1:33">
      <c r="A2" t="s">
        <v>371</v>
      </c>
      <c r="B2" s="2">
        <v>-25601.600000000093</v>
      </c>
      <c r="C2" s="2">
        <v>1532916</v>
      </c>
      <c r="E2" s="2">
        <v>20000</v>
      </c>
      <c r="F2" s="2">
        <v>134517.6</v>
      </c>
      <c r="G2" s="2">
        <v>-0</v>
      </c>
      <c r="H2" s="2">
        <v>0</v>
      </c>
      <c r="I2" t="s">
        <v>405</v>
      </c>
      <c r="J2" t="s">
        <v>405</v>
      </c>
      <c r="K2" s="2">
        <v>220000</v>
      </c>
      <c r="L2" t="s">
        <v>364</v>
      </c>
      <c r="M2" s="2">
        <v>1566400</v>
      </c>
      <c r="N2" s="2">
        <v>1566400</v>
      </c>
      <c r="O2" s="2">
        <v>7.12</v>
      </c>
      <c r="P2" t="s">
        <v>376</v>
      </c>
      <c r="Q2" t="s">
        <v>366</v>
      </c>
      <c r="R2" s="2">
        <v>0.15220000000000056</v>
      </c>
      <c r="S2" s="2">
        <v>-33484.000000000124</v>
      </c>
      <c r="T2" t="s">
        <v>3</v>
      </c>
      <c r="U2" t="s">
        <v>542</v>
      </c>
      <c r="V2" t="s">
        <v>1100</v>
      </c>
      <c r="W2" t="s">
        <v>375</v>
      </c>
      <c r="X2" s="2">
        <v>6.9677999999999995</v>
      </c>
      <c r="Y2" s="2">
        <v>1424000</v>
      </c>
      <c r="Z2" s="2">
        <v>200000</v>
      </c>
      <c r="AA2" s="2">
        <v>1558517.6</v>
      </c>
      <c r="AB2" t="s">
        <v>600</v>
      </c>
      <c r="AC2" s="2">
        <v>7882.399999999994</v>
      </c>
      <c r="AD2" s="2">
        <v>25601.600000000093</v>
      </c>
      <c r="AG2" s="2">
        <v>25601.600000000093</v>
      </c>
    </row>
    <row r="3" spans="1:33">
      <c r="A3" t="s">
        <v>378</v>
      </c>
      <c r="B3" s="2">
        <v>-8524.399999999965</v>
      </c>
      <c r="C3" s="2">
        <v>410605.2</v>
      </c>
      <c r="E3" s="2">
        <v>-40000</v>
      </c>
      <c r="F3" s="2">
        <v>-35870.4</v>
      </c>
      <c r="G3" s="2">
        <v>-0</v>
      </c>
      <c r="H3" s="2">
        <v>0</v>
      </c>
      <c r="I3" t="s">
        <v>405</v>
      </c>
      <c r="J3" t="s">
        <v>405</v>
      </c>
      <c r="K3" s="2">
        <v>460000</v>
      </c>
      <c r="L3" t="s">
        <v>370</v>
      </c>
      <c r="M3" s="2">
        <v>418600</v>
      </c>
      <c r="N3" s="2">
        <v>418600</v>
      </c>
      <c r="O3" s="2">
        <v>0.91</v>
      </c>
      <c r="P3" t="s">
        <v>376</v>
      </c>
      <c r="Q3" t="s">
        <v>366</v>
      </c>
      <c r="R3" s="2">
        <v>0.017380000000000062</v>
      </c>
      <c r="S3" s="2">
        <v>-7994.800000000028</v>
      </c>
      <c r="T3" t="s">
        <v>3</v>
      </c>
      <c r="U3" t="s">
        <v>542</v>
      </c>
      <c r="V3" t="s">
        <v>1100</v>
      </c>
      <c r="W3" t="s">
        <v>375</v>
      </c>
      <c r="X3" s="2">
        <v>0.89262</v>
      </c>
      <c r="Y3" s="2">
        <v>455000</v>
      </c>
      <c r="Z3" s="2">
        <v>500000</v>
      </c>
      <c r="AA3" s="2">
        <v>419129.6</v>
      </c>
      <c r="AB3" t="s">
        <v>600</v>
      </c>
      <c r="AC3" s="2">
        <v>-529.5999999999985</v>
      </c>
      <c r="AD3" s="2">
        <v>8524.399999999965</v>
      </c>
      <c r="AG3" s="2">
        <v>8524.399999999965</v>
      </c>
    </row>
    <row r="4" spans="1:33">
      <c r="A4" t="s">
        <v>363</v>
      </c>
      <c r="B4" s="2">
        <v>-47886.4615384615</v>
      </c>
      <c r="C4" s="2">
        <v>2926476</v>
      </c>
      <c r="E4" s="2">
        <v>100000</v>
      </c>
      <c r="F4" s="2">
        <v>695962.4615384615</v>
      </c>
      <c r="G4" s="2">
        <v>-0</v>
      </c>
      <c r="H4" s="2">
        <v>0</v>
      </c>
      <c r="I4" t="s">
        <v>405</v>
      </c>
      <c r="J4" t="s">
        <v>405</v>
      </c>
      <c r="K4" s="2">
        <v>420000</v>
      </c>
      <c r="L4" t="s">
        <v>364</v>
      </c>
      <c r="M4" s="2">
        <v>2990400</v>
      </c>
      <c r="N4" s="2">
        <v>2990400</v>
      </c>
      <c r="O4" s="2">
        <v>7.12</v>
      </c>
      <c r="P4" t="s">
        <v>376</v>
      </c>
      <c r="Q4" t="s">
        <v>366</v>
      </c>
      <c r="R4" s="2">
        <v>0.15220000000000056</v>
      </c>
      <c r="S4" s="2">
        <v>-63924.00000000023</v>
      </c>
      <c r="T4" t="s">
        <v>3</v>
      </c>
      <c r="U4" t="s">
        <v>542</v>
      </c>
      <c r="V4" t="s">
        <v>1100</v>
      </c>
      <c r="W4" t="s">
        <v>375</v>
      </c>
      <c r="X4" s="2">
        <v>6.9677999999999995</v>
      </c>
      <c r="Y4" s="2">
        <v>2278400</v>
      </c>
      <c r="Z4" s="2">
        <v>320000</v>
      </c>
      <c r="AA4" s="2">
        <v>2974362.4615384615</v>
      </c>
      <c r="AB4" t="s">
        <v>600</v>
      </c>
      <c r="AC4" s="2">
        <v>16037.538461538497</v>
      </c>
      <c r="AD4" s="2">
        <v>47886.4615384615</v>
      </c>
      <c r="AG4" s="2">
        <v>47886.4615384615</v>
      </c>
    </row>
    <row r="5" spans="1:33">
      <c r="A5" t="s">
        <v>372</v>
      </c>
      <c r="B5" s="2">
        <v>74160</v>
      </c>
      <c r="C5" s="2">
        <v>1248660</v>
      </c>
      <c r="E5" s="2">
        <v>0</v>
      </c>
      <c r="F5" s="2">
        <v>0</v>
      </c>
      <c r="G5" s="2">
        <v>-0</v>
      </c>
      <c r="H5" s="2">
        <v>0</v>
      </c>
      <c r="I5" t="s">
        <v>405</v>
      </c>
      <c r="J5" t="s">
        <v>405</v>
      </c>
      <c r="K5" s="2">
        <v>150000</v>
      </c>
      <c r="L5" t="s">
        <v>373</v>
      </c>
      <c r="M5" s="2">
        <v>1174500</v>
      </c>
      <c r="N5" s="2">
        <v>1174500</v>
      </c>
      <c r="O5" s="2">
        <v>7.83</v>
      </c>
      <c r="P5" t="s">
        <v>376</v>
      </c>
      <c r="Q5" t="s">
        <v>366</v>
      </c>
      <c r="R5" s="2">
        <v>-0.4944000000000006</v>
      </c>
      <c r="S5" s="2">
        <v>74160.00000000009</v>
      </c>
      <c r="T5" t="s">
        <v>3</v>
      </c>
      <c r="U5" t="s">
        <v>542</v>
      </c>
      <c r="V5" t="s">
        <v>1100</v>
      </c>
      <c r="W5" t="s">
        <v>375</v>
      </c>
      <c r="X5" s="2">
        <v>8.3244</v>
      </c>
      <c r="Y5" s="2">
        <v>1174500</v>
      </c>
      <c r="Z5" s="2">
        <v>150000</v>
      </c>
      <c r="AA5" s="2">
        <v>1174500</v>
      </c>
      <c r="AB5" t="s">
        <v>600</v>
      </c>
      <c r="AC5" s="2">
        <v>0</v>
      </c>
      <c r="AD5" s="2">
        <v>-74160</v>
      </c>
      <c r="AG5" s="2">
        <v>-74160</v>
      </c>
    </row>
    <row r="6" spans="1:33">
      <c r="A6" t="s">
        <v>368</v>
      </c>
      <c r="B6" s="2">
        <v>23588.5</v>
      </c>
      <c r="C6" s="2">
        <v>-1323882</v>
      </c>
      <c r="E6" s="2">
        <v>-10000</v>
      </c>
      <c r="F6" s="2">
        <v>-65870.5</v>
      </c>
      <c r="G6" s="2">
        <v>-0</v>
      </c>
      <c r="H6" s="2">
        <v>0</v>
      </c>
      <c r="I6" t="s">
        <v>405</v>
      </c>
      <c r="J6" t="s">
        <v>405</v>
      </c>
      <c r="K6" s="2">
        <v>-190000</v>
      </c>
      <c r="L6" t="s">
        <v>364</v>
      </c>
      <c r="M6" s="2">
        <v>-1352800</v>
      </c>
      <c r="N6" s="2">
        <v>-1352800</v>
      </c>
      <c r="O6" s="2">
        <v>7.12</v>
      </c>
      <c r="P6" t="s">
        <v>376</v>
      </c>
      <c r="Q6" t="s">
        <v>366</v>
      </c>
      <c r="R6" s="2">
        <v>0.15220000000000056</v>
      </c>
      <c r="S6" s="2">
        <v>28918.000000000106</v>
      </c>
      <c r="T6" t="s">
        <v>3</v>
      </c>
      <c r="U6" t="s">
        <v>542</v>
      </c>
      <c r="V6" t="s">
        <v>1100</v>
      </c>
      <c r="W6" t="s">
        <v>375</v>
      </c>
      <c r="X6" s="2">
        <v>6.9677999999999995</v>
      </c>
      <c r="Y6" s="2">
        <v>-1281600</v>
      </c>
      <c r="Z6" s="2">
        <v>-180000</v>
      </c>
      <c r="AA6" s="2">
        <v>-1347470.5</v>
      </c>
      <c r="AB6" t="s">
        <v>600</v>
      </c>
      <c r="AC6" s="2">
        <v>-5329.5</v>
      </c>
      <c r="AD6" s="2">
        <v>-23588.5</v>
      </c>
      <c r="AG6" s="2">
        <v>-23588.5</v>
      </c>
    </row>
    <row r="7" spans="1:33">
      <c r="A7" t="s">
        <v>369</v>
      </c>
      <c r="B7" s="2">
        <v>4746.705882352951</v>
      </c>
      <c r="C7" s="2">
        <v>-267786</v>
      </c>
      <c r="E7" s="2">
        <v>0</v>
      </c>
      <c r="F7" s="2">
        <v>467.2941176470631</v>
      </c>
      <c r="G7" s="2">
        <v>-0</v>
      </c>
      <c r="H7" s="2">
        <v>0</v>
      </c>
      <c r="I7" t="s">
        <v>405</v>
      </c>
      <c r="J7" t="s">
        <v>405</v>
      </c>
      <c r="K7" s="2">
        <v>-300000</v>
      </c>
      <c r="L7" t="s">
        <v>370</v>
      </c>
      <c r="M7" s="2">
        <v>-273000</v>
      </c>
      <c r="N7" s="2">
        <v>-273000</v>
      </c>
      <c r="O7" s="2">
        <v>0.91</v>
      </c>
      <c r="P7" t="s">
        <v>376</v>
      </c>
      <c r="Q7" t="s">
        <v>366</v>
      </c>
      <c r="R7" s="2">
        <v>0.017380000000000062</v>
      </c>
      <c r="S7" s="2">
        <v>5214.000000000018</v>
      </c>
      <c r="T7" t="s">
        <v>3</v>
      </c>
      <c r="U7" t="s">
        <v>542</v>
      </c>
      <c r="V7" t="s">
        <v>1100</v>
      </c>
      <c r="W7" t="s">
        <v>375</v>
      </c>
      <c r="X7" s="2">
        <v>0.89262</v>
      </c>
      <c r="Y7" s="2">
        <v>-273000</v>
      </c>
      <c r="Z7" s="2">
        <v>-300000</v>
      </c>
      <c r="AA7" s="2">
        <v>-272532.70588235295</v>
      </c>
      <c r="AB7" t="s">
        <v>600</v>
      </c>
      <c r="AC7" s="2">
        <v>-467.2941176470631</v>
      </c>
      <c r="AD7" s="2">
        <v>-4746.705882352951</v>
      </c>
      <c r="AG7" s="2">
        <v>-4746.705882352951</v>
      </c>
    </row>
    <row r="8" spans="1:33">
      <c r="A8" t="s">
        <v>371</v>
      </c>
      <c r="B8" s="2">
        <v>-10494.46666666679</v>
      </c>
      <c r="C8" s="2">
        <v>1799928</v>
      </c>
      <c r="E8" s="2">
        <v>40000</v>
      </c>
      <c r="F8" s="2">
        <v>277506.4666666667</v>
      </c>
      <c r="G8" s="2">
        <v>-0</v>
      </c>
      <c r="H8" s="2">
        <v>0</v>
      </c>
      <c r="I8" t="s">
        <v>405</v>
      </c>
      <c r="J8" t="s">
        <v>405</v>
      </c>
      <c r="K8" s="2">
        <v>260000</v>
      </c>
      <c r="L8" t="s">
        <v>364</v>
      </c>
      <c r="M8" s="2">
        <v>1851200</v>
      </c>
      <c r="N8" s="2">
        <v>1851200</v>
      </c>
      <c r="O8" s="2">
        <v>7.12</v>
      </c>
      <c r="P8" t="s">
        <v>376</v>
      </c>
      <c r="Q8" t="s">
        <v>366</v>
      </c>
      <c r="R8" s="2">
        <v>0.19720000000000049</v>
      </c>
      <c r="S8" s="2">
        <v>-51272.000000000124</v>
      </c>
      <c r="T8" t="s">
        <v>3</v>
      </c>
      <c r="U8" t="s">
        <v>542</v>
      </c>
      <c r="V8" t="s">
        <v>1100</v>
      </c>
      <c r="W8" t="s">
        <v>379</v>
      </c>
      <c r="X8" s="2">
        <v>6.9228</v>
      </c>
      <c r="Y8" s="2">
        <v>1532916</v>
      </c>
      <c r="Z8" s="2">
        <v>220000</v>
      </c>
      <c r="AA8" s="2">
        <v>1810422.4666666668</v>
      </c>
      <c r="AB8" t="s">
        <v>622</v>
      </c>
      <c r="AC8" s="2">
        <v>7293.533333333326</v>
      </c>
      <c r="AD8" s="2">
        <v>10494.46666666679</v>
      </c>
      <c r="AG8" s="2">
        <v>10494.46666666679</v>
      </c>
    </row>
    <row r="9" spans="1:33">
      <c r="A9" t="s">
        <v>378</v>
      </c>
      <c r="B9" s="2">
        <v>-3492.0999999999767</v>
      </c>
      <c r="C9" s="2">
        <v>380481.2</v>
      </c>
      <c r="E9" s="2">
        <v>-30000</v>
      </c>
      <c r="F9" s="2">
        <v>-26631.899999999998</v>
      </c>
      <c r="G9" s="2">
        <v>-0</v>
      </c>
      <c r="H9" s="2">
        <v>0</v>
      </c>
      <c r="I9" t="s">
        <v>405</v>
      </c>
      <c r="J9" t="s">
        <v>405</v>
      </c>
      <c r="K9" s="2">
        <v>430000</v>
      </c>
      <c r="L9" t="s">
        <v>370</v>
      </c>
      <c r="M9" s="2">
        <v>391300</v>
      </c>
      <c r="N9" s="2">
        <v>391300</v>
      </c>
      <c r="O9" s="2">
        <v>0.91</v>
      </c>
      <c r="P9" t="s">
        <v>376</v>
      </c>
      <c r="Q9" t="s">
        <v>366</v>
      </c>
      <c r="R9" s="2">
        <v>0.02516000000000007</v>
      </c>
      <c r="S9" s="2">
        <v>-10818.80000000003</v>
      </c>
      <c r="T9" t="s">
        <v>3</v>
      </c>
      <c r="U9" t="s">
        <v>542</v>
      </c>
      <c r="V9" t="s">
        <v>1100</v>
      </c>
      <c r="W9" t="s">
        <v>379</v>
      </c>
      <c r="X9" s="2">
        <v>0.88484</v>
      </c>
      <c r="Y9" s="2">
        <v>410605.2</v>
      </c>
      <c r="Z9" s="2">
        <v>460000</v>
      </c>
      <c r="AA9" s="2">
        <v>383973.3</v>
      </c>
      <c r="AB9" t="s">
        <v>622</v>
      </c>
      <c r="AC9" s="2">
        <v>-668.1000000000022</v>
      </c>
      <c r="AD9" s="2">
        <v>3492.0999999999767</v>
      </c>
      <c r="AG9" s="2">
        <v>3492.0999999999767</v>
      </c>
    </row>
    <row r="10" spans="1:33">
      <c r="A10" t="s">
        <v>363</v>
      </c>
      <c r="B10" s="2">
        <v>-17308.80000000028</v>
      </c>
      <c r="C10" s="2">
        <v>2769120</v>
      </c>
      <c r="E10" s="2">
        <v>-20000</v>
      </c>
      <c r="F10" s="2">
        <v>-140047.19999999984</v>
      </c>
      <c r="G10" s="2">
        <v>-0</v>
      </c>
      <c r="H10" s="2">
        <v>0</v>
      </c>
      <c r="I10" t="s">
        <v>405</v>
      </c>
      <c r="J10" t="s">
        <v>405</v>
      </c>
      <c r="K10" s="2">
        <v>400000</v>
      </c>
      <c r="L10" t="s">
        <v>364</v>
      </c>
      <c r="M10" s="2">
        <v>2848000</v>
      </c>
      <c r="N10" s="2">
        <v>2848000</v>
      </c>
      <c r="O10" s="2">
        <v>7.12</v>
      </c>
      <c r="P10" t="s">
        <v>376</v>
      </c>
      <c r="Q10" t="s">
        <v>366</v>
      </c>
      <c r="R10" s="2">
        <v>0.19720000000000049</v>
      </c>
      <c r="S10" s="2">
        <v>-78880.00000000019</v>
      </c>
      <c r="T10" t="s">
        <v>3</v>
      </c>
      <c r="U10" t="s">
        <v>542</v>
      </c>
      <c r="V10" t="s">
        <v>1100</v>
      </c>
      <c r="W10" t="s">
        <v>379</v>
      </c>
      <c r="X10" s="2">
        <v>6.9228</v>
      </c>
      <c r="Y10" s="2">
        <v>2926476</v>
      </c>
      <c r="Z10" s="2">
        <v>420000</v>
      </c>
      <c r="AA10" s="2">
        <v>2786428.8000000003</v>
      </c>
      <c r="AB10" t="s">
        <v>622</v>
      </c>
      <c r="AC10" s="2">
        <v>-2352.800000000163</v>
      </c>
      <c r="AD10" s="2">
        <v>17308.80000000028</v>
      </c>
      <c r="AG10" s="2">
        <v>17308.80000000028</v>
      </c>
    </row>
    <row r="11" spans="1:33">
      <c r="A11" t="s">
        <v>372</v>
      </c>
      <c r="B11" s="2">
        <v>-25449.999999999884</v>
      </c>
      <c r="C11" s="2">
        <v>1015100.0000000001</v>
      </c>
      <c r="E11" s="2">
        <v>-25000</v>
      </c>
      <c r="F11" s="2">
        <v>-208110.00000000003</v>
      </c>
      <c r="G11" s="2">
        <v>-0</v>
      </c>
      <c r="H11" s="2">
        <v>0</v>
      </c>
      <c r="I11" t="s">
        <v>405</v>
      </c>
      <c r="J11" t="s">
        <v>405</v>
      </c>
      <c r="K11" s="2">
        <v>125000</v>
      </c>
      <c r="L11" t="s">
        <v>373</v>
      </c>
      <c r="M11" s="2">
        <v>978750</v>
      </c>
      <c r="N11" s="2">
        <v>978750</v>
      </c>
      <c r="O11" s="2">
        <v>7.83</v>
      </c>
      <c r="P11" t="s">
        <v>376</v>
      </c>
      <c r="Q11" t="s">
        <v>366</v>
      </c>
      <c r="R11" s="2">
        <v>-0.29080000000000084</v>
      </c>
      <c r="S11" s="2">
        <v>36350.0000000001</v>
      </c>
      <c r="T11" t="s">
        <v>3</v>
      </c>
      <c r="U11" t="s">
        <v>542</v>
      </c>
      <c r="V11" t="s">
        <v>1100</v>
      </c>
      <c r="W11" t="s">
        <v>379</v>
      </c>
      <c r="X11" s="2">
        <v>8.120800000000001</v>
      </c>
      <c r="Y11" s="2">
        <v>1248660</v>
      </c>
      <c r="Z11" s="2">
        <v>150000</v>
      </c>
      <c r="AA11" s="2">
        <v>1040550</v>
      </c>
      <c r="AB11" t="s">
        <v>622</v>
      </c>
      <c r="AC11" s="2">
        <v>12360.00000000003</v>
      </c>
      <c r="AD11" s="2">
        <v>25449.999999999884</v>
      </c>
      <c r="AG11" s="2">
        <v>25449.999999999884</v>
      </c>
    </row>
    <row r="12" spans="1:33">
      <c r="A12" t="s">
        <v>368</v>
      </c>
      <c r="B12" s="2">
        <v>8026.086956521729</v>
      </c>
      <c r="C12" s="2">
        <v>-1384560</v>
      </c>
      <c r="E12" s="2">
        <v>-10000</v>
      </c>
      <c r="F12" s="2">
        <v>-68704.08695652173</v>
      </c>
      <c r="G12" s="2">
        <v>-0</v>
      </c>
      <c r="H12" s="2">
        <v>0</v>
      </c>
      <c r="I12" t="s">
        <v>405</v>
      </c>
      <c r="J12" t="s">
        <v>405</v>
      </c>
      <c r="K12" s="2">
        <v>-200000</v>
      </c>
      <c r="L12" t="s">
        <v>364</v>
      </c>
      <c r="M12" s="2">
        <v>-1424000</v>
      </c>
      <c r="N12" s="2">
        <v>-1424000</v>
      </c>
      <c r="O12" s="2">
        <v>7.12</v>
      </c>
      <c r="P12" t="s">
        <v>376</v>
      </c>
      <c r="Q12" t="s">
        <v>366</v>
      </c>
      <c r="R12" s="2">
        <v>0.19720000000000049</v>
      </c>
      <c r="S12" s="2">
        <v>39440.000000000095</v>
      </c>
      <c r="T12" t="s">
        <v>3</v>
      </c>
      <c r="U12" t="s">
        <v>542</v>
      </c>
      <c r="V12" t="s">
        <v>1100</v>
      </c>
      <c r="W12" t="s">
        <v>379</v>
      </c>
      <c r="X12" s="2">
        <v>6.9228</v>
      </c>
      <c r="Y12" s="2">
        <v>-1323882</v>
      </c>
      <c r="Z12" s="2">
        <v>-190000</v>
      </c>
      <c r="AA12" s="2">
        <v>-1392586.0869565217</v>
      </c>
      <c r="AB12" t="s">
        <v>622</v>
      </c>
      <c r="AC12" s="2">
        <v>-2495.913043478271</v>
      </c>
      <c r="AD12" s="2">
        <v>-8026.086956521729</v>
      </c>
      <c r="AG12" s="2">
        <v>-8026.086956521729</v>
      </c>
    </row>
    <row r="13" spans="1:33">
      <c r="A13" t="s">
        <v>369</v>
      </c>
      <c r="B13" s="2">
        <v>2204.4545454545296</v>
      </c>
      <c r="C13" s="2">
        <v>-265452</v>
      </c>
      <c r="E13" s="2">
        <v>0</v>
      </c>
      <c r="F13" s="2">
        <v>129.5454545454486</v>
      </c>
      <c r="G13" s="2">
        <v>-0</v>
      </c>
      <c r="H13" s="2">
        <v>0</v>
      </c>
      <c r="I13" t="s">
        <v>405</v>
      </c>
      <c r="J13" t="s">
        <v>405</v>
      </c>
      <c r="K13" s="2">
        <v>-300000</v>
      </c>
      <c r="L13" t="s">
        <v>370</v>
      </c>
      <c r="M13" s="2">
        <v>-273000</v>
      </c>
      <c r="N13" s="2">
        <v>-273000</v>
      </c>
      <c r="O13" s="2">
        <v>0.91</v>
      </c>
      <c r="P13" t="s">
        <v>376</v>
      </c>
      <c r="Q13" t="s">
        <v>366</v>
      </c>
      <c r="R13" s="2">
        <v>0.02516000000000007</v>
      </c>
      <c r="S13" s="2">
        <v>7548.000000000021</v>
      </c>
      <c r="T13" t="s">
        <v>3</v>
      </c>
      <c r="U13" t="s">
        <v>542</v>
      </c>
      <c r="V13" t="s">
        <v>1100</v>
      </c>
      <c r="W13" t="s">
        <v>379</v>
      </c>
      <c r="X13" s="2">
        <v>0.88484</v>
      </c>
      <c r="Y13" s="2">
        <v>-267786</v>
      </c>
      <c r="Z13" s="2">
        <v>-300000</v>
      </c>
      <c r="AA13" s="2">
        <v>-267656.45454545453</v>
      </c>
      <c r="AB13" t="s">
        <v>622</v>
      </c>
      <c r="AC13" s="2">
        <v>-129.5454545454486</v>
      </c>
      <c r="AD13" s="2">
        <v>-2204.4545454545296</v>
      </c>
      <c r="AG13" s="2">
        <v>-2204.4545454545296</v>
      </c>
    </row>
    <row r="14" spans="1:33">
      <c r="A14" t="s">
        <v>371</v>
      </c>
      <c r="B14" s="2">
        <v>787.0909090910573</v>
      </c>
      <c r="C14" s="2">
        <v>2075820.0000000002</v>
      </c>
      <c r="E14" s="2">
        <v>40000</v>
      </c>
      <c r="F14" s="2">
        <v>275104.9090909091</v>
      </c>
      <c r="G14" s="2">
        <v>-0</v>
      </c>
      <c r="H14" s="2">
        <v>0</v>
      </c>
      <c r="I14" t="s">
        <v>405</v>
      </c>
      <c r="J14" t="s">
        <v>405</v>
      </c>
      <c r="K14" s="2">
        <v>300000</v>
      </c>
      <c r="L14" t="s">
        <v>364</v>
      </c>
      <c r="M14" s="2">
        <v>2136000</v>
      </c>
      <c r="N14" s="2">
        <v>2136000</v>
      </c>
      <c r="O14" s="2">
        <v>7.12</v>
      </c>
      <c r="P14" t="s">
        <v>376</v>
      </c>
      <c r="Q14" t="s">
        <v>366</v>
      </c>
      <c r="R14" s="2">
        <v>0.20059999999999967</v>
      </c>
      <c r="S14" s="2">
        <v>-60179.9999999999</v>
      </c>
      <c r="T14" t="s">
        <v>3</v>
      </c>
      <c r="U14" t="s">
        <v>542</v>
      </c>
      <c r="V14" t="s">
        <v>1100</v>
      </c>
      <c r="W14" t="s">
        <v>380</v>
      </c>
      <c r="X14" s="2">
        <v>6.9194</v>
      </c>
      <c r="Y14" s="2">
        <v>1799928</v>
      </c>
      <c r="Z14" s="2">
        <v>260000</v>
      </c>
      <c r="AA14" s="2">
        <v>2075032.9090909092</v>
      </c>
      <c r="AB14" t="s">
        <v>380</v>
      </c>
      <c r="AC14" s="2">
        <v>9695.090909090883</v>
      </c>
      <c r="AD14" s="2">
        <v>-787.0909090910573</v>
      </c>
      <c r="AG14" s="2">
        <v>-787.0909090910573</v>
      </c>
    </row>
    <row r="15" spans="1:33">
      <c r="A15" t="s">
        <v>378</v>
      </c>
      <c r="B15" s="2">
        <v>-924.7000000000116</v>
      </c>
      <c r="C15" s="2">
        <v>344350.5</v>
      </c>
      <c r="E15" s="2">
        <v>-40000</v>
      </c>
      <c r="F15" s="2">
        <v>-35206</v>
      </c>
      <c r="G15" s="2">
        <v>-0</v>
      </c>
      <c r="H15" s="2">
        <v>0</v>
      </c>
      <c r="I15" t="s">
        <v>405</v>
      </c>
      <c r="J15" t="s">
        <v>405</v>
      </c>
      <c r="K15" s="2">
        <v>390000</v>
      </c>
      <c r="L15" t="s">
        <v>370</v>
      </c>
      <c r="M15" s="2">
        <v>354900</v>
      </c>
      <c r="N15" s="2">
        <v>354900</v>
      </c>
      <c r="O15" s="2">
        <v>0.91</v>
      </c>
      <c r="P15" t="s">
        <v>376</v>
      </c>
      <c r="Q15" t="s">
        <v>366</v>
      </c>
      <c r="R15" s="2">
        <v>0.02705000000000002</v>
      </c>
      <c r="S15" s="2">
        <v>-10549.500000000007</v>
      </c>
      <c r="T15" t="s">
        <v>3</v>
      </c>
      <c r="U15" t="s">
        <v>542</v>
      </c>
      <c r="V15" t="s">
        <v>1100</v>
      </c>
      <c r="W15" t="s">
        <v>380</v>
      </c>
      <c r="X15" s="2">
        <v>0.88295</v>
      </c>
      <c r="Y15" s="2">
        <v>380481.2</v>
      </c>
      <c r="Z15" s="2">
        <v>430000</v>
      </c>
      <c r="AA15" s="2">
        <v>345275.2</v>
      </c>
      <c r="AB15" t="s">
        <v>380</v>
      </c>
      <c r="AC15" s="2">
        <v>-1194</v>
      </c>
      <c r="AD15" s="2">
        <v>924.7000000000116</v>
      </c>
      <c r="AG15" s="2">
        <v>924.7000000000116</v>
      </c>
    </row>
    <row r="16" spans="1:33">
      <c r="A16" t="s">
        <v>363</v>
      </c>
      <c r="B16" s="2">
        <v>1788.7999999998137</v>
      </c>
      <c r="C16" s="2">
        <v>3321312</v>
      </c>
      <c r="E16" s="2">
        <v>80000</v>
      </c>
      <c r="F16" s="2">
        <v>550403.2</v>
      </c>
      <c r="G16" s="2">
        <v>-0</v>
      </c>
      <c r="H16" s="2">
        <v>0</v>
      </c>
      <c r="I16" t="s">
        <v>405</v>
      </c>
      <c r="J16" t="s">
        <v>405</v>
      </c>
      <c r="K16" s="2">
        <v>480000</v>
      </c>
      <c r="L16" t="s">
        <v>364</v>
      </c>
      <c r="M16" s="2">
        <v>3417600</v>
      </c>
      <c r="N16" s="2">
        <v>3417600</v>
      </c>
      <c r="O16" s="2">
        <v>7.12</v>
      </c>
      <c r="P16" t="s">
        <v>376</v>
      </c>
      <c r="Q16" t="s">
        <v>366</v>
      </c>
      <c r="R16" s="2">
        <v>0.20059999999999967</v>
      </c>
      <c r="S16" s="2">
        <v>-96287.99999999984</v>
      </c>
      <c r="T16" t="s">
        <v>3</v>
      </c>
      <c r="U16" t="s">
        <v>542</v>
      </c>
      <c r="V16" t="s">
        <v>1100</v>
      </c>
      <c r="W16" t="s">
        <v>380</v>
      </c>
      <c r="X16" s="2">
        <v>6.9194</v>
      </c>
      <c r="Y16" s="2">
        <v>2769120</v>
      </c>
      <c r="Z16" s="2">
        <v>400000</v>
      </c>
      <c r="AA16" s="2">
        <v>3319523.2</v>
      </c>
      <c r="AB16" t="s">
        <v>380</v>
      </c>
      <c r="AC16" s="2">
        <v>19196.79999999993</v>
      </c>
      <c r="AD16" s="2">
        <v>-1788.7999999998137</v>
      </c>
      <c r="AG16" s="2">
        <v>-1788.7999999998137</v>
      </c>
    </row>
    <row r="17" spans="1:33">
      <c r="A17" t="s">
        <v>372</v>
      </c>
      <c r="B17" s="2">
        <v>-23825.000000000116</v>
      </c>
      <c r="C17" s="2">
        <v>991275</v>
      </c>
      <c r="E17" s="2">
        <v>0</v>
      </c>
      <c r="F17" s="2">
        <v>0</v>
      </c>
      <c r="G17" s="2">
        <v>-0</v>
      </c>
      <c r="H17" s="2">
        <v>0</v>
      </c>
      <c r="I17" t="s">
        <v>405</v>
      </c>
      <c r="J17" t="s">
        <v>405</v>
      </c>
      <c r="K17" s="2">
        <v>125000</v>
      </c>
      <c r="L17" t="s">
        <v>373</v>
      </c>
      <c r="M17" s="2">
        <v>978750</v>
      </c>
      <c r="N17" s="2">
        <v>978750</v>
      </c>
      <c r="O17" s="2">
        <v>7.83</v>
      </c>
      <c r="P17" t="s">
        <v>376</v>
      </c>
      <c r="Q17" t="s">
        <v>366</v>
      </c>
      <c r="R17" s="2">
        <v>-0.10020000000000007</v>
      </c>
      <c r="S17" s="2">
        <v>12525.00000000001</v>
      </c>
      <c r="T17" t="s">
        <v>3</v>
      </c>
      <c r="U17" t="s">
        <v>542</v>
      </c>
      <c r="V17" t="s">
        <v>1100</v>
      </c>
      <c r="W17" t="s">
        <v>380</v>
      </c>
      <c r="X17" s="2">
        <v>7.9302</v>
      </c>
      <c r="Y17" s="2">
        <v>1015100.0000000001</v>
      </c>
      <c r="Z17" s="2">
        <v>125000</v>
      </c>
      <c r="AA17" s="2">
        <v>1015100.0000000001</v>
      </c>
      <c r="AB17" t="s">
        <v>380</v>
      </c>
      <c r="AC17" s="2">
        <v>0</v>
      </c>
      <c r="AD17" s="2">
        <v>23825.000000000116</v>
      </c>
      <c r="AG17" s="2">
        <v>23825.000000000116</v>
      </c>
    </row>
    <row r="18" spans="1:33">
      <c r="A18" t="s">
        <v>368</v>
      </c>
      <c r="B18" s="2">
        <v>-831.9230769230053</v>
      </c>
      <c r="C18" s="2">
        <v>-1453074</v>
      </c>
      <c r="E18" s="2">
        <v>-10000</v>
      </c>
      <c r="F18" s="2">
        <v>-67682.07692307694</v>
      </c>
      <c r="G18" s="2">
        <v>-0</v>
      </c>
      <c r="H18" s="2">
        <v>0</v>
      </c>
      <c r="I18" t="s">
        <v>405</v>
      </c>
      <c r="J18" t="s">
        <v>405</v>
      </c>
      <c r="K18" s="2">
        <v>-210000</v>
      </c>
      <c r="L18" t="s">
        <v>364</v>
      </c>
      <c r="M18" s="2">
        <v>-1495200</v>
      </c>
      <c r="N18" s="2">
        <v>-1495200</v>
      </c>
      <c r="O18" s="2">
        <v>7.12</v>
      </c>
      <c r="P18" t="s">
        <v>376</v>
      </c>
      <c r="Q18" t="s">
        <v>366</v>
      </c>
      <c r="R18" s="2">
        <v>0.20059999999999967</v>
      </c>
      <c r="S18" s="2">
        <v>42125.99999999993</v>
      </c>
      <c r="T18" t="s">
        <v>3</v>
      </c>
      <c r="U18" t="s">
        <v>542</v>
      </c>
      <c r="V18" t="s">
        <v>1100</v>
      </c>
      <c r="W18" t="s">
        <v>380</v>
      </c>
      <c r="X18" s="2">
        <v>6.9194</v>
      </c>
      <c r="Y18" s="2">
        <v>-1384560</v>
      </c>
      <c r="Z18" s="2">
        <v>-200000</v>
      </c>
      <c r="AA18" s="2">
        <v>-1452242.076923077</v>
      </c>
      <c r="AB18" t="s">
        <v>380</v>
      </c>
      <c r="AC18" s="2">
        <v>-3517.9230769230635</v>
      </c>
      <c r="AD18" s="2">
        <v>831.9230769230053</v>
      </c>
      <c r="AG18" s="2">
        <v>831.9230769230053</v>
      </c>
    </row>
    <row r="19" spans="1:33">
      <c r="A19" t="s">
        <v>369</v>
      </c>
      <c r="B19" s="2">
        <v>436.4117647059029</v>
      </c>
      <c r="C19" s="2">
        <v>-264885</v>
      </c>
      <c r="E19" s="2">
        <v>0</v>
      </c>
      <c r="F19" s="2">
        <v>130.58823529411893</v>
      </c>
      <c r="G19" s="2">
        <v>-0</v>
      </c>
      <c r="H19" s="2">
        <v>0</v>
      </c>
      <c r="I19" t="s">
        <v>405</v>
      </c>
      <c r="J19" t="s">
        <v>405</v>
      </c>
      <c r="K19" s="2">
        <v>-300000</v>
      </c>
      <c r="L19" t="s">
        <v>370</v>
      </c>
      <c r="M19" s="2">
        <v>-273000</v>
      </c>
      <c r="N19" s="2">
        <v>-273000</v>
      </c>
      <c r="O19" s="2">
        <v>0.91</v>
      </c>
      <c r="P19" t="s">
        <v>376</v>
      </c>
      <c r="Q19" t="s">
        <v>366</v>
      </c>
      <c r="R19" s="2">
        <v>0.02705000000000002</v>
      </c>
      <c r="S19" s="2">
        <v>8115.0000000000055</v>
      </c>
      <c r="T19" t="s">
        <v>3</v>
      </c>
      <c r="U19" t="s">
        <v>542</v>
      </c>
      <c r="V19" t="s">
        <v>1100</v>
      </c>
      <c r="W19" t="s">
        <v>380</v>
      </c>
      <c r="X19" s="2">
        <v>0.88295</v>
      </c>
      <c r="Y19" s="2">
        <v>-265452</v>
      </c>
      <c r="Z19" s="2">
        <v>-300000</v>
      </c>
      <c r="AA19" s="2">
        <v>-265321.4117647059</v>
      </c>
      <c r="AB19" t="s">
        <v>380</v>
      </c>
      <c r="AC19" s="2">
        <v>-130.58823529411893</v>
      </c>
      <c r="AD19" s="2">
        <v>-436.4117647059029</v>
      </c>
      <c r="AG19" s="2">
        <v>-436.4117647059029</v>
      </c>
    </row>
    <row r="20" spans="1:33">
      <c r="A20" t="s">
        <v>371</v>
      </c>
      <c r="B20" s="2">
        <v>-14958.365853658877</v>
      </c>
      <c r="C20" s="2">
        <v>2607864</v>
      </c>
      <c r="E20" s="2">
        <v>80000</v>
      </c>
      <c r="F20" s="2">
        <v>547002.3658536585</v>
      </c>
      <c r="G20" s="2">
        <v>-0</v>
      </c>
      <c r="H20" s="2">
        <v>0</v>
      </c>
      <c r="I20" t="s">
        <v>405</v>
      </c>
      <c r="J20" t="s">
        <v>405</v>
      </c>
      <c r="K20" s="2">
        <v>380000</v>
      </c>
      <c r="L20" t="s">
        <v>364</v>
      </c>
      <c r="M20" s="2">
        <v>2705600</v>
      </c>
      <c r="N20" s="2">
        <v>2705600</v>
      </c>
      <c r="O20" s="2">
        <v>7.12</v>
      </c>
      <c r="P20" t="s">
        <v>376</v>
      </c>
      <c r="Q20" t="s">
        <v>366</v>
      </c>
      <c r="R20" s="2">
        <v>0.2572000000000001</v>
      </c>
      <c r="S20" s="2">
        <v>-97736.00000000003</v>
      </c>
      <c r="T20" t="s">
        <v>3</v>
      </c>
      <c r="U20" t="s">
        <v>542</v>
      </c>
      <c r="V20" t="s">
        <v>1100</v>
      </c>
      <c r="W20" t="s">
        <v>381</v>
      </c>
      <c r="X20" s="2">
        <v>6.8628</v>
      </c>
      <c r="Y20" s="2">
        <v>2075820.0000000002</v>
      </c>
      <c r="Z20" s="2">
        <v>300000</v>
      </c>
      <c r="AA20" s="2">
        <v>2622822.365853659</v>
      </c>
      <c r="AB20" t="s">
        <v>381</v>
      </c>
      <c r="AC20" s="2">
        <v>22597.634146341472</v>
      </c>
      <c r="AD20" s="2">
        <v>14958.365853658877</v>
      </c>
      <c r="AG20" s="2">
        <v>14958.365853658877</v>
      </c>
    </row>
    <row r="21" spans="1:33">
      <c r="A21" t="s">
        <v>378</v>
      </c>
      <c r="B21" s="2">
        <v>-2750.5999999999767</v>
      </c>
      <c r="C21" s="2">
        <v>306533.5</v>
      </c>
      <c r="E21" s="2">
        <v>-40000</v>
      </c>
      <c r="F21" s="2">
        <v>-35066.4</v>
      </c>
      <c r="G21" s="2">
        <v>-0</v>
      </c>
      <c r="H21" s="2">
        <v>0</v>
      </c>
      <c r="I21" t="s">
        <v>405</v>
      </c>
      <c r="J21" t="s">
        <v>405</v>
      </c>
      <c r="K21" s="2">
        <v>350000</v>
      </c>
      <c r="L21" t="s">
        <v>370</v>
      </c>
      <c r="M21" s="2">
        <v>318500</v>
      </c>
      <c r="N21" s="2">
        <v>318500</v>
      </c>
      <c r="O21" s="2">
        <v>0.91</v>
      </c>
      <c r="P21" t="s">
        <v>376</v>
      </c>
      <c r="Q21" t="s">
        <v>366</v>
      </c>
      <c r="R21" s="2">
        <v>0.034190000000000054</v>
      </c>
      <c r="S21" s="2">
        <v>-11966.500000000018</v>
      </c>
      <c r="T21" t="s">
        <v>3</v>
      </c>
      <c r="U21" t="s">
        <v>542</v>
      </c>
      <c r="V21" t="s">
        <v>1100</v>
      </c>
      <c r="W21" t="s">
        <v>381</v>
      </c>
      <c r="X21" s="2">
        <v>0.87581</v>
      </c>
      <c r="Y21" s="2">
        <v>344350.5</v>
      </c>
      <c r="Z21" s="2">
        <v>390000</v>
      </c>
      <c r="AA21" s="2">
        <v>309284.1</v>
      </c>
      <c r="AB21" t="s">
        <v>381</v>
      </c>
      <c r="AC21" s="2">
        <v>-1333.5999999999985</v>
      </c>
      <c r="AD21" s="2">
        <v>2750.5999999999767</v>
      </c>
      <c r="AG21" s="2">
        <v>2750.5999999999767</v>
      </c>
    </row>
    <row r="22" spans="1:33">
      <c r="A22" t="s">
        <v>363</v>
      </c>
      <c r="B22" s="2">
        <v>-26066.571428571362</v>
      </c>
      <c r="C22" s="2">
        <v>3705912</v>
      </c>
      <c r="E22" s="2">
        <v>60000</v>
      </c>
      <c r="F22" s="2">
        <v>410666.57142857136</v>
      </c>
      <c r="G22" s="2">
        <v>-0</v>
      </c>
      <c r="H22" s="2">
        <v>0</v>
      </c>
      <c r="I22" t="s">
        <v>405</v>
      </c>
      <c r="J22" t="s">
        <v>405</v>
      </c>
      <c r="K22" s="2">
        <v>540000</v>
      </c>
      <c r="L22" t="s">
        <v>364</v>
      </c>
      <c r="M22" s="2">
        <v>3844800</v>
      </c>
      <c r="N22" s="2">
        <v>3844800</v>
      </c>
      <c r="O22" s="2">
        <v>7.12</v>
      </c>
      <c r="P22" t="s">
        <v>376</v>
      </c>
      <c r="Q22" t="s">
        <v>366</v>
      </c>
      <c r="R22" s="2">
        <v>0.2572000000000001</v>
      </c>
      <c r="S22" s="2">
        <v>-138888.00000000006</v>
      </c>
      <c r="T22" t="s">
        <v>3</v>
      </c>
      <c r="U22" t="s">
        <v>542</v>
      </c>
      <c r="V22" t="s">
        <v>1100</v>
      </c>
      <c r="W22" t="s">
        <v>381</v>
      </c>
      <c r="X22" s="2">
        <v>6.8628</v>
      </c>
      <c r="Y22" s="2">
        <v>3321312</v>
      </c>
      <c r="Z22" s="2">
        <v>480000</v>
      </c>
      <c r="AA22" s="2">
        <v>3731978.5714285714</v>
      </c>
      <c r="AB22" t="s">
        <v>381</v>
      </c>
      <c r="AC22" s="2">
        <v>16533.428571428638</v>
      </c>
      <c r="AD22" s="2">
        <v>26066.571428571362</v>
      </c>
      <c r="AG22" s="2">
        <v>26066.571428571362</v>
      </c>
    </row>
    <row r="23" spans="1:33">
      <c r="A23" t="s">
        <v>372</v>
      </c>
      <c r="B23" s="2">
        <v>7550.000000000116</v>
      </c>
      <c r="C23" s="2">
        <v>800570.0000000001</v>
      </c>
      <c r="E23" s="2">
        <v>-25000</v>
      </c>
      <c r="F23" s="2">
        <v>-198255</v>
      </c>
      <c r="G23" s="2">
        <v>-0</v>
      </c>
      <c r="H23" s="2">
        <v>0</v>
      </c>
      <c r="I23" t="s">
        <v>405</v>
      </c>
      <c r="J23" t="s">
        <v>405</v>
      </c>
      <c r="K23" s="2">
        <v>100000</v>
      </c>
      <c r="L23" t="s">
        <v>373</v>
      </c>
      <c r="M23" s="2">
        <v>783000</v>
      </c>
      <c r="N23" s="2">
        <v>783000</v>
      </c>
      <c r="O23" s="2">
        <v>7.83</v>
      </c>
      <c r="P23" t="s">
        <v>376</v>
      </c>
      <c r="Q23" t="s">
        <v>366</v>
      </c>
      <c r="R23" s="2">
        <v>-0.17570000000000086</v>
      </c>
      <c r="S23" s="2">
        <v>17570.000000000087</v>
      </c>
      <c r="T23" t="s">
        <v>3</v>
      </c>
      <c r="U23" t="s">
        <v>542</v>
      </c>
      <c r="V23" t="s">
        <v>1100</v>
      </c>
      <c r="W23" t="s">
        <v>381</v>
      </c>
      <c r="X23" s="2">
        <v>8.005700000000001</v>
      </c>
      <c r="Y23" s="2">
        <v>991275</v>
      </c>
      <c r="Z23" s="2">
        <v>125000</v>
      </c>
      <c r="AA23" s="2">
        <v>793020</v>
      </c>
      <c r="AB23" t="s">
        <v>381</v>
      </c>
      <c r="AC23" s="2">
        <v>2505</v>
      </c>
      <c r="AD23" s="2">
        <v>-7550.000000000116</v>
      </c>
      <c r="AG23" s="2">
        <v>-7550.000000000116</v>
      </c>
    </row>
    <row r="24" spans="1:33">
      <c r="A24" t="s">
        <v>368</v>
      </c>
      <c r="B24" s="2">
        <v>9655.555555555504</v>
      </c>
      <c r="C24" s="2">
        <v>-1509816</v>
      </c>
      <c r="E24" s="2">
        <v>-10000</v>
      </c>
      <c r="F24" s="2">
        <v>-66397.55555555562</v>
      </c>
      <c r="G24" s="2">
        <v>-0</v>
      </c>
      <c r="H24" s="2">
        <v>0</v>
      </c>
      <c r="I24" t="s">
        <v>405</v>
      </c>
      <c r="J24" t="s">
        <v>405</v>
      </c>
      <c r="K24" s="2">
        <v>-220000</v>
      </c>
      <c r="L24" t="s">
        <v>364</v>
      </c>
      <c r="M24" s="2">
        <v>-1566400</v>
      </c>
      <c r="N24" s="2">
        <v>-1566400</v>
      </c>
      <c r="O24" s="2">
        <v>7.12</v>
      </c>
      <c r="P24" t="s">
        <v>376</v>
      </c>
      <c r="Q24" t="s">
        <v>366</v>
      </c>
      <c r="R24" s="2">
        <v>0.2572000000000001</v>
      </c>
      <c r="S24" s="2">
        <v>56584.00000000002</v>
      </c>
      <c r="T24" t="s">
        <v>3</v>
      </c>
      <c r="U24" t="s">
        <v>542</v>
      </c>
      <c r="V24" t="s">
        <v>1100</v>
      </c>
      <c r="W24" t="s">
        <v>381</v>
      </c>
      <c r="X24" s="2">
        <v>6.8628</v>
      </c>
      <c r="Y24" s="2">
        <v>-1453074</v>
      </c>
      <c r="Z24" s="2">
        <v>-210000</v>
      </c>
      <c r="AA24" s="2">
        <v>-1519471.5555555555</v>
      </c>
      <c r="AB24" t="s">
        <v>381</v>
      </c>
      <c r="AC24" s="2">
        <v>-4802.44444444438</v>
      </c>
      <c r="AD24" s="2">
        <v>-9655.555555555504</v>
      </c>
      <c r="AG24" s="2">
        <v>-9655.555555555504</v>
      </c>
    </row>
    <row r="25" spans="1:33">
      <c r="A25" t="s">
        <v>369</v>
      </c>
      <c r="B25" s="2">
        <v>1913.6470588234952</v>
      </c>
      <c r="C25" s="2">
        <v>-262743</v>
      </c>
      <c r="E25" s="2">
        <v>0</v>
      </c>
      <c r="F25" s="2">
        <v>228.35294117647572</v>
      </c>
      <c r="G25" s="2">
        <v>-0</v>
      </c>
      <c r="H25" s="2">
        <v>0</v>
      </c>
      <c r="I25" t="s">
        <v>405</v>
      </c>
      <c r="J25" t="s">
        <v>405</v>
      </c>
      <c r="K25" s="2">
        <v>-300000</v>
      </c>
      <c r="L25" t="s">
        <v>370</v>
      </c>
      <c r="M25" s="2">
        <v>-273000</v>
      </c>
      <c r="N25" s="2">
        <v>-273000</v>
      </c>
      <c r="O25" s="2">
        <v>0.91</v>
      </c>
      <c r="P25" t="s">
        <v>376</v>
      </c>
      <c r="Q25" t="s">
        <v>366</v>
      </c>
      <c r="R25" s="2">
        <v>0.034190000000000054</v>
      </c>
      <c r="S25" s="2">
        <v>10257.000000000016</v>
      </c>
      <c r="T25" t="s">
        <v>3</v>
      </c>
      <c r="U25" t="s">
        <v>542</v>
      </c>
      <c r="V25" t="s">
        <v>1100</v>
      </c>
      <c r="W25" t="s">
        <v>381</v>
      </c>
      <c r="X25" s="2">
        <v>0.87581</v>
      </c>
      <c r="Y25" s="2">
        <v>-264885</v>
      </c>
      <c r="Z25" s="2">
        <v>-300000</v>
      </c>
      <c r="AA25" s="2">
        <v>-264656.6470588235</v>
      </c>
      <c r="AB25" t="s">
        <v>381</v>
      </c>
      <c r="AC25" s="2">
        <v>-228.35294117647572</v>
      </c>
      <c r="AD25" s="2">
        <v>-1913.6470588234952</v>
      </c>
      <c r="AG25" s="2">
        <v>-1913.6470588234952</v>
      </c>
    </row>
    <row r="26" spans="1:33">
      <c r="A26" t="s">
        <v>371</v>
      </c>
      <c r="B26" s="2">
        <v>-17414.20833333349</v>
      </c>
      <c r="C26" s="2">
        <v>2999744</v>
      </c>
      <c r="E26" s="2">
        <v>60000</v>
      </c>
      <c r="F26" s="2">
        <v>409294.2083333333</v>
      </c>
      <c r="G26" s="2">
        <v>-0</v>
      </c>
      <c r="H26" s="2">
        <v>0</v>
      </c>
      <c r="I26" t="s">
        <v>405</v>
      </c>
      <c r="J26" t="s">
        <v>405</v>
      </c>
      <c r="K26" s="2">
        <v>440000</v>
      </c>
      <c r="L26" t="s">
        <v>364</v>
      </c>
      <c r="M26" s="2">
        <v>3132800</v>
      </c>
      <c r="N26" s="2">
        <v>3132800</v>
      </c>
      <c r="O26" s="2">
        <v>7.12</v>
      </c>
      <c r="P26" t="s">
        <v>376</v>
      </c>
      <c r="Q26" t="s">
        <v>366</v>
      </c>
      <c r="R26" s="2">
        <v>0.30240000000000045</v>
      </c>
      <c r="S26" s="2">
        <v>-133056.0000000002</v>
      </c>
      <c r="T26" t="s">
        <v>3</v>
      </c>
      <c r="U26" t="s">
        <v>542</v>
      </c>
      <c r="V26" t="s">
        <v>1100</v>
      </c>
      <c r="W26" t="s">
        <v>382</v>
      </c>
      <c r="X26" s="2">
        <v>6.8176</v>
      </c>
      <c r="Y26" s="2">
        <v>2607864</v>
      </c>
      <c r="Z26" s="2">
        <v>380000</v>
      </c>
      <c r="AA26" s="2">
        <v>3017158.2083333335</v>
      </c>
      <c r="AB26" t="s">
        <v>694</v>
      </c>
      <c r="AC26" s="2">
        <v>17905.791666666686</v>
      </c>
      <c r="AD26" s="2">
        <v>17414.20833333349</v>
      </c>
      <c r="AG26" s="2">
        <v>17414.20833333349</v>
      </c>
    </row>
    <row r="27" spans="1:33">
      <c r="A27" t="s">
        <v>378</v>
      </c>
      <c r="B27" s="2">
        <v>-2032.7999999999884</v>
      </c>
      <c r="C27" s="2">
        <v>374224.7</v>
      </c>
      <c r="E27" s="2">
        <v>80000</v>
      </c>
      <c r="F27" s="2">
        <v>69724</v>
      </c>
      <c r="G27" s="2">
        <v>-0</v>
      </c>
      <c r="H27" s="2">
        <v>0</v>
      </c>
      <c r="I27" t="s">
        <v>405</v>
      </c>
      <c r="J27" t="s">
        <v>405</v>
      </c>
      <c r="K27" s="2">
        <v>430000</v>
      </c>
      <c r="L27" t="s">
        <v>370</v>
      </c>
      <c r="M27" s="2">
        <v>391300</v>
      </c>
      <c r="N27" s="2">
        <v>391300</v>
      </c>
      <c r="O27" s="2">
        <v>0.91</v>
      </c>
      <c r="P27" t="s">
        <v>376</v>
      </c>
      <c r="Q27" t="s">
        <v>366</v>
      </c>
      <c r="R27" s="2">
        <v>0.03971000000000002</v>
      </c>
      <c r="S27" s="2">
        <v>-17075.30000000001</v>
      </c>
      <c r="T27" t="s">
        <v>3</v>
      </c>
      <c r="U27" t="s">
        <v>542</v>
      </c>
      <c r="V27" t="s">
        <v>1100</v>
      </c>
      <c r="W27" t="s">
        <v>382</v>
      </c>
      <c r="X27" s="2">
        <v>0.87029</v>
      </c>
      <c r="Y27" s="2">
        <v>306533.5</v>
      </c>
      <c r="Z27" s="2">
        <v>350000</v>
      </c>
      <c r="AA27" s="2">
        <v>376257.5</v>
      </c>
      <c r="AB27" t="s">
        <v>694</v>
      </c>
      <c r="AC27" s="2">
        <v>3076</v>
      </c>
      <c r="AD27" s="2">
        <v>2032.7999999999884</v>
      </c>
      <c r="AG27" s="2">
        <v>2032.7999999999884</v>
      </c>
    </row>
    <row r="28" spans="1:33">
      <c r="A28" t="s">
        <v>363</v>
      </c>
      <c r="B28" s="2">
        <v>-23956</v>
      </c>
      <c r="C28" s="2">
        <v>3613328</v>
      </c>
      <c r="E28" s="2">
        <v>-10000</v>
      </c>
      <c r="F28" s="2">
        <v>-68628</v>
      </c>
      <c r="G28" s="2">
        <v>-0</v>
      </c>
      <c r="H28" s="2">
        <v>0</v>
      </c>
      <c r="I28" t="s">
        <v>405</v>
      </c>
      <c r="J28" t="s">
        <v>405</v>
      </c>
      <c r="K28" s="2">
        <v>530000</v>
      </c>
      <c r="L28" t="s">
        <v>364</v>
      </c>
      <c r="M28" s="2">
        <v>3773600</v>
      </c>
      <c r="N28" s="2">
        <v>3773600</v>
      </c>
      <c r="O28" s="2">
        <v>7.12</v>
      </c>
      <c r="P28" t="s">
        <v>376</v>
      </c>
      <c r="Q28" t="s">
        <v>366</v>
      </c>
      <c r="R28" s="2">
        <v>0.30240000000000045</v>
      </c>
      <c r="S28" s="2">
        <v>-160272.00000000023</v>
      </c>
      <c r="T28" t="s">
        <v>3</v>
      </c>
      <c r="U28" t="s">
        <v>542</v>
      </c>
      <c r="V28" t="s">
        <v>1100</v>
      </c>
      <c r="W28" t="s">
        <v>382</v>
      </c>
      <c r="X28" s="2">
        <v>6.8176</v>
      </c>
      <c r="Y28" s="2">
        <v>3705912</v>
      </c>
      <c r="Z28" s="2">
        <v>540000</v>
      </c>
      <c r="AA28" s="2">
        <v>3637284</v>
      </c>
      <c r="AB28" t="s">
        <v>694</v>
      </c>
      <c r="AC28" s="2">
        <v>-2572</v>
      </c>
      <c r="AD28" s="2">
        <v>23956</v>
      </c>
      <c r="AG28" s="2">
        <v>23956</v>
      </c>
    </row>
    <row r="29" spans="1:33">
      <c r="A29" t="s">
        <v>372</v>
      </c>
      <c r="B29" s="2">
        <v>-8970.000000000116</v>
      </c>
      <c r="C29" s="2">
        <v>791600</v>
      </c>
      <c r="E29" s="2">
        <v>0</v>
      </c>
      <c r="F29" s="2">
        <v>0</v>
      </c>
      <c r="G29" s="2">
        <v>-0</v>
      </c>
      <c r="H29" s="2">
        <v>0</v>
      </c>
      <c r="I29" t="s">
        <v>405</v>
      </c>
      <c r="J29" t="s">
        <v>405</v>
      </c>
      <c r="K29" s="2">
        <v>100000</v>
      </c>
      <c r="L29" t="s">
        <v>373</v>
      </c>
      <c r="M29" s="2">
        <v>783000</v>
      </c>
      <c r="N29" s="2">
        <v>783000</v>
      </c>
      <c r="O29" s="2">
        <v>7.83</v>
      </c>
      <c r="P29" t="s">
        <v>376</v>
      </c>
      <c r="Q29" t="s">
        <v>366</v>
      </c>
      <c r="R29" s="2">
        <v>-0.0860000000000003</v>
      </c>
      <c r="S29" s="2">
        <v>8600.00000000003</v>
      </c>
      <c r="T29" t="s">
        <v>3</v>
      </c>
      <c r="U29" t="s">
        <v>542</v>
      </c>
      <c r="V29" t="s">
        <v>1100</v>
      </c>
      <c r="W29" t="s">
        <v>382</v>
      </c>
      <c r="X29" s="2">
        <v>7.916</v>
      </c>
      <c r="Y29" s="2">
        <v>800570.0000000001</v>
      </c>
      <c r="Z29" s="2">
        <v>100000</v>
      </c>
      <c r="AA29" s="2">
        <v>800570.0000000001</v>
      </c>
      <c r="AB29" t="s">
        <v>694</v>
      </c>
      <c r="AC29" s="2">
        <v>0</v>
      </c>
      <c r="AD29" s="2">
        <v>8970.000000000116</v>
      </c>
      <c r="AG29" s="2">
        <v>8970.000000000116</v>
      </c>
    </row>
    <row r="30" spans="1:33">
      <c r="A30" t="s">
        <v>368</v>
      </c>
      <c r="B30" s="2">
        <v>9324.517241379246</v>
      </c>
      <c r="C30" s="2">
        <v>-1568048</v>
      </c>
      <c r="E30" s="2">
        <v>-10000</v>
      </c>
      <c r="F30" s="2">
        <v>-67556.51724137936</v>
      </c>
      <c r="G30" s="2">
        <v>-0</v>
      </c>
      <c r="H30" s="2">
        <v>0</v>
      </c>
      <c r="I30" t="s">
        <v>405</v>
      </c>
      <c r="J30" t="s">
        <v>405</v>
      </c>
      <c r="K30" s="2">
        <v>-230000</v>
      </c>
      <c r="L30" t="s">
        <v>364</v>
      </c>
      <c r="M30" s="2">
        <v>-1637600</v>
      </c>
      <c r="N30" s="2">
        <v>-1637600</v>
      </c>
      <c r="O30" s="2">
        <v>7.12</v>
      </c>
      <c r="P30" t="s">
        <v>376</v>
      </c>
      <c r="Q30" t="s">
        <v>366</v>
      </c>
      <c r="R30" s="2">
        <v>0.30240000000000045</v>
      </c>
      <c r="S30" s="2">
        <v>69552.0000000001</v>
      </c>
      <c r="T30" t="s">
        <v>3</v>
      </c>
      <c r="U30" t="s">
        <v>542</v>
      </c>
      <c r="V30" t="s">
        <v>1100</v>
      </c>
      <c r="W30" t="s">
        <v>382</v>
      </c>
      <c r="X30" s="2">
        <v>6.8176</v>
      </c>
      <c r="Y30" s="2">
        <v>-1509816</v>
      </c>
      <c r="Z30" s="2">
        <v>-220000</v>
      </c>
      <c r="AA30" s="2">
        <v>-1577372.5172413792</v>
      </c>
      <c r="AB30" t="s">
        <v>694</v>
      </c>
      <c r="AC30" s="2">
        <v>-3643.4827586206375</v>
      </c>
      <c r="AD30" s="2">
        <v>-9324.517241379246</v>
      </c>
      <c r="AG30" s="2">
        <v>-9324.517241379246</v>
      </c>
    </row>
    <row r="31" spans="1:33">
      <c r="A31" t="s">
        <v>369</v>
      </c>
      <c r="B31" s="2">
        <v>1656</v>
      </c>
      <c r="C31" s="2">
        <v>-261087</v>
      </c>
      <c r="E31" s="2">
        <v>0</v>
      </c>
      <c r="F31" s="2">
        <v>0</v>
      </c>
      <c r="G31" s="2">
        <v>-0</v>
      </c>
      <c r="H31" s="2">
        <v>0</v>
      </c>
      <c r="I31" t="s">
        <v>405</v>
      </c>
      <c r="J31" t="s">
        <v>405</v>
      </c>
      <c r="K31" s="2">
        <v>-300000</v>
      </c>
      <c r="L31" t="s">
        <v>370</v>
      </c>
      <c r="M31" s="2">
        <v>-273000</v>
      </c>
      <c r="N31" s="2">
        <v>-273000</v>
      </c>
      <c r="O31" s="2">
        <v>0.91</v>
      </c>
      <c r="P31" t="s">
        <v>376</v>
      </c>
      <c r="Q31" t="s">
        <v>366</v>
      </c>
      <c r="R31" s="2">
        <v>0.03971000000000002</v>
      </c>
      <c r="S31" s="2">
        <v>11913.000000000007</v>
      </c>
      <c r="T31" t="s">
        <v>3</v>
      </c>
      <c r="U31" t="s">
        <v>542</v>
      </c>
      <c r="V31" t="s">
        <v>1100</v>
      </c>
      <c r="W31" t="s">
        <v>382</v>
      </c>
      <c r="X31" s="2">
        <v>0.87029</v>
      </c>
      <c r="Y31" s="2">
        <v>-262743</v>
      </c>
      <c r="Z31" s="2">
        <v>-300000</v>
      </c>
      <c r="AA31" s="2">
        <v>-262743</v>
      </c>
      <c r="AB31" t="s">
        <v>694</v>
      </c>
      <c r="AC31" s="2">
        <v>0</v>
      </c>
      <c r="AD31" s="2">
        <v>-1656</v>
      </c>
      <c r="AG31" s="2">
        <v>-1656</v>
      </c>
    </row>
    <row r="32" spans="1:33">
      <c r="A32" t="s">
        <v>371</v>
      </c>
      <c r="B32" s="2">
        <v>-2535.25</v>
      </c>
      <c r="C32" s="2">
        <v>3541668</v>
      </c>
      <c r="E32" s="2">
        <v>80000</v>
      </c>
      <c r="F32" s="2">
        <v>544459.25</v>
      </c>
      <c r="G32" s="2">
        <v>-0</v>
      </c>
      <c r="H32" s="2">
        <v>0</v>
      </c>
      <c r="I32" t="s">
        <v>405</v>
      </c>
      <c r="J32" t="s">
        <v>405</v>
      </c>
      <c r="K32" s="2">
        <v>520000</v>
      </c>
      <c r="L32" t="s">
        <v>364</v>
      </c>
      <c r="M32" s="2">
        <v>3702400</v>
      </c>
      <c r="N32" s="2">
        <v>3702400</v>
      </c>
      <c r="O32" s="2">
        <v>7.12</v>
      </c>
      <c r="P32" t="s">
        <v>376</v>
      </c>
      <c r="Q32" t="s">
        <v>366</v>
      </c>
      <c r="R32" s="2">
        <v>0.30909999999999993</v>
      </c>
      <c r="S32" s="2">
        <v>-160731.99999999997</v>
      </c>
      <c r="T32" t="s">
        <v>3</v>
      </c>
      <c r="U32" t="s">
        <v>542</v>
      </c>
      <c r="V32" t="s">
        <v>1100</v>
      </c>
      <c r="W32" t="s">
        <v>383</v>
      </c>
      <c r="X32" s="2">
        <v>6.8109</v>
      </c>
      <c r="Y32" s="2">
        <v>2999744</v>
      </c>
      <c r="Z32" s="2">
        <v>440000</v>
      </c>
      <c r="AA32" s="2">
        <v>3544203.25</v>
      </c>
      <c r="AB32" t="s">
        <v>383</v>
      </c>
      <c r="AC32" s="2">
        <v>25140.75000000003</v>
      </c>
      <c r="AD32" s="2">
        <v>2535.25</v>
      </c>
      <c r="AE32" s="2">
        <v>3702400</v>
      </c>
      <c r="AF32" s="2">
        <v>-160732</v>
      </c>
      <c r="AG32" s="2">
        <v>2535.25</v>
      </c>
    </row>
    <row r="33" spans="1:33">
      <c r="A33" t="s">
        <v>378</v>
      </c>
      <c r="B33" s="2">
        <v>-694.2000000000116</v>
      </c>
      <c r="C33" s="2">
        <v>334391.75</v>
      </c>
      <c r="E33" s="2">
        <v>-45000</v>
      </c>
      <c r="F33" s="2">
        <v>-39138.74999999999</v>
      </c>
      <c r="G33" s="2">
        <v>-0</v>
      </c>
      <c r="H33" s="2">
        <v>0</v>
      </c>
      <c r="I33" t="s">
        <v>405</v>
      </c>
      <c r="J33" t="s">
        <v>405</v>
      </c>
      <c r="K33" s="2">
        <v>385000</v>
      </c>
      <c r="L33" t="s">
        <v>370</v>
      </c>
      <c r="M33" s="2">
        <v>350350</v>
      </c>
      <c r="N33" s="2">
        <v>350350</v>
      </c>
      <c r="O33" s="2">
        <v>0.91</v>
      </c>
      <c r="P33" t="s">
        <v>376</v>
      </c>
      <c r="Q33" t="s">
        <v>366</v>
      </c>
      <c r="R33" s="2">
        <v>0.04144999999999999</v>
      </c>
      <c r="S33" s="2">
        <v>-15958.249999999995</v>
      </c>
      <c r="T33" t="s">
        <v>3</v>
      </c>
      <c r="U33" t="s">
        <v>542</v>
      </c>
      <c r="V33" t="s">
        <v>1100</v>
      </c>
      <c r="W33" t="s">
        <v>383</v>
      </c>
      <c r="X33" s="2">
        <v>0.86855</v>
      </c>
      <c r="Y33" s="2">
        <v>374224.7</v>
      </c>
      <c r="Z33" s="2">
        <v>430000</v>
      </c>
      <c r="AA33" s="2">
        <v>335085.95</v>
      </c>
      <c r="AB33" t="s">
        <v>383</v>
      </c>
      <c r="AC33" s="2">
        <v>-1811.2500000000073</v>
      </c>
      <c r="AD33" s="2">
        <v>694.2000000000116</v>
      </c>
      <c r="AE33" s="2">
        <v>350350</v>
      </c>
      <c r="AF33" s="2">
        <v>-15958.25</v>
      </c>
      <c r="AG33" s="2">
        <v>694.2000000000116</v>
      </c>
    </row>
    <row r="34" spans="1:33">
      <c r="A34" t="s">
        <v>363</v>
      </c>
      <c r="B34" s="2">
        <v>-3705.556962025352</v>
      </c>
      <c r="C34" s="2">
        <v>4154649</v>
      </c>
      <c r="E34" s="2">
        <v>80000</v>
      </c>
      <c r="F34" s="2">
        <v>545026.5569620254</v>
      </c>
      <c r="G34" s="2">
        <v>-0</v>
      </c>
      <c r="H34" s="2">
        <v>0</v>
      </c>
      <c r="I34" t="s">
        <v>405</v>
      </c>
      <c r="J34" t="s">
        <v>405</v>
      </c>
      <c r="K34" s="2">
        <v>610000</v>
      </c>
      <c r="L34" t="s">
        <v>364</v>
      </c>
      <c r="M34" s="2">
        <v>4343200</v>
      </c>
      <c r="N34" s="2">
        <v>4343200</v>
      </c>
      <c r="O34" s="2">
        <v>7.12</v>
      </c>
      <c r="P34" t="s">
        <v>376</v>
      </c>
      <c r="Q34" t="s">
        <v>366</v>
      </c>
      <c r="R34" s="2">
        <v>0.30909999999999993</v>
      </c>
      <c r="S34" s="2">
        <v>-188550.99999999997</v>
      </c>
      <c r="T34" t="s">
        <v>3</v>
      </c>
      <c r="U34" t="s">
        <v>542</v>
      </c>
      <c r="V34" t="s">
        <v>1100</v>
      </c>
      <c r="W34" t="s">
        <v>383</v>
      </c>
      <c r="X34" s="2">
        <v>6.8109</v>
      </c>
      <c r="Y34" s="2">
        <v>3613328</v>
      </c>
      <c r="Z34" s="2">
        <v>530000</v>
      </c>
      <c r="AA34" s="2">
        <v>4158354.5569620254</v>
      </c>
      <c r="AB34" t="s">
        <v>383</v>
      </c>
      <c r="AC34" s="2">
        <v>24573.443037974648</v>
      </c>
      <c r="AD34" s="2">
        <v>3705.556962025352</v>
      </c>
      <c r="AE34" s="2">
        <v>4343200</v>
      </c>
      <c r="AF34" s="2">
        <v>-188551</v>
      </c>
      <c r="AG34" s="2">
        <v>3705.556962025352</v>
      </c>
    </row>
    <row r="35" spans="1:33">
      <c r="A35" t="s">
        <v>372</v>
      </c>
      <c r="B35" s="2">
        <v>-11167.5</v>
      </c>
      <c r="C35" s="2">
        <v>582532.5</v>
      </c>
      <c r="E35" s="2">
        <v>-25000</v>
      </c>
      <c r="F35" s="2">
        <v>-197900</v>
      </c>
      <c r="G35" s="2">
        <v>-0</v>
      </c>
      <c r="H35" s="2">
        <v>0</v>
      </c>
      <c r="I35" t="s">
        <v>405</v>
      </c>
      <c r="J35" t="s">
        <v>405</v>
      </c>
      <c r="K35" s="2">
        <v>75000</v>
      </c>
      <c r="L35" t="s">
        <v>373</v>
      </c>
      <c r="M35" s="2">
        <v>587250</v>
      </c>
      <c r="N35" s="2">
        <v>587250</v>
      </c>
      <c r="O35" s="2">
        <v>7.83</v>
      </c>
      <c r="P35" t="s">
        <v>376</v>
      </c>
      <c r="Q35" t="s">
        <v>366</v>
      </c>
      <c r="R35" s="2">
        <v>0.06289999999999996</v>
      </c>
      <c r="S35" s="2">
        <v>-4717.499999999996</v>
      </c>
      <c r="T35" t="s">
        <v>3</v>
      </c>
      <c r="U35" t="s">
        <v>542</v>
      </c>
      <c r="V35" t="s">
        <v>1100</v>
      </c>
      <c r="W35" t="s">
        <v>383</v>
      </c>
      <c r="X35" s="2">
        <v>7.7671</v>
      </c>
      <c r="Y35" s="2">
        <v>791600</v>
      </c>
      <c r="Z35" s="2">
        <v>100000</v>
      </c>
      <c r="AA35" s="2">
        <v>593700</v>
      </c>
      <c r="AB35" t="s">
        <v>383</v>
      </c>
      <c r="AC35" s="2">
        <v>2150</v>
      </c>
      <c r="AD35" s="2">
        <v>11167.5</v>
      </c>
      <c r="AE35" s="2">
        <v>587250</v>
      </c>
      <c r="AF35" s="2">
        <v>-4717.5</v>
      </c>
      <c r="AG35" s="2">
        <v>11167.5</v>
      </c>
    </row>
    <row r="36" spans="1:33">
      <c r="A36" t="s">
        <v>368</v>
      </c>
      <c r="B36" s="2">
        <v>1350.3999999999069</v>
      </c>
      <c r="C36" s="2">
        <v>-1634616</v>
      </c>
      <c r="E36" s="2">
        <v>-10000</v>
      </c>
      <c r="F36" s="2">
        <v>-67918.40000000002</v>
      </c>
      <c r="G36" s="2">
        <v>-0</v>
      </c>
      <c r="H36" s="2">
        <v>0</v>
      </c>
      <c r="I36" t="s">
        <v>405</v>
      </c>
      <c r="J36" t="s">
        <v>405</v>
      </c>
      <c r="K36" s="2">
        <v>-240000</v>
      </c>
      <c r="L36" t="s">
        <v>364</v>
      </c>
      <c r="M36" s="2">
        <v>-1708800</v>
      </c>
      <c r="N36" s="2">
        <v>-1708800</v>
      </c>
      <c r="O36" s="2">
        <v>7.12</v>
      </c>
      <c r="P36" t="s">
        <v>376</v>
      </c>
      <c r="Q36" t="s">
        <v>366</v>
      </c>
      <c r="R36" s="2">
        <v>0.30909999999999993</v>
      </c>
      <c r="S36" s="2">
        <v>74183.99999999999</v>
      </c>
      <c r="T36" t="s">
        <v>3</v>
      </c>
      <c r="U36" t="s">
        <v>542</v>
      </c>
      <c r="V36" t="s">
        <v>1100</v>
      </c>
      <c r="W36" t="s">
        <v>383</v>
      </c>
      <c r="X36" s="2">
        <v>6.8109</v>
      </c>
      <c r="Y36" s="2">
        <v>-1568048</v>
      </c>
      <c r="Z36" s="2">
        <v>-230000</v>
      </c>
      <c r="AA36" s="2">
        <v>-1635966.4</v>
      </c>
      <c r="AB36" t="s">
        <v>383</v>
      </c>
      <c r="AC36" s="2">
        <v>-3281.5999999999767</v>
      </c>
      <c r="AD36" s="2">
        <v>-1350.3999999999069</v>
      </c>
      <c r="AE36" s="2">
        <v>-1708800</v>
      </c>
      <c r="AF36" s="2">
        <v>74184</v>
      </c>
      <c r="AG36" s="2">
        <v>-1350.3999999999069</v>
      </c>
    </row>
    <row r="37" spans="1:33">
      <c r="A37" t="s">
        <v>369</v>
      </c>
      <c r="B37" s="2">
        <v>492.2608695652161</v>
      </c>
      <c r="C37" s="2">
        <v>-260565</v>
      </c>
      <c r="E37" s="2">
        <v>0</v>
      </c>
      <c r="F37" s="2">
        <v>29.739130434776598</v>
      </c>
      <c r="G37" s="2">
        <v>-0</v>
      </c>
      <c r="H37" s="2">
        <v>0</v>
      </c>
      <c r="I37" t="s">
        <v>405</v>
      </c>
      <c r="J37" t="s">
        <v>405</v>
      </c>
      <c r="K37" s="2">
        <v>-300000</v>
      </c>
      <c r="L37" t="s">
        <v>370</v>
      </c>
      <c r="M37" s="2">
        <v>-273000</v>
      </c>
      <c r="N37" s="2">
        <v>-273000</v>
      </c>
      <c r="O37" s="2">
        <v>0.91</v>
      </c>
      <c r="P37" t="s">
        <v>376</v>
      </c>
      <c r="Q37" t="s">
        <v>366</v>
      </c>
      <c r="R37" s="2">
        <v>0.04144999999999999</v>
      </c>
      <c r="S37" s="2">
        <v>12434.999999999996</v>
      </c>
      <c r="T37" t="s">
        <v>3</v>
      </c>
      <c r="U37" t="s">
        <v>542</v>
      </c>
      <c r="V37" t="s">
        <v>1100</v>
      </c>
      <c r="W37" t="s">
        <v>383</v>
      </c>
      <c r="X37" s="2">
        <v>0.86855</v>
      </c>
      <c r="Y37" s="2">
        <v>-261087</v>
      </c>
      <c r="Z37" s="2">
        <v>-300000</v>
      </c>
      <c r="AA37" s="2">
        <v>-261057.26086956522</v>
      </c>
      <c r="AB37" t="s">
        <v>383</v>
      </c>
      <c r="AC37" s="2">
        <v>-29.739130434776598</v>
      </c>
      <c r="AD37" s="2">
        <v>-492.2608695652161</v>
      </c>
      <c r="AE37" s="2">
        <v>-273000</v>
      </c>
      <c r="AF37" s="2">
        <v>12435</v>
      </c>
      <c r="AG37" s="2">
        <v>-492.2608695652161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1" width="24.7109375" customWidth="1"/>
    <col min="22" max="22" width="36.7109375" customWidth="1"/>
    <col min="23" max="33" width="24.7109375" customWidth="1"/>
  </cols>
  <sheetData>
    <row r="1" spans="1:33">
      <c r="A1" s="1" t="s">
        <v>352</v>
      </c>
      <c r="B1" s="1" t="s">
        <v>1083</v>
      </c>
      <c r="C1" s="1" t="s">
        <v>1074</v>
      </c>
      <c r="D1" s="1" t="s">
        <v>1069</v>
      </c>
      <c r="E1" s="1" t="s">
        <v>1080</v>
      </c>
      <c r="F1" s="1" t="s">
        <v>1081</v>
      </c>
      <c r="G1" s="1" t="s">
        <v>398</v>
      </c>
      <c r="H1" s="1" t="s">
        <v>1087</v>
      </c>
      <c r="I1" s="1" t="s">
        <v>1088</v>
      </c>
      <c r="J1" s="1" t="s">
        <v>1089</v>
      </c>
      <c r="K1" s="1" t="s">
        <v>1090</v>
      </c>
      <c r="L1" s="1" t="s">
        <v>25</v>
      </c>
      <c r="M1" s="1" t="s">
        <v>1091</v>
      </c>
      <c r="N1" s="1" t="s">
        <v>1092</v>
      </c>
      <c r="O1" s="1" t="s">
        <v>353</v>
      </c>
      <c r="P1" s="1" t="s">
        <v>1049</v>
      </c>
      <c r="Q1" s="1" t="s">
        <v>1050</v>
      </c>
      <c r="R1" s="1" t="s">
        <v>1093</v>
      </c>
      <c r="S1" s="1" t="s">
        <v>1094</v>
      </c>
      <c r="T1" s="1" t="s">
        <v>2</v>
      </c>
      <c r="U1" s="1" t="s">
        <v>1054</v>
      </c>
      <c r="V1" s="1" t="s">
        <v>1095</v>
      </c>
      <c r="W1" s="1" t="s">
        <v>1070</v>
      </c>
      <c r="X1" s="1" t="s">
        <v>1058</v>
      </c>
      <c r="Y1" s="1" t="s">
        <v>1079</v>
      </c>
      <c r="Z1" s="1" t="s">
        <v>1096</v>
      </c>
      <c r="AA1" s="1" t="s">
        <v>1097</v>
      </c>
      <c r="AB1" s="1" t="s">
        <v>517</v>
      </c>
      <c r="AC1" s="1" t="s">
        <v>1098</v>
      </c>
      <c r="AD1" s="1" t="s">
        <v>1099</v>
      </c>
      <c r="AE1" s="1" t="s">
        <v>1084</v>
      </c>
      <c r="AF1" s="1" t="s">
        <v>1085</v>
      </c>
      <c r="AG1" s="1" t="s">
        <v>430</v>
      </c>
    </row>
    <row r="2" spans="1:33">
      <c r="A2" t="s">
        <v>371</v>
      </c>
      <c r="B2" s="2">
        <v>-25601.600000000093</v>
      </c>
      <c r="C2" s="2">
        <v>1532916</v>
      </c>
      <c r="E2" s="2">
        <v>20000</v>
      </c>
      <c r="F2" s="2">
        <v>134517.6</v>
      </c>
      <c r="G2" s="2">
        <v>-0</v>
      </c>
      <c r="H2" s="2">
        <v>0</v>
      </c>
      <c r="I2" t="s">
        <v>405</v>
      </c>
      <c r="J2" t="s">
        <v>405</v>
      </c>
      <c r="K2" s="2">
        <v>220000</v>
      </c>
      <c r="L2" t="s">
        <v>364</v>
      </c>
      <c r="M2" s="2">
        <v>1566400</v>
      </c>
      <c r="N2" s="2">
        <v>1566400</v>
      </c>
      <c r="O2" s="2">
        <v>7.12</v>
      </c>
      <c r="P2" t="s">
        <v>376</v>
      </c>
      <c r="Q2" t="s">
        <v>366</v>
      </c>
      <c r="R2" s="2">
        <v>0.15220000000000056</v>
      </c>
      <c r="S2" s="2">
        <v>-33484.000000000124</v>
      </c>
      <c r="T2" t="s">
        <v>3</v>
      </c>
      <c r="U2" t="s">
        <v>542</v>
      </c>
      <c r="V2" t="s">
        <v>1100</v>
      </c>
      <c r="W2" t="s">
        <v>375</v>
      </c>
      <c r="X2" s="2">
        <v>6.9677999999999995</v>
      </c>
      <c r="Y2" s="2">
        <v>1424000</v>
      </c>
      <c r="Z2" s="2">
        <v>200000</v>
      </c>
      <c r="AA2" s="2">
        <v>1558517.6</v>
      </c>
      <c r="AB2" t="s">
        <v>600</v>
      </c>
      <c r="AC2" s="2">
        <v>7882.399999999994</v>
      </c>
      <c r="AD2" s="2">
        <v>25601.600000000093</v>
      </c>
      <c r="AG2" s="2">
        <v>25601.600000000093</v>
      </c>
    </row>
    <row r="3" spans="1:33">
      <c r="A3" t="s">
        <v>378</v>
      </c>
      <c r="B3" s="2">
        <v>-8524.399999999965</v>
      </c>
      <c r="C3" s="2">
        <v>410605.2</v>
      </c>
      <c r="E3" s="2">
        <v>-40000</v>
      </c>
      <c r="F3" s="2">
        <v>-35870.4</v>
      </c>
      <c r="G3" s="2">
        <v>-0</v>
      </c>
      <c r="H3" s="2">
        <v>0</v>
      </c>
      <c r="I3" t="s">
        <v>405</v>
      </c>
      <c r="J3" t="s">
        <v>405</v>
      </c>
      <c r="K3" s="2">
        <v>460000</v>
      </c>
      <c r="L3" t="s">
        <v>370</v>
      </c>
      <c r="M3" s="2">
        <v>418600</v>
      </c>
      <c r="N3" s="2">
        <v>418600</v>
      </c>
      <c r="O3" s="2">
        <v>0.91</v>
      </c>
      <c r="P3" t="s">
        <v>376</v>
      </c>
      <c r="Q3" t="s">
        <v>366</v>
      </c>
      <c r="R3" s="2">
        <v>0.017380000000000062</v>
      </c>
      <c r="S3" s="2">
        <v>-7994.800000000028</v>
      </c>
      <c r="T3" t="s">
        <v>3</v>
      </c>
      <c r="U3" t="s">
        <v>542</v>
      </c>
      <c r="V3" t="s">
        <v>1100</v>
      </c>
      <c r="W3" t="s">
        <v>375</v>
      </c>
      <c r="X3" s="2">
        <v>0.89262</v>
      </c>
      <c r="Y3" s="2">
        <v>455000</v>
      </c>
      <c r="Z3" s="2">
        <v>500000</v>
      </c>
      <c r="AA3" s="2">
        <v>419129.6</v>
      </c>
      <c r="AB3" t="s">
        <v>600</v>
      </c>
      <c r="AC3" s="2">
        <v>-529.5999999999985</v>
      </c>
      <c r="AD3" s="2">
        <v>8524.399999999965</v>
      </c>
      <c r="AG3" s="2">
        <v>8524.399999999965</v>
      </c>
    </row>
    <row r="4" spans="1:33">
      <c r="A4" t="s">
        <v>363</v>
      </c>
      <c r="B4" s="2">
        <v>-47886.4615384615</v>
      </c>
      <c r="C4" s="2">
        <v>2926476</v>
      </c>
      <c r="E4" s="2">
        <v>100000</v>
      </c>
      <c r="F4" s="2">
        <v>695962.4615384615</v>
      </c>
      <c r="G4" s="2">
        <v>-0</v>
      </c>
      <c r="H4" s="2">
        <v>0</v>
      </c>
      <c r="I4" t="s">
        <v>405</v>
      </c>
      <c r="J4" t="s">
        <v>405</v>
      </c>
      <c r="K4" s="2">
        <v>420000</v>
      </c>
      <c r="L4" t="s">
        <v>364</v>
      </c>
      <c r="M4" s="2">
        <v>2990400</v>
      </c>
      <c r="N4" s="2">
        <v>2990400</v>
      </c>
      <c r="O4" s="2">
        <v>7.12</v>
      </c>
      <c r="P4" t="s">
        <v>376</v>
      </c>
      <c r="Q4" t="s">
        <v>366</v>
      </c>
      <c r="R4" s="2">
        <v>0.15220000000000056</v>
      </c>
      <c r="S4" s="2">
        <v>-63924.00000000023</v>
      </c>
      <c r="T4" t="s">
        <v>3</v>
      </c>
      <c r="U4" t="s">
        <v>542</v>
      </c>
      <c r="V4" t="s">
        <v>1100</v>
      </c>
      <c r="W4" t="s">
        <v>375</v>
      </c>
      <c r="X4" s="2">
        <v>6.9677999999999995</v>
      </c>
      <c r="Y4" s="2">
        <v>2278400</v>
      </c>
      <c r="Z4" s="2">
        <v>320000</v>
      </c>
      <c r="AA4" s="2">
        <v>2974362.4615384615</v>
      </c>
      <c r="AB4" t="s">
        <v>600</v>
      </c>
      <c r="AC4" s="2">
        <v>16037.538461538497</v>
      </c>
      <c r="AD4" s="2">
        <v>47886.4615384615</v>
      </c>
      <c r="AG4" s="2">
        <v>47886.4615384615</v>
      </c>
    </row>
    <row r="5" spans="1:33">
      <c r="A5" t="s">
        <v>372</v>
      </c>
      <c r="B5" s="2">
        <v>74160</v>
      </c>
      <c r="C5" s="2">
        <v>1248660</v>
      </c>
      <c r="E5" s="2">
        <v>0</v>
      </c>
      <c r="F5" s="2">
        <v>0</v>
      </c>
      <c r="G5" s="2">
        <v>-0</v>
      </c>
      <c r="H5" s="2">
        <v>0</v>
      </c>
      <c r="I5" t="s">
        <v>405</v>
      </c>
      <c r="J5" t="s">
        <v>405</v>
      </c>
      <c r="K5" s="2">
        <v>150000</v>
      </c>
      <c r="L5" t="s">
        <v>373</v>
      </c>
      <c r="M5" s="2">
        <v>1174500</v>
      </c>
      <c r="N5" s="2">
        <v>1174500</v>
      </c>
      <c r="O5" s="2">
        <v>7.83</v>
      </c>
      <c r="P5" t="s">
        <v>376</v>
      </c>
      <c r="Q5" t="s">
        <v>366</v>
      </c>
      <c r="R5" s="2">
        <v>-0.4944000000000006</v>
      </c>
      <c r="S5" s="2">
        <v>74160.00000000009</v>
      </c>
      <c r="T5" t="s">
        <v>3</v>
      </c>
      <c r="U5" t="s">
        <v>542</v>
      </c>
      <c r="V5" t="s">
        <v>1100</v>
      </c>
      <c r="W5" t="s">
        <v>375</v>
      </c>
      <c r="X5" s="2">
        <v>8.3244</v>
      </c>
      <c r="Y5" s="2">
        <v>1174500</v>
      </c>
      <c r="Z5" s="2">
        <v>150000</v>
      </c>
      <c r="AA5" s="2">
        <v>1174500</v>
      </c>
      <c r="AB5" t="s">
        <v>600</v>
      </c>
      <c r="AC5" s="2">
        <v>0</v>
      </c>
      <c r="AD5" s="2">
        <v>-74160</v>
      </c>
      <c r="AG5" s="2">
        <v>-74160</v>
      </c>
    </row>
    <row r="6" spans="1:33">
      <c r="A6" t="s">
        <v>368</v>
      </c>
      <c r="B6" s="2">
        <v>23588.5</v>
      </c>
      <c r="C6" s="2">
        <v>-1323882</v>
      </c>
      <c r="E6" s="2">
        <v>-10000</v>
      </c>
      <c r="F6" s="2">
        <v>-65870.5</v>
      </c>
      <c r="G6" s="2">
        <v>-0</v>
      </c>
      <c r="H6" s="2">
        <v>0</v>
      </c>
      <c r="I6" t="s">
        <v>405</v>
      </c>
      <c r="J6" t="s">
        <v>405</v>
      </c>
      <c r="K6" s="2">
        <v>-190000</v>
      </c>
      <c r="L6" t="s">
        <v>364</v>
      </c>
      <c r="M6" s="2">
        <v>-1352800</v>
      </c>
      <c r="N6" s="2">
        <v>-1352800</v>
      </c>
      <c r="O6" s="2">
        <v>7.12</v>
      </c>
      <c r="P6" t="s">
        <v>376</v>
      </c>
      <c r="Q6" t="s">
        <v>366</v>
      </c>
      <c r="R6" s="2">
        <v>0.15220000000000056</v>
      </c>
      <c r="S6" s="2">
        <v>28918.000000000106</v>
      </c>
      <c r="T6" t="s">
        <v>3</v>
      </c>
      <c r="U6" t="s">
        <v>542</v>
      </c>
      <c r="V6" t="s">
        <v>1100</v>
      </c>
      <c r="W6" t="s">
        <v>375</v>
      </c>
      <c r="X6" s="2">
        <v>6.9677999999999995</v>
      </c>
      <c r="Y6" s="2">
        <v>-1281600</v>
      </c>
      <c r="Z6" s="2">
        <v>-180000</v>
      </c>
      <c r="AA6" s="2">
        <v>-1347470.5</v>
      </c>
      <c r="AB6" t="s">
        <v>600</v>
      </c>
      <c r="AC6" s="2">
        <v>-5329.5</v>
      </c>
      <c r="AD6" s="2">
        <v>-23588.5</v>
      </c>
      <c r="AG6" s="2">
        <v>-23588.5</v>
      </c>
    </row>
    <row r="7" spans="1:33">
      <c r="A7" t="s">
        <v>369</v>
      </c>
      <c r="B7" s="2">
        <v>4746.705882352951</v>
      </c>
      <c r="C7" s="2">
        <v>-267786</v>
      </c>
      <c r="E7" s="2">
        <v>0</v>
      </c>
      <c r="F7" s="2">
        <v>467.2941176470631</v>
      </c>
      <c r="G7" s="2">
        <v>-0</v>
      </c>
      <c r="H7" s="2">
        <v>0</v>
      </c>
      <c r="I7" t="s">
        <v>405</v>
      </c>
      <c r="J7" t="s">
        <v>405</v>
      </c>
      <c r="K7" s="2">
        <v>-300000</v>
      </c>
      <c r="L7" t="s">
        <v>370</v>
      </c>
      <c r="M7" s="2">
        <v>-273000</v>
      </c>
      <c r="N7" s="2">
        <v>-273000</v>
      </c>
      <c r="O7" s="2">
        <v>0.91</v>
      </c>
      <c r="P7" t="s">
        <v>376</v>
      </c>
      <c r="Q7" t="s">
        <v>366</v>
      </c>
      <c r="R7" s="2">
        <v>0.017380000000000062</v>
      </c>
      <c r="S7" s="2">
        <v>5214.000000000018</v>
      </c>
      <c r="T7" t="s">
        <v>3</v>
      </c>
      <c r="U7" t="s">
        <v>542</v>
      </c>
      <c r="V7" t="s">
        <v>1100</v>
      </c>
      <c r="W7" t="s">
        <v>375</v>
      </c>
      <c r="X7" s="2">
        <v>0.89262</v>
      </c>
      <c r="Y7" s="2">
        <v>-273000</v>
      </c>
      <c r="Z7" s="2">
        <v>-300000</v>
      </c>
      <c r="AA7" s="2">
        <v>-272532.70588235295</v>
      </c>
      <c r="AB7" t="s">
        <v>600</v>
      </c>
      <c r="AC7" s="2">
        <v>-467.2941176470631</v>
      </c>
      <c r="AD7" s="2">
        <v>-4746.705882352951</v>
      </c>
      <c r="AG7" s="2">
        <v>-4746.705882352951</v>
      </c>
    </row>
    <row r="8" spans="1:33">
      <c r="A8" t="s">
        <v>371</v>
      </c>
      <c r="B8" s="2">
        <v>-10494.46666666679</v>
      </c>
      <c r="C8" s="2">
        <v>1799928</v>
      </c>
      <c r="E8" s="2">
        <v>40000</v>
      </c>
      <c r="F8" s="2">
        <v>277506.4666666667</v>
      </c>
      <c r="G8" s="2">
        <v>-0</v>
      </c>
      <c r="H8" s="2">
        <v>0</v>
      </c>
      <c r="I8" t="s">
        <v>405</v>
      </c>
      <c r="J8" t="s">
        <v>405</v>
      </c>
      <c r="K8" s="2">
        <v>260000</v>
      </c>
      <c r="L8" t="s">
        <v>364</v>
      </c>
      <c r="M8" s="2">
        <v>1851200</v>
      </c>
      <c r="N8" s="2">
        <v>1851200</v>
      </c>
      <c r="O8" s="2">
        <v>7.12</v>
      </c>
      <c r="P8" t="s">
        <v>376</v>
      </c>
      <c r="Q8" t="s">
        <v>366</v>
      </c>
      <c r="R8" s="2">
        <v>0.19720000000000049</v>
      </c>
      <c r="S8" s="2">
        <v>-51272.000000000124</v>
      </c>
      <c r="T8" t="s">
        <v>3</v>
      </c>
      <c r="U8" t="s">
        <v>542</v>
      </c>
      <c r="V8" t="s">
        <v>1100</v>
      </c>
      <c r="W8" t="s">
        <v>379</v>
      </c>
      <c r="X8" s="2">
        <v>6.9228</v>
      </c>
      <c r="Y8" s="2">
        <v>1532916</v>
      </c>
      <c r="Z8" s="2">
        <v>220000</v>
      </c>
      <c r="AA8" s="2">
        <v>1810422.4666666668</v>
      </c>
      <c r="AB8" t="s">
        <v>622</v>
      </c>
      <c r="AC8" s="2">
        <v>7293.533333333326</v>
      </c>
      <c r="AD8" s="2">
        <v>10494.46666666679</v>
      </c>
      <c r="AG8" s="2">
        <v>10494.46666666679</v>
      </c>
    </row>
    <row r="9" spans="1:33">
      <c r="A9" t="s">
        <v>378</v>
      </c>
      <c r="B9" s="2">
        <v>-3492.0999999999767</v>
      </c>
      <c r="C9" s="2">
        <v>380481.2</v>
      </c>
      <c r="E9" s="2">
        <v>-30000</v>
      </c>
      <c r="F9" s="2">
        <v>-26631.899999999998</v>
      </c>
      <c r="G9" s="2">
        <v>-0</v>
      </c>
      <c r="H9" s="2">
        <v>0</v>
      </c>
      <c r="I9" t="s">
        <v>405</v>
      </c>
      <c r="J9" t="s">
        <v>405</v>
      </c>
      <c r="K9" s="2">
        <v>430000</v>
      </c>
      <c r="L9" t="s">
        <v>370</v>
      </c>
      <c r="M9" s="2">
        <v>391300</v>
      </c>
      <c r="N9" s="2">
        <v>391300</v>
      </c>
      <c r="O9" s="2">
        <v>0.91</v>
      </c>
      <c r="P9" t="s">
        <v>376</v>
      </c>
      <c r="Q9" t="s">
        <v>366</v>
      </c>
      <c r="R9" s="2">
        <v>0.02516000000000007</v>
      </c>
      <c r="S9" s="2">
        <v>-10818.80000000003</v>
      </c>
      <c r="T9" t="s">
        <v>3</v>
      </c>
      <c r="U9" t="s">
        <v>542</v>
      </c>
      <c r="V9" t="s">
        <v>1100</v>
      </c>
      <c r="W9" t="s">
        <v>379</v>
      </c>
      <c r="X9" s="2">
        <v>0.88484</v>
      </c>
      <c r="Y9" s="2">
        <v>410605.2</v>
      </c>
      <c r="Z9" s="2">
        <v>460000</v>
      </c>
      <c r="AA9" s="2">
        <v>383973.3</v>
      </c>
      <c r="AB9" t="s">
        <v>622</v>
      </c>
      <c r="AC9" s="2">
        <v>-668.1000000000022</v>
      </c>
      <c r="AD9" s="2">
        <v>3492.0999999999767</v>
      </c>
      <c r="AG9" s="2">
        <v>3492.0999999999767</v>
      </c>
    </row>
    <row r="10" spans="1:33">
      <c r="A10" t="s">
        <v>363</v>
      </c>
      <c r="B10" s="2">
        <v>-17308.80000000028</v>
      </c>
      <c r="C10" s="2">
        <v>2769120</v>
      </c>
      <c r="E10" s="2">
        <v>-20000</v>
      </c>
      <c r="F10" s="2">
        <v>-140047.19999999984</v>
      </c>
      <c r="G10" s="2">
        <v>-0</v>
      </c>
      <c r="H10" s="2">
        <v>0</v>
      </c>
      <c r="I10" t="s">
        <v>405</v>
      </c>
      <c r="J10" t="s">
        <v>405</v>
      </c>
      <c r="K10" s="2">
        <v>400000</v>
      </c>
      <c r="L10" t="s">
        <v>364</v>
      </c>
      <c r="M10" s="2">
        <v>2848000</v>
      </c>
      <c r="N10" s="2">
        <v>2848000</v>
      </c>
      <c r="O10" s="2">
        <v>7.12</v>
      </c>
      <c r="P10" t="s">
        <v>376</v>
      </c>
      <c r="Q10" t="s">
        <v>366</v>
      </c>
      <c r="R10" s="2">
        <v>0.19720000000000049</v>
      </c>
      <c r="S10" s="2">
        <v>-78880.00000000019</v>
      </c>
      <c r="T10" t="s">
        <v>3</v>
      </c>
      <c r="U10" t="s">
        <v>542</v>
      </c>
      <c r="V10" t="s">
        <v>1100</v>
      </c>
      <c r="W10" t="s">
        <v>379</v>
      </c>
      <c r="X10" s="2">
        <v>6.9228</v>
      </c>
      <c r="Y10" s="2">
        <v>2926476</v>
      </c>
      <c r="Z10" s="2">
        <v>420000</v>
      </c>
      <c r="AA10" s="2">
        <v>2786428.8000000003</v>
      </c>
      <c r="AB10" t="s">
        <v>622</v>
      </c>
      <c r="AC10" s="2">
        <v>-2352.800000000163</v>
      </c>
      <c r="AD10" s="2">
        <v>17308.80000000028</v>
      </c>
      <c r="AG10" s="2">
        <v>17308.80000000028</v>
      </c>
    </row>
    <row r="11" spans="1:33">
      <c r="A11" t="s">
        <v>372</v>
      </c>
      <c r="B11" s="2">
        <v>-25449.999999999884</v>
      </c>
      <c r="C11" s="2">
        <v>1015100.0000000001</v>
      </c>
      <c r="E11" s="2">
        <v>-25000</v>
      </c>
      <c r="F11" s="2">
        <v>-208110.00000000003</v>
      </c>
      <c r="G11" s="2">
        <v>-0</v>
      </c>
      <c r="H11" s="2">
        <v>0</v>
      </c>
      <c r="I11" t="s">
        <v>405</v>
      </c>
      <c r="J11" t="s">
        <v>405</v>
      </c>
      <c r="K11" s="2">
        <v>125000</v>
      </c>
      <c r="L11" t="s">
        <v>373</v>
      </c>
      <c r="M11" s="2">
        <v>978750</v>
      </c>
      <c r="N11" s="2">
        <v>978750</v>
      </c>
      <c r="O11" s="2">
        <v>7.83</v>
      </c>
      <c r="P11" t="s">
        <v>376</v>
      </c>
      <c r="Q11" t="s">
        <v>366</v>
      </c>
      <c r="R11" s="2">
        <v>-0.29080000000000084</v>
      </c>
      <c r="S11" s="2">
        <v>36350.0000000001</v>
      </c>
      <c r="T11" t="s">
        <v>3</v>
      </c>
      <c r="U11" t="s">
        <v>542</v>
      </c>
      <c r="V11" t="s">
        <v>1100</v>
      </c>
      <c r="W11" t="s">
        <v>379</v>
      </c>
      <c r="X11" s="2">
        <v>8.120800000000001</v>
      </c>
      <c r="Y11" s="2">
        <v>1248660</v>
      </c>
      <c r="Z11" s="2">
        <v>150000</v>
      </c>
      <c r="AA11" s="2">
        <v>1040550</v>
      </c>
      <c r="AB11" t="s">
        <v>622</v>
      </c>
      <c r="AC11" s="2">
        <v>12360.00000000003</v>
      </c>
      <c r="AD11" s="2">
        <v>25449.999999999884</v>
      </c>
      <c r="AG11" s="2">
        <v>25449.999999999884</v>
      </c>
    </row>
    <row r="12" spans="1:33">
      <c r="A12" t="s">
        <v>368</v>
      </c>
      <c r="B12" s="2">
        <v>8026.086956521729</v>
      </c>
      <c r="C12" s="2">
        <v>-1384560</v>
      </c>
      <c r="E12" s="2">
        <v>-10000</v>
      </c>
      <c r="F12" s="2">
        <v>-68704.08695652173</v>
      </c>
      <c r="G12" s="2">
        <v>-0</v>
      </c>
      <c r="H12" s="2">
        <v>0</v>
      </c>
      <c r="I12" t="s">
        <v>405</v>
      </c>
      <c r="J12" t="s">
        <v>405</v>
      </c>
      <c r="K12" s="2">
        <v>-200000</v>
      </c>
      <c r="L12" t="s">
        <v>364</v>
      </c>
      <c r="M12" s="2">
        <v>-1424000</v>
      </c>
      <c r="N12" s="2">
        <v>-1424000</v>
      </c>
      <c r="O12" s="2">
        <v>7.12</v>
      </c>
      <c r="P12" t="s">
        <v>376</v>
      </c>
      <c r="Q12" t="s">
        <v>366</v>
      </c>
      <c r="R12" s="2">
        <v>0.19720000000000049</v>
      </c>
      <c r="S12" s="2">
        <v>39440.000000000095</v>
      </c>
      <c r="T12" t="s">
        <v>3</v>
      </c>
      <c r="U12" t="s">
        <v>542</v>
      </c>
      <c r="V12" t="s">
        <v>1100</v>
      </c>
      <c r="W12" t="s">
        <v>379</v>
      </c>
      <c r="X12" s="2">
        <v>6.9228</v>
      </c>
      <c r="Y12" s="2">
        <v>-1323882</v>
      </c>
      <c r="Z12" s="2">
        <v>-190000</v>
      </c>
      <c r="AA12" s="2">
        <v>-1392586.0869565217</v>
      </c>
      <c r="AB12" t="s">
        <v>622</v>
      </c>
      <c r="AC12" s="2">
        <v>-2495.913043478271</v>
      </c>
      <c r="AD12" s="2">
        <v>-8026.086956521729</v>
      </c>
      <c r="AG12" s="2">
        <v>-8026.086956521729</v>
      </c>
    </row>
    <row r="13" spans="1:33">
      <c r="A13" t="s">
        <v>369</v>
      </c>
      <c r="B13" s="2">
        <v>2204.4545454545296</v>
      </c>
      <c r="C13" s="2">
        <v>-265452</v>
      </c>
      <c r="E13" s="2">
        <v>0</v>
      </c>
      <c r="F13" s="2">
        <v>129.5454545454486</v>
      </c>
      <c r="G13" s="2">
        <v>-0</v>
      </c>
      <c r="H13" s="2">
        <v>0</v>
      </c>
      <c r="I13" t="s">
        <v>405</v>
      </c>
      <c r="J13" t="s">
        <v>405</v>
      </c>
      <c r="K13" s="2">
        <v>-300000</v>
      </c>
      <c r="L13" t="s">
        <v>370</v>
      </c>
      <c r="M13" s="2">
        <v>-273000</v>
      </c>
      <c r="N13" s="2">
        <v>-273000</v>
      </c>
      <c r="O13" s="2">
        <v>0.91</v>
      </c>
      <c r="P13" t="s">
        <v>376</v>
      </c>
      <c r="Q13" t="s">
        <v>366</v>
      </c>
      <c r="R13" s="2">
        <v>0.02516000000000007</v>
      </c>
      <c r="S13" s="2">
        <v>7548.000000000021</v>
      </c>
      <c r="T13" t="s">
        <v>3</v>
      </c>
      <c r="U13" t="s">
        <v>542</v>
      </c>
      <c r="V13" t="s">
        <v>1100</v>
      </c>
      <c r="W13" t="s">
        <v>379</v>
      </c>
      <c r="X13" s="2">
        <v>0.88484</v>
      </c>
      <c r="Y13" s="2">
        <v>-267786</v>
      </c>
      <c r="Z13" s="2">
        <v>-300000</v>
      </c>
      <c r="AA13" s="2">
        <v>-267656.45454545453</v>
      </c>
      <c r="AB13" t="s">
        <v>622</v>
      </c>
      <c r="AC13" s="2">
        <v>-129.5454545454486</v>
      </c>
      <c r="AD13" s="2">
        <v>-2204.4545454545296</v>
      </c>
      <c r="AG13" s="2">
        <v>-2204.4545454545296</v>
      </c>
    </row>
    <row r="14" spans="1:33">
      <c r="A14" t="s">
        <v>371</v>
      </c>
      <c r="B14" s="2">
        <v>787.0909090910573</v>
      </c>
      <c r="C14" s="2">
        <v>2075820.0000000002</v>
      </c>
      <c r="E14" s="2">
        <v>40000</v>
      </c>
      <c r="F14" s="2">
        <v>275104.9090909091</v>
      </c>
      <c r="G14" s="2">
        <v>-0</v>
      </c>
      <c r="H14" s="2">
        <v>0</v>
      </c>
      <c r="I14" t="s">
        <v>405</v>
      </c>
      <c r="J14" t="s">
        <v>405</v>
      </c>
      <c r="K14" s="2">
        <v>300000</v>
      </c>
      <c r="L14" t="s">
        <v>364</v>
      </c>
      <c r="M14" s="2">
        <v>2136000</v>
      </c>
      <c r="N14" s="2">
        <v>2136000</v>
      </c>
      <c r="O14" s="2">
        <v>7.12</v>
      </c>
      <c r="P14" t="s">
        <v>376</v>
      </c>
      <c r="Q14" t="s">
        <v>366</v>
      </c>
      <c r="R14" s="2">
        <v>0.20059999999999967</v>
      </c>
      <c r="S14" s="2">
        <v>-60179.9999999999</v>
      </c>
      <c r="T14" t="s">
        <v>3</v>
      </c>
      <c r="U14" t="s">
        <v>542</v>
      </c>
      <c r="V14" t="s">
        <v>1100</v>
      </c>
      <c r="W14" t="s">
        <v>380</v>
      </c>
      <c r="X14" s="2">
        <v>6.9194</v>
      </c>
      <c r="Y14" s="2">
        <v>1799928</v>
      </c>
      <c r="Z14" s="2">
        <v>260000</v>
      </c>
      <c r="AA14" s="2">
        <v>2075032.9090909092</v>
      </c>
      <c r="AB14" t="s">
        <v>380</v>
      </c>
      <c r="AC14" s="2">
        <v>9695.090909090883</v>
      </c>
      <c r="AD14" s="2">
        <v>-787.0909090910573</v>
      </c>
      <c r="AG14" s="2">
        <v>-787.0909090910573</v>
      </c>
    </row>
    <row r="15" spans="1:33">
      <c r="A15" t="s">
        <v>378</v>
      </c>
      <c r="B15" s="2">
        <v>-924.7000000000116</v>
      </c>
      <c r="C15" s="2">
        <v>344350.5</v>
      </c>
      <c r="E15" s="2">
        <v>-40000</v>
      </c>
      <c r="F15" s="2">
        <v>-35206</v>
      </c>
      <c r="G15" s="2">
        <v>-0</v>
      </c>
      <c r="H15" s="2">
        <v>0</v>
      </c>
      <c r="I15" t="s">
        <v>405</v>
      </c>
      <c r="J15" t="s">
        <v>405</v>
      </c>
      <c r="K15" s="2">
        <v>390000</v>
      </c>
      <c r="L15" t="s">
        <v>370</v>
      </c>
      <c r="M15" s="2">
        <v>354900</v>
      </c>
      <c r="N15" s="2">
        <v>354900</v>
      </c>
      <c r="O15" s="2">
        <v>0.91</v>
      </c>
      <c r="P15" t="s">
        <v>376</v>
      </c>
      <c r="Q15" t="s">
        <v>366</v>
      </c>
      <c r="R15" s="2">
        <v>0.02705000000000002</v>
      </c>
      <c r="S15" s="2">
        <v>-10549.500000000007</v>
      </c>
      <c r="T15" t="s">
        <v>3</v>
      </c>
      <c r="U15" t="s">
        <v>542</v>
      </c>
      <c r="V15" t="s">
        <v>1100</v>
      </c>
      <c r="W15" t="s">
        <v>380</v>
      </c>
      <c r="X15" s="2">
        <v>0.88295</v>
      </c>
      <c r="Y15" s="2">
        <v>380481.2</v>
      </c>
      <c r="Z15" s="2">
        <v>430000</v>
      </c>
      <c r="AA15" s="2">
        <v>345275.2</v>
      </c>
      <c r="AB15" t="s">
        <v>380</v>
      </c>
      <c r="AC15" s="2">
        <v>-1194</v>
      </c>
      <c r="AD15" s="2">
        <v>924.7000000000116</v>
      </c>
      <c r="AG15" s="2">
        <v>924.7000000000116</v>
      </c>
    </row>
    <row r="16" spans="1:33">
      <c r="A16" t="s">
        <v>363</v>
      </c>
      <c r="B16" s="2">
        <v>1788.7999999998137</v>
      </c>
      <c r="C16" s="2">
        <v>3321312</v>
      </c>
      <c r="E16" s="2">
        <v>80000</v>
      </c>
      <c r="F16" s="2">
        <v>550403.2</v>
      </c>
      <c r="G16" s="2">
        <v>-0</v>
      </c>
      <c r="H16" s="2">
        <v>0</v>
      </c>
      <c r="I16" t="s">
        <v>405</v>
      </c>
      <c r="J16" t="s">
        <v>405</v>
      </c>
      <c r="K16" s="2">
        <v>480000</v>
      </c>
      <c r="L16" t="s">
        <v>364</v>
      </c>
      <c r="M16" s="2">
        <v>3417600</v>
      </c>
      <c r="N16" s="2">
        <v>3417600</v>
      </c>
      <c r="O16" s="2">
        <v>7.12</v>
      </c>
      <c r="P16" t="s">
        <v>376</v>
      </c>
      <c r="Q16" t="s">
        <v>366</v>
      </c>
      <c r="R16" s="2">
        <v>0.20059999999999967</v>
      </c>
      <c r="S16" s="2">
        <v>-96287.99999999984</v>
      </c>
      <c r="T16" t="s">
        <v>3</v>
      </c>
      <c r="U16" t="s">
        <v>542</v>
      </c>
      <c r="V16" t="s">
        <v>1100</v>
      </c>
      <c r="W16" t="s">
        <v>380</v>
      </c>
      <c r="X16" s="2">
        <v>6.9194</v>
      </c>
      <c r="Y16" s="2">
        <v>2769120</v>
      </c>
      <c r="Z16" s="2">
        <v>400000</v>
      </c>
      <c r="AA16" s="2">
        <v>3319523.2</v>
      </c>
      <c r="AB16" t="s">
        <v>380</v>
      </c>
      <c r="AC16" s="2">
        <v>19196.79999999993</v>
      </c>
      <c r="AD16" s="2">
        <v>-1788.7999999998137</v>
      </c>
      <c r="AG16" s="2">
        <v>-1788.7999999998137</v>
      </c>
    </row>
    <row r="17" spans="1:33">
      <c r="A17" t="s">
        <v>372</v>
      </c>
      <c r="B17" s="2">
        <v>-23825.000000000116</v>
      </c>
      <c r="C17" s="2">
        <v>991275</v>
      </c>
      <c r="E17" s="2">
        <v>0</v>
      </c>
      <c r="F17" s="2">
        <v>0</v>
      </c>
      <c r="G17" s="2">
        <v>-0</v>
      </c>
      <c r="H17" s="2">
        <v>0</v>
      </c>
      <c r="I17" t="s">
        <v>405</v>
      </c>
      <c r="J17" t="s">
        <v>405</v>
      </c>
      <c r="K17" s="2">
        <v>125000</v>
      </c>
      <c r="L17" t="s">
        <v>373</v>
      </c>
      <c r="M17" s="2">
        <v>978750</v>
      </c>
      <c r="N17" s="2">
        <v>978750</v>
      </c>
      <c r="O17" s="2">
        <v>7.83</v>
      </c>
      <c r="P17" t="s">
        <v>376</v>
      </c>
      <c r="Q17" t="s">
        <v>366</v>
      </c>
      <c r="R17" s="2">
        <v>-0.10020000000000007</v>
      </c>
      <c r="S17" s="2">
        <v>12525.00000000001</v>
      </c>
      <c r="T17" t="s">
        <v>3</v>
      </c>
      <c r="U17" t="s">
        <v>542</v>
      </c>
      <c r="V17" t="s">
        <v>1100</v>
      </c>
      <c r="W17" t="s">
        <v>380</v>
      </c>
      <c r="X17" s="2">
        <v>7.9302</v>
      </c>
      <c r="Y17" s="2">
        <v>1015100.0000000001</v>
      </c>
      <c r="Z17" s="2">
        <v>125000</v>
      </c>
      <c r="AA17" s="2">
        <v>1015100.0000000001</v>
      </c>
      <c r="AB17" t="s">
        <v>380</v>
      </c>
      <c r="AC17" s="2">
        <v>0</v>
      </c>
      <c r="AD17" s="2">
        <v>23825.000000000116</v>
      </c>
      <c r="AG17" s="2">
        <v>23825.000000000116</v>
      </c>
    </row>
    <row r="18" spans="1:33">
      <c r="A18" t="s">
        <v>368</v>
      </c>
      <c r="B18" s="2">
        <v>-831.9230769230053</v>
      </c>
      <c r="C18" s="2">
        <v>-1453074</v>
      </c>
      <c r="E18" s="2">
        <v>-10000</v>
      </c>
      <c r="F18" s="2">
        <v>-67682.07692307694</v>
      </c>
      <c r="G18" s="2">
        <v>-0</v>
      </c>
      <c r="H18" s="2">
        <v>0</v>
      </c>
      <c r="I18" t="s">
        <v>405</v>
      </c>
      <c r="J18" t="s">
        <v>405</v>
      </c>
      <c r="K18" s="2">
        <v>-210000</v>
      </c>
      <c r="L18" t="s">
        <v>364</v>
      </c>
      <c r="M18" s="2">
        <v>-1495200</v>
      </c>
      <c r="N18" s="2">
        <v>-1495200</v>
      </c>
      <c r="O18" s="2">
        <v>7.12</v>
      </c>
      <c r="P18" t="s">
        <v>376</v>
      </c>
      <c r="Q18" t="s">
        <v>366</v>
      </c>
      <c r="R18" s="2">
        <v>0.20059999999999967</v>
      </c>
      <c r="S18" s="2">
        <v>42125.99999999993</v>
      </c>
      <c r="T18" t="s">
        <v>3</v>
      </c>
      <c r="U18" t="s">
        <v>542</v>
      </c>
      <c r="V18" t="s">
        <v>1100</v>
      </c>
      <c r="W18" t="s">
        <v>380</v>
      </c>
      <c r="X18" s="2">
        <v>6.9194</v>
      </c>
      <c r="Y18" s="2">
        <v>-1384560</v>
      </c>
      <c r="Z18" s="2">
        <v>-200000</v>
      </c>
      <c r="AA18" s="2">
        <v>-1452242.076923077</v>
      </c>
      <c r="AB18" t="s">
        <v>380</v>
      </c>
      <c r="AC18" s="2">
        <v>-3517.9230769230635</v>
      </c>
      <c r="AD18" s="2">
        <v>831.9230769230053</v>
      </c>
      <c r="AG18" s="2">
        <v>831.9230769230053</v>
      </c>
    </row>
    <row r="19" spans="1:33">
      <c r="A19" t="s">
        <v>369</v>
      </c>
      <c r="B19" s="2">
        <v>436.4117647059029</v>
      </c>
      <c r="C19" s="2">
        <v>-264885</v>
      </c>
      <c r="E19" s="2">
        <v>0</v>
      </c>
      <c r="F19" s="2">
        <v>130.58823529411893</v>
      </c>
      <c r="G19" s="2">
        <v>-0</v>
      </c>
      <c r="H19" s="2">
        <v>0</v>
      </c>
      <c r="I19" t="s">
        <v>405</v>
      </c>
      <c r="J19" t="s">
        <v>405</v>
      </c>
      <c r="K19" s="2">
        <v>-300000</v>
      </c>
      <c r="L19" t="s">
        <v>370</v>
      </c>
      <c r="M19" s="2">
        <v>-273000</v>
      </c>
      <c r="N19" s="2">
        <v>-273000</v>
      </c>
      <c r="O19" s="2">
        <v>0.91</v>
      </c>
      <c r="P19" t="s">
        <v>376</v>
      </c>
      <c r="Q19" t="s">
        <v>366</v>
      </c>
      <c r="R19" s="2">
        <v>0.02705000000000002</v>
      </c>
      <c r="S19" s="2">
        <v>8115.0000000000055</v>
      </c>
      <c r="T19" t="s">
        <v>3</v>
      </c>
      <c r="U19" t="s">
        <v>542</v>
      </c>
      <c r="V19" t="s">
        <v>1100</v>
      </c>
      <c r="W19" t="s">
        <v>380</v>
      </c>
      <c r="X19" s="2">
        <v>0.88295</v>
      </c>
      <c r="Y19" s="2">
        <v>-265452</v>
      </c>
      <c r="Z19" s="2">
        <v>-300000</v>
      </c>
      <c r="AA19" s="2">
        <v>-265321.4117647059</v>
      </c>
      <c r="AB19" t="s">
        <v>380</v>
      </c>
      <c r="AC19" s="2">
        <v>-130.58823529411893</v>
      </c>
      <c r="AD19" s="2">
        <v>-436.4117647059029</v>
      </c>
      <c r="AG19" s="2">
        <v>-436.4117647059029</v>
      </c>
    </row>
    <row r="20" spans="1:33">
      <c r="A20" t="s">
        <v>371</v>
      </c>
      <c r="B20" s="2">
        <v>-14958.365853658877</v>
      </c>
      <c r="C20" s="2">
        <v>2607864</v>
      </c>
      <c r="E20" s="2">
        <v>80000</v>
      </c>
      <c r="F20" s="2">
        <v>547002.3658536585</v>
      </c>
      <c r="G20" s="2">
        <v>-0</v>
      </c>
      <c r="H20" s="2">
        <v>0</v>
      </c>
      <c r="I20" t="s">
        <v>405</v>
      </c>
      <c r="J20" t="s">
        <v>405</v>
      </c>
      <c r="K20" s="2">
        <v>380000</v>
      </c>
      <c r="L20" t="s">
        <v>364</v>
      </c>
      <c r="M20" s="2">
        <v>2705600</v>
      </c>
      <c r="N20" s="2">
        <v>2705600</v>
      </c>
      <c r="O20" s="2">
        <v>7.12</v>
      </c>
      <c r="P20" t="s">
        <v>376</v>
      </c>
      <c r="Q20" t="s">
        <v>366</v>
      </c>
      <c r="R20" s="2">
        <v>0.2572000000000001</v>
      </c>
      <c r="S20" s="2">
        <v>-97736.00000000003</v>
      </c>
      <c r="T20" t="s">
        <v>3</v>
      </c>
      <c r="U20" t="s">
        <v>542</v>
      </c>
      <c r="V20" t="s">
        <v>1100</v>
      </c>
      <c r="W20" t="s">
        <v>381</v>
      </c>
      <c r="X20" s="2">
        <v>6.8628</v>
      </c>
      <c r="Y20" s="2">
        <v>2075820.0000000002</v>
      </c>
      <c r="Z20" s="2">
        <v>300000</v>
      </c>
      <c r="AA20" s="2">
        <v>2622822.365853659</v>
      </c>
      <c r="AB20" t="s">
        <v>381</v>
      </c>
      <c r="AC20" s="2">
        <v>22597.634146341472</v>
      </c>
      <c r="AD20" s="2">
        <v>14958.365853658877</v>
      </c>
      <c r="AG20" s="2">
        <v>14958.365853658877</v>
      </c>
    </row>
    <row r="21" spans="1:33">
      <c r="A21" t="s">
        <v>378</v>
      </c>
      <c r="B21" s="2">
        <v>-2750.5999999999767</v>
      </c>
      <c r="C21" s="2">
        <v>306533.5</v>
      </c>
      <c r="E21" s="2">
        <v>-40000</v>
      </c>
      <c r="F21" s="2">
        <v>-35066.4</v>
      </c>
      <c r="G21" s="2">
        <v>-0</v>
      </c>
      <c r="H21" s="2">
        <v>0</v>
      </c>
      <c r="I21" t="s">
        <v>405</v>
      </c>
      <c r="J21" t="s">
        <v>405</v>
      </c>
      <c r="K21" s="2">
        <v>350000</v>
      </c>
      <c r="L21" t="s">
        <v>370</v>
      </c>
      <c r="M21" s="2">
        <v>318500</v>
      </c>
      <c r="N21" s="2">
        <v>318500</v>
      </c>
      <c r="O21" s="2">
        <v>0.91</v>
      </c>
      <c r="P21" t="s">
        <v>376</v>
      </c>
      <c r="Q21" t="s">
        <v>366</v>
      </c>
      <c r="R21" s="2">
        <v>0.034190000000000054</v>
      </c>
      <c r="S21" s="2">
        <v>-11966.500000000018</v>
      </c>
      <c r="T21" t="s">
        <v>3</v>
      </c>
      <c r="U21" t="s">
        <v>542</v>
      </c>
      <c r="V21" t="s">
        <v>1100</v>
      </c>
      <c r="W21" t="s">
        <v>381</v>
      </c>
      <c r="X21" s="2">
        <v>0.87581</v>
      </c>
      <c r="Y21" s="2">
        <v>344350.5</v>
      </c>
      <c r="Z21" s="2">
        <v>390000</v>
      </c>
      <c r="AA21" s="2">
        <v>309284.1</v>
      </c>
      <c r="AB21" t="s">
        <v>381</v>
      </c>
      <c r="AC21" s="2">
        <v>-1333.5999999999985</v>
      </c>
      <c r="AD21" s="2">
        <v>2750.5999999999767</v>
      </c>
      <c r="AG21" s="2">
        <v>2750.5999999999767</v>
      </c>
    </row>
    <row r="22" spans="1:33">
      <c r="A22" t="s">
        <v>363</v>
      </c>
      <c r="B22" s="2">
        <v>-26066.571428571362</v>
      </c>
      <c r="C22" s="2">
        <v>3705912</v>
      </c>
      <c r="E22" s="2">
        <v>60000</v>
      </c>
      <c r="F22" s="2">
        <v>410666.57142857136</v>
      </c>
      <c r="G22" s="2">
        <v>-0</v>
      </c>
      <c r="H22" s="2">
        <v>0</v>
      </c>
      <c r="I22" t="s">
        <v>405</v>
      </c>
      <c r="J22" t="s">
        <v>405</v>
      </c>
      <c r="K22" s="2">
        <v>540000</v>
      </c>
      <c r="L22" t="s">
        <v>364</v>
      </c>
      <c r="M22" s="2">
        <v>3844800</v>
      </c>
      <c r="N22" s="2">
        <v>3844800</v>
      </c>
      <c r="O22" s="2">
        <v>7.12</v>
      </c>
      <c r="P22" t="s">
        <v>376</v>
      </c>
      <c r="Q22" t="s">
        <v>366</v>
      </c>
      <c r="R22" s="2">
        <v>0.2572000000000001</v>
      </c>
      <c r="S22" s="2">
        <v>-138888.00000000006</v>
      </c>
      <c r="T22" t="s">
        <v>3</v>
      </c>
      <c r="U22" t="s">
        <v>542</v>
      </c>
      <c r="V22" t="s">
        <v>1100</v>
      </c>
      <c r="W22" t="s">
        <v>381</v>
      </c>
      <c r="X22" s="2">
        <v>6.8628</v>
      </c>
      <c r="Y22" s="2">
        <v>3321312</v>
      </c>
      <c r="Z22" s="2">
        <v>480000</v>
      </c>
      <c r="AA22" s="2">
        <v>3731978.5714285714</v>
      </c>
      <c r="AB22" t="s">
        <v>381</v>
      </c>
      <c r="AC22" s="2">
        <v>16533.428571428638</v>
      </c>
      <c r="AD22" s="2">
        <v>26066.571428571362</v>
      </c>
      <c r="AG22" s="2">
        <v>26066.571428571362</v>
      </c>
    </row>
    <row r="23" spans="1:33">
      <c r="A23" t="s">
        <v>372</v>
      </c>
      <c r="B23" s="2">
        <v>7550.000000000116</v>
      </c>
      <c r="C23" s="2">
        <v>800570.0000000001</v>
      </c>
      <c r="E23" s="2">
        <v>-25000</v>
      </c>
      <c r="F23" s="2">
        <v>-198255</v>
      </c>
      <c r="G23" s="2">
        <v>-0</v>
      </c>
      <c r="H23" s="2">
        <v>0</v>
      </c>
      <c r="I23" t="s">
        <v>405</v>
      </c>
      <c r="J23" t="s">
        <v>405</v>
      </c>
      <c r="K23" s="2">
        <v>100000</v>
      </c>
      <c r="L23" t="s">
        <v>373</v>
      </c>
      <c r="M23" s="2">
        <v>783000</v>
      </c>
      <c r="N23" s="2">
        <v>783000</v>
      </c>
      <c r="O23" s="2">
        <v>7.83</v>
      </c>
      <c r="P23" t="s">
        <v>376</v>
      </c>
      <c r="Q23" t="s">
        <v>366</v>
      </c>
      <c r="R23" s="2">
        <v>-0.17570000000000086</v>
      </c>
      <c r="S23" s="2">
        <v>17570.000000000087</v>
      </c>
      <c r="T23" t="s">
        <v>3</v>
      </c>
      <c r="U23" t="s">
        <v>542</v>
      </c>
      <c r="V23" t="s">
        <v>1100</v>
      </c>
      <c r="W23" t="s">
        <v>381</v>
      </c>
      <c r="X23" s="2">
        <v>8.005700000000001</v>
      </c>
      <c r="Y23" s="2">
        <v>991275</v>
      </c>
      <c r="Z23" s="2">
        <v>125000</v>
      </c>
      <c r="AA23" s="2">
        <v>793020</v>
      </c>
      <c r="AB23" t="s">
        <v>381</v>
      </c>
      <c r="AC23" s="2">
        <v>2505</v>
      </c>
      <c r="AD23" s="2">
        <v>-7550.000000000116</v>
      </c>
      <c r="AG23" s="2">
        <v>-7550.000000000116</v>
      </c>
    </row>
    <row r="24" spans="1:33">
      <c r="A24" t="s">
        <v>368</v>
      </c>
      <c r="B24" s="2">
        <v>9655.555555555504</v>
      </c>
      <c r="C24" s="2">
        <v>-1509816</v>
      </c>
      <c r="E24" s="2">
        <v>-10000</v>
      </c>
      <c r="F24" s="2">
        <v>-66397.55555555562</v>
      </c>
      <c r="G24" s="2">
        <v>-0</v>
      </c>
      <c r="H24" s="2">
        <v>0</v>
      </c>
      <c r="I24" t="s">
        <v>405</v>
      </c>
      <c r="J24" t="s">
        <v>405</v>
      </c>
      <c r="K24" s="2">
        <v>-220000</v>
      </c>
      <c r="L24" t="s">
        <v>364</v>
      </c>
      <c r="M24" s="2">
        <v>-1566400</v>
      </c>
      <c r="N24" s="2">
        <v>-1566400</v>
      </c>
      <c r="O24" s="2">
        <v>7.12</v>
      </c>
      <c r="P24" t="s">
        <v>376</v>
      </c>
      <c r="Q24" t="s">
        <v>366</v>
      </c>
      <c r="R24" s="2">
        <v>0.2572000000000001</v>
      </c>
      <c r="S24" s="2">
        <v>56584.00000000002</v>
      </c>
      <c r="T24" t="s">
        <v>3</v>
      </c>
      <c r="U24" t="s">
        <v>542</v>
      </c>
      <c r="V24" t="s">
        <v>1100</v>
      </c>
      <c r="W24" t="s">
        <v>381</v>
      </c>
      <c r="X24" s="2">
        <v>6.8628</v>
      </c>
      <c r="Y24" s="2">
        <v>-1453074</v>
      </c>
      <c r="Z24" s="2">
        <v>-210000</v>
      </c>
      <c r="AA24" s="2">
        <v>-1519471.5555555555</v>
      </c>
      <c r="AB24" t="s">
        <v>381</v>
      </c>
      <c r="AC24" s="2">
        <v>-4802.44444444438</v>
      </c>
      <c r="AD24" s="2">
        <v>-9655.555555555504</v>
      </c>
      <c r="AG24" s="2">
        <v>-9655.555555555504</v>
      </c>
    </row>
    <row r="25" spans="1:33">
      <c r="A25" t="s">
        <v>369</v>
      </c>
      <c r="B25" s="2">
        <v>1913.6470588234952</v>
      </c>
      <c r="C25" s="2">
        <v>-262743</v>
      </c>
      <c r="E25" s="2">
        <v>0</v>
      </c>
      <c r="F25" s="2">
        <v>228.35294117647572</v>
      </c>
      <c r="G25" s="2">
        <v>-0</v>
      </c>
      <c r="H25" s="2">
        <v>0</v>
      </c>
      <c r="I25" t="s">
        <v>405</v>
      </c>
      <c r="J25" t="s">
        <v>405</v>
      </c>
      <c r="K25" s="2">
        <v>-300000</v>
      </c>
      <c r="L25" t="s">
        <v>370</v>
      </c>
      <c r="M25" s="2">
        <v>-273000</v>
      </c>
      <c r="N25" s="2">
        <v>-273000</v>
      </c>
      <c r="O25" s="2">
        <v>0.91</v>
      </c>
      <c r="P25" t="s">
        <v>376</v>
      </c>
      <c r="Q25" t="s">
        <v>366</v>
      </c>
      <c r="R25" s="2">
        <v>0.034190000000000054</v>
      </c>
      <c r="S25" s="2">
        <v>10257.000000000016</v>
      </c>
      <c r="T25" t="s">
        <v>3</v>
      </c>
      <c r="U25" t="s">
        <v>542</v>
      </c>
      <c r="V25" t="s">
        <v>1100</v>
      </c>
      <c r="W25" t="s">
        <v>381</v>
      </c>
      <c r="X25" s="2">
        <v>0.87581</v>
      </c>
      <c r="Y25" s="2">
        <v>-264885</v>
      </c>
      <c r="Z25" s="2">
        <v>-300000</v>
      </c>
      <c r="AA25" s="2">
        <v>-264656.6470588235</v>
      </c>
      <c r="AB25" t="s">
        <v>381</v>
      </c>
      <c r="AC25" s="2">
        <v>-228.35294117647572</v>
      </c>
      <c r="AD25" s="2">
        <v>-1913.6470588234952</v>
      </c>
      <c r="AG25" s="2">
        <v>-1913.6470588234952</v>
      </c>
    </row>
    <row r="26" spans="1:33">
      <c r="A26" t="s">
        <v>371</v>
      </c>
      <c r="B26" s="2">
        <v>-17414.20833333349</v>
      </c>
      <c r="C26" s="2">
        <v>2999744</v>
      </c>
      <c r="E26" s="2">
        <v>60000</v>
      </c>
      <c r="F26" s="2">
        <v>409294.2083333333</v>
      </c>
      <c r="G26" s="2">
        <v>-0</v>
      </c>
      <c r="H26" s="2">
        <v>0</v>
      </c>
      <c r="I26" t="s">
        <v>405</v>
      </c>
      <c r="J26" t="s">
        <v>405</v>
      </c>
      <c r="K26" s="2">
        <v>440000</v>
      </c>
      <c r="L26" t="s">
        <v>364</v>
      </c>
      <c r="M26" s="2">
        <v>3132800</v>
      </c>
      <c r="N26" s="2">
        <v>3132800</v>
      </c>
      <c r="O26" s="2">
        <v>7.12</v>
      </c>
      <c r="P26" t="s">
        <v>376</v>
      </c>
      <c r="Q26" t="s">
        <v>366</v>
      </c>
      <c r="R26" s="2">
        <v>0.30240000000000045</v>
      </c>
      <c r="S26" s="2">
        <v>-133056.0000000002</v>
      </c>
      <c r="T26" t="s">
        <v>3</v>
      </c>
      <c r="U26" t="s">
        <v>542</v>
      </c>
      <c r="V26" t="s">
        <v>1100</v>
      </c>
      <c r="W26" t="s">
        <v>382</v>
      </c>
      <c r="X26" s="2">
        <v>6.8176</v>
      </c>
      <c r="Y26" s="2">
        <v>2607864</v>
      </c>
      <c r="Z26" s="2">
        <v>380000</v>
      </c>
      <c r="AA26" s="2">
        <v>3017158.2083333335</v>
      </c>
      <c r="AB26" t="s">
        <v>694</v>
      </c>
      <c r="AC26" s="2">
        <v>17905.791666666686</v>
      </c>
      <c r="AD26" s="2">
        <v>17414.20833333349</v>
      </c>
      <c r="AG26" s="2">
        <v>17414.20833333349</v>
      </c>
    </row>
    <row r="27" spans="1:33">
      <c r="A27" t="s">
        <v>378</v>
      </c>
      <c r="B27" s="2">
        <v>-2032.7999999999884</v>
      </c>
      <c r="C27" s="2">
        <v>374224.7</v>
      </c>
      <c r="E27" s="2">
        <v>80000</v>
      </c>
      <c r="F27" s="2">
        <v>69724</v>
      </c>
      <c r="G27" s="2">
        <v>-0</v>
      </c>
      <c r="H27" s="2">
        <v>0</v>
      </c>
      <c r="I27" t="s">
        <v>405</v>
      </c>
      <c r="J27" t="s">
        <v>405</v>
      </c>
      <c r="K27" s="2">
        <v>430000</v>
      </c>
      <c r="L27" t="s">
        <v>370</v>
      </c>
      <c r="M27" s="2">
        <v>391300</v>
      </c>
      <c r="N27" s="2">
        <v>391300</v>
      </c>
      <c r="O27" s="2">
        <v>0.91</v>
      </c>
      <c r="P27" t="s">
        <v>376</v>
      </c>
      <c r="Q27" t="s">
        <v>366</v>
      </c>
      <c r="R27" s="2">
        <v>0.03971000000000002</v>
      </c>
      <c r="S27" s="2">
        <v>-17075.30000000001</v>
      </c>
      <c r="T27" t="s">
        <v>3</v>
      </c>
      <c r="U27" t="s">
        <v>542</v>
      </c>
      <c r="V27" t="s">
        <v>1100</v>
      </c>
      <c r="W27" t="s">
        <v>382</v>
      </c>
      <c r="X27" s="2">
        <v>0.87029</v>
      </c>
      <c r="Y27" s="2">
        <v>306533.5</v>
      </c>
      <c r="Z27" s="2">
        <v>350000</v>
      </c>
      <c r="AA27" s="2">
        <v>376257.5</v>
      </c>
      <c r="AB27" t="s">
        <v>694</v>
      </c>
      <c r="AC27" s="2">
        <v>3076</v>
      </c>
      <c r="AD27" s="2">
        <v>2032.7999999999884</v>
      </c>
      <c r="AG27" s="2">
        <v>2032.7999999999884</v>
      </c>
    </row>
    <row r="28" spans="1:33">
      <c r="A28" t="s">
        <v>363</v>
      </c>
      <c r="B28" s="2">
        <v>-23956</v>
      </c>
      <c r="C28" s="2">
        <v>3613328</v>
      </c>
      <c r="E28" s="2">
        <v>-10000</v>
      </c>
      <c r="F28" s="2">
        <v>-68628</v>
      </c>
      <c r="G28" s="2">
        <v>-0</v>
      </c>
      <c r="H28" s="2">
        <v>0</v>
      </c>
      <c r="I28" t="s">
        <v>405</v>
      </c>
      <c r="J28" t="s">
        <v>405</v>
      </c>
      <c r="K28" s="2">
        <v>530000</v>
      </c>
      <c r="L28" t="s">
        <v>364</v>
      </c>
      <c r="M28" s="2">
        <v>3773600</v>
      </c>
      <c r="N28" s="2">
        <v>3773600</v>
      </c>
      <c r="O28" s="2">
        <v>7.12</v>
      </c>
      <c r="P28" t="s">
        <v>376</v>
      </c>
      <c r="Q28" t="s">
        <v>366</v>
      </c>
      <c r="R28" s="2">
        <v>0.30240000000000045</v>
      </c>
      <c r="S28" s="2">
        <v>-160272.00000000023</v>
      </c>
      <c r="T28" t="s">
        <v>3</v>
      </c>
      <c r="U28" t="s">
        <v>542</v>
      </c>
      <c r="V28" t="s">
        <v>1100</v>
      </c>
      <c r="W28" t="s">
        <v>382</v>
      </c>
      <c r="X28" s="2">
        <v>6.8176</v>
      </c>
      <c r="Y28" s="2">
        <v>3705912</v>
      </c>
      <c r="Z28" s="2">
        <v>540000</v>
      </c>
      <c r="AA28" s="2">
        <v>3637284</v>
      </c>
      <c r="AB28" t="s">
        <v>694</v>
      </c>
      <c r="AC28" s="2">
        <v>-2572</v>
      </c>
      <c r="AD28" s="2">
        <v>23956</v>
      </c>
      <c r="AG28" s="2">
        <v>23956</v>
      </c>
    </row>
    <row r="29" spans="1:33">
      <c r="A29" t="s">
        <v>372</v>
      </c>
      <c r="B29" s="2">
        <v>-8970.000000000116</v>
      </c>
      <c r="C29" s="2">
        <v>791600</v>
      </c>
      <c r="E29" s="2">
        <v>0</v>
      </c>
      <c r="F29" s="2">
        <v>0</v>
      </c>
      <c r="G29" s="2">
        <v>-0</v>
      </c>
      <c r="H29" s="2">
        <v>0</v>
      </c>
      <c r="I29" t="s">
        <v>405</v>
      </c>
      <c r="J29" t="s">
        <v>405</v>
      </c>
      <c r="K29" s="2">
        <v>100000</v>
      </c>
      <c r="L29" t="s">
        <v>373</v>
      </c>
      <c r="M29" s="2">
        <v>783000</v>
      </c>
      <c r="N29" s="2">
        <v>783000</v>
      </c>
      <c r="O29" s="2">
        <v>7.83</v>
      </c>
      <c r="P29" t="s">
        <v>376</v>
      </c>
      <c r="Q29" t="s">
        <v>366</v>
      </c>
      <c r="R29" s="2">
        <v>-0.0860000000000003</v>
      </c>
      <c r="S29" s="2">
        <v>8600.00000000003</v>
      </c>
      <c r="T29" t="s">
        <v>3</v>
      </c>
      <c r="U29" t="s">
        <v>542</v>
      </c>
      <c r="V29" t="s">
        <v>1100</v>
      </c>
      <c r="W29" t="s">
        <v>382</v>
      </c>
      <c r="X29" s="2">
        <v>7.916</v>
      </c>
      <c r="Y29" s="2">
        <v>800570.0000000001</v>
      </c>
      <c r="Z29" s="2">
        <v>100000</v>
      </c>
      <c r="AA29" s="2">
        <v>800570.0000000001</v>
      </c>
      <c r="AB29" t="s">
        <v>694</v>
      </c>
      <c r="AC29" s="2">
        <v>0</v>
      </c>
      <c r="AD29" s="2">
        <v>8970.000000000116</v>
      </c>
      <c r="AG29" s="2">
        <v>8970.000000000116</v>
      </c>
    </row>
    <row r="30" spans="1:33">
      <c r="A30" t="s">
        <v>368</v>
      </c>
      <c r="B30" s="2">
        <v>9324.517241379246</v>
      </c>
      <c r="C30" s="2">
        <v>-1568048</v>
      </c>
      <c r="E30" s="2">
        <v>-10000</v>
      </c>
      <c r="F30" s="2">
        <v>-67556.51724137936</v>
      </c>
      <c r="G30" s="2">
        <v>-0</v>
      </c>
      <c r="H30" s="2">
        <v>0</v>
      </c>
      <c r="I30" t="s">
        <v>405</v>
      </c>
      <c r="J30" t="s">
        <v>405</v>
      </c>
      <c r="K30" s="2">
        <v>-230000</v>
      </c>
      <c r="L30" t="s">
        <v>364</v>
      </c>
      <c r="M30" s="2">
        <v>-1637600</v>
      </c>
      <c r="N30" s="2">
        <v>-1637600</v>
      </c>
      <c r="O30" s="2">
        <v>7.12</v>
      </c>
      <c r="P30" t="s">
        <v>376</v>
      </c>
      <c r="Q30" t="s">
        <v>366</v>
      </c>
      <c r="R30" s="2">
        <v>0.30240000000000045</v>
      </c>
      <c r="S30" s="2">
        <v>69552.0000000001</v>
      </c>
      <c r="T30" t="s">
        <v>3</v>
      </c>
      <c r="U30" t="s">
        <v>542</v>
      </c>
      <c r="V30" t="s">
        <v>1100</v>
      </c>
      <c r="W30" t="s">
        <v>382</v>
      </c>
      <c r="X30" s="2">
        <v>6.8176</v>
      </c>
      <c r="Y30" s="2">
        <v>-1509816</v>
      </c>
      <c r="Z30" s="2">
        <v>-220000</v>
      </c>
      <c r="AA30" s="2">
        <v>-1577372.5172413792</v>
      </c>
      <c r="AB30" t="s">
        <v>694</v>
      </c>
      <c r="AC30" s="2">
        <v>-3643.4827586206375</v>
      </c>
      <c r="AD30" s="2">
        <v>-9324.517241379246</v>
      </c>
      <c r="AG30" s="2">
        <v>-9324.517241379246</v>
      </c>
    </row>
    <row r="31" spans="1:33">
      <c r="A31" t="s">
        <v>369</v>
      </c>
      <c r="B31" s="2">
        <v>1656</v>
      </c>
      <c r="C31" s="2">
        <v>-261087</v>
      </c>
      <c r="E31" s="2">
        <v>0</v>
      </c>
      <c r="F31" s="2">
        <v>0</v>
      </c>
      <c r="G31" s="2">
        <v>-0</v>
      </c>
      <c r="H31" s="2">
        <v>0</v>
      </c>
      <c r="I31" t="s">
        <v>405</v>
      </c>
      <c r="J31" t="s">
        <v>405</v>
      </c>
      <c r="K31" s="2">
        <v>-300000</v>
      </c>
      <c r="L31" t="s">
        <v>370</v>
      </c>
      <c r="M31" s="2">
        <v>-273000</v>
      </c>
      <c r="N31" s="2">
        <v>-273000</v>
      </c>
      <c r="O31" s="2">
        <v>0.91</v>
      </c>
      <c r="P31" t="s">
        <v>376</v>
      </c>
      <c r="Q31" t="s">
        <v>366</v>
      </c>
      <c r="R31" s="2">
        <v>0.03971000000000002</v>
      </c>
      <c r="S31" s="2">
        <v>11913.000000000007</v>
      </c>
      <c r="T31" t="s">
        <v>3</v>
      </c>
      <c r="U31" t="s">
        <v>542</v>
      </c>
      <c r="V31" t="s">
        <v>1100</v>
      </c>
      <c r="W31" t="s">
        <v>382</v>
      </c>
      <c r="X31" s="2">
        <v>0.87029</v>
      </c>
      <c r="Y31" s="2">
        <v>-262743</v>
      </c>
      <c r="Z31" s="2">
        <v>-300000</v>
      </c>
      <c r="AA31" s="2">
        <v>-262743</v>
      </c>
      <c r="AB31" t="s">
        <v>694</v>
      </c>
      <c r="AC31" s="2">
        <v>0</v>
      </c>
      <c r="AD31" s="2">
        <v>-1656</v>
      </c>
      <c r="AG31" s="2">
        <v>-1656</v>
      </c>
    </row>
    <row r="32" spans="1:33">
      <c r="A32" t="s">
        <v>371</v>
      </c>
      <c r="B32" s="2">
        <v>-2535.25</v>
      </c>
      <c r="C32" s="2">
        <v>3541668</v>
      </c>
      <c r="E32" s="2">
        <v>80000</v>
      </c>
      <c r="F32" s="2">
        <v>544459.25</v>
      </c>
      <c r="G32" s="2">
        <v>-0</v>
      </c>
      <c r="H32" s="2">
        <v>0</v>
      </c>
      <c r="I32" t="s">
        <v>405</v>
      </c>
      <c r="J32" t="s">
        <v>405</v>
      </c>
      <c r="K32" s="2">
        <v>520000</v>
      </c>
      <c r="L32" t="s">
        <v>364</v>
      </c>
      <c r="M32" s="2">
        <v>3702400</v>
      </c>
      <c r="N32" s="2">
        <v>3702400</v>
      </c>
      <c r="O32" s="2">
        <v>7.12</v>
      </c>
      <c r="P32" t="s">
        <v>376</v>
      </c>
      <c r="Q32" t="s">
        <v>366</v>
      </c>
      <c r="R32" s="2">
        <v>0.30909999999999993</v>
      </c>
      <c r="S32" s="2">
        <v>-160731.99999999997</v>
      </c>
      <c r="T32" t="s">
        <v>3</v>
      </c>
      <c r="U32" t="s">
        <v>542</v>
      </c>
      <c r="V32" t="s">
        <v>1100</v>
      </c>
      <c r="W32" t="s">
        <v>383</v>
      </c>
      <c r="X32" s="2">
        <v>6.8109</v>
      </c>
      <c r="Y32" s="2">
        <v>2999744</v>
      </c>
      <c r="Z32" s="2">
        <v>440000</v>
      </c>
      <c r="AA32" s="2">
        <v>3544203.25</v>
      </c>
      <c r="AB32" t="s">
        <v>383</v>
      </c>
      <c r="AC32" s="2">
        <v>25140.75000000003</v>
      </c>
      <c r="AD32" s="2">
        <v>2535.25</v>
      </c>
      <c r="AE32" s="2">
        <v>3702400</v>
      </c>
      <c r="AF32" s="2">
        <v>-160732</v>
      </c>
      <c r="AG32" s="2">
        <v>2535.25</v>
      </c>
    </row>
    <row r="33" spans="1:33">
      <c r="A33" t="s">
        <v>378</v>
      </c>
      <c r="B33" s="2">
        <v>-694.2000000000116</v>
      </c>
      <c r="C33" s="2">
        <v>334391.75</v>
      </c>
      <c r="E33" s="2">
        <v>-45000</v>
      </c>
      <c r="F33" s="2">
        <v>-39138.74999999999</v>
      </c>
      <c r="G33" s="2">
        <v>-0</v>
      </c>
      <c r="H33" s="2">
        <v>0</v>
      </c>
      <c r="I33" t="s">
        <v>405</v>
      </c>
      <c r="J33" t="s">
        <v>405</v>
      </c>
      <c r="K33" s="2">
        <v>385000</v>
      </c>
      <c r="L33" t="s">
        <v>370</v>
      </c>
      <c r="M33" s="2">
        <v>350350</v>
      </c>
      <c r="N33" s="2">
        <v>350350</v>
      </c>
      <c r="O33" s="2">
        <v>0.91</v>
      </c>
      <c r="P33" t="s">
        <v>376</v>
      </c>
      <c r="Q33" t="s">
        <v>366</v>
      </c>
      <c r="R33" s="2">
        <v>0.04144999999999999</v>
      </c>
      <c r="S33" s="2">
        <v>-15958.249999999995</v>
      </c>
      <c r="T33" t="s">
        <v>3</v>
      </c>
      <c r="U33" t="s">
        <v>542</v>
      </c>
      <c r="V33" t="s">
        <v>1100</v>
      </c>
      <c r="W33" t="s">
        <v>383</v>
      </c>
      <c r="X33" s="2">
        <v>0.86855</v>
      </c>
      <c r="Y33" s="2">
        <v>374224.7</v>
      </c>
      <c r="Z33" s="2">
        <v>430000</v>
      </c>
      <c r="AA33" s="2">
        <v>335085.95</v>
      </c>
      <c r="AB33" t="s">
        <v>383</v>
      </c>
      <c r="AC33" s="2">
        <v>-1811.2500000000073</v>
      </c>
      <c r="AD33" s="2">
        <v>694.2000000000116</v>
      </c>
      <c r="AE33" s="2">
        <v>350350</v>
      </c>
      <c r="AF33" s="2">
        <v>-15958.25</v>
      </c>
      <c r="AG33" s="2">
        <v>694.2000000000116</v>
      </c>
    </row>
    <row r="34" spans="1:33">
      <c r="A34" t="s">
        <v>363</v>
      </c>
      <c r="B34" s="2">
        <v>-3705.556962025352</v>
      </c>
      <c r="C34" s="2">
        <v>4154649</v>
      </c>
      <c r="E34" s="2">
        <v>80000</v>
      </c>
      <c r="F34" s="2">
        <v>545026.5569620254</v>
      </c>
      <c r="G34" s="2">
        <v>-0</v>
      </c>
      <c r="H34" s="2">
        <v>0</v>
      </c>
      <c r="I34" t="s">
        <v>405</v>
      </c>
      <c r="J34" t="s">
        <v>405</v>
      </c>
      <c r="K34" s="2">
        <v>610000</v>
      </c>
      <c r="L34" t="s">
        <v>364</v>
      </c>
      <c r="M34" s="2">
        <v>4343200</v>
      </c>
      <c r="N34" s="2">
        <v>4343200</v>
      </c>
      <c r="O34" s="2">
        <v>7.12</v>
      </c>
      <c r="P34" t="s">
        <v>376</v>
      </c>
      <c r="Q34" t="s">
        <v>366</v>
      </c>
      <c r="R34" s="2">
        <v>0.30909999999999993</v>
      </c>
      <c r="S34" s="2">
        <v>-188550.99999999997</v>
      </c>
      <c r="T34" t="s">
        <v>3</v>
      </c>
      <c r="U34" t="s">
        <v>542</v>
      </c>
      <c r="V34" t="s">
        <v>1100</v>
      </c>
      <c r="W34" t="s">
        <v>383</v>
      </c>
      <c r="X34" s="2">
        <v>6.8109</v>
      </c>
      <c r="Y34" s="2">
        <v>3613328</v>
      </c>
      <c r="Z34" s="2">
        <v>530000</v>
      </c>
      <c r="AA34" s="2">
        <v>4158354.5569620254</v>
      </c>
      <c r="AB34" t="s">
        <v>383</v>
      </c>
      <c r="AC34" s="2">
        <v>24573.443037974648</v>
      </c>
      <c r="AD34" s="2">
        <v>3705.556962025352</v>
      </c>
      <c r="AE34" s="2">
        <v>4343200</v>
      </c>
      <c r="AF34" s="2">
        <v>-188551</v>
      </c>
      <c r="AG34" s="2">
        <v>3705.556962025352</v>
      </c>
    </row>
    <row r="35" spans="1:33">
      <c r="A35" t="s">
        <v>372</v>
      </c>
      <c r="B35" s="2">
        <v>-11167.5</v>
      </c>
      <c r="C35" s="2">
        <v>582532.5</v>
      </c>
      <c r="E35" s="2">
        <v>-25000</v>
      </c>
      <c r="F35" s="2">
        <v>-197900</v>
      </c>
      <c r="G35" s="2">
        <v>-0</v>
      </c>
      <c r="H35" s="2">
        <v>0</v>
      </c>
      <c r="I35" t="s">
        <v>405</v>
      </c>
      <c r="J35" t="s">
        <v>405</v>
      </c>
      <c r="K35" s="2">
        <v>75000</v>
      </c>
      <c r="L35" t="s">
        <v>373</v>
      </c>
      <c r="M35" s="2">
        <v>587250</v>
      </c>
      <c r="N35" s="2">
        <v>587250</v>
      </c>
      <c r="O35" s="2">
        <v>7.83</v>
      </c>
      <c r="P35" t="s">
        <v>376</v>
      </c>
      <c r="Q35" t="s">
        <v>366</v>
      </c>
      <c r="R35" s="2">
        <v>0.06289999999999996</v>
      </c>
      <c r="S35" s="2">
        <v>-4717.499999999996</v>
      </c>
      <c r="T35" t="s">
        <v>3</v>
      </c>
      <c r="U35" t="s">
        <v>542</v>
      </c>
      <c r="V35" t="s">
        <v>1100</v>
      </c>
      <c r="W35" t="s">
        <v>383</v>
      </c>
      <c r="X35" s="2">
        <v>7.7671</v>
      </c>
      <c r="Y35" s="2">
        <v>791600</v>
      </c>
      <c r="Z35" s="2">
        <v>100000</v>
      </c>
      <c r="AA35" s="2">
        <v>593700</v>
      </c>
      <c r="AB35" t="s">
        <v>383</v>
      </c>
      <c r="AC35" s="2">
        <v>2150</v>
      </c>
      <c r="AD35" s="2">
        <v>11167.5</v>
      </c>
      <c r="AE35" s="2">
        <v>587250</v>
      </c>
      <c r="AF35" s="2">
        <v>-4717.5</v>
      </c>
      <c r="AG35" s="2">
        <v>11167.5</v>
      </c>
    </row>
    <row r="36" spans="1:33">
      <c r="A36" t="s">
        <v>368</v>
      </c>
      <c r="B36" s="2">
        <v>1350.3999999999069</v>
      </c>
      <c r="C36" s="2">
        <v>-1634616</v>
      </c>
      <c r="E36" s="2">
        <v>-10000</v>
      </c>
      <c r="F36" s="2">
        <v>-67918.40000000002</v>
      </c>
      <c r="G36" s="2">
        <v>-0</v>
      </c>
      <c r="H36" s="2">
        <v>0</v>
      </c>
      <c r="I36" t="s">
        <v>405</v>
      </c>
      <c r="J36" t="s">
        <v>405</v>
      </c>
      <c r="K36" s="2">
        <v>-240000</v>
      </c>
      <c r="L36" t="s">
        <v>364</v>
      </c>
      <c r="M36" s="2">
        <v>-1708800</v>
      </c>
      <c r="N36" s="2">
        <v>-1708800</v>
      </c>
      <c r="O36" s="2">
        <v>7.12</v>
      </c>
      <c r="P36" t="s">
        <v>376</v>
      </c>
      <c r="Q36" t="s">
        <v>366</v>
      </c>
      <c r="R36" s="2">
        <v>0.30909999999999993</v>
      </c>
      <c r="S36" s="2">
        <v>74183.99999999999</v>
      </c>
      <c r="T36" t="s">
        <v>3</v>
      </c>
      <c r="U36" t="s">
        <v>542</v>
      </c>
      <c r="V36" t="s">
        <v>1100</v>
      </c>
      <c r="W36" t="s">
        <v>383</v>
      </c>
      <c r="X36" s="2">
        <v>6.8109</v>
      </c>
      <c r="Y36" s="2">
        <v>-1568048</v>
      </c>
      <c r="Z36" s="2">
        <v>-230000</v>
      </c>
      <c r="AA36" s="2">
        <v>-1635966.4</v>
      </c>
      <c r="AB36" t="s">
        <v>383</v>
      </c>
      <c r="AC36" s="2">
        <v>-3281.5999999999767</v>
      </c>
      <c r="AD36" s="2">
        <v>-1350.3999999999069</v>
      </c>
      <c r="AE36" s="2">
        <v>-1708800</v>
      </c>
      <c r="AF36" s="2">
        <v>74184</v>
      </c>
      <c r="AG36" s="2">
        <v>-1350.3999999999069</v>
      </c>
    </row>
    <row r="37" spans="1:33">
      <c r="A37" t="s">
        <v>369</v>
      </c>
      <c r="B37" s="2">
        <v>492.2608695652161</v>
      </c>
      <c r="C37" s="2">
        <v>-260565</v>
      </c>
      <c r="E37" s="2">
        <v>0</v>
      </c>
      <c r="F37" s="2">
        <v>29.739130434776598</v>
      </c>
      <c r="G37" s="2">
        <v>-0</v>
      </c>
      <c r="H37" s="2">
        <v>0</v>
      </c>
      <c r="I37" t="s">
        <v>405</v>
      </c>
      <c r="J37" t="s">
        <v>405</v>
      </c>
      <c r="K37" s="2">
        <v>-300000</v>
      </c>
      <c r="L37" t="s">
        <v>370</v>
      </c>
      <c r="M37" s="2">
        <v>-273000</v>
      </c>
      <c r="N37" s="2">
        <v>-273000</v>
      </c>
      <c r="O37" s="2">
        <v>0.91</v>
      </c>
      <c r="P37" t="s">
        <v>376</v>
      </c>
      <c r="Q37" t="s">
        <v>366</v>
      </c>
      <c r="R37" s="2">
        <v>0.04144999999999999</v>
      </c>
      <c r="S37" s="2">
        <v>12434.999999999996</v>
      </c>
      <c r="T37" t="s">
        <v>3</v>
      </c>
      <c r="U37" t="s">
        <v>542</v>
      </c>
      <c r="V37" t="s">
        <v>1100</v>
      </c>
      <c r="W37" t="s">
        <v>383</v>
      </c>
      <c r="X37" s="2">
        <v>0.86855</v>
      </c>
      <c r="Y37" s="2">
        <v>-261087</v>
      </c>
      <c r="Z37" s="2">
        <v>-300000</v>
      </c>
      <c r="AA37" s="2">
        <v>-261057.26086956522</v>
      </c>
      <c r="AB37" t="s">
        <v>383</v>
      </c>
      <c r="AC37" s="2">
        <v>-29.739130434776598</v>
      </c>
      <c r="AD37" s="2">
        <v>-492.2608695652161</v>
      </c>
      <c r="AE37" s="2">
        <v>-273000</v>
      </c>
      <c r="AF37" s="2">
        <v>12435</v>
      </c>
      <c r="AG37" s="2">
        <v>-492.2608695652161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Q2"/>
  <sheetViews>
    <sheetView workbookViewId="0">
      <pane ySplit="1" topLeftCell="A2" activePane="bottomLeft" state="frozen"/>
      <selection pane="bottomLeft"/>
    </sheetView>
  </sheetViews>
  <sheetFormatPr defaultRowHeight="15"/>
  <cols>
    <col min="1" max="43" width="24.7109375" customWidth="1"/>
  </cols>
  <sheetData>
    <row r="1" spans="1:43">
      <c r="A1" s="1" t="s">
        <v>392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398</v>
      </c>
      <c r="G1" s="1" t="s">
        <v>399</v>
      </c>
      <c r="H1" s="1" t="s">
        <v>400</v>
      </c>
      <c r="I1" s="1" t="s">
        <v>401</v>
      </c>
      <c r="J1" s="1" t="s">
        <v>402</v>
      </c>
      <c r="K1" s="1" t="s">
        <v>12</v>
      </c>
      <c r="L1" s="1" t="s">
        <v>14</v>
      </c>
      <c r="M1" s="1" t="s">
        <v>403</v>
      </c>
      <c r="N1" s="1" t="s">
        <v>404</v>
      </c>
      <c r="O1" s="1" t="s">
        <v>406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  <c r="U1" s="1" t="s">
        <v>412</v>
      </c>
      <c r="V1" s="1" t="s">
        <v>413</v>
      </c>
      <c r="W1" s="1" t="s">
        <v>414</v>
      </c>
      <c r="X1" s="1" t="s">
        <v>415</v>
      </c>
      <c r="Y1" s="1" t="s">
        <v>416</v>
      </c>
      <c r="Z1" s="1" t="s">
        <v>417</v>
      </c>
      <c r="AA1" s="1" t="s">
        <v>418</v>
      </c>
      <c r="AB1" s="1" t="s">
        <v>419</v>
      </c>
      <c r="AC1" s="1" t="s">
        <v>420</v>
      </c>
      <c r="AD1" s="1" t="s">
        <v>421</v>
      </c>
      <c r="AE1" s="1" t="s">
        <v>422</v>
      </c>
      <c r="AF1" s="1" t="s">
        <v>423</v>
      </c>
      <c r="AG1" s="1" t="s">
        <v>424</v>
      </c>
      <c r="AH1" s="1" t="s">
        <v>425</v>
      </c>
      <c r="AI1" s="1" t="s">
        <v>426</v>
      </c>
      <c r="AJ1" s="1" t="s">
        <v>427</v>
      </c>
      <c r="AK1" s="1" t="s">
        <v>428</v>
      </c>
      <c r="AL1" s="1" t="s">
        <v>429</v>
      </c>
      <c r="AM1" s="1" t="s">
        <v>430</v>
      </c>
      <c r="AN1" s="1" t="s">
        <v>431</v>
      </c>
      <c r="AO1" s="1" t="s">
        <v>432</v>
      </c>
      <c r="AP1" s="1" t="s">
        <v>433</v>
      </c>
      <c r="AQ1" s="1" t="s">
        <v>434</v>
      </c>
    </row>
    <row r="2" spans="1:43">
      <c r="A2" t="s">
        <v>65</v>
      </c>
      <c r="B2" s="2">
        <v>116703.6000000012</v>
      </c>
      <c r="C2" s="2">
        <v>116703.6000000012</v>
      </c>
      <c r="D2" t="s">
        <v>54</v>
      </c>
      <c r="E2" t="s">
        <v>397</v>
      </c>
      <c r="F2" s="2">
        <v>-0</v>
      </c>
      <c r="G2" s="2">
        <v>-10330</v>
      </c>
      <c r="H2" s="2">
        <v>-10330</v>
      </c>
      <c r="I2" s="2">
        <v>127033.6000000012</v>
      </c>
      <c r="J2" s="2">
        <v>116703.6000000012</v>
      </c>
      <c r="K2" s="2">
        <v>124633.6000000012</v>
      </c>
      <c r="L2" s="3">
        <v>15.716721311475562</v>
      </c>
      <c r="M2" t="s">
        <v>54</v>
      </c>
      <c r="N2" t="s">
        <v>405</v>
      </c>
      <c r="O2" s="2">
        <v>0</v>
      </c>
      <c r="P2" s="2">
        <v>127033.6000000012</v>
      </c>
      <c r="Q2" t="s">
        <v>65</v>
      </c>
      <c r="R2" s="2">
        <v>2400</v>
      </c>
      <c r="S2" s="2">
        <v>2</v>
      </c>
      <c r="T2" s="2">
        <v>2400</v>
      </c>
      <c r="U2" s="2">
        <v>2</v>
      </c>
      <c r="V2" s="2">
        <v>0</v>
      </c>
      <c r="W2" s="2">
        <v>0</v>
      </c>
      <c r="X2" s="2">
        <v>32</v>
      </c>
      <c r="Y2" s="2">
        <v>-14206.47307619013</v>
      </c>
      <c r="Z2" s="2">
        <v>-3876.47307619013</v>
      </c>
      <c r="AA2" t="s">
        <v>65</v>
      </c>
      <c r="AB2" s="2">
        <v>0</v>
      </c>
      <c r="AC2" t="s">
        <v>54</v>
      </c>
      <c r="AD2" s="2">
        <v>14650</v>
      </c>
      <c r="AE2" s="2">
        <v>0</v>
      </c>
      <c r="AF2" s="2">
        <v>-7930</v>
      </c>
      <c r="AG2" t="s">
        <v>7</v>
      </c>
      <c r="AH2" s="2">
        <v>14650</v>
      </c>
      <c r="AK2" s="2">
        <v>0</v>
      </c>
      <c r="AL2" s="2">
        <v>2400</v>
      </c>
      <c r="AM2" s="2">
        <v>130910.07307619133</v>
      </c>
      <c r="AN2" t="s">
        <v>54</v>
      </c>
      <c r="AO2" s="2">
        <v>130910.07307619133</v>
      </c>
      <c r="AP2" s="2">
        <v>0</v>
      </c>
      <c r="AQ2" s="2">
        <v>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4.7109375" customWidth="1"/>
    <col min="20" max="20" width="50.7109375" customWidth="1"/>
    <col min="21" max="21" width="24.7109375" customWidth="1"/>
  </cols>
  <sheetData>
    <row r="1" spans="1:21">
      <c r="A1" s="1" t="s">
        <v>1101</v>
      </c>
      <c r="B1" s="1" t="s">
        <v>395</v>
      </c>
      <c r="C1" s="1" t="s">
        <v>396</v>
      </c>
      <c r="D1" s="1" t="s">
        <v>1102</v>
      </c>
      <c r="E1" s="1" t="s">
        <v>399</v>
      </c>
      <c r="F1" s="1" t="s">
        <v>1103</v>
      </c>
      <c r="G1" s="1" t="s">
        <v>1104</v>
      </c>
      <c r="H1" s="1" t="s">
        <v>1105</v>
      </c>
      <c r="I1" s="1" t="s">
        <v>411</v>
      </c>
      <c r="J1" s="1" t="s">
        <v>412</v>
      </c>
      <c r="K1" s="1" t="s">
        <v>421</v>
      </c>
      <c r="L1" s="1" t="s">
        <v>1106</v>
      </c>
      <c r="M1" s="1" t="s">
        <v>1107</v>
      </c>
      <c r="N1" s="1" t="s">
        <v>1108</v>
      </c>
      <c r="O1" s="1" t="s">
        <v>422</v>
      </c>
      <c r="P1" s="1" t="s">
        <v>423</v>
      </c>
      <c r="Q1" s="1" t="s">
        <v>424</v>
      </c>
      <c r="R1" s="1" t="s">
        <v>425</v>
      </c>
      <c r="S1" s="1" t="s">
        <v>426</v>
      </c>
      <c r="T1" s="1" t="s">
        <v>1109</v>
      </c>
      <c r="U1" s="1" t="s">
        <v>427</v>
      </c>
    </row>
    <row r="2" spans="1:21">
      <c r="A2" s="2">
        <v>-7930</v>
      </c>
      <c r="B2" t="s">
        <v>54</v>
      </c>
      <c r="C2" t="s">
        <v>397</v>
      </c>
      <c r="D2" s="2">
        <v>0</v>
      </c>
      <c r="E2" s="2">
        <v>-10330</v>
      </c>
      <c r="F2" s="2">
        <v>5</v>
      </c>
      <c r="G2" s="2">
        <v>-7930</v>
      </c>
      <c r="H2" s="2">
        <v>-22580</v>
      </c>
      <c r="I2" s="2">
        <v>2400</v>
      </c>
      <c r="J2" s="2">
        <v>2</v>
      </c>
      <c r="K2" s="2">
        <v>14650</v>
      </c>
      <c r="L2" t="s">
        <v>7</v>
      </c>
      <c r="O2" s="2">
        <v>0</v>
      </c>
      <c r="P2" s="2">
        <v>-7930</v>
      </c>
      <c r="Q2" t="s">
        <v>7</v>
      </c>
      <c r="R2" s="2">
        <v>14650</v>
      </c>
      <c r="T2" t="s">
        <v>1110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4.7109375" customWidth="1"/>
    <col min="3" max="3" width="28.7109375" customWidth="1"/>
    <col min="4" max="4" width="14.7109375" customWidth="1"/>
    <col min="5" max="5" width="20.7109375" customWidth="1"/>
    <col min="6" max="6" width="42.7109375" customWidth="1"/>
    <col min="7" max="8" width="28.7109375" customWidth="1"/>
    <col min="9" max="9" width="20.7109375" customWidth="1"/>
    <col min="10" max="10" width="28.7109375" customWidth="1"/>
    <col min="11" max="11" width="52.7109375" customWidth="1"/>
    <col min="12" max="12" width="42.7109375" customWidth="1"/>
  </cols>
  <sheetData>
    <row r="1" spans="1:12">
      <c r="A1" s="1" t="s">
        <v>348</v>
      </c>
      <c r="B1" s="1" t="s">
        <v>18</v>
      </c>
      <c r="C1" s="1" t="s">
        <v>350</v>
      </c>
      <c r="D1" s="1" t="s">
        <v>481</v>
      </c>
      <c r="E1" s="1" t="s">
        <v>1111</v>
      </c>
      <c r="F1" s="1" t="s">
        <v>1112</v>
      </c>
      <c r="G1" s="1" t="s">
        <v>1113</v>
      </c>
      <c r="H1" s="1" t="s">
        <v>1114</v>
      </c>
      <c r="I1" s="1" t="s">
        <v>474</v>
      </c>
      <c r="J1" s="1" t="s">
        <v>1115</v>
      </c>
      <c r="K1" s="1" t="s">
        <v>1116</v>
      </c>
      <c r="L1" s="1" t="s">
        <v>1117</v>
      </c>
    </row>
    <row r="2" spans="1:12">
      <c r="A2" t="s">
        <v>1118</v>
      </c>
      <c r="B2" t="s">
        <v>174</v>
      </c>
      <c r="C2" t="s">
        <v>175</v>
      </c>
      <c r="E2" s="5" t="s">
        <v>483</v>
      </c>
      <c r="F2" s="5" t="s">
        <v>1119</v>
      </c>
      <c r="G2" s="5" t="s">
        <v>1120</v>
      </c>
      <c r="H2" s="5" t="s">
        <v>98</v>
      </c>
      <c r="I2" s="2">
        <v>1200</v>
      </c>
      <c r="J2" s="5" t="s">
        <v>1121</v>
      </c>
      <c r="K2" s="5" t="s">
        <v>183</v>
      </c>
      <c r="L2" s="5" t="s">
        <v>178</v>
      </c>
    </row>
    <row r="3" spans="1:12">
      <c r="A3" t="s">
        <v>1118</v>
      </c>
      <c r="B3" t="s">
        <v>305</v>
      </c>
      <c r="C3" t="s">
        <v>306</v>
      </c>
      <c r="E3" s="5" t="s">
        <v>483</v>
      </c>
      <c r="F3" s="5" t="s">
        <v>1119</v>
      </c>
      <c r="G3" s="5" t="s">
        <v>1120</v>
      </c>
      <c r="H3" s="5" t="s">
        <v>98</v>
      </c>
      <c r="I3" s="2">
        <v>1200</v>
      </c>
      <c r="J3" s="5" t="s">
        <v>1121</v>
      </c>
      <c r="K3" s="5" t="s">
        <v>183</v>
      </c>
      <c r="L3" s="5" t="s">
        <v>178</v>
      </c>
    </row>
    <row r="4" spans="1:12">
      <c r="A4" s="1" t="s">
        <v>1122</v>
      </c>
      <c r="I4" s="2">
        <v>2400</v>
      </c>
    </row>
  </sheetData>
  <autoFilter ref="A1:L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审计结论</vt:lpstr>
      <vt:lpstr>汇兑损益测算明细</vt:lpstr>
      <vt:lpstr>客户与审计汇率比较</vt:lpstr>
      <vt:lpstr>使用说明</vt:lpstr>
      <vt:lpstr>执行摘要</vt:lpstr>
      <vt:lpstr>参数与口径</vt:lpstr>
      <vt:lpstr>JE字段映射</vt:lpstr>
      <vt:lpstr>TB字段映射</vt:lpstr>
      <vt:lpstr>数据质量</vt:lpstr>
      <vt:lpstr>待复核项目</vt:lpstr>
      <vt:lpstr>科目角色</vt:lpstr>
      <vt:lpstr>央行汇率</vt:lpstr>
      <vt:lpstr>汇率表</vt:lpstr>
      <vt:lpstr>异常与限制</vt:lpstr>
      <vt:lpstr>_rate_snapshot</vt:lpstr>
      <vt:lpstr>_source_trace</vt:lpstr>
      <vt:lpstr>JE完整明细</vt:lpstr>
      <vt:lpstr>事件分类</vt:lpstr>
      <vt:lpstr>已实现测算</vt:lpstr>
      <vt:lpstr>已实现汇总</vt:lpstr>
      <vt:lpstr>未实现凭证识别</vt:lpstr>
      <vt:lpstr>未实现汇兑损益测算</vt:lpstr>
      <vt:lpstr>客户未实现损益比较</vt:lpstr>
      <vt:lpstr>月度测算</vt:lpstr>
      <vt:lpstr>全年汇总</vt:lpstr>
      <vt:lpstr>TB勾稽</vt:lpstr>
      <vt:lpstr>汇兑事项复核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2026-09-29T08:15:54Z</dcterms:created>
  <dcterms:modified xsi:type="dcterms:W3CDTF">2026-09-29T08:15:54Z</dcterms:modified>
</cp:coreProperties>
</file>